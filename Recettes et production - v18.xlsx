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Shared/code/le-chaudron-qui-sent-bon-obsidian/"/>
    </mc:Choice>
  </mc:AlternateContent>
  <xr:revisionPtr revIDLastSave="0" documentId="13_ncr:20001_{C1C523CA-7C4A-754A-B556-7E9B8C1D9989}" xr6:coauthVersionLast="47" xr6:coauthVersionMax="47" xr10:uidLastSave="{00000000-0000-0000-0000-000000000000}"/>
  <bookViews>
    <workbookView xWindow="0" yWindow="780" windowWidth="41120" windowHeight="24540" xr2:uid="{00000000-000D-0000-FFFF-FFFF00000000}"/>
  </bookViews>
  <sheets>
    <sheet name="Produit" sheetId="1" r:id="rId1"/>
    <sheet name="Ingredients" sheetId="2" r:id="rId2"/>
    <sheet name="Recette Epice" sheetId="3" r:id="rId3"/>
    <sheet name="Besoins plantes" sheetId="4" r:id="rId4"/>
    <sheet name="Planning Culture" sheetId="5" r:id="rId5"/>
    <sheet name="Calendrier culture" sheetId="6" r:id="rId6"/>
    <sheet name="Production" sheetId="7" r:id="rId7"/>
    <sheet name="Conditionnement" sheetId="8" r:id="rId8"/>
    <sheet name="Concurrence" sheetId="9" r:id="rId9"/>
    <sheet name="Temporaire" sheetId="10" r:id="rId10"/>
    <sheet name="Log" sheetId="11" r:id="rId11"/>
  </sheets>
  <definedNames>
    <definedName name="_xlnm._FilterDatabase" localSheetId="3" hidden="1">'Besoins plantes'!$A$3:$L$77</definedName>
    <definedName name="_xlnm._FilterDatabase" localSheetId="10" hidden="1">Log!$A$1:$I$1218</definedName>
    <definedName name="_xlnm._FilterDatabase" localSheetId="4" hidden="1">'Planning Culture'!$A$3:$N$31</definedName>
    <definedName name="Couleur" localSheetId="2">'Recette Epice'!#REF!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2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O3" i="1"/>
  <c r="O4" i="1"/>
  <c r="O5" i="1"/>
  <c r="O6" i="1"/>
  <c r="O7" i="1"/>
  <c r="O8" i="1"/>
  <c r="O9" i="1"/>
  <c r="O10" i="1"/>
  <c r="O11" i="1"/>
  <c r="O12" i="1"/>
  <c r="O13" i="1"/>
  <c r="R13" i="1" s="1"/>
  <c r="O14" i="1"/>
  <c r="R14" i="1" s="1"/>
  <c r="O15" i="1"/>
  <c r="R15" i="1" s="1"/>
  <c r="O16" i="1"/>
  <c r="R16" i="1" s="1"/>
  <c r="O17" i="1"/>
  <c r="R17" i="1" s="1"/>
  <c r="O18" i="1"/>
  <c r="R18" i="1" s="1"/>
  <c r="O19" i="1"/>
  <c r="O20" i="1"/>
  <c r="O21" i="1"/>
  <c r="O22" i="1"/>
  <c r="O23" i="1"/>
  <c r="O24" i="1"/>
  <c r="O25" i="1"/>
  <c r="O26" i="1"/>
  <c r="O27" i="1"/>
  <c r="O28" i="1"/>
  <c r="O29" i="1"/>
  <c r="R29" i="1" s="1"/>
  <c r="O30" i="1"/>
  <c r="R30" i="1" s="1"/>
  <c r="O31" i="1"/>
  <c r="R31" i="1" s="1"/>
  <c r="O32" i="1"/>
  <c r="R32" i="1" s="1"/>
  <c r="O33" i="1"/>
  <c r="R33" i="1" s="1"/>
  <c r="O34" i="1"/>
  <c r="O35" i="1"/>
  <c r="O36" i="1"/>
  <c r="O37" i="1"/>
  <c r="O38" i="1"/>
  <c r="O39" i="1"/>
  <c r="O40" i="1"/>
  <c r="O41" i="1"/>
  <c r="O42" i="1"/>
  <c r="O43" i="1"/>
  <c r="O44" i="1"/>
  <c r="O45" i="1"/>
  <c r="R45" i="1" s="1"/>
  <c r="O46" i="1"/>
  <c r="R46" i="1" s="1"/>
  <c r="O47" i="1"/>
  <c r="R47" i="1" s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R62" i="1" s="1"/>
  <c r="O63" i="1"/>
  <c r="R63" i="1" s="1"/>
  <c r="O64" i="1"/>
  <c r="R64" i="1" s="1"/>
  <c r="O65" i="1"/>
  <c r="R65" i="1" s="1"/>
  <c r="O66" i="1"/>
  <c r="R66" i="1" s="1"/>
  <c r="O67" i="1"/>
  <c r="O68" i="1"/>
  <c r="O69" i="1"/>
  <c r="O70" i="1"/>
  <c r="O71" i="1"/>
  <c r="O72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Q15" i="1" s="1"/>
  <c r="N16" i="1"/>
  <c r="N17" i="1"/>
  <c r="N18" i="1"/>
  <c r="N19" i="1"/>
  <c r="N20" i="1"/>
  <c r="N21" i="1"/>
  <c r="N22" i="1"/>
  <c r="N23" i="1"/>
  <c r="N24" i="1"/>
  <c r="Q24" i="1" s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2" i="1"/>
  <c r="I3" i="1"/>
  <c r="I4" i="1"/>
  <c r="I5" i="1"/>
  <c r="I6" i="1"/>
  <c r="I7" i="1"/>
  <c r="I8" i="1"/>
  <c r="I9" i="1"/>
  <c r="AU9" i="1" s="1"/>
  <c r="I10" i="1"/>
  <c r="BM10" i="1" s="1"/>
  <c r="I11" i="1"/>
  <c r="I12" i="1"/>
  <c r="I13" i="1"/>
  <c r="I14" i="1"/>
  <c r="I15" i="1"/>
  <c r="AI15" i="1" s="1"/>
  <c r="I16" i="1"/>
  <c r="AC16" i="1" s="1"/>
  <c r="I17" i="1"/>
  <c r="W17" i="1" s="1"/>
  <c r="I18" i="1"/>
  <c r="AO18" i="1" s="1"/>
  <c r="I19" i="1"/>
  <c r="I20" i="1"/>
  <c r="I21" i="1"/>
  <c r="I22" i="1"/>
  <c r="I23" i="1"/>
  <c r="I24" i="1"/>
  <c r="I25" i="1"/>
  <c r="AI25" i="1" s="1"/>
  <c r="I26" i="1"/>
  <c r="BG26" i="1" s="1"/>
  <c r="I27" i="1"/>
  <c r="I28" i="1"/>
  <c r="I29" i="1"/>
  <c r="I30" i="1"/>
  <c r="I31" i="1"/>
  <c r="AO31" i="1" s="1"/>
  <c r="I32" i="1"/>
  <c r="AC32" i="1" s="1"/>
  <c r="I33" i="1"/>
  <c r="AU33" i="1" s="1"/>
  <c r="I34" i="1"/>
  <c r="BA34" i="1" s="1"/>
  <c r="I35" i="1"/>
  <c r="I36" i="1"/>
  <c r="I37" i="1"/>
  <c r="I38" i="1"/>
  <c r="I39" i="1"/>
  <c r="I40" i="1"/>
  <c r="I41" i="1"/>
  <c r="Q41" i="1" s="1"/>
  <c r="I42" i="1"/>
  <c r="AO42" i="1" s="1"/>
  <c r="I43" i="1"/>
  <c r="I44" i="1"/>
  <c r="I45" i="1"/>
  <c r="I46" i="1"/>
  <c r="I47" i="1"/>
  <c r="BA47" i="1" s="1"/>
  <c r="I48" i="1"/>
  <c r="BG48" i="1" s="1"/>
  <c r="I49" i="1"/>
  <c r="I50" i="1"/>
  <c r="BA50" i="1" s="1"/>
  <c r="I51" i="1"/>
  <c r="I52" i="1"/>
  <c r="I53" i="1"/>
  <c r="I54" i="1"/>
  <c r="I55" i="1"/>
  <c r="I56" i="1"/>
  <c r="I57" i="1"/>
  <c r="AI57" i="1" s="1"/>
  <c r="I58" i="1"/>
  <c r="BG58" i="1" s="1"/>
  <c r="I59" i="1"/>
  <c r="Q59" i="1" s="1"/>
  <c r="I60" i="1"/>
  <c r="AO60" i="1" s="1"/>
  <c r="I61" i="1"/>
  <c r="BM61" i="1" s="1"/>
  <c r="I62" i="1"/>
  <c r="W62" i="1" s="1"/>
  <c r="I63" i="1"/>
  <c r="W63" i="1" s="1"/>
  <c r="I64" i="1"/>
  <c r="BG64" i="1" s="1"/>
  <c r="I65" i="1"/>
  <c r="BM65" i="1" s="1"/>
  <c r="I66" i="1"/>
  <c r="BA66" i="1" s="1"/>
  <c r="I67" i="1"/>
  <c r="I68" i="1"/>
  <c r="I69" i="1"/>
  <c r="I70" i="1"/>
  <c r="I71" i="1"/>
  <c r="I72" i="1"/>
  <c r="I2" i="1"/>
  <c r="O39" i="10"/>
  <c r="G61" i="9"/>
  <c r="G55" i="9"/>
  <c r="G5" i="9"/>
  <c r="D21" i="8"/>
  <c r="B18" i="8"/>
  <c r="D10" i="8"/>
  <c r="D9" i="8"/>
  <c r="D5" i="8"/>
  <c r="D3" i="8"/>
  <c r="D2" i="8"/>
  <c r="H458" i="3"/>
  <c r="G458" i="3"/>
  <c r="F458" i="3"/>
  <c r="B458" i="3"/>
  <c r="H457" i="3"/>
  <c r="G457" i="3"/>
  <c r="F457" i="3"/>
  <c r="B457" i="3"/>
  <c r="H456" i="3"/>
  <c r="G456" i="3"/>
  <c r="F456" i="3"/>
  <c r="B456" i="3"/>
  <c r="H455" i="3"/>
  <c r="G455" i="3"/>
  <c r="F455" i="3"/>
  <c r="B455" i="3"/>
  <c r="H454" i="3"/>
  <c r="G454" i="3"/>
  <c r="F454" i="3"/>
  <c r="B454" i="3"/>
  <c r="H453" i="3"/>
  <c r="G453" i="3"/>
  <c r="F453" i="3"/>
  <c r="B453" i="3"/>
  <c r="H452" i="3"/>
  <c r="G452" i="3"/>
  <c r="F452" i="3"/>
  <c r="B452" i="3"/>
  <c r="H451" i="3"/>
  <c r="G451" i="3"/>
  <c r="F451" i="3"/>
  <c r="B451" i="3"/>
  <c r="H450" i="3"/>
  <c r="G450" i="3"/>
  <c r="F450" i="3"/>
  <c r="B450" i="3"/>
  <c r="H449" i="3"/>
  <c r="G449" i="3"/>
  <c r="F449" i="3"/>
  <c r="B449" i="3"/>
  <c r="H448" i="3"/>
  <c r="G448" i="3"/>
  <c r="F448" i="3"/>
  <c r="B448" i="3"/>
  <c r="H447" i="3"/>
  <c r="G447" i="3"/>
  <c r="F447" i="3"/>
  <c r="B447" i="3"/>
  <c r="H446" i="3"/>
  <c r="G446" i="3"/>
  <c r="F446" i="3"/>
  <c r="B446" i="3"/>
  <c r="H445" i="3"/>
  <c r="G445" i="3"/>
  <c r="F445" i="3"/>
  <c r="B445" i="3"/>
  <c r="H444" i="3"/>
  <c r="G444" i="3"/>
  <c r="F444" i="3"/>
  <c r="B444" i="3"/>
  <c r="H443" i="3"/>
  <c r="G443" i="3"/>
  <c r="F443" i="3"/>
  <c r="B443" i="3"/>
  <c r="H442" i="3"/>
  <c r="G442" i="3"/>
  <c r="F442" i="3"/>
  <c r="B442" i="3"/>
  <c r="H441" i="3"/>
  <c r="G441" i="3"/>
  <c r="F441" i="3"/>
  <c r="B441" i="3"/>
  <c r="H440" i="3"/>
  <c r="G440" i="3"/>
  <c r="F440" i="3"/>
  <c r="B440" i="3"/>
  <c r="H439" i="3"/>
  <c r="G439" i="3"/>
  <c r="F439" i="3"/>
  <c r="B439" i="3"/>
  <c r="H438" i="3"/>
  <c r="G438" i="3"/>
  <c r="F438" i="3"/>
  <c r="B438" i="3"/>
  <c r="H437" i="3"/>
  <c r="G437" i="3"/>
  <c r="F437" i="3"/>
  <c r="B437" i="3"/>
  <c r="H436" i="3"/>
  <c r="G436" i="3"/>
  <c r="F436" i="3"/>
  <c r="B436" i="3"/>
  <c r="H435" i="3"/>
  <c r="G435" i="3"/>
  <c r="F435" i="3"/>
  <c r="B435" i="3"/>
  <c r="H434" i="3"/>
  <c r="G434" i="3"/>
  <c r="F434" i="3"/>
  <c r="B434" i="3"/>
  <c r="H433" i="3"/>
  <c r="G433" i="3"/>
  <c r="F433" i="3"/>
  <c r="B433" i="3"/>
  <c r="H432" i="3"/>
  <c r="G432" i="3"/>
  <c r="F432" i="3"/>
  <c r="B432" i="3"/>
  <c r="H431" i="3"/>
  <c r="G431" i="3"/>
  <c r="F431" i="3"/>
  <c r="B431" i="3"/>
  <c r="H430" i="3"/>
  <c r="G430" i="3"/>
  <c r="F430" i="3"/>
  <c r="B430" i="3"/>
  <c r="H429" i="3"/>
  <c r="G429" i="3"/>
  <c r="F429" i="3"/>
  <c r="B429" i="3"/>
  <c r="H428" i="3"/>
  <c r="G428" i="3"/>
  <c r="F428" i="3"/>
  <c r="B428" i="3"/>
  <c r="H427" i="3"/>
  <c r="G427" i="3"/>
  <c r="F427" i="3"/>
  <c r="B427" i="3"/>
  <c r="H426" i="3"/>
  <c r="G426" i="3"/>
  <c r="F426" i="3"/>
  <c r="B426" i="3"/>
  <c r="H425" i="3"/>
  <c r="G425" i="3"/>
  <c r="F425" i="3"/>
  <c r="B425" i="3"/>
  <c r="H424" i="3"/>
  <c r="G424" i="3"/>
  <c r="F424" i="3"/>
  <c r="B424" i="3"/>
  <c r="H423" i="3"/>
  <c r="G423" i="3"/>
  <c r="F423" i="3"/>
  <c r="B423" i="3"/>
  <c r="H422" i="3"/>
  <c r="G422" i="3"/>
  <c r="F422" i="3"/>
  <c r="B422" i="3"/>
  <c r="H421" i="3"/>
  <c r="G421" i="3"/>
  <c r="F421" i="3"/>
  <c r="B421" i="3"/>
  <c r="H420" i="3"/>
  <c r="G420" i="3"/>
  <c r="F420" i="3"/>
  <c r="B420" i="3"/>
  <c r="H419" i="3"/>
  <c r="G419" i="3"/>
  <c r="F419" i="3"/>
  <c r="B419" i="3"/>
  <c r="H418" i="3"/>
  <c r="G418" i="3"/>
  <c r="F418" i="3"/>
  <c r="B418" i="3"/>
  <c r="H417" i="3"/>
  <c r="G417" i="3"/>
  <c r="F417" i="3"/>
  <c r="B417" i="3"/>
  <c r="H416" i="3"/>
  <c r="G416" i="3"/>
  <c r="F416" i="3"/>
  <c r="B416" i="3"/>
  <c r="H415" i="3"/>
  <c r="G415" i="3"/>
  <c r="F415" i="3"/>
  <c r="B415" i="3"/>
  <c r="H414" i="3"/>
  <c r="G414" i="3"/>
  <c r="F414" i="3"/>
  <c r="B414" i="3"/>
  <c r="H413" i="3"/>
  <c r="G413" i="3"/>
  <c r="F413" i="3"/>
  <c r="B413" i="3"/>
  <c r="H412" i="3"/>
  <c r="G412" i="3"/>
  <c r="F412" i="3"/>
  <c r="B412" i="3"/>
  <c r="H411" i="3"/>
  <c r="G411" i="3"/>
  <c r="F411" i="3"/>
  <c r="B411" i="3"/>
  <c r="H410" i="3"/>
  <c r="G410" i="3"/>
  <c r="F410" i="3"/>
  <c r="B410" i="3"/>
  <c r="H409" i="3"/>
  <c r="G409" i="3"/>
  <c r="F409" i="3"/>
  <c r="B409" i="3"/>
  <c r="H408" i="3"/>
  <c r="G408" i="3"/>
  <c r="F408" i="3"/>
  <c r="B408" i="3"/>
  <c r="H407" i="3"/>
  <c r="G407" i="3"/>
  <c r="F407" i="3"/>
  <c r="B407" i="3"/>
  <c r="H406" i="3"/>
  <c r="G406" i="3"/>
  <c r="F406" i="3"/>
  <c r="B406" i="3"/>
  <c r="H405" i="3"/>
  <c r="G405" i="3"/>
  <c r="F405" i="3"/>
  <c r="B405" i="3"/>
  <c r="H404" i="3"/>
  <c r="G404" i="3"/>
  <c r="F404" i="3"/>
  <c r="B404" i="3"/>
  <c r="H403" i="3"/>
  <c r="G403" i="3"/>
  <c r="F403" i="3"/>
  <c r="B403" i="3"/>
  <c r="H402" i="3"/>
  <c r="G402" i="3"/>
  <c r="F402" i="3"/>
  <c r="B402" i="3"/>
  <c r="H401" i="3"/>
  <c r="G401" i="3"/>
  <c r="F401" i="3"/>
  <c r="B401" i="3"/>
  <c r="H400" i="3"/>
  <c r="G400" i="3"/>
  <c r="F400" i="3"/>
  <c r="B400" i="3"/>
  <c r="H399" i="3"/>
  <c r="G399" i="3"/>
  <c r="F399" i="3"/>
  <c r="B399" i="3"/>
  <c r="H398" i="3"/>
  <c r="G398" i="3"/>
  <c r="F398" i="3"/>
  <c r="B398" i="3"/>
  <c r="H397" i="3"/>
  <c r="G397" i="3"/>
  <c r="F397" i="3"/>
  <c r="B397" i="3"/>
  <c r="H396" i="3"/>
  <c r="G396" i="3"/>
  <c r="F396" i="3"/>
  <c r="B396" i="3"/>
  <c r="H395" i="3"/>
  <c r="G395" i="3"/>
  <c r="F395" i="3"/>
  <c r="B395" i="3"/>
  <c r="H394" i="3"/>
  <c r="G394" i="3"/>
  <c r="F394" i="3"/>
  <c r="B394" i="3"/>
  <c r="H393" i="3"/>
  <c r="G393" i="3"/>
  <c r="F393" i="3"/>
  <c r="B393" i="3"/>
  <c r="H392" i="3"/>
  <c r="G392" i="3"/>
  <c r="F392" i="3"/>
  <c r="B392" i="3"/>
  <c r="H391" i="3"/>
  <c r="G391" i="3"/>
  <c r="F391" i="3"/>
  <c r="B391" i="3"/>
  <c r="H390" i="3"/>
  <c r="G390" i="3"/>
  <c r="F390" i="3"/>
  <c r="B390" i="3"/>
  <c r="H389" i="3"/>
  <c r="G389" i="3"/>
  <c r="F389" i="3"/>
  <c r="B389" i="3"/>
  <c r="H388" i="3"/>
  <c r="G388" i="3"/>
  <c r="F388" i="3"/>
  <c r="B388" i="3"/>
  <c r="H387" i="3"/>
  <c r="G387" i="3"/>
  <c r="F387" i="3"/>
  <c r="B387" i="3"/>
  <c r="H386" i="3"/>
  <c r="G386" i="3"/>
  <c r="F386" i="3"/>
  <c r="B386" i="3"/>
  <c r="H385" i="3"/>
  <c r="G385" i="3"/>
  <c r="F385" i="3"/>
  <c r="B385" i="3"/>
  <c r="H384" i="3"/>
  <c r="G384" i="3"/>
  <c r="F384" i="3"/>
  <c r="B384" i="3"/>
  <c r="H383" i="3"/>
  <c r="G383" i="3"/>
  <c r="F383" i="3"/>
  <c r="B383" i="3"/>
  <c r="H382" i="3"/>
  <c r="G382" i="3"/>
  <c r="F382" i="3"/>
  <c r="B382" i="3"/>
  <c r="H381" i="3"/>
  <c r="G381" i="3"/>
  <c r="F381" i="3"/>
  <c r="B381" i="3"/>
  <c r="H380" i="3"/>
  <c r="G380" i="3"/>
  <c r="F380" i="3"/>
  <c r="B380" i="3"/>
  <c r="H379" i="3"/>
  <c r="G379" i="3"/>
  <c r="F379" i="3"/>
  <c r="B379" i="3"/>
  <c r="H378" i="3"/>
  <c r="G378" i="3"/>
  <c r="F378" i="3"/>
  <c r="B378" i="3"/>
  <c r="H377" i="3"/>
  <c r="G377" i="3"/>
  <c r="F377" i="3"/>
  <c r="B377" i="3"/>
  <c r="H376" i="3"/>
  <c r="G376" i="3"/>
  <c r="F376" i="3"/>
  <c r="B376" i="3"/>
  <c r="H375" i="3"/>
  <c r="G375" i="3"/>
  <c r="F375" i="3"/>
  <c r="B375" i="3"/>
  <c r="H374" i="3"/>
  <c r="G374" i="3"/>
  <c r="F374" i="3"/>
  <c r="B374" i="3"/>
  <c r="H373" i="3"/>
  <c r="G373" i="3"/>
  <c r="F373" i="3"/>
  <c r="B373" i="3"/>
  <c r="H372" i="3"/>
  <c r="G372" i="3"/>
  <c r="F372" i="3"/>
  <c r="B372" i="3"/>
  <c r="H371" i="3"/>
  <c r="G371" i="3"/>
  <c r="F371" i="3"/>
  <c r="B371" i="3"/>
  <c r="H370" i="3"/>
  <c r="G370" i="3"/>
  <c r="F370" i="3"/>
  <c r="B370" i="3"/>
  <c r="H369" i="3"/>
  <c r="G369" i="3"/>
  <c r="F369" i="3"/>
  <c r="B369" i="3"/>
  <c r="H368" i="3"/>
  <c r="G368" i="3"/>
  <c r="F368" i="3"/>
  <c r="B368" i="3"/>
  <c r="H367" i="3"/>
  <c r="G367" i="3"/>
  <c r="F367" i="3"/>
  <c r="B367" i="3"/>
  <c r="H366" i="3"/>
  <c r="G366" i="3"/>
  <c r="F366" i="3"/>
  <c r="B366" i="3"/>
  <c r="H365" i="3"/>
  <c r="G365" i="3"/>
  <c r="F365" i="3"/>
  <c r="B365" i="3"/>
  <c r="H364" i="3"/>
  <c r="G364" i="3"/>
  <c r="F364" i="3"/>
  <c r="B364" i="3"/>
  <c r="H363" i="3"/>
  <c r="G363" i="3"/>
  <c r="F363" i="3"/>
  <c r="B363" i="3"/>
  <c r="H362" i="3"/>
  <c r="G362" i="3"/>
  <c r="F362" i="3"/>
  <c r="B362" i="3"/>
  <c r="H361" i="3"/>
  <c r="G361" i="3"/>
  <c r="F361" i="3"/>
  <c r="B361" i="3"/>
  <c r="H360" i="3"/>
  <c r="G360" i="3"/>
  <c r="F360" i="3"/>
  <c r="B360" i="3"/>
  <c r="H359" i="3"/>
  <c r="G359" i="3"/>
  <c r="F359" i="3"/>
  <c r="B359" i="3"/>
  <c r="H358" i="3"/>
  <c r="G358" i="3"/>
  <c r="F358" i="3"/>
  <c r="B358" i="3"/>
  <c r="H357" i="3"/>
  <c r="G357" i="3"/>
  <c r="F357" i="3"/>
  <c r="B357" i="3"/>
  <c r="H356" i="3"/>
  <c r="G356" i="3"/>
  <c r="F356" i="3"/>
  <c r="B356" i="3"/>
  <c r="H355" i="3"/>
  <c r="G355" i="3"/>
  <c r="F355" i="3"/>
  <c r="B355" i="3"/>
  <c r="H354" i="3"/>
  <c r="G354" i="3"/>
  <c r="F354" i="3"/>
  <c r="B354" i="3"/>
  <c r="H353" i="3"/>
  <c r="G353" i="3"/>
  <c r="F353" i="3"/>
  <c r="B353" i="3"/>
  <c r="H352" i="3"/>
  <c r="G352" i="3"/>
  <c r="F352" i="3"/>
  <c r="B352" i="3"/>
  <c r="H351" i="3"/>
  <c r="G351" i="3"/>
  <c r="F351" i="3"/>
  <c r="B351" i="3"/>
  <c r="H350" i="3"/>
  <c r="G350" i="3"/>
  <c r="F350" i="3"/>
  <c r="B350" i="3"/>
  <c r="H349" i="3"/>
  <c r="G349" i="3"/>
  <c r="F349" i="3"/>
  <c r="B349" i="3"/>
  <c r="H348" i="3"/>
  <c r="G348" i="3"/>
  <c r="F348" i="3"/>
  <c r="B348" i="3"/>
  <c r="H347" i="3"/>
  <c r="G347" i="3"/>
  <c r="F347" i="3"/>
  <c r="B347" i="3"/>
  <c r="H346" i="3"/>
  <c r="G346" i="3"/>
  <c r="F346" i="3"/>
  <c r="B346" i="3"/>
  <c r="H345" i="3"/>
  <c r="G345" i="3"/>
  <c r="F345" i="3"/>
  <c r="B345" i="3"/>
  <c r="H344" i="3"/>
  <c r="G344" i="3"/>
  <c r="F344" i="3"/>
  <c r="B344" i="3"/>
  <c r="H343" i="3"/>
  <c r="G343" i="3"/>
  <c r="F343" i="3"/>
  <c r="B343" i="3"/>
  <c r="H342" i="3"/>
  <c r="G342" i="3"/>
  <c r="F342" i="3"/>
  <c r="B342" i="3"/>
  <c r="H341" i="3"/>
  <c r="G341" i="3"/>
  <c r="F341" i="3"/>
  <c r="B341" i="3"/>
  <c r="H340" i="3"/>
  <c r="G340" i="3"/>
  <c r="F340" i="3"/>
  <c r="B340" i="3"/>
  <c r="H339" i="3"/>
  <c r="G339" i="3"/>
  <c r="F339" i="3"/>
  <c r="B339" i="3"/>
  <c r="G338" i="3"/>
  <c r="D338" i="3"/>
  <c r="H338" i="3" s="1"/>
  <c r="B338" i="3"/>
  <c r="H337" i="3"/>
  <c r="G337" i="3"/>
  <c r="F337" i="3"/>
  <c r="B337" i="3"/>
  <c r="H336" i="3"/>
  <c r="G336" i="3"/>
  <c r="B336" i="3"/>
  <c r="H335" i="3"/>
  <c r="G335" i="3"/>
  <c r="F335" i="3"/>
  <c r="B335" i="3"/>
  <c r="H334" i="3"/>
  <c r="G334" i="3"/>
  <c r="F334" i="3"/>
  <c r="B334" i="3"/>
  <c r="H333" i="3"/>
  <c r="G333" i="3"/>
  <c r="F333" i="3"/>
  <c r="B333" i="3"/>
  <c r="H332" i="3"/>
  <c r="G332" i="3"/>
  <c r="F332" i="3"/>
  <c r="B332" i="3"/>
  <c r="H331" i="3"/>
  <c r="G331" i="3"/>
  <c r="F331" i="3"/>
  <c r="B331" i="3"/>
  <c r="H330" i="3"/>
  <c r="G330" i="3"/>
  <c r="F330" i="3"/>
  <c r="B330" i="3"/>
  <c r="H329" i="3"/>
  <c r="G329" i="3"/>
  <c r="F329" i="3"/>
  <c r="B329" i="3"/>
  <c r="H328" i="3"/>
  <c r="G328" i="3"/>
  <c r="F328" i="3"/>
  <c r="B328" i="3"/>
  <c r="H327" i="3"/>
  <c r="G327" i="3"/>
  <c r="F327" i="3"/>
  <c r="B327" i="3"/>
  <c r="H326" i="3"/>
  <c r="G326" i="3"/>
  <c r="F326" i="3"/>
  <c r="B326" i="3"/>
  <c r="H325" i="3"/>
  <c r="G325" i="3"/>
  <c r="F325" i="3"/>
  <c r="B325" i="3"/>
  <c r="H324" i="3"/>
  <c r="G324" i="3"/>
  <c r="F324" i="3"/>
  <c r="B324" i="3"/>
  <c r="H323" i="3"/>
  <c r="G323" i="3"/>
  <c r="F323" i="3"/>
  <c r="B323" i="3"/>
  <c r="H322" i="3"/>
  <c r="G322" i="3"/>
  <c r="F322" i="3"/>
  <c r="B322" i="3"/>
  <c r="H321" i="3"/>
  <c r="G321" i="3"/>
  <c r="F321" i="3"/>
  <c r="B321" i="3"/>
  <c r="H320" i="3"/>
  <c r="G320" i="3"/>
  <c r="F320" i="3"/>
  <c r="B320" i="3"/>
  <c r="H319" i="3"/>
  <c r="G319" i="3"/>
  <c r="F319" i="3"/>
  <c r="B319" i="3"/>
  <c r="H318" i="3"/>
  <c r="G318" i="3"/>
  <c r="F318" i="3"/>
  <c r="B318" i="3"/>
  <c r="H317" i="3"/>
  <c r="G317" i="3"/>
  <c r="F317" i="3"/>
  <c r="B317" i="3"/>
  <c r="H316" i="3"/>
  <c r="G316" i="3"/>
  <c r="F316" i="3"/>
  <c r="B316" i="3"/>
  <c r="H315" i="3"/>
  <c r="G315" i="3"/>
  <c r="F315" i="3"/>
  <c r="B315" i="3"/>
  <c r="H314" i="3"/>
  <c r="G314" i="3"/>
  <c r="F314" i="3"/>
  <c r="B314" i="3"/>
  <c r="H313" i="3"/>
  <c r="G313" i="3"/>
  <c r="F313" i="3"/>
  <c r="B313" i="3"/>
  <c r="H312" i="3"/>
  <c r="G312" i="3"/>
  <c r="F312" i="3"/>
  <c r="B312" i="3"/>
  <c r="H311" i="3"/>
  <c r="G311" i="3"/>
  <c r="F311" i="3"/>
  <c r="B311" i="3"/>
  <c r="H310" i="3"/>
  <c r="G310" i="3"/>
  <c r="F310" i="3"/>
  <c r="B310" i="3"/>
  <c r="H309" i="3"/>
  <c r="G309" i="3"/>
  <c r="F309" i="3"/>
  <c r="B309" i="3"/>
  <c r="H308" i="3"/>
  <c r="G308" i="3"/>
  <c r="F308" i="3"/>
  <c r="B308" i="3"/>
  <c r="H307" i="3"/>
  <c r="G307" i="3"/>
  <c r="F307" i="3"/>
  <c r="B307" i="3"/>
  <c r="H306" i="3"/>
  <c r="G306" i="3"/>
  <c r="F306" i="3"/>
  <c r="B306" i="3"/>
  <c r="H305" i="3"/>
  <c r="G305" i="3"/>
  <c r="F305" i="3"/>
  <c r="B305" i="3"/>
  <c r="H304" i="3"/>
  <c r="G304" i="3"/>
  <c r="F304" i="3"/>
  <c r="B304" i="3"/>
  <c r="H303" i="3"/>
  <c r="G303" i="3"/>
  <c r="F303" i="3"/>
  <c r="B303" i="3"/>
  <c r="H302" i="3"/>
  <c r="G302" i="3"/>
  <c r="F302" i="3"/>
  <c r="B302" i="3"/>
  <c r="H301" i="3"/>
  <c r="G301" i="3"/>
  <c r="F301" i="3"/>
  <c r="B301" i="3"/>
  <c r="H300" i="3"/>
  <c r="G300" i="3"/>
  <c r="F300" i="3"/>
  <c r="B300" i="3"/>
  <c r="H299" i="3"/>
  <c r="G299" i="3"/>
  <c r="F299" i="3"/>
  <c r="B299" i="3"/>
  <c r="H298" i="3"/>
  <c r="G298" i="3"/>
  <c r="F298" i="3"/>
  <c r="B298" i="3"/>
  <c r="H297" i="3"/>
  <c r="G297" i="3"/>
  <c r="F297" i="3"/>
  <c r="B297" i="3"/>
  <c r="H296" i="3"/>
  <c r="G296" i="3"/>
  <c r="F296" i="3"/>
  <c r="B296" i="3"/>
  <c r="H295" i="3"/>
  <c r="G295" i="3"/>
  <c r="F295" i="3"/>
  <c r="B295" i="3"/>
  <c r="H294" i="3"/>
  <c r="G294" i="3"/>
  <c r="F294" i="3"/>
  <c r="B294" i="3"/>
  <c r="H293" i="3"/>
  <c r="G293" i="3"/>
  <c r="F293" i="3"/>
  <c r="B293" i="3"/>
  <c r="H292" i="3"/>
  <c r="G292" i="3"/>
  <c r="F292" i="3"/>
  <c r="B292" i="3"/>
  <c r="H291" i="3"/>
  <c r="G291" i="3"/>
  <c r="F291" i="3"/>
  <c r="B291" i="3"/>
  <c r="H290" i="3"/>
  <c r="G290" i="3"/>
  <c r="F290" i="3"/>
  <c r="B290" i="3"/>
  <c r="H289" i="3"/>
  <c r="G289" i="3"/>
  <c r="F289" i="3"/>
  <c r="B289" i="3"/>
  <c r="H288" i="3"/>
  <c r="G288" i="3"/>
  <c r="F288" i="3"/>
  <c r="B288" i="3"/>
  <c r="H287" i="3"/>
  <c r="G287" i="3"/>
  <c r="F287" i="3"/>
  <c r="B287" i="3"/>
  <c r="H286" i="3"/>
  <c r="G286" i="3"/>
  <c r="F286" i="3"/>
  <c r="B286" i="3"/>
  <c r="H285" i="3"/>
  <c r="G285" i="3"/>
  <c r="F285" i="3"/>
  <c r="B285" i="3"/>
  <c r="H284" i="3"/>
  <c r="G284" i="3"/>
  <c r="B284" i="3"/>
  <c r="G283" i="3"/>
  <c r="B283" i="3"/>
  <c r="G282" i="3"/>
  <c r="F282" i="3"/>
  <c r="B282" i="3"/>
  <c r="G281" i="3"/>
  <c r="F281" i="3"/>
  <c r="B281" i="3"/>
  <c r="G280" i="3"/>
  <c r="B280" i="3"/>
  <c r="G279" i="3"/>
  <c r="F279" i="3"/>
  <c r="B279" i="3"/>
  <c r="G278" i="3"/>
  <c r="D278" i="3"/>
  <c r="H281" i="3" s="1"/>
  <c r="B278" i="3"/>
  <c r="G277" i="3"/>
  <c r="D277" i="3"/>
  <c r="H274" i="3" s="1"/>
  <c r="B277" i="3"/>
  <c r="H276" i="3"/>
  <c r="G276" i="3"/>
  <c r="B276" i="3"/>
  <c r="H275" i="3"/>
  <c r="G275" i="3"/>
  <c r="B275" i="3"/>
  <c r="G274" i="3"/>
  <c r="B274" i="3"/>
  <c r="G273" i="3"/>
  <c r="F273" i="3"/>
  <c r="B273" i="3"/>
  <c r="H272" i="3"/>
  <c r="G272" i="3"/>
  <c r="F272" i="3"/>
  <c r="B272" i="3"/>
  <c r="H271" i="3"/>
  <c r="G271" i="3"/>
  <c r="F271" i="3"/>
  <c r="B271" i="3"/>
  <c r="H270" i="3"/>
  <c r="G270" i="3"/>
  <c r="F270" i="3"/>
  <c r="B270" i="3"/>
  <c r="H269" i="3"/>
  <c r="G269" i="3"/>
  <c r="F269" i="3"/>
  <c r="B269" i="3"/>
  <c r="H268" i="3"/>
  <c r="G268" i="3"/>
  <c r="F268" i="3"/>
  <c r="B268" i="3"/>
  <c r="H267" i="3"/>
  <c r="G267" i="3"/>
  <c r="F267" i="3"/>
  <c r="B267" i="3"/>
  <c r="H266" i="3"/>
  <c r="G266" i="3"/>
  <c r="F266" i="3"/>
  <c r="B266" i="3"/>
  <c r="H265" i="3"/>
  <c r="G265" i="3"/>
  <c r="F265" i="3"/>
  <c r="B265" i="3"/>
  <c r="H264" i="3"/>
  <c r="G264" i="3"/>
  <c r="F264" i="3"/>
  <c r="B264" i="3"/>
  <c r="H263" i="3"/>
  <c r="G263" i="3"/>
  <c r="F263" i="3"/>
  <c r="B263" i="3"/>
  <c r="H262" i="3"/>
  <c r="G262" i="3"/>
  <c r="F262" i="3"/>
  <c r="B262" i="3"/>
  <c r="H261" i="3"/>
  <c r="G261" i="3"/>
  <c r="F261" i="3"/>
  <c r="B261" i="3"/>
  <c r="H260" i="3"/>
  <c r="G260" i="3"/>
  <c r="F260" i="3"/>
  <c r="B260" i="3"/>
  <c r="H259" i="3"/>
  <c r="G259" i="3"/>
  <c r="F259" i="3"/>
  <c r="B259" i="3"/>
  <c r="H258" i="3"/>
  <c r="G258" i="3"/>
  <c r="F258" i="3"/>
  <c r="B258" i="3"/>
  <c r="H257" i="3"/>
  <c r="G257" i="3"/>
  <c r="F257" i="3"/>
  <c r="B257" i="3"/>
  <c r="H256" i="3"/>
  <c r="G256" i="3"/>
  <c r="F256" i="3"/>
  <c r="B256" i="3"/>
  <c r="H255" i="3"/>
  <c r="G255" i="3"/>
  <c r="F255" i="3"/>
  <c r="B255" i="3"/>
  <c r="H254" i="3"/>
  <c r="G254" i="3"/>
  <c r="F254" i="3"/>
  <c r="B254" i="3"/>
  <c r="H253" i="3"/>
  <c r="G253" i="3"/>
  <c r="F253" i="3"/>
  <c r="B253" i="3"/>
  <c r="H252" i="3"/>
  <c r="G252" i="3"/>
  <c r="F252" i="3"/>
  <c r="B252" i="3"/>
  <c r="H251" i="3"/>
  <c r="G251" i="3"/>
  <c r="F251" i="3"/>
  <c r="B251" i="3"/>
  <c r="H250" i="3"/>
  <c r="G250" i="3"/>
  <c r="F250" i="3"/>
  <c r="B250" i="3"/>
  <c r="H249" i="3"/>
  <c r="G249" i="3"/>
  <c r="F249" i="3"/>
  <c r="B249" i="3"/>
  <c r="H248" i="3"/>
  <c r="G248" i="3"/>
  <c r="F248" i="3"/>
  <c r="B248" i="3"/>
  <c r="H247" i="3"/>
  <c r="G247" i="3"/>
  <c r="F247" i="3"/>
  <c r="B247" i="3"/>
  <c r="H246" i="3"/>
  <c r="G246" i="3"/>
  <c r="F246" i="3"/>
  <c r="B246" i="3"/>
  <c r="H245" i="3"/>
  <c r="G245" i="3"/>
  <c r="F245" i="3"/>
  <c r="B245" i="3"/>
  <c r="H244" i="3"/>
  <c r="G244" i="3"/>
  <c r="F244" i="3"/>
  <c r="B244" i="3"/>
  <c r="H243" i="3"/>
  <c r="G243" i="3"/>
  <c r="F243" i="3"/>
  <c r="B243" i="3"/>
  <c r="H242" i="3"/>
  <c r="G242" i="3"/>
  <c r="F242" i="3"/>
  <c r="B242" i="3"/>
  <c r="H241" i="3"/>
  <c r="G241" i="3"/>
  <c r="F241" i="3"/>
  <c r="B241" i="3"/>
  <c r="H240" i="3"/>
  <c r="G240" i="3"/>
  <c r="F240" i="3"/>
  <c r="B240" i="3"/>
  <c r="H239" i="3"/>
  <c r="G239" i="3"/>
  <c r="F239" i="3"/>
  <c r="B239" i="3"/>
  <c r="H238" i="3"/>
  <c r="G238" i="3"/>
  <c r="F238" i="3"/>
  <c r="B238" i="3"/>
  <c r="H237" i="3"/>
  <c r="G237" i="3"/>
  <c r="F237" i="3"/>
  <c r="B237" i="3"/>
  <c r="H236" i="3"/>
  <c r="G236" i="3"/>
  <c r="F236" i="3"/>
  <c r="B236" i="3"/>
  <c r="H235" i="3"/>
  <c r="G235" i="3"/>
  <c r="F235" i="3"/>
  <c r="B235" i="3"/>
  <c r="H234" i="3"/>
  <c r="G234" i="3"/>
  <c r="F234" i="3"/>
  <c r="B234" i="3"/>
  <c r="H233" i="3"/>
  <c r="G233" i="3"/>
  <c r="F233" i="3"/>
  <c r="B233" i="3"/>
  <c r="H232" i="3"/>
  <c r="G232" i="3"/>
  <c r="F232" i="3"/>
  <c r="B232" i="3"/>
  <c r="H231" i="3"/>
  <c r="G231" i="3"/>
  <c r="F231" i="3"/>
  <c r="B231" i="3"/>
  <c r="H230" i="3"/>
  <c r="G230" i="3"/>
  <c r="F230" i="3"/>
  <c r="B230" i="3"/>
  <c r="H229" i="3"/>
  <c r="G229" i="3"/>
  <c r="F229" i="3"/>
  <c r="B229" i="3"/>
  <c r="H228" i="3"/>
  <c r="G228" i="3"/>
  <c r="F228" i="3"/>
  <c r="B228" i="3"/>
  <c r="H227" i="3"/>
  <c r="G227" i="3"/>
  <c r="F227" i="3"/>
  <c r="B227" i="3"/>
  <c r="H226" i="3"/>
  <c r="G226" i="3"/>
  <c r="F226" i="3"/>
  <c r="B226" i="3"/>
  <c r="H225" i="3"/>
  <c r="G225" i="3"/>
  <c r="F225" i="3"/>
  <c r="B225" i="3"/>
  <c r="H224" i="3"/>
  <c r="G224" i="3"/>
  <c r="F224" i="3"/>
  <c r="B224" i="3"/>
  <c r="H223" i="3"/>
  <c r="G223" i="3"/>
  <c r="F223" i="3"/>
  <c r="B223" i="3"/>
  <c r="H222" i="3"/>
  <c r="G222" i="3"/>
  <c r="F222" i="3"/>
  <c r="B222" i="3"/>
  <c r="H221" i="3"/>
  <c r="G221" i="3"/>
  <c r="F221" i="3"/>
  <c r="B221" i="3"/>
  <c r="H220" i="3"/>
  <c r="G220" i="3"/>
  <c r="F220" i="3"/>
  <c r="B220" i="3"/>
  <c r="H219" i="3"/>
  <c r="G219" i="3"/>
  <c r="F219" i="3"/>
  <c r="B219" i="3"/>
  <c r="H218" i="3"/>
  <c r="G218" i="3"/>
  <c r="F218" i="3"/>
  <c r="B218" i="3"/>
  <c r="H217" i="3"/>
  <c r="G217" i="3"/>
  <c r="F217" i="3"/>
  <c r="B217" i="3"/>
  <c r="H216" i="3"/>
  <c r="G216" i="3"/>
  <c r="F216" i="3"/>
  <c r="B216" i="3"/>
  <c r="H215" i="3"/>
  <c r="G215" i="3"/>
  <c r="F215" i="3"/>
  <c r="B215" i="3"/>
  <c r="H214" i="3"/>
  <c r="G214" i="3"/>
  <c r="F214" i="3"/>
  <c r="B214" i="3"/>
  <c r="H213" i="3"/>
  <c r="G213" i="3"/>
  <c r="F213" i="3"/>
  <c r="B213" i="3"/>
  <c r="H212" i="3"/>
  <c r="G212" i="3"/>
  <c r="F212" i="3"/>
  <c r="B212" i="3"/>
  <c r="H211" i="3"/>
  <c r="G211" i="3"/>
  <c r="F211" i="3"/>
  <c r="B211" i="3"/>
  <c r="H210" i="3"/>
  <c r="G210" i="3"/>
  <c r="F210" i="3"/>
  <c r="B210" i="3"/>
  <c r="H209" i="3"/>
  <c r="G209" i="3"/>
  <c r="F209" i="3"/>
  <c r="B209" i="3"/>
  <c r="H208" i="3"/>
  <c r="G208" i="3"/>
  <c r="F208" i="3"/>
  <c r="B208" i="3"/>
  <c r="H207" i="3"/>
  <c r="G207" i="3"/>
  <c r="F207" i="3"/>
  <c r="B207" i="3"/>
  <c r="H206" i="3"/>
  <c r="G206" i="3"/>
  <c r="F206" i="3"/>
  <c r="B206" i="3"/>
  <c r="H205" i="3"/>
  <c r="G205" i="3"/>
  <c r="F205" i="3"/>
  <c r="B205" i="3"/>
  <c r="H204" i="3"/>
  <c r="G204" i="3"/>
  <c r="F204" i="3"/>
  <c r="B204" i="3"/>
  <c r="H203" i="3"/>
  <c r="G203" i="3"/>
  <c r="F203" i="3"/>
  <c r="B203" i="3"/>
  <c r="H202" i="3"/>
  <c r="G202" i="3"/>
  <c r="F202" i="3"/>
  <c r="B202" i="3"/>
  <c r="H201" i="3"/>
  <c r="G201" i="3"/>
  <c r="F201" i="3"/>
  <c r="B201" i="3"/>
  <c r="H200" i="3"/>
  <c r="G200" i="3"/>
  <c r="F200" i="3"/>
  <c r="B200" i="3"/>
  <c r="H199" i="3"/>
  <c r="G199" i="3"/>
  <c r="F199" i="3"/>
  <c r="B199" i="3"/>
  <c r="H198" i="3"/>
  <c r="G198" i="3"/>
  <c r="F198" i="3"/>
  <c r="B198" i="3"/>
  <c r="H197" i="3"/>
  <c r="G197" i="3"/>
  <c r="F197" i="3"/>
  <c r="B197" i="3"/>
  <c r="H196" i="3"/>
  <c r="G196" i="3"/>
  <c r="F196" i="3"/>
  <c r="B196" i="3"/>
  <c r="H195" i="3"/>
  <c r="G195" i="3"/>
  <c r="F195" i="3"/>
  <c r="B195" i="3"/>
  <c r="H194" i="3"/>
  <c r="G194" i="3"/>
  <c r="F194" i="3"/>
  <c r="B194" i="3"/>
  <c r="H193" i="3"/>
  <c r="G193" i="3"/>
  <c r="F193" i="3"/>
  <c r="B193" i="3"/>
  <c r="H192" i="3"/>
  <c r="G192" i="3"/>
  <c r="F192" i="3"/>
  <c r="B192" i="3"/>
  <c r="H191" i="3"/>
  <c r="G191" i="3"/>
  <c r="F191" i="3"/>
  <c r="B191" i="3"/>
  <c r="H190" i="3"/>
  <c r="G190" i="3"/>
  <c r="F190" i="3"/>
  <c r="B190" i="3"/>
  <c r="H189" i="3"/>
  <c r="G189" i="3"/>
  <c r="F189" i="3"/>
  <c r="B189" i="3"/>
  <c r="H188" i="3"/>
  <c r="G188" i="3"/>
  <c r="F188" i="3"/>
  <c r="B188" i="3"/>
  <c r="H187" i="3"/>
  <c r="G187" i="3"/>
  <c r="F187" i="3"/>
  <c r="B187" i="3"/>
  <c r="H186" i="3"/>
  <c r="G186" i="3"/>
  <c r="F186" i="3"/>
  <c r="B186" i="3"/>
  <c r="H185" i="3"/>
  <c r="G185" i="3"/>
  <c r="F185" i="3"/>
  <c r="B185" i="3"/>
  <c r="H184" i="3"/>
  <c r="G184" i="3"/>
  <c r="F184" i="3"/>
  <c r="B184" i="3"/>
  <c r="H183" i="3"/>
  <c r="G183" i="3"/>
  <c r="F183" i="3"/>
  <c r="B183" i="3"/>
  <c r="H182" i="3"/>
  <c r="G182" i="3"/>
  <c r="F182" i="3"/>
  <c r="B182" i="3"/>
  <c r="H181" i="3"/>
  <c r="G181" i="3"/>
  <c r="F181" i="3"/>
  <c r="B181" i="3"/>
  <c r="H180" i="3"/>
  <c r="G180" i="3"/>
  <c r="F180" i="3"/>
  <c r="B180" i="3"/>
  <c r="H179" i="3"/>
  <c r="G179" i="3"/>
  <c r="F179" i="3"/>
  <c r="B179" i="3"/>
  <c r="H178" i="3"/>
  <c r="G178" i="3"/>
  <c r="F178" i="3"/>
  <c r="B178" i="3"/>
  <c r="H177" i="3"/>
  <c r="G177" i="3"/>
  <c r="F177" i="3"/>
  <c r="B177" i="3"/>
  <c r="H176" i="3"/>
  <c r="G176" i="3"/>
  <c r="F176" i="3"/>
  <c r="B176" i="3"/>
  <c r="H175" i="3"/>
  <c r="G175" i="3"/>
  <c r="F175" i="3"/>
  <c r="B175" i="3"/>
  <c r="H174" i="3"/>
  <c r="G174" i="3"/>
  <c r="F174" i="3"/>
  <c r="B174" i="3"/>
  <c r="H173" i="3"/>
  <c r="G173" i="3"/>
  <c r="F173" i="3"/>
  <c r="B173" i="3"/>
  <c r="H172" i="3"/>
  <c r="G172" i="3"/>
  <c r="F172" i="3"/>
  <c r="B172" i="3"/>
  <c r="H171" i="3"/>
  <c r="G171" i="3"/>
  <c r="F171" i="3"/>
  <c r="B171" i="3"/>
  <c r="H170" i="3"/>
  <c r="G170" i="3"/>
  <c r="F170" i="3"/>
  <c r="B170" i="3"/>
  <c r="H169" i="3"/>
  <c r="G169" i="3"/>
  <c r="F169" i="3"/>
  <c r="B169" i="3"/>
  <c r="H168" i="3"/>
  <c r="G168" i="3"/>
  <c r="F168" i="3"/>
  <c r="B168" i="3"/>
  <c r="H167" i="3"/>
  <c r="G167" i="3"/>
  <c r="F167" i="3"/>
  <c r="B167" i="3"/>
  <c r="H166" i="3"/>
  <c r="G166" i="3"/>
  <c r="F166" i="3"/>
  <c r="B166" i="3"/>
  <c r="H165" i="3"/>
  <c r="G165" i="3"/>
  <c r="F165" i="3"/>
  <c r="B165" i="3"/>
  <c r="H164" i="3"/>
  <c r="G164" i="3"/>
  <c r="F164" i="3"/>
  <c r="B164" i="3"/>
  <c r="H163" i="3"/>
  <c r="G163" i="3"/>
  <c r="F163" i="3"/>
  <c r="B163" i="3"/>
  <c r="H162" i="3"/>
  <c r="G162" i="3"/>
  <c r="F162" i="3"/>
  <c r="B162" i="3"/>
  <c r="H161" i="3"/>
  <c r="G161" i="3"/>
  <c r="F161" i="3"/>
  <c r="B161" i="3"/>
  <c r="H160" i="3"/>
  <c r="G160" i="3"/>
  <c r="F160" i="3"/>
  <c r="B160" i="3"/>
  <c r="H159" i="3"/>
  <c r="G159" i="3"/>
  <c r="F159" i="3"/>
  <c r="B159" i="3"/>
  <c r="H158" i="3"/>
  <c r="G158" i="3"/>
  <c r="F158" i="3"/>
  <c r="B158" i="3"/>
  <c r="H157" i="3"/>
  <c r="G157" i="3"/>
  <c r="F157" i="3"/>
  <c r="B157" i="3"/>
  <c r="H156" i="3"/>
  <c r="G156" i="3"/>
  <c r="F156" i="3"/>
  <c r="B156" i="3"/>
  <c r="H155" i="3"/>
  <c r="G155" i="3"/>
  <c r="F155" i="3"/>
  <c r="B155" i="3"/>
  <c r="H154" i="3"/>
  <c r="G154" i="3"/>
  <c r="F154" i="3"/>
  <c r="B154" i="3"/>
  <c r="H153" i="3"/>
  <c r="G153" i="3"/>
  <c r="F153" i="3"/>
  <c r="B153" i="3"/>
  <c r="H152" i="3"/>
  <c r="G152" i="3"/>
  <c r="F152" i="3"/>
  <c r="B152" i="3"/>
  <c r="H151" i="3"/>
  <c r="G151" i="3"/>
  <c r="F151" i="3"/>
  <c r="B151" i="3"/>
  <c r="H150" i="3"/>
  <c r="G150" i="3"/>
  <c r="F150" i="3"/>
  <c r="B150" i="3"/>
  <c r="H149" i="3"/>
  <c r="G149" i="3"/>
  <c r="F149" i="3"/>
  <c r="B149" i="3"/>
  <c r="H148" i="3"/>
  <c r="G148" i="3"/>
  <c r="F148" i="3"/>
  <c r="B148" i="3"/>
  <c r="H147" i="3"/>
  <c r="G147" i="3"/>
  <c r="F147" i="3"/>
  <c r="B147" i="3"/>
  <c r="H146" i="3"/>
  <c r="G146" i="3"/>
  <c r="F146" i="3"/>
  <c r="B146" i="3"/>
  <c r="H145" i="3"/>
  <c r="G145" i="3"/>
  <c r="F145" i="3"/>
  <c r="B145" i="3"/>
  <c r="H144" i="3"/>
  <c r="G144" i="3"/>
  <c r="F144" i="3"/>
  <c r="B144" i="3"/>
  <c r="H143" i="3"/>
  <c r="G143" i="3"/>
  <c r="F143" i="3"/>
  <c r="B143" i="3"/>
  <c r="H142" i="3"/>
  <c r="G142" i="3"/>
  <c r="F142" i="3"/>
  <c r="B142" i="3"/>
  <c r="H141" i="3"/>
  <c r="G141" i="3"/>
  <c r="F141" i="3"/>
  <c r="B141" i="3"/>
  <c r="H140" i="3"/>
  <c r="G140" i="3"/>
  <c r="F140" i="3"/>
  <c r="B140" i="3"/>
  <c r="H139" i="3"/>
  <c r="G139" i="3"/>
  <c r="F139" i="3"/>
  <c r="B139" i="3"/>
  <c r="H138" i="3"/>
  <c r="G138" i="3"/>
  <c r="F138" i="3"/>
  <c r="B138" i="3"/>
  <c r="H137" i="3"/>
  <c r="G137" i="3"/>
  <c r="F137" i="3"/>
  <c r="B137" i="3"/>
  <c r="H136" i="3"/>
  <c r="G136" i="3"/>
  <c r="F136" i="3"/>
  <c r="B136" i="3"/>
  <c r="H135" i="3"/>
  <c r="G135" i="3"/>
  <c r="F135" i="3"/>
  <c r="B135" i="3"/>
  <c r="H134" i="3"/>
  <c r="G134" i="3"/>
  <c r="F134" i="3"/>
  <c r="B134" i="3"/>
  <c r="H133" i="3"/>
  <c r="G133" i="3"/>
  <c r="F133" i="3"/>
  <c r="B133" i="3"/>
  <c r="H132" i="3"/>
  <c r="G132" i="3"/>
  <c r="F132" i="3"/>
  <c r="B132" i="3"/>
  <c r="H131" i="3"/>
  <c r="G131" i="3"/>
  <c r="F131" i="3"/>
  <c r="B131" i="3"/>
  <c r="H130" i="3"/>
  <c r="G130" i="3"/>
  <c r="F130" i="3"/>
  <c r="B130" i="3"/>
  <c r="H129" i="3"/>
  <c r="G129" i="3"/>
  <c r="F129" i="3"/>
  <c r="B129" i="3"/>
  <c r="H128" i="3"/>
  <c r="G128" i="3"/>
  <c r="F128" i="3"/>
  <c r="B128" i="3"/>
  <c r="H127" i="3"/>
  <c r="G127" i="3"/>
  <c r="F127" i="3"/>
  <c r="B127" i="3"/>
  <c r="H126" i="3"/>
  <c r="G126" i="3"/>
  <c r="F126" i="3"/>
  <c r="B126" i="3"/>
  <c r="H125" i="3"/>
  <c r="G125" i="3"/>
  <c r="F125" i="3"/>
  <c r="B125" i="3"/>
  <c r="H124" i="3"/>
  <c r="G124" i="3"/>
  <c r="F124" i="3"/>
  <c r="B124" i="3"/>
  <c r="H123" i="3"/>
  <c r="G123" i="3"/>
  <c r="F123" i="3"/>
  <c r="B123" i="3"/>
  <c r="H122" i="3"/>
  <c r="G122" i="3"/>
  <c r="F122" i="3"/>
  <c r="B122" i="3"/>
  <c r="H121" i="3"/>
  <c r="G121" i="3"/>
  <c r="F121" i="3"/>
  <c r="B121" i="3"/>
  <c r="H120" i="3"/>
  <c r="G120" i="3"/>
  <c r="F120" i="3"/>
  <c r="B120" i="3"/>
  <c r="H119" i="3"/>
  <c r="G119" i="3"/>
  <c r="F119" i="3"/>
  <c r="B119" i="3"/>
  <c r="H118" i="3"/>
  <c r="G118" i="3"/>
  <c r="F118" i="3"/>
  <c r="B118" i="3"/>
  <c r="H117" i="3"/>
  <c r="G117" i="3"/>
  <c r="F117" i="3"/>
  <c r="B117" i="3"/>
  <c r="H116" i="3"/>
  <c r="G116" i="3"/>
  <c r="F116" i="3"/>
  <c r="B116" i="3"/>
  <c r="H115" i="3"/>
  <c r="G115" i="3"/>
  <c r="F115" i="3"/>
  <c r="B115" i="3"/>
  <c r="H114" i="3"/>
  <c r="G114" i="3"/>
  <c r="F114" i="3"/>
  <c r="B114" i="3"/>
  <c r="H113" i="3"/>
  <c r="G113" i="3"/>
  <c r="F113" i="3"/>
  <c r="B113" i="3"/>
  <c r="H112" i="3"/>
  <c r="G112" i="3"/>
  <c r="F112" i="3"/>
  <c r="B112" i="3"/>
  <c r="H111" i="3"/>
  <c r="G111" i="3"/>
  <c r="F111" i="3"/>
  <c r="B111" i="3"/>
  <c r="H110" i="3"/>
  <c r="G110" i="3"/>
  <c r="F110" i="3"/>
  <c r="B110" i="3"/>
  <c r="H109" i="3"/>
  <c r="G109" i="3"/>
  <c r="F109" i="3"/>
  <c r="B109" i="3"/>
  <c r="H108" i="3"/>
  <c r="G108" i="3"/>
  <c r="F108" i="3"/>
  <c r="B108" i="3"/>
  <c r="H107" i="3"/>
  <c r="G107" i="3"/>
  <c r="F107" i="3"/>
  <c r="B107" i="3"/>
  <c r="H106" i="3"/>
  <c r="G106" i="3"/>
  <c r="F106" i="3"/>
  <c r="B106" i="3"/>
  <c r="H105" i="3"/>
  <c r="G105" i="3"/>
  <c r="F105" i="3"/>
  <c r="B105" i="3"/>
  <c r="H104" i="3"/>
  <c r="G104" i="3"/>
  <c r="F104" i="3"/>
  <c r="B104" i="3"/>
  <c r="H103" i="3"/>
  <c r="G103" i="3"/>
  <c r="F103" i="3"/>
  <c r="B103" i="3"/>
  <c r="H102" i="3"/>
  <c r="G102" i="3"/>
  <c r="F102" i="3"/>
  <c r="B102" i="3"/>
  <c r="H101" i="3"/>
  <c r="G101" i="3"/>
  <c r="F101" i="3"/>
  <c r="B101" i="3"/>
  <c r="H100" i="3"/>
  <c r="G100" i="3"/>
  <c r="F100" i="3"/>
  <c r="B100" i="3"/>
  <c r="H99" i="3"/>
  <c r="G99" i="3"/>
  <c r="F99" i="3"/>
  <c r="B99" i="3"/>
  <c r="H98" i="3"/>
  <c r="G98" i="3"/>
  <c r="F98" i="3"/>
  <c r="B98" i="3"/>
  <c r="H97" i="3"/>
  <c r="G97" i="3"/>
  <c r="F97" i="3"/>
  <c r="B97" i="3"/>
  <c r="H96" i="3"/>
  <c r="G96" i="3"/>
  <c r="F96" i="3"/>
  <c r="B96" i="3"/>
  <c r="H95" i="3"/>
  <c r="G95" i="3"/>
  <c r="F95" i="3"/>
  <c r="B95" i="3"/>
  <c r="H94" i="3"/>
  <c r="G94" i="3"/>
  <c r="F94" i="3"/>
  <c r="B94" i="3"/>
  <c r="H93" i="3"/>
  <c r="G93" i="3"/>
  <c r="F93" i="3"/>
  <c r="B93" i="3"/>
  <c r="H92" i="3"/>
  <c r="G92" i="3"/>
  <c r="F92" i="3"/>
  <c r="B92" i="3"/>
  <c r="H91" i="3"/>
  <c r="G91" i="3"/>
  <c r="F91" i="3"/>
  <c r="B91" i="3"/>
  <c r="H90" i="3"/>
  <c r="G90" i="3"/>
  <c r="F90" i="3"/>
  <c r="B90" i="3"/>
  <c r="H89" i="3"/>
  <c r="G89" i="3"/>
  <c r="F89" i="3"/>
  <c r="B89" i="3"/>
  <c r="H88" i="3"/>
  <c r="G88" i="3"/>
  <c r="F88" i="3"/>
  <c r="B88" i="3"/>
  <c r="H87" i="3"/>
  <c r="G87" i="3"/>
  <c r="F87" i="3"/>
  <c r="B87" i="3"/>
  <c r="H86" i="3"/>
  <c r="G86" i="3"/>
  <c r="F86" i="3"/>
  <c r="B86" i="3"/>
  <c r="H85" i="3"/>
  <c r="G85" i="3"/>
  <c r="F85" i="3"/>
  <c r="B85" i="3"/>
  <c r="H84" i="3"/>
  <c r="G84" i="3"/>
  <c r="F84" i="3"/>
  <c r="B84" i="3"/>
  <c r="H83" i="3"/>
  <c r="G83" i="3"/>
  <c r="F83" i="3"/>
  <c r="B83" i="3"/>
  <c r="H82" i="3"/>
  <c r="G82" i="3"/>
  <c r="F82" i="3"/>
  <c r="B82" i="3"/>
  <c r="H81" i="3"/>
  <c r="G81" i="3"/>
  <c r="F81" i="3"/>
  <c r="B81" i="3"/>
  <c r="H80" i="3"/>
  <c r="G80" i="3"/>
  <c r="F80" i="3"/>
  <c r="B80" i="3"/>
  <c r="H79" i="3"/>
  <c r="G79" i="3"/>
  <c r="F79" i="3"/>
  <c r="B79" i="3"/>
  <c r="H78" i="3"/>
  <c r="G78" i="3"/>
  <c r="F78" i="3"/>
  <c r="B78" i="3"/>
  <c r="H77" i="3"/>
  <c r="G77" i="3"/>
  <c r="F77" i="3"/>
  <c r="B77" i="3"/>
  <c r="H76" i="3"/>
  <c r="G76" i="3"/>
  <c r="F76" i="3"/>
  <c r="B76" i="3"/>
  <c r="H75" i="3"/>
  <c r="G75" i="3"/>
  <c r="F75" i="3"/>
  <c r="B75" i="3"/>
  <c r="H74" i="3"/>
  <c r="G74" i="3"/>
  <c r="F74" i="3"/>
  <c r="B74" i="3"/>
  <c r="H73" i="3"/>
  <c r="G73" i="3"/>
  <c r="F73" i="3"/>
  <c r="B73" i="3"/>
  <c r="H72" i="3"/>
  <c r="G72" i="3"/>
  <c r="F72" i="3"/>
  <c r="B72" i="3"/>
  <c r="H71" i="3"/>
  <c r="G71" i="3"/>
  <c r="F71" i="3"/>
  <c r="B71" i="3"/>
  <c r="H70" i="3"/>
  <c r="G70" i="3"/>
  <c r="F70" i="3"/>
  <c r="B70" i="3"/>
  <c r="H69" i="3"/>
  <c r="G69" i="3"/>
  <c r="F69" i="3"/>
  <c r="B69" i="3"/>
  <c r="H68" i="3"/>
  <c r="G68" i="3"/>
  <c r="F68" i="3"/>
  <c r="B68" i="3"/>
  <c r="H67" i="3"/>
  <c r="G67" i="3"/>
  <c r="F67" i="3"/>
  <c r="B67" i="3"/>
  <c r="H66" i="3"/>
  <c r="G66" i="3"/>
  <c r="F66" i="3"/>
  <c r="B66" i="3"/>
  <c r="H65" i="3"/>
  <c r="G65" i="3"/>
  <c r="F65" i="3"/>
  <c r="B65" i="3"/>
  <c r="H64" i="3"/>
  <c r="G64" i="3"/>
  <c r="F64" i="3"/>
  <c r="B64" i="3"/>
  <c r="H63" i="3"/>
  <c r="G63" i="3"/>
  <c r="F63" i="3"/>
  <c r="B63" i="3"/>
  <c r="H62" i="3"/>
  <c r="G62" i="3"/>
  <c r="F62" i="3"/>
  <c r="B62" i="3"/>
  <c r="H61" i="3"/>
  <c r="G61" i="3"/>
  <c r="F61" i="3"/>
  <c r="B61" i="3"/>
  <c r="H60" i="3"/>
  <c r="G60" i="3"/>
  <c r="F60" i="3"/>
  <c r="B60" i="3"/>
  <c r="H59" i="3"/>
  <c r="G59" i="3"/>
  <c r="F59" i="3"/>
  <c r="B59" i="3"/>
  <c r="H58" i="3"/>
  <c r="G58" i="3"/>
  <c r="F58" i="3"/>
  <c r="B58" i="3"/>
  <c r="H57" i="3"/>
  <c r="G57" i="3"/>
  <c r="F57" i="3"/>
  <c r="B57" i="3"/>
  <c r="H56" i="3"/>
  <c r="G56" i="3"/>
  <c r="F56" i="3"/>
  <c r="B56" i="3"/>
  <c r="H55" i="3"/>
  <c r="G55" i="3"/>
  <c r="F55" i="3"/>
  <c r="B55" i="3"/>
  <c r="H54" i="3"/>
  <c r="G54" i="3"/>
  <c r="F54" i="3"/>
  <c r="B54" i="3"/>
  <c r="H53" i="3"/>
  <c r="G53" i="3"/>
  <c r="F53" i="3"/>
  <c r="B53" i="3"/>
  <c r="H52" i="3"/>
  <c r="G52" i="3"/>
  <c r="F52" i="3"/>
  <c r="B52" i="3"/>
  <c r="H51" i="3"/>
  <c r="G51" i="3"/>
  <c r="F51" i="3"/>
  <c r="B51" i="3"/>
  <c r="H50" i="3"/>
  <c r="G50" i="3"/>
  <c r="F50" i="3"/>
  <c r="B50" i="3"/>
  <c r="H49" i="3"/>
  <c r="G49" i="3"/>
  <c r="F49" i="3"/>
  <c r="B49" i="3"/>
  <c r="H48" i="3"/>
  <c r="G48" i="3"/>
  <c r="F48" i="3"/>
  <c r="B48" i="3"/>
  <c r="H47" i="3"/>
  <c r="G47" i="3"/>
  <c r="F47" i="3"/>
  <c r="B47" i="3"/>
  <c r="H46" i="3"/>
  <c r="G46" i="3"/>
  <c r="F46" i="3"/>
  <c r="B46" i="3"/>
  <c r="H45" i="3"/>
  <c r="G45" i="3"/>
  <c r="F45" i="3"/>
  <c r="B45" i="3"/>
  <c r="H44" i="3"/>
  <c r="G44" i="3"/>
  <c r="F44" i="3"/>
  <c r="B44" i="3"/>
  <c r="H43" i="3"/>
  <c r="G43" i="3"/>
  <c r="F43" i="3"/>
  <c r="B43" i="3"/>
  <c r="H42" i="3"/>
  <c r="G42" i="3"/>
  <c r="F42" i="3"/>
  <c r="B42" i="3"/>
  <c r="H41" i="3"/>
  <c r="G41" i="3"/>
  <c r="F41" i="3"/>
  <c r="B41" i="3"/>
  <c r="H40" i="3"/>
  <c r="G40" i="3"/>
  <c r="F40" i="3"/>
  <c r="B40" i="3"/>
  <c r="H39" i="3"/>
  <c r="G39" i="3"/>
  <c r="F39" i="3"/>
  <c r="B39" i="3"/>
  <c r="H38" i="3"/>
  <c r="G38" i="3"/>
  <c r="F38" i="3"/>
  <c r="B38" i="3"/>
  <c r="H37" i="3"/>
  <c r="G37" i="3"/>
  <c r="F37" i="3"/>
  <c r="B37" i="3"/>
  <c r="H36" i="3"/>
  <c r="G36" i="3"/>
  <c r="F36" i="3"/>
  <c r="B36" i="3"/>
  <c r="H35" i="3"/>
  <c r="G35" i="3"/>
  <c r="F35" i="3"/>
  <c r="B35" i="3"/>
  <c r="H34" i="3"/>
  <c r="G34" i="3"/>
  <c r="F34" i="3"/>
  <c r="B34" i="3"/>
  <c r="H33" i="3"/>
  <c r="G33" i="3"/>
  <c r="F33" i="3"/>
  <c r="B33" i="3"/>
  <c r="H32" i="3"/>
  <c r="G32" i="3"/>
  <c r="F32" i="3"/>
  <c r="B32" i="3"/>
  <c r="H31" i="3"/>
  <c r="G31" i="3"/>
  <c r="F31" i="3"/>
  <c r="B31" i="3"/>
  <c r="H30" i="3"/>
  <c r="G30" i="3"/>
  <c r="F30" i="3"/>
  <c r="B30" i="3"/>
  <c r="H29" i="3"/>
  <c r="G29" i="3"/>
  <c r="F29" i="3"/>
  <c r="B29" i="3"/>
  <c r="H28" i="3"/>
  <c r="G28" i="3"/>
  <c r="F28" i="3"/>
  <c r="B28" i="3"/>
  <c r="H27" i="3"/>
  <c r="G27" i="3"/>
  <c r="F27" i="3"/>
  <c r="B27" i="3"/>
  <c r="H26" i="3"/>
  <c r="G26" i="3"/>
  <c r="F26" i="3"/>
  <c r="B26" i="3"/>
  <c r="H25" i="3"/>
  <c r="G25" i="3"/>
  <c r="F25" i="3"/>
  <c r="B25" i="3"/>
  <c r="H24" i="3"/>
  <c r="G24" i="3"/>
  <c r="F24" i="3"/>
  <c r="B24" i="3"/>
  <c r="H23" i="3"/>
  <c r="G23" i="3"/>
  <c r="F23" i="3"/>
  <c r="B23" i="3"/>
  <c r="H22" i="3"/>
  <c r="G22" i="3"/>
  <c r="F22" i="3"/>
  <c r="B22" i="3"/>
  <c r="H21" i="3"/>
  <c r="G21" i="3"/>
  <c r="F21" i="3"/>
  <c r="B21" i="3"/>
  <c r="H20" i="3"/>
  <c r="G20" i="3"/>
  <c r="F20" i="3"/>
  <c r="B20" i="3"/>
  <c r="H19" i="3"/>
  <c r="G19" i="3"/>
  <c r="F19" i="3"/>
  <c r="B19" i="3"/>
  <c r="H18" i="3"/>
  <c r="G18" i="3"/>
  <c r="F18" i="3"/>
  <c r="B18" i="3"/>
  <c r="H17" i="3"/>
  <c r="G17" i="3"/>
  <c r="F17" i="3"/>
  <c r="B17" i="3"/>
  <c r="H16" i="3"/>
  <c r="G16" i="3"/>
  <c r="F16" i="3"/>
  <c r="B16" i="3"/>
  <c r="H15" i="3"/>
  <c r="G15" i="3"/>
  <c r="F15" i="3"/>
  <c r="B15" i="3"/>
  <c r="H14" i="3"/>
  <c r="G14" i="3"/>
  <c r="F14" i="3"/>
  <c r="B14" i="3"/>
  <c r="H13" i="3"/>
  <c r="G13" i="3"/>
  <c r="F13" i="3"/>
  <c r="B13" i="3"/>
  <c r="H12" i="3"/>
  <c r="G12" i="3"/>
  <c r="F12" i="3"/>
  <c r="B12" i="3"/>
  <c r="H11" i="3"/>
  <c r="G11" i="3"/>
  <c r="F11" i="3"/>
  <c r="B11" i="3"/>
  <c r="H10" i="3"/>
  <c r="G10" i="3"/>
  <c r="F10" i="3"/>
  <c r="B10" i="3"/>
  <c r="H9" i="3"/>
  <c r="G9" i="3"/>
  <c r="F9" i="3"/>
  <c r="B9" i="3"/>
  <c r="H8" i="3"/>
  <c r="G8" i="3"/>
  <c r="F8" i="3"/>
  <c r="B8" i="3"/>
  <c r="H7" i="3"/>
  <c r="G7" i="3"/>
  <c r="F7" i="3"/>
  <c r="B7" i="3"/>
  <c r="H6" i="3"/>
  <c r="G6" i="3"/>
  <c r="F6" i="3"/>
  <c r="B6" i="3"/>
  <c r="H5" i="3"/>
  <c r="G5" i="3"/>
  <c r="F5" i="3"/>
  <c r="B5" i="3"/>
  <c r="H4" i="3"/>
  <c r="G4" i="3"/>
  <c r="F4" i="3"/>
  <c r="B4" i="3"/>
  <c r="H3" i="3"/>
  <c r="G3" i="3"/>
  <c r="G63" i="1" s="1"/>
  <c r="F3" i="3"/>
  <c r="B3" i="3"/>
  <c r="H2" i="3"/>
  <c r="G2" i="3"/>
  <c r="F2" i="3"/>
  <c r="B2" i="3"/>
  <c r="B172" i="2"/>
  <c r="A172" i="2"/>
  <c r="B171" i="2"/>
  <c r="A171" i="2"/>
  <c r="B170" i="2"/>
  <c r="A170" i="2"/>
  <c r="B169" i="2"/>
  <c r="A169" i="2"/>
  <c r="B168" i="2"/>
  <c r="A168" i="2"/>
  <c r="B167" i="2"/>
  <c r="A167" i="2"/>
  <c r="A166" i="2"/>
  <c r="B165" i="2"/>
  <c r="A165" i="2"/>
  <c r="A164" i="2"/>
  <c r="A163" i="2"/>
  <c r="B162" i="2"/>
  <c r="A162" i="2"/>
  <c r="A161" i="2"/>
  <c r="B160" i="2"/>
  <c r="A160" i="2"/>
  <c r="F159" i="2"/>
  <c r="B159" i="2"/>
  <c r="A159" i="2"/>
  <c r="B158" i="2"/>
  <c r="A158" i="2"/>
  <c r="B157" i="2"/>
  <c r="A157" i="2"/>
  <c r="B156" i="2"/>
  <c r="A156" i="2"/>
  <c r="B155" i="2"/>
  <c r="A155" i="2"/>
  <c r="B154" i="2"/>
  <c r="A154" i="2"/>
  <c r="B153" i="2"/>
  <c r="A153" i="2"/>
  <c r="B152" i="2"/>
  <c r="A152" i="2"/>
  <c r="F151" i="2"/>
  <c r="B151" i="2"/>
  <c r="A151" i="2"/>
  <c r="B150" i="2"/>
  <c r="A150" i="2"/>
  <c r="B149" i="2"/>
  <c r="A149" i="2"/>
  <c r="B148" i="2"/>
  <c r="A148" i="2"/>
  <c r="B147" i="2"/>
  <c r="A147" i="2"/>
  <c r="B146" i="2"/>
  <c r="A146" i="2"/>
  <c r="B145" i="2"/>
  <c r="A145" i="2"/>
  <c r="B144" i="2"/>
  <c r="A144" i="2"/>
  <c r="B143" i="2"/>
  <c r="A143" i="2"/>
  <c r="B142" i="2"/>
  <c r="A142" i="2"/>
  <c r="B141" i="2"/>
  <c r="A141" i="2"/>
  <c r="B140" i="2"/>
  <c r="A140" i="2"/>
  <c r="B139" i="2"/>
  <c r="A139" i="2"/>
  <c r="B138" i="2"/>
  <c r="A138" i="2"/>
  <c r="B137" i="2"/>
  <c r="A137" i="2"/>
  <c r="B136" i="2"/>
  <c r="A136" i="2"/>
  <c r="B135" i="2"/>
  <c r="A135" i="2"/>
  <c r="B134" i="2"/>
  <c r="A134" i="2"/>
  <c r="B133" i="2"/>
  <c r="A133" i="2"/>
  <c r="B132" i="2"/>
  <c r="A132" i="2"/>
  <c r="B131" i="2"/>
  <c r="A131" i="2"/>
  <c r="B130" i="2"/>
  <c r="A130" i="2"/>
  <c r="B129" i="2"/>
  <c r="A129" i="2"/>
  <c r="B128" i="2"/>
  <c r="A128" i="2"/>
  <c r="B127" i="2"/>
  <c r="A127" i="2"/>
  <c r="B126" i="2"/>
  <c r="A126" i="2"/>
  <c r="B125" i="2"/>
  <c r="A125" i="2"/>
  <c r="B124" i="2"/>
  <c r="A124" i="2"/>
  <c r="B123" i="2"/>
  <c r="A123" i="2"/>
  <c r="B122" i="2"/>
  <c r="A122" i="2"/>
  <c r="B121" i="2"/>
  <c r="A121" i="2"/>
  <c r="B120" i="2"/>
  <c r="A120" i="2"/>
  <c r="B119" i="2"/>
  <c r="A119" i="2"/>
  <c r="B118" i="2"/>
  <c r="A118" i="2"/>
  <c r="B117" i="2"/>
  <c r="A117" i="2"/>
  <c r="B116" i="2"/>
  <c r="A116" i="2"/>
  <c r="B115" i="2"/>
  <c r="A115" i="2"/>
  <c r="B114" i="2"/>
  <c r="A114" i="2"/>
  <c r="B113" i="2"/>
  <c r="A113" i="2"/>
  <c r="B112" i="2"/>
  <c r="A112" i="2"/>
  <c r="B111" i="2"/>
  <c r="A111" i="2"/>
  <c r="B110" i="2"/>
  <c r="A110" i="2"/>
  <c r="B109" i="2"/>
  <c r="A109" i="2"/>
  <c r="B108" i="2"/>
  <c r="A108" i="2"/>
  <c r="B107" i="2"/>
  <c r="A107" i="2"/>
  <c r="B106" i="2"/>
  <c r="A106" i="2"/>
  <c r="B105" i="2"/>
  <c r="A105" i="2"/>
  <c r="B104" i="2"/>
  <c r="A104" i="2"/>
  <c r="B103" i="2"/>
  <c r="A103" i="2"/>
  <c r="B102" i="2"/>
  <c r="A102" i="2"/>
  <c r="B101" i="2"/>
  <c r="A101" i="2"/>
  <c r="B100" i="2"/>
  <c r="A100" i="2"/>
  <c r="B99" i="2"/>
  <c r="A99" i="2"/>
  <c r="B98" i="2"/>
  <c r="A98" i="2"/>
  <c r="B97" i="2"/>
  <c r="A97" i="2"/>
  <c r="B96" i="2"/>
  <c r="A96" i="2"/>
  <c r="F95" i="2"/>
  <c r="B95" i="2"/>
  <c r="A95" i="2"/>
  <c r="B94" i="2"/>
  <c r="A94" i="2"/>
  <c r="B93" i="2"/>
  <c r="A93" i="2"/>
  <c r="B92" i="2"/>
  <c r="A92" i="2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E73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B61" i="2"/>
  <c r="A61" i="2"/>
  <c r="B60" i="2"/>
  <c r="A60" i="2"/>
  <c r="B59" i="2"/>
  <c r="A59" i="2"/>
  <c r="B58" i="2"/>
  <c r="A58" i="2"/>
  <c r="E57" i="2"/>
  <c r="B57" i="2"/>
  <c r="A57" i="2"/>
  <c r="E56" i="2"/>
  <c r="B56" i="2"/>
  <c r="A56" i="2"/>
  <c r="F55" i="2"/>
  <c r="B55" i="2"/>
  <c r="A55" i="2"/>
  <c r="B54" i="2"/>
  <c r="A54" i="2"/>
  <c r="B53" i="2"/>
  <c r="A53" i="2"/>
  <c r="B52" i="2"/>
  <c r="A52" i="2"/>
  <c r="B51" i="2"/>
  <c r="A51" i="2"/>
  <c r="B50" i="2"/>
  <c r="A50" i="2"/>
  <c r="B49" i="2"/>
  <c r="A49" i="2"/>
  <c r="B48" i="2"/>
  <c r="A48" i="2"/>
  <c r="B47" i="2"/>
  <c r="A47" i="2"/>
  <c r="B46" i="2"/>
  <c r="A46" i="2"/>
  <c r="E45" i="2"/>
  <c r="B45" i="2"/>
  <c r="A45" i="2"/>
  <c r="B44" i="2"/>
  <c r="A44" i="2"/>
  <c r="B43" i="2"/>
  <c r="A43" i="2"/>
  <c r="B42" i="2"/>
  <c r="A42" i="2"/>
  <c r="B41" i="2"/>
  <c r="A41" i="2"/>
  <c r="B40" i="2"/>
  <c r="A40" i="2"/>
  <c r="A39" i="2"/>
  <c r="B38" i="2"/>
  <c r="A38" i="2"/>
  <c r="B37" i="2"/>
  <c r="A37" i="2"/>
  <c r="E36" i="2"/>
  <c r="B36" i="2"/>
  <c r="A36" i="2"/>
  <c r="E35" i="2"/>
  <c r="B35" i="2"/>
  <c r="A35" i="2"/>
  <c r="E34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B3" i="2"/>
  <c r="A3" i="2"/>
  <c r="B2" i="2"/>
  <c r="A2" i="2"/>
  <c r="BL72" i="1"/>
  <c r="BK72" i="1"/>
  <c r="BN72" i="1" s="1"/>
  <c r="BJ72" i="1"/>
  <c r="BM72" i="1" s="1"/>
  <c r="BG72" i="1"/>
  <c r="BF72" i="1"/>
  <c r="BE72" i="1"/>
  <c r="BH72" i="1" s="1"/>
  <c r="BD72" i="1"/>
  <c r="BB72" i="1"/>
  <c r="BA72" i="1"/>
  <c r="AZ72" i="1"/>
  <c r="AY72" i="1"/>
  <c r="AX72" i="1"/>
  <c r="AV72" i="1"/>
  <c r="AS72" i="1"/>
  <c r="AR72" i="1"/>
  <c r="AU72" i="1" s="1"/>
  <c r="AP72" i="1"/>
  <c r="AN72" i="1"/>
  <c r="AM72" i="1"/>
  <c r="AL72" i="1"/>
  <c r="AG72" i="1"/>
  <c r="AJ72" i="1" s="1"/>
  <c r="AF72" i="1"/>
  <c r="AB72" i="1"/>
  <c r="AA72" i="1"/>
  <c r="AD72" i="1" s="1"/>
  <c r="Z72" i="1"/>
  <c r="X72" i="1"/>
  <c r="U72" i="1"/>
  <c r="T72" i="1"/>
  <c r="R72" i="1"/>
  <c r="Q72" i="1"/>
  <c r="L72" i="1"/>
  <c r="K72" i="1"/>
  <c r="J72" i="1"/>
  <c r="G72" i="1"/>
  <c r="F72" i="1"/>
  <c r="B72" i="1"/>
  <c r="BK71" i="1"/>
  <c r="BN71" i="1" s="1"/>
  <c r="BJ71" i="1"/>
  <c r="BL71" i="1" s="1"/>
  <c r="BH71" i="1"/>
  <c r="BF71" i="1"/>
  <c r="BE71" i="1"/>
  <c r="BD71" i="1"/>
  <c r="BB71" i="1"/>
  <c r="AZ71" i="1"/>
  <c r="AY71" i="1"/>
  <c r="AX71" i="1"/>
  <c r="AS71" i="1"/>
  <c r="AV71" i="1" s="1"/>
  <c r="AR71" i="1"/>
  <c r="AT71" i="1" s="1"/>
  <c r="AM71" i="1"/>
  <c r="AP71" i="1" s="1"/>
  <c r="AL71" i="1"/>
  <c r="AO71" i="1" s="1"/>
  <c r="AG71" i="1"/>
  <c r="AJ71" i="1" s="1"/>
  <c r="AF71" i="1"/>
  <c r="AH71" i="1" s="1"/>
  <c r="AD71" i="1"/>
  <c r="AB71" i="1"/>
  <c r="AA71" i="1"/>
  <c r="Z71" i="1"/>
  <c r="U71" i="1"/>
  <c r="X71" i="1" s="1"/>
  <c r="T71" i="1"/>
  <c r="V71" i="1" s="1"/>
  <c r="R71" i="1"/>
  <c r="L71" i="1"/>
  <c r="K71" i="1"/>
  <c r="J71" i="1"/>
  <c r="AC71" i="1"/>
  <c r="G71" i="1"/>
  <c r="F71" i="1"/>
  <c r="B71" i="1"/>
  <c r="BK70" i="1"/>
  <c r="BN70" i="1" s="1"/>
  <c r="BJ70" i="1"/>
  <c r="BM70" i="1" s="1"/>
  <c r="BE70" i="1"/>
  <c r="BH70" i="1" s="1"/>
  <c r="BD70" i="1"/>
  <c r="BF70" i="1" s="1"/>
  <c r="AZ70" i="1"/>
  <c r="AY70" i="1"/>
  <c r="BB70" i="1" s="1"/>
  <c r="AX70" i="1"/>
  <c r="AS70" i="1"/>
  <c r="AV70" i="1" s="1"/>
  <c r="AR70" i="1"/>
  <c r="AU70" i="1" s="1"/>
  <c r="AP70" i="1"/>
  <c r="AO70" i="1"/>
  <c r="AM70" i="1"/>
  <c r="AL70" i="1"/>
  <c r="AN70" i="1" s="1"/>
  <c r="AG70" i="1"/>
  <c r="AJ70" i="1" s="1"/>
  <c r="AF70" i="1"/>
  <c r="AH70" i="1" s="1"/>
  <c r="AD70" i="1"/>
  <c r="AB70" i="1"/>
  <c r="AA70" i="1"/>
  <c r="Z70" i="1"/>
  <c r="X70" i="1"/>
  <c r="W70" i="1"/>
  <c r="V70" i="1"/>
  <c r="U70" i="1"/>
  <c r="T70" i="1"/>
  <c r="R70" i="1"/>
  <c r="L70" i="1"/>
  <c r="K70" i="1"/>
  <c r="J70" i="1"/>
  <c r="G70" i="1"/>
  <c r="F70" i="1"/>
  <c r="B70" i="1"/>
  <c r="BN69" i="1"/>
  <c r="BM69" i="1"/>
  <c r="BL69" i="1"/>
  <c r="BK69" i="1"/>
  <c r="BJ69" i="1"/>
  <c r="BH69" i="1"/>
  <c r="BE69" i="1"/>
  <c r="BD69" i="1"/>
  <c r="BF69" i="1" s="1"/>
  <c r="AY69" i="1"/>
  <c r="BB69" i="1" s="1"/>
  <c r="AX69" i="1"/>
  <c r="AZ69" i="1" s="1"/>
  <c r="AS69" i="1"/>
  <c r="AV69" i="1" s="1"/>
  <c r="AR69" i="1"/>
  <c r="AP69" i="1"/>
  <c r="AM69" i="1"/>
  <c r="AL69" i="1"/>
  <c r="AN69" i="1" s="1"/>
  <c r="AG69" i="1"/>
  <c r="AJ69" i="1" s="1"/>
  <c r="AF69" i="1"/>
  <c r="AH69" i="1" s="1"/>
  <c r="AC69" i="1"/>
  <c r="AA69" i="1"/>
  <c r="AD69" i="1" s="1"/>
  <c r="Z69" i="1"/>
  <c r="AB69" i="1" s="1"/>
  <c r="X69" i="1"/>
  <c r="W69" i="1"/>
  <c r="V69" i="1"/>
  <c r="U69" i="1"/>
  <c r="T69" i="1"/>
  <c r="R69" i="1"/>
  <c r="L69" i="1"/>
  <c r="K69" i="1"/>
  <c r="J69" i="1"/>
  <c r="G69" i="1"/>
  <c r="F69" i="1"/>
  <c r="B69" i="1"/>
  <c r="BN68" i="1"/>
  <c r="BK68" i="1"/>
  <c r="BJ68" i="1"/>
  <c r="BL68" i="1" s="1"/>
  <c r="BH68" i="1"/>
  <c r="BF68" i="1"/>
  <c r="BE68" i="1"/>
  <c r="BD68" i="1"/>
  <c r="BB68" i="1"/>
  <c r="AY68" i="1"/>
  <c r="AX68" i="1"/>
  <c r="AZ68" i="1" s="1"/>
  <c r="AV68" i="1"/>
  <c r="AT68" i="1"/>
  <c r="AS68" i="1"/>
  <c r="AR68" i="1"/>
  <c r="AM68" i="1"/>
  <c r="AP68" i="1" s="1"/>
  <c r="AL68" i="1"/>
  <c r="AN68" i="1" s="1"/>
  <c r="AG68" i="1"/>
  <c r="AJ68" i="1" s="1"/>
  <c r="AF68" i="1"/>
  <c r="AH68" i="1" s="1"/>
  <c r="AD68" i="1"/>
  <c r="AB68" i="1"/>
  <c r="AA68" i="1"/>
  <c r="Z68" i="1"/>
  <c r="U68" i="1"/>
  <c r="X68" i="1" s="1"/>
  <c r="T68" i="1"/>
  <c r="V68" i="1" s="1"/>
  <c r="R68" i="1"/>
  <c r="L68" i="1"/>
  <c r="K68" i="1"/>
  <c r="J68" i="1"/>
  <c r="AC68" i="1"/>
  <c r="G68" i="1"/>
  <c r="F68" i="1"/>
  <c r="B68" i="1"/>
  <c r="BM67" i="1"/>
  <c r="BK67" i="1"/>
  <c r="BN67" i="1" s="1"/>
  <c r="BJ67" i="1"/>
  <c r="BL67" i="1" s="1"/>
  <c r="BG67" i="1"/>
  <c r="BE67" i="1"/>
  <c r="BH67" i="1" s="1"/>
  <c r="BD67" i="1"/>
  <c r="BF67" i="1" s="1"/>
  <c r="BA67" i="1"/>
  <c r="AZ67" i="1"/>
  <c r="AY67" i="1"/>
  <c r="BB67" i="1" s="1"/>
  <c r="AX67" i="1"/>
  <c r="AS67" i="1"/>
  <c r="AV67" i="1" s="1"/>
  <c r="AR67" i="1"/>
  <c r="AO67" i="1"/>
  <c r="AN67" i="1"/>
  <c r="AM67" i="1"/>
  <c r="AP67" i="1" s="1"/>
  <c r="AL67" i="1"/>
  <c r="AG67" i="1"/>
  <c r="AJ67" i="1" s="1"/>
  <c r="AF67" i="1"/>
  <c r="AC67" i="1"/>
  <c r="AA67" i="1"/>
  <c r="AD67" i="1" s="1"/>
  <c r="Z67" i="1"/>
  <c r="AB67" i="1" s="1"/>
  <c r="W67" i="1"/>
  <c r="U67" i="1"/>
  <c r="X67" i="1" s="1"/>
  <c r="T67" i="1"/>
  <c r="V67" i="1" s="1"/>
  <c r="Q67" i="1"/>
  <c r="R67" i="1"/>
  <c r="L67" i="1"/>
  <c r="K67" i="1"/>
  <c r="J67" i="1"/>
  <c r="G67" i="1"/>
  <c r="F67" i="1"/>
  <c r="B67" i="1"/>
  <c r="BN66" i="1"/>
  <c r="BL66" i="1"/>
  <c r="BK66" i="1"/>
  <c r="BJ66" i="1"/>
  <c r="BE66" i="1"/>
  <c r="BH66" i="1" s="1"/>
  <c r="BD66" i="1"/>
  <c r="AZ66" i="1"/>
  <c r="AY66" i="1"/>
  <c r="BB66" i="1" s="1"/>
  <c r="AX66" i="1"/>
  <c r="AV66" i="1"/>
  <c r="AS66" i="1"/>
  <c r="AR66" i="1"/>
  <c r="AT66" i="1" s="1"/>
  <c r="AP66" i="1"/>
  <c r="AM66" i="1"/>
  <c r="AL66" i="1"/>
  <c r="AG66" i="1"/>
  <c r="AJ66" i="1" s="1"/>
  <c r="AF66" i="1"/>
  <c r="AH66" i="1" s="1"/>
  <c r="AA66" i="1"/>
  <c r="AD66" i="1" s="1"/>
  <c r="Z66" i="1"/>
  <c r="AB66" i="1" s="1"/>
  <c r="U66" i="1"/>
  <c r="X66" i="1" s="1"/>
  <c r="T66" i="1"/>
  <c r="L66" i="1"/>
  <c r="K66" i="1"/>
  <c r="J66" i="1"/>
  <c r="G66" i="1"/>
  <c r="F66" i="1"/>
  <c r="B66" i="1"/>
  <c r="BL65" i="1"/>
  <c r="BK65" i="1"/>
  <c r="BN65" i="1" s="1"/>
  <c r="BJ65" i="1"/>
  <c r="BE65" i="1"/>
  <c r="BH65" i="1" s="1"/>
  <c r="BD65" i="1"/>
  <c r="BF65" i="1" s="1"/>
  <c r="BB65" i="1"/>
  <c r="AY65" i="1"/>
  <c r="AX65" i="1"/>
  <c r="AZ65" i="1" s="1"/>
  <c r="AS65" i="1"/>
  <c r="AV65" i="1" s="1"/>
  <c r="AR65" i="1"/>
  <c r="AT65" i="1" s="1"/>
  <c r="AO65" i="1"/>
  <c r="AM65" i="1"/>
  <c r="AP65" i="1" s="1"/>
  <c r="AL65" i="1"/>
  <c r="AN65" i="1" s="1"/>
  <c r="AJ65" i="1"/>
  <c r="AH65" i="1"/>
  <c r="AG65" i="1"/>
  <c r="AF65" i="1"/>
  <c r="AA65" i="1"/>
  <c r="AD65" i="1" s="1"/>
  <c r="Z65" i="1"/>
  <c r="AB65" i="1" s="1"/>
  <c r="X65" i="1"/>
  <c r="U65" i="1"/>
  <c r="T65" i="1"/>
  <c r="V65" i="1" s="1"/>
  <c r="L65" i="1"/>
  <c r="K65" i="1"/>
  <c r="J65" i="1"/>
  <c r="G65" i="1"/>
  <c r="F65" i="1"/>
  <c r="B65" i="1"/>
  <c r="BN64" i="1"/>
  <c r="BK64" i="1"/>
  <c r="BJ64" i="1"/>
  <c r="BL64" i="1" s="1"/>
  <c r="BF64" i="1"/>
  <c r="BE64" i="1"/>
  <c r="BH64" i="1" s="1"/>
  <c r="BD64" i="1"/>
  <c r="AZ64" i="1"/>
  <c r="AY64" i="1"/>
  <c r="BB64" i="1" s="1"/>
  <c r="AX64" i="1"/>
  <c r="AV64" i="1"/>
  <c r="AT64" i="1"/>
  <c r="AS64" i="1"/>
  <c r="AR64" i="1"/>
  <c r="AM64" i="1"/>
  <c r="AP64" i="1" s="1"/>
  <c r="AL64" i="1"/>
  <c r="AN64" i="1" s="1"/>
  <c r="AH64" i="1"/>
  <c r="AG64" i="1"/>
  <c r="AJ64" i="1" s="1"/>
  <c r="AF64" i="1"/>
  <c r="AD64" i="1"/>
  <c r="AB64" i="1"/>
  <c r="AA64" i="1"/>
  <c r="Z64" i="1"/>
  <c r="V64" i="1"/>
  <c r="U64" i="1"/>
  <c r="X64" i="1" s="1"/>
  <c r="T64" i="1"/>
  <c r="L64" i="1"/>
  <c r="K64" i="1"/>
  <c r="J64" i="1"/>
  <c r="AU64" i="1"/>
  <c r="G64" i="1"/>
  <c r="F64" i="1"/>
  <c r="B64" i="1"/>
  <c r="BK63" i="1"/>
  <c r="BN63" i="1" s="1"/>
  <c r="BJ63" i="1"/>
  <c r="BH63" i="1"/>
  <c r="BF63" i="1"/>
  <c r="BE63" i="1"/>
  <c r="BD63" i="1"/>
  <c r="AZ63" i="1"/>
  <c r="AY63" i="1"/>
  <c r="BB63" i="1" s="1"/>
  <c r="AX63" i="1"/>
  <c r="AV63" i="1"/>
  <c r="AT63" i="1"/>
  <c r="AS63" i="1"/>
  <c r="AR63" i="1"/>
  <c r="AP63" i="1"/>
  <c r="AM63" i="1"/>
  <c r="AL63" i="1"/>
  <c r="AG63" i="1"/>
  <c r="AJ63" i="1" s="1"/>
  <c r="AF63" i="1"/>
  <c r="AH63" i="1" s="1"/>
  <c r="AB63" i="1"/>
  <c r="AA63" i="1"/>
  <c r="AD63" i="1" s="1"/>
  <c r="Z63" i="1"/>
  <c r="V63" i="1"/>
  <c r="U63" i="1"/>
  <c r="X63" i="1" s="1"/>
  <c r="T63" i="1"/>
  <c r="L63" i="1"/>
  <c r="K63" i="1"/>
  <c r="J63" i="1"/>
  <c r="F63" i="1"/>
  <c r="B63" i="1"/>
  <c r="BN62" i="1"/>
  <c r="BM62" i="1"/>
  <c r="BL62" i="1"/>
  <c r="BK62" i="1"/>
  <c r="BJ62" i="1"/>
  <c r="BH62" i="1"/>
  <c r="BE62" i="1"/>
  <c r="BD62" i="1"/>
  <c r="BF62" i="1" s="1"/>
  <c r="AY62" i="1"/>
  <c r="BB62" i="1" s="1"/>
  <c r="AX62" i="1"/>
  <c r="AZ62" i="1" s="1"/>
  <c r="AS62" i="1"/>
  <c r="AV62" i="1" s="1"/>
  <c r="AR62" i="1"/>
  <c r="AU62" i="1" s="1"/>
  <c r="AM62" i="1"/>
  <c r="AP62" i="1" s="1"/>
  <c r="AL62" i="1"/>
  <c r="AN62" i="1" s="1"/>
  <c r="AH62" i="1"/>
  <c r="AG62" i="1"/>
  <c r="AJ62" i="1" s="1"/>
  <c r="AF62" i="1"/>
  <c r="AA62" i="1"/>
  <c r="AD62" i="1" s="1"/>
  <c r="Z62" i="1"/>
  <c r="AB62" i="1" s="1"/>
  <c r="X62" i="1"/>
  <c r="U62" i="1"/>
  <c r="T62" i="1"/>
  <c r="V62" i="1" s="1"/>
  <c r="L62" i="1"/>
  <c r="K62" i="1"/>
  <c r="J62" i="1"/>
  <c r="AI62" i="1"/>
  <c r="G62" i="1"/>
  <c r="F62" i="1"/>
  <c r="B62" i="1"/>
  <c r="BN61" i="1"/>
  <c r="BK61" i="1"/>
  <c r="BJ61" i="1"/>
  <c r="BL61" i="1" s="1"/>
  <c r="BE61" i="1"/>
  <c r="BH61" i="1" s="1"/>
  <c r="BD61" i="1"/>
  <c r="BF61" i="1" s="1"/>
  <c r="BB61" i="1"/>
  <c r="AY61" i="1"/>
  <c r="AX61" i="1"/>
  <c r="AZ61" i="1" s="1"/>
  <c r="AV61" i="1"/>
  <c r="AU61" i="1"/>
  <c r="AT61" i="1"/>
  <c r="AS61" i="1"/>
  <c r="AR61" i="1"/>
  <c r="AP61" i="1"/>
  <c r="AO61" i="1"/>
  <c r="AM61" i="1"/>
  <c r="AL61" i="1"/>
  <c r="AN61" i="1" s="1"/>
  <c r="AG61" i="1"/>
  <c r="AJ61" i="1" s="1"/>
  <c r="AF61" i="1"/>
  <c r="AH61" i="1" s="1"/>
  <c r="AB61" i="1"/>
  <c r="AA61" i="1"/>
  <c r="AD61" i="1" s="1"/>
  <c r="Z61" i="1"/>
  <c r="X61" i="1"/>
  <c r="V61" i="1"/>
  <c r="U61" i="1"/>
  <c r="T61" i="1"/>
  <c r="R61" i="1"/>
  <c r="L61" i="1"/>
  <c r="K61" i="1"/>
  <c r="J61" i="1"/>
  <c r="G61" i="1"/>
  <c r="F61" i="1"/>
  <c r="B61" i="1"/>
  <c r="BK60" i="1"/>
  <c r="BN60" i="1" s="1"/>
  <c r="BJ60" i="1"/>
  <c r="BL60" i="1" s="1"/>
  <c r="BF60" i="1"/>
  <c r="BE60" i="1"/>
  <c r="BH60" i="1" s="1"/>
  <c r="BD60" i="1"/>
  <c r="BB60" i="1"/>
  <c r="AZ60" i="1"/>
  <c r="AY60" i="1"/>
  <c r="AX60" i="1"/>
  <c r="AV60" i="1"/>
  <c r="AU60" i="1"/>
  <c r="AS60" i="1"/>
  <c r="AR60" i="1"/>
  <c r="AT60" i="1" s="1"/>
  <c r="AM60" i="1"/>
  <c r="AP60" i="1" s="1"/>
  <c r="AL60" i="1"/>
  <c r="AN60" i="1" s="1"/>
  <c r="AG60" i="1"/>
  <c r="AJ60" i="1" s="1"/>
  <c r="AF60" i="1"/>
  <c r="AH60" i="1" s="1"/>
  <c r="AD60" i="1"/>
  <c r="AB60" i="1"/>
  <c r="AA60" i="1"/>
  <c r="Z60" i="1"/>
  <c r="X60" i="1"/>
  <c r="U60" i="1"/>
  <c r="T60" i="1"/>
  <c r="V60" i="1" s="1"/>
  <c r="R60" i="1"/>
  <c r="L60" i="1"/>
  <c r="K60" i="1"/>
  <c r="J60" i="1"/>
  <c r="AC60" i="1"/>
  <c r="F60" i="1"/>
  <c r="B60" i="1"/>
  <c r="BM59" i="1"/>
  <c r="BK59" i="1"/>
  <c r="BN59" i="1" s="1"/>
  <c r="BJ59" i="1"/>
  <c r="BL59" i="1" s="1"/>
  <c r="BE59" i="1"/>
  <c r="BH59" i="1" s="1"/>
  <c r="BD59" i="1"/>
  <c r="BF59" i="1" s="1"/>
  <c r="BB59" i="1"/>
  <c r="BA59" i="1"/>
  <c r="AZ59" i="1"/>
  <c r="AY59" i="1"/>
  <c r="AX59" i="1"/>
  <c r="AV59" i="1"/>
  <c r="AS59" i="1"/>
  <c r="AR59" i="1"/>
  <c r="AT59" i="1" s="1"/>
  <c r="AP59" i="1"/>
  <c r="AN59" i="1"/>
  <c r="AM59" i="1"/>
  <c r="AL59" i="1"/>
  <c r="AI59" i="1"/>
  <c r="AH59" i="1"/>
  <c r="AG59" i="1"/>
  <c r="AJ59" i="1" s="1"/>
  <c r="AF59" i="1"/>
  <c r="AA59" i="1"/>
  <c r="AD59" i="1" s="1"/>
  <c r="Z59" i="1"/>
  <c r="AB59" i="1" s="1"/>
  <c r="U59" i="1"/>
  <c r="X59" i="1" s="1"/>
  <c r="T59" i="1"/>
  <c r="V59" i="1" s="1"/>
  <c r="R59" i="1"/>
  <c r="L59" i="1"/>
  <c r="K59" i="1"/>
  <c r="J59" i="1"/>
  <c r="W59" i="1"/>
  <c r="G59" i="1"/>
  <c r="F59" i="1"/>
  <c r="B59" i="1"/>
  <c r="BN58" i="1"/>
  <c r="BM58" i="1"/>
  <c r="BK58" i="1"/>
  <c r="BJ58" i="1"/>
  <c r="BL58" i="1" s="1"/>
  <c r="BF58" i="1"/>
  <c r="BE58" i="1"/>
  <c r="BH58" i="1" s="1"/>
  <c r="BD58" i="1"/>
  <c r="AY58" i="1"/>
  <c r="BB58" i="1" s="1"/>
  <c r="AX58" i="1"/>
  <c r="AZ58" i="1" s="1"/>
  <c r="AT58" i="1"/>
  <c r="AS58" i="1"/>
  <c r="AV58" i="1" s="1"/>
  <c r="AR58" i="1"/>
  <c r="AP58" i="1"/>
  <c r="AN58" i="1"/>
  <c r="AM58" i="1"/>
  <c r="AL58" i="1"/>
  <c r="AJ58" i="1"/>
  <c r="AH58" i="1"/>
  <c r="AG58" i="1"/>
  <c r="AF58" i="1"/>
  <c r="AD58" i="1"/>
  <c r="AA58" i="1"/>
  <c r="Z58" i="1"/>
  <c r="AB58" i="1" s="1"/>
  <c r="X58" i="1"/>
  <c r="U58" i="1"/>
  <c r="T58" i="1"/>
  <c r="R58" i="1"/>
  <c r="L58" i="1"/>
  <c r="K58" i="1"/>
  <c r="J58" i="1"/>
  <c r="AI58" i="1"/>
  <c r="G58" i="1"/>
  <c r="F58" i="1"/>
  <c r="B58" i="1"/>
  <c r="BN57" i="1"/>
  <c r="BK57" i="1"/>
  <c r="BJ57" i="1"/>
  <c r="BF57" i="1"/>
  <c r="BE57" i="1"/>
  <c r="BH57" i="1" s="1"/>
  <c r="BD57" i="1"/>
  <c r="AY57" i="1"/>
  <c r="BB57" i="1" s="1"/>
  <c r="AX57" i="1"/>
  <c r="AT57" i="1"/>
  <c r="AS57" i="1"/>
  <c r="AV57" i="1" s="1"/>
  <c r="AR57" i="1"/>
  <c r="AM57" i="1"/>
  <c r="AP57" i="1" s="1"/>
  <c r="AL57" i="1"/>
  <c r="AN57" i="1" s="1"/>
  <c r="AJ57" i="1"/>
  <c r="AG57" i="1"/>
  <c r="AF57" i="1"/>
  <c r="AH57" i="1" s="1"/>
  <c r="AA57" i="1"/>
  <c r="AD57" i="1" s="1"/>
  <c r="Z57" i="1"/>
  <c r="AB57" i="1" s="1"/>
  <c r="X57" i="1"/>
  <c r="U57" i="1"/>
  <c r="T57" i="1"/>
  <c r="R57" i="1"/>
  <c r="L57" i="1"/>
  <c r="K57" i="1"/>
  <c r="J57" i="1"/>
  <c r="G57" i="1"/>
  <c r="F57" i="1"/>
  <c r="B57" i="1"/>
  <c r="BN56" i="1"/>
  <c r="BK56" i="1"/>
  <c r="BJ56" i="1"/>
  <c r="BH56" i="1"/>
  <c r="BG56" i="1"/>
  <c r="BF56" i="1"/>
  <c r="BE56" i="1"/>
  <c r="BD56" i="1"/>
  <c r="BB56" i="1"/>
  <c r="AY56" i="1"/>
  <c r="AX56" i="1"/>
  <c r="AZ56" i="1" s="1"/>
  <c r="AV56" i="1"/>
  <c r="AT56" i="1"/>
  <c r="AS56" i="1"/>
  <c r="AR56" i="1"/>
  <c r="AO56" i="1"/>
  <c r="AN56" i="1"/>
  <c r="AM56" i="1"/>
  <c r="AP56" i="1" s="1"/>
  <c r="AL56" i="1"/>
  <c r="AI56" i="1"/>
  <c r="AH56" i="1"/>
  <c r="AG56" i="1"/>
  <c r="AJ56" i="1" s="1"/>
  <c r="AF56" i="1"/>
  <c r="AD56" i="1"/>
  <c r="AC56" i="1"/>
  <c r="AB56" i="1"/>
  <c r="AA56" i="1"/>
  <c r="Z56" i="1"/>
  <c r="X56" i="1"/>
  <c r="U56" i="1"/>
  <c r="T56" i="1"/>
  <c r="R56" i="1"/>
  <c r="L56" i="1"/>
  <c r="K56" i="1"/>
  <c r="J56" i="1"/>
  <c r="Q56" i="1"/>
  <c r="G56" i="1"/>
  <c r="F56" i="1"/>
  <c r="B56" i="1"/>
  <c r="BN55" i="1"/>
  <c r="BL55" i="1"/>
  <c r="BK55" i="1"/>
  <c r="BJ55" i="1"/>
  <c r="BF55" i="1"/>
  <c r="BE55" i="1"/>
  <c r="BH55" i="1" s="1"/>
  <c r="BD55" i="1"/>
  <c r="AZ55" i="1"/>
  <c r="AY55" i="1"/>
  <c r="BB55" i="1" s="1"/>
  <c r="AX55" i="1"/>
  <c r="AV55" i="1"/>
  <c r="AT55" i="1"/>
  <c r="AS55" i="1"/>
  <c r="AR55" i="1"/>
  <c r="AM55" i="1"/>
  <c r="AP55" i="1" s="1"/>
  <c r="AL55" i="1"/>
  <c r="AN55" i="1" s="1"/>
  <c r="AH55" i="1"/>
  <c r="AG55" i="1"/>
  <c r="AJ55" i="1" s="1"/>
  <c r="AF55" i="1"/>
  <c r="AB55" i="1"/>
  <c r="AA55" i="1"/>
  <c r="AD55" i="1" s="1"/>
  <c r="Z55" i="1"/>
  <c r="X55" i="1"/>
  <c r="U55" i="1"/>
  <c r="T55" i="1"/>
  <c r="V55" i="1" s="1"/>
  <c r="R55" i="1"/>
  <c r="L55" i="1"/>
  <c r="K55" i="1"/>
  <c r="J55" i="1"/>
  <c r="G55" i="1"/>
  <c r="F55" i="1"/>
  <c r="B55" i="1"/>
  <c r="BK54" i="1"/>
  <c r="BN54" i="1" s="1"/>
  <c r="BJ54" i="1"/>
  <c r="BL54" i="1" s="1"/>
  <c r="BH54" i="1"/>
  <c r="BF54" i="1"/>
  <c r="BE54" i="1"/>
  <c r="BD54" i="1"/>
  <c r="AY54" i="1"/>
  <c r="BB54" i="1" s="1"/>
  <c r="AX54" i="1"/>
  <c r="AZ54" i="1" s="1"/>
  <c r="AV54" i="1"/>
  <c r="AU54" i="1"/>
  <c r="AT54" i="1"/>
  <c r="AS54" i="1"/>
  <c r="AR54" i="1"/>
  <c r="AP54" i="1"/>
  <c r="AM54" i="1"/>
  <c r="AL54" i="1"/>
  <c r="AN54" i="1" s="1"/>
  <c r="AJ54" i="1"/>
  <c r="AG54" i="1"/>
  <c r="AF54" i="1"/>
  <c r="AH54" i="1" s="1"/>
  <c r="AD54" i="1"/>
  <c r="AA54" i="1"/>
  <c r="Z54" i="1"/>
  <c r="AB54" i="1" s="1"/>
  <c r="V54" i="1"/>
  <c r="U54" i="1"/>
  <c r="X54" i="1" s="1"/>
  <c r="T54" i="1"/>
  <c r="R54" i="1"/>
  <c r="L54" i="1"/>
  <c r="K54" i="1"/>
  <c r="J54" i="1"/>
  <c r="BA54" i="1"/>
  <c r="G54" i="1"/>
  <c r="F54" i="1"/>
  <c r="B54" i="1"/>
  <c r="BK53" i="1"/>
  <c r="BN53" i="1" s="1"/>
  <c r="BJ53" i="1"/>
  <c r="BL53" i="1" s="1"/>
  <c r="BF53" i="1"/>
  <c r="BE53" i="1"/>
  <c r="BH53" i="1" s="1"/>
  <c r="BD53" i="1"/>
  <c r="AZ53" i="1"/>
  <c r="AY53" i="1"/>
  <c r="BB53" i="1" s="1"/>
  <c r="AX53" i="1"/>
  <c r="AV53" i="1"/>
  <c r="AS53" i="1"/>
  <c r="AR53" i="1"/>
  <c r="AT53" i="1" s="1"/>
  <c r="AP53" i="1"/>
  <c r="AM53" i="1"/>
  <c r="AL53" i="1"/>
  <c r="AN53" i="1" s="1"/>
  <c r="AJ53" i="1"/>
  <c r="AH53" i="1"/>
  <c r="AG53" i="1"/>
  <c r="AF53" i="1"/>
  <c r="AB53" i="1"/>
  <c r="AA53" i="1"/>
  <c r="AD53" i="1" s="1"/>
  <c r="Z53" i="1"/>
  <c r="X53" i="1"/>
  <c r="V53" i="1"/>
  <c r="U53" i="1"/>
  <c r="T53" i="1"/>
  <c r="R53" i="1"/>
  <c r="L53" i="1"/>
  <c r="K53" i="1"/>
  <c r="J53" i="1"/>
  <c r="W53" i="1"/>
  <c r="G53" i="1"/>
  <c r="F53" i="1"/>
  <c r="B53" i="1"/>
  <c r="BM52" i="1"/>
  <c r="BK52" i="1"/>
  <c r="BN52" i="1" s="1"/>
  <c r="BJ52" i="1"/>
  <c r="BL52" i="1" s="1"/>
  <c r="BG52" i="1"/>
  <c r="BE52" i="1"/>
  <c r="BH52" i="1" s="1"/>
  <c r="BD52" i="1"/>
  <c r="BF52" i="1" s="1"/>
  <c r="BB52" i="1"/>
  <c r="BA52" i="1"/>
  <c r="AY52" i="1"/>
  <c r="AX52" i="1"/>
  <c r="AZ52" i="1" s="1"/>
  <c r="AV52" i="1"/>
  <c r="AS52" i="1"/>
  <c r="AR52" i="1"/>
  <c r="AT52" i="1" s="1"/>
  <c r="AO52" i="1"/>
  <c r="AN52" i="1"/>
  <c r="AM52" i="1"/>
  <c r="AP52" i="1" s="1"/>
  <c r="AL52" i="1"/>
  <c r="AG52" i="1"/>
  <c r="AJ52" i="1" s="1"/>
  <c r="AF52" i="1"/>
  <c r="AD52" i="1"/>
  <c r="AB52" i="1"/>
  <c r="AA52" i="1"/>
  <c r="Z52" i="1"/>
  <c r="X52" i="1"/>
  <c r="V52" i="1"/>
  <c r="U52" i="1"/>
  <c r="T52" i="1"/>
  <c r="R52" i="1"/>
  <c r="Q52" i="1"/>
  <c r="L52" i="1"/>
  <c r="K52" i="1"/>
  <c r="J52" i="1"/>
  <c r="AC52" i="1"/>
  <c r="G52" i="1"/>
  <c r="F52" i="1"/>
  <c r="B52" i="1"/>
  <c r="BL51" i="1"/>
  <c r="BK51" i="1"/>
  <c r="BN51" i="1" s="1"/>
  <c r="BJ51" i="1"/>
  <c r="BM51" i="1" s="1"/>
  <c r="BG51" i="1"/>
  <c r="BF51" i="1"/>
  <c r="BE51" i="1"/>
  <c r="BH51" i="1" s="1"/>
  <c r="BD51" i="1"/>
  <c r="AZ51" i="1"/>
  <c r="AY51" i="1"/>
  <c r="BB51" i="1" s="1"/>
  <c r="AX51" i="1"/>
  <c r="AV51" i="1"/>
  <c r="AT51" i="1"/>
  <c r="AS51" i="1"/>
  <c r="AR51" i="1"/>
  <c r="AP51" i="1"/>
  <c r="AM51" i="1"/>
  <c r="AL51" i="1"/>
  <c r="AN51" i="1" s="1"/>
  <c r="AJ51" i="1"/>
  <c r="AI51" i="1"/>
  <c r="AG51" i="1"/>
  <c r="AF51" i="1"/>
  <c r="AH51" i="1" s="1"/>
  <c r="AA51" i="1"/>
  <c r="AD51" i="1" s="1"/>
  <c r="Z51" i="1"/>
  <c r="AB51" i="1" s="1"/>
  <c r="X51" i="1"/>
  <c r="V51" i="1"/>
  <c r="U51" i="1"/>
  <c r="T51" i="1"/>
  <c r="Q51" i="1"/>
  <c r="R51" i="1"/>
  <c r="L51" i="1"/>
  <c r="K51" i="1"/>
  <c r="J51" i="1"/>
  <c r="G51" i="1"/>
  <c r="F51" i="1"/>
  <c r="B51" i="1"/>
  <c r="BK50" i="1"/>
  <c r="BN50" i="1" s="1"/>
  <c r="BJ50" i="1"/>
  <c r="BL50" i="1" s="1"/>
  <c r="BH50" i="1"/>
  <c r="BF50" i="1"/>
  <c r="BE50" i="1"/>
  <c r="BD50" i="1"/>
  <c r="AZ50" i="1"/>
  <c r="AY50" i="1"/>
  <c r="BB50" i="1" s="1"/>
  <c r="AX50" i="1"/>
  <c r="AS50" i="1"/>
  <c r="AV50" i="1" s="1"/>
  <c r="AR50" i="1"/>
  <c r="AT50" i="1" s="1"/>
  <c r="AP50" i="1"/>
  <c r="AO50" i="1"/>
  <c r="AN50" i="1"/>
  <c r="AM50" i="1"/>
  <c r="AL50" i="1"/>
  <c r="AG50" i="1"/>
  <c r="AJ50" i="1" s="1"/>
  <c r="AF50" i="1"/>
  <c r="AH50" i="1" s="1"/>
  <c r="AB50" i="1"/>
  <c r="AA50" i="1"/>
  <c r="AD50" i="1" s="1"/>
  <c r="Z50" i="1"/>
  <c r="X50" i="1"/>
  <c r="U50" i="1"/>
  <c r="T50" i="1"/>
  <c r="R50" i="1"/>
  <c r="L50" i="1"/>
  <c r="K50" i="1"/>
  <c r="J50" i="1"/>
  <c r="G50" i="1"/>
  <c r="F50" i="1"/>
  <c r="B50" i="1"/>
  <c r="BN49" i="1"/>
  <c r="BL49" i="1"/>
  <c r="BK49" i="1"/>
  <c r="BJ49" i="1"/>
  <c r="BH49" i="1"/>
  <c r="BF49" i="1"/>
  <c r="BE49" i="1"/>
  <c r="BD49" i="1"/>
  <c r="BB49" i="1"/>
  <c r="AY49" i="1"/>
  <c r="AX49" i="1"/>
  <c r="AZ49" i="1" s="1"/>
  <c r="AV49" i="1"/>
  <c r="AS49" i="1"/>
  <c r="AR49" i="1"/>
  <c r="AT49" i="1" s="1"/>
  <c r="AP49" i="1"/>
  <c r="AM49" i="1"/>
  <c r="AL49" i="1"/>
  <c r="AN49" i="1" s="1"/>
  <c r="AG49" i="1"/>
  <c r="AJ49" i="1" s="1"/>
  <c r="AF49" i="1"/>
  <c r="AH49" i="1" s="1"/>
  <c r="AB49" i="1"/>
  <c r="AA49" i="1"/>
  <c r="AD49" i="1" s="1"/>
  <c r="Z49" i="1"/>
  <c r="X49" i="1"/>
  <c r="U49" i="1"/>
  <c r="T49" i="1"/>
  <c r="V49" i="1" s="1"/>
  <c r="R49" i="1"/>
  <c r="L49" i="1"/>
  <c r="K49" i="1"/>
  <c r="J49" i="1"/>
  <c r="G49" i="1"/>
  <c r="F49" i="1"/>
  <c r="B49" i="1"/>
  <c r="BK48" i="1"/>
  <c r="BN48" i="1" s="1"/>
  <c r="BJ48" i="1"/>
  <c r="BH48" i="1"/>
  <c r="BE48" i="1"/>
  <c r="BD48" i="1"/>
  <c r="BF48" i="1" s="1"/>
  <c r="BB48" i="1"/>
  <c r="AZ48" i="1"/>
  <c r="AY48" i="1"/>
  <c r="AX48" i="1"/>
  <c r="AV48" i="1"/>
  <c r="AS48" i="1"/>
  <c r="AR48" i="1"/>
  <c r="AT48" i="1" s="1"/>
  <c r="AP48" i="1"/>
  <c r="AM48" i="1"/>
  <c r="AL48" i="1"/>
  <c r="AG48" i="1"/>
  <c r="AJ48" i="1" s="1"/>
  <c r="AF48" i="1"/>
  <c r="AH48" i="1" s="1"/>
  <c r="AC48" i="1"/>
  <c r="AB48" i="1"/>
  <c r="AA48" i="1"/>
  <c r="AD48" i="1" s="1"/>
  <c r="Z48" i="1"/>
  <c r="X48" i="1"/>
  <c r="V48" i="1"/>
  <c r="U48" i="1"/>
  <c r="T48" i="1"/>
  <c r="R48" i="1"/>
  <c r="L48" i="1"/>
  <c r="K48" i="1"/>
  <c r="J48" i="1"/>
  <c r="G48" i="1"/>
  <c r="F48" i="1"/>
  <c r="B48" i="1"/>
  <c r="BN47" i="1"/>
  <c r="BK47" i="1"/>
  <c r="BJ47" i="1"/>
  <c r="BG47" i="1"/>
  <c r="BE47" i="1"/>
  <c r="BH47" i="1" s="1"/>
  <c r="BD47" i="1"/>
  <c r="BF47" i="1" s="1"/>
  <c r="AZ47" i="1"/>
  <c r="AY47" i="1"/>
  <c r="BB47" i="1" s="1"/>
  <c r="AX47" i="1"/>
  <c r="AV47" i="1"/>
  <c r="AT47" i="1"/>
  <c r="AS47" i="1"/>
  <c r="AR47" i="1"/>
  <c r="AP47" i="1"/>
  <c r="AM47" i="1"/>
  <c r="AL47" i="1"/>
  <c r="AN47" i="1" s="1"/>
  <c r="AJ47" i="1"/>
  <c r="AG47" i="1"/>
  <c r="AF47" i="1"/>
  <c r="AH47" i="1" s="1"/>
  <c r="AC47" i="1"/>
  <c r="AB47" i="1"/>
  <c r="AA47" i="1"/>
  <c r="AD47" i="1" s="1"/>
  <c r="Z47" i="1"/>
  <c r="V47" i="1"/>
  <c r="U47" i="1"/>
  <c r="X47" i="1" s="1"/>
  <c r="T47" i="1"/>
  <c r="L47" i="1"/>
  <c r="K47" i="1"/>
  <c r="J47" i="1"/>
  <c r="G47" i="1"/>
  <c r="F47" i="1"/>
  <c r="B47" i="1"/>
  <c r="BM46" i="1"/>
  <c r="BL46" i="1"/>
  <c r="BK46" i="1"/>
  <c r="BN46" i="1" s="1"/>
  <c r="BJ46" i="1"/>
  <c r="BE46" i="1"/>
  <c r="BH46" i="1" s="1"/>
  <c r="BD46" i="1"/>
  <c r="BF46" i="1" s="1"/>
  <c r="BA46" i="1"/>
  <c r="AZ46" i="1"/>
  <c r="AY46" i="1"/>
  <c r="BB46" i="1" s="1"/>
  <c r="AX46" i="1"/>
  <c r="AS46" i="1"/>
  <c r="AV46" i="1" s="1"/>
  <c r="AR46" i="1"/>
  <c r="AT46" i="1" s="1"/>
  <c r="AP46" i="1"/>
  <c r="AN46" i="1"/>
  <c r="AM46" i="1"/>
  <c r="AL46" i="1"/>
  <c r="AJ46" i="1"/>
  <c r="AG46" i="1"/>
  <c r="AF46" i="1"/>
  <c r="AH46" i="1" s="1"/>
  <c r="AD46" i="1"/>
  <c r="AC46" i="1"/>
  <c r="AB46" i="1"/>
  <c r="AA46" i="1"/>
  <c r="Z46" i="1"/>
  <c r="X46" i="1"/>
  <c r="U46" i="1"/>
  <c r="T46" i="1"/>
  <c r="V46" i="1" s="1"/>
  <c r="L46" i="1"/>
  <c r="K46" i="1"/>
  <c r="J46" i="1"/>
  <c r="G46" i="1"/>
  <c r="F46" i="1"/>
  <c r="B46" i="1"/>
  <c r="BN45" i="1"/>
  <c r="BL45" i="1"/>
  <c r="BK45" i="1"/>
  <c r="BJ45" i="1"/>
  <c r="BM45" i="1" s="1"/>
  <c r="BE45" i="1"/>
  <c r="BH45" i="1" s="1"/>
  <c r="BD45" i="1"/>
  <c r="BF45" i="1" s="1"/>
  <c r="BA45" i="1"/>
  <c r="AZ45" i="1"/>
  <c r="AY45" i="1"/>
  <c r="BB45" i="1" s="1"/>
  <c r="AX45" i="1"/>
  <c r="AS45" i="1"/>
  <c r="AV45" i="1" s="1"/>
  <c r="AR45" i="1"/>
  <c r="AU45" i="1" s="1"/>
  <c r="AO45" i="1"/>
  <c r="AM45" i="1"/>
  <c r="AP45" i="1" s="1"/>
  <c r="AL45" i="1"/>
  <c r="AN45" i="1" s="1"/>
  <c r="AG45" i="1"/>
  <c r="AJ45" i="1" s="1"/>
  <c r="AF45" i="1"/>
  <c r="AD45" i="1"/>
  <c r="AC45" i="1"/>
  <c r="AA45" i="1"/>
  <c r="Z45" i="1"/>
  <c r="AB45" i="1" s="1"/>
  <c r="X45" i="1"/>
  <c r="U45" i="1"/>
  <c r="T45" i="1"/>
  <c r="V45" i="1" s="1"/>
  <c r="L45" i="1"/>
  <c r="K45" i="1"/>
  <c r="J45" i="1"/>
  <c r="G45" i="1"/>
  <c r="F45" i="1"/>
  <c r="B45" i="1"/>
  <c r="BN44" i="1"/>
  <c r="BK44" i="1"/>
  <c r="BJ44" i="1"/>
  <c r="BL44" i="1" s="1"/>
  <c r="BE44" i="1"/>
  <c r="BH44" i="1" s="1"/>
  <c r="BD44" i="1"/>
  <c r="BF44" i="1" s="1"/>
  <c r="BB44" i="1"/>
  <c r="BA44" i="1"/>
  <c r="AZ44" i="1"/>
  <c r="AY44" i="1"/>
  <c r="AX44" i="1"/>
  <c r="AV44" i="1"/>
  <c r="AS44" i="1"/>
  <c r="AR44" i="1"/>
  <c r="AT44" i="1" s="1"/>
  <c r="AP44" i="1"/>
  <c r="AN44" i="1"/>
  <c r="AM44" i="1"/>
  <c r="AL44" i="1"/>
  <c r="AJ44" i="1"/>
  <c r="AI44" i="1"/>
  <c r="AH44" i="1"/>
  <c r="AG44" i="1"/>
  <c r="AF44" i="1"/>
  <c r="AC44" i="1"/>
  <c r="AB44" i="1"/>
  <c r="AA44" i="1"/>
  <c r="AD44" i="1" s="1"/>
  <c r="Z44" i="1"/>
  <c r="W44" i="1"/>
  <c r="U44" i="1"/>
  <c r="X44" i="1" s="1"/>
  <c r="T44" i="1"/>
  <c r="V44" i="1" s="1"/>
  <c r="R44" i="1"/>
  <c r="Q44" i="1"/>
  <c r="L44" i="1"/>
  <c r="K44" i="1"/>
  <c r="J44" i="1"/>
  <c r="AU44" i="1"/>
  <c r="G44" i="1"/>
  <c r="F44" i="1"/>
  <c r="B44" i="1"/>
  <c r="BN43" i="1"/>
  <c r="BL43" i="1"/>
  <c r="BK43" i="1"/>
  <c r="BJ43" i="1"/>
  <c r="BH43" i="1"/>
  <c r="BG43" i="1"/>
  <c r="BF43" i="1"/>
  <c r="BE43" i="1"/>
  <c r="BD43" i="1"/>
  <c r="BA43" i="1"/>
  <c r="AZ43" i="1"/>
  <c r="AY43" i="1"/>
  <c r="BB43" i="1" s="1"/>
  <c r="AX43" i="1"/>
  <c r="AV43" i="1"/>
  <c r="AU43" i="1"/>
  <c r="AS43" i="1"/>
  <c r="AR43" i="1"/>
  <c r="AT43" i="1" s="1"/>
  <c r="AP43" i="1"/>
  <c r="AO43" i="1"/>
  <c r="AN43" i="1"/>
  <c r="AM43" i="1"/>
  <c r="AL43" i="1"/>
  <c r="AH43" i="1"/>
  <c r="AG43" i="1"/>
  <c r="AJ43" i="1" s="1"/>
  <c r="AF43" i="1"/>
  <c r="AB43" i="1"/>
  <c r="AA43" i="1"/>
  <c r="AD43" i="1" s="1"/>
  <c r="Z43" i="1"/>
  <c r="X43" i="1"/>
  <c r="V43" i="1"/>
  <c r="U43" i="1"/>
  <c r="T43" i="1"/>
  <c r="R43" i="1"/>
  <c r="Q43" i="1"/>
  <c r="L43" i="1"/>
  <c r="K43" i="1"/>
  <c r="J43" i="1"/>
  <c r="G43" i="1"/>
  <c r="F43" i="1"/>
  <c r="B43" i="1"/>
  <c r="BL42" i="1"/>
  <c r="BK42" i="1"/>
  <c r="BN42" i="1" s="1"/>
  <c r="BJ42" i="1"/>
  <c r="BE42" i="1"/>
  <c r="BH42" i="1" s="1"/>
  <c r="BD42" i="1"/>
  <c r="BF42" i="1" s="1"/>
  <c r="AY42" i="1"/>
  <c r="BB42" i="1" s="1"/>
  <c r="AX42" i="1"/>
  <c r="AZ42" i="1" s="1"/>
  <c r="AU42" i="1"/>
  <c r="AS42" i="1"/>
  <c r="AV42" i="1" s="1"/>
  <c r="AR42" i="1"/>
  <c r="AT42" i="1" s="1"/>
  <c r="AP42" i="1"/>
  <c r="AN42" i="1"/>
  <c r="AM42" i="1"/>
  <c r="AL42" i="1"/>
  <c r="AJ42" i="1"/>
  <c r="AH42" i="1"/>
  <c r="AG42" i="1"/>
  <c r="AF42" i="1"/>
  <c r="AD42" i="1"/>
  <c r="AA42" i="1"/>
  <c r="Z42" i="1"/>
  <c r="AB42" i="1" s="1"/>
  <c r="X42" i="1"/>
  <c r="W42" i="1"/>
  <c r="U42" i="1"/>
  <c r="T42" i="1"/>
  <c r="V42" i="1" s="1"/>
  <c r="R42" i="1"/>
  <c r="L42" i="1"/>
  <c r="K42" i="1"/>
  <c r="J42" i="1"/>
  <c r="G42" i="1"/>
  <c r="F42" i="1"/>
  <c r="B42" i="1"/>
  <c r="BN41" i="1"/>
  <c r="BL41" i="1"/>
  <c r="BK41" i="1"/>
  <c r="BJ41" i="1"/>
  <c r="BE41" i="1"/>
  <c r="BH41" i="1" s="1"/>
  <c r="BD41" i="1"/>
  <c r="BF41" i="1" s="1"/>
  <c r="AZ41" i="1"/>
  <c r="AY41" i="1"/>
  <c r="BB41" i="1" s="1"/>
  <c r="AX41" i="1"/>
  <c r="AS41" i="1"/>
  <c r="AV41" i="1" s="1"/>
  <c r="AR41" i="1"/>
  <c r="AT41" i="1" s="1"/>
  <c r="AP41" i="1"/>
  <c r="AO41" i="1"/>
  <c r="AM41" i="1"/>
  <c r="AL41" i="1"/>
  <c r="AN41" i="1" s="1"/>
  <c r="AJ41" i="1"/>
  <c r="AG41" i="1"/>
  <c r="AF41" i="1"/>
  <c r="AH41" i="1" s="1"/>
  <c r="AD41" i="1"/>
  <c r="AB41" i="1"/>
  <c r="AA41" i="1"/>
  <c r="Z41" i="1"/>
  <c r="X41" i="1"/>
  <c r="V41" i="1"/>
  <c r="U41" i="1"/>
  <c r="T41" i="1"/>
  <c r="R41" i="1"/>
  <c r="L41" i="1"/>
  <c r="K41" i="1"/>
  <c r="J41" i="1"/>
  <c r="G41" i="1"/>
  <c r="F41" i="1"/>
  <c r="B41" i="1"/>
  <c r="BK40" i="1"/>
  <c r="BN40" i="1" s="1"/>
  <c r="BJ40" i="1"/>
  <c r="BL40" i="1" s="1"/>
  <c r="BG40" i="1"/>
  <c r="BF40" i="1"/>
  <c r="BE40" i="1"/>
  <c r="BH40" i="1" s="1"/>
  <c r="BD40" i="1"/>
  <c r="BB40" i="1"/>
  <c r="AY40" i="1"/>
  <c r="AX40" i="1"/>
  <c r="AZ40" i="1" s="1"/>
  <c r="AV40" i="1"/>
  <c r="AU40" i="1"/>
  <c r="AT40" i="1"/>
  <c r="AS40" i="1"/>
  <c r="AR40" i="1"/>
  <c r="AM40" i="1"/>
  <c r="AP40" i="1" s="1"/>
  <c r="AL40" i="1"/>
  <c r="AN40" i="1" s="1"/>
  <c r="AI40" i="1"/>
  <c r="AH40" i="1"/>
  <c r="AG40" i="1"/>
  <c r="AJ40" i="1" s="1"/>
  <c r="AF40" i="1"/>
  <c r="AD40" i="1"/>
  <c r="AB40" i="1"/>
  <c r="AA40" i="1"/>
  <c r="Z40" i="1"/>
  <c r="U40" i="1"/>
  <c r="X40" i="1" s="1"/>
  <c r="T40" i="1"/>
  <c r="V40" i="1" s="1"/>
  <c r="R40" i="1"/>
  <c r="L40" i="1"/>
  <c r="K40" i="1"/>
  <c r="J40" i="1"/>
  <c r="BA40" i="1"/>
  <c r="G40" i="1"/>
  <c r="F40" i="1"/>
  <c r="B40" i="1"/>
  <c r="BK39" i="1"/>
  <c r="BN39" i="1" s="1"/>
  <c r="BJ39" i="1"/>
  <c r="BL39" i="1" s="1"/>
  <c r="BG39" i="1"/>
  <c r="BF39" i="1"/>
  <c r="BE39" i="1"/>
  <c r="BH39" i="1" s="1"/>
  <c r="BD39" i="1"/>
  <c r="BA39" i="1"/>
  <c r="AZ39" i="1"/>
  <c r="AY39" i="1"/>
  <c r="BB39" i="1" s="1"/>
  <c r="AX39" i="1"/>
  <c r="AS39" i="1"/>
  <c r="AV39" i="1" s="1"/>
  <c r="AR39" i="1"/>
  <c r="AT39" i="1" s="1"/>
  <c r="AP39" i="1"/>
  <c r="AN39" i="1"/>
  <c r="AM39" i="1"/>
  <c r="AL39" i="1"/>
  <c r="AJ39" i="1"/>
  <c r="AI39" i="1"/>
  <c r="AG39" i="1"/>
  <c r="AF39" i="1"/>
  <c r="AH39" i="1" s="1"/>
  <c r="AC39" i="1"/>
  <c r="AB39" i="1"/>
  <c r="AA39" i="1"/>
  <c r="AD39" i="1" s="1"/>
  <c r="Z39" i="1"/>
  <c r="X39" i="1"/>
  <c r="V39" i="1"/>
  <c r="U39" i="1"/>
  <c r="T39" i="1"/>
  <c r="R39" i="1"/>
  <c r="L39" i="1"/>
  <c r="K39" i="1"/>
  <c r="J39" i="1"/>
  <c r="G39" i="1"/>
  <c r="F39" i="1"/>
  <c r="B39" i="1"/>
  <c r="BM38" i="1"/>
  <c r="BK38" i="1"/>
  <c r="BN38" i="1" s="1"/>
  <c r="BJ38" i="1"/>
  <c r="BL38" i="1" s="1"/>
  <c r="BG38" i="1"/>
  <c r="BF38" i="1"/>
  <c r="BE38" i="1"/>
  <c r="BH38" i="1" s="1"/>
  <c r="BD38" i="1"/>
  <c r="BA38" i="1"/>
  <c r="AZ38" i="1"/>
  <c r="AY38" i="1"/>
  <c r="BB38" i="1" s="1"/>
  <c r="AX38" i="1"/>
  <c r="AU38" i="1"/>
  <c r="AT38" i="1"/>
  <c r="AS38" i="1"/>
  <c r="AV38" i="1" s="1"/>
  <c r="AR38" i="1"/>
  <c r="AP38" i="1"/>
  <c r="AO38" i="1"/>
  <c r="AM38" i="1"/>
  <c r="AL38" i="1"/>
  <c r="AN38" i="1" s="1"/>
  <c r="AH38" i="1"/>
  <c r="AG38" i="1"/>
  <c r="AJ38" i="1" s="1"/>
  <c r="AF38" i="1"/>
  <c r="AA38" i="1"/>
  <c r="AD38" i="1" s="1"/>
  <c r="Z38" i="1"/>
  <c r="AB38" i="1" s="1"/>
  <c r="V38" i="1"/>
  <c r="U38" i="1"/>
  <c r="X38" i="1" s="1"/>
  <c r="T38" i="1"/>
  <c r="W38" i="1" s="1"/>
  <c r="R38" i="1"/>
  <c r="Q38" i="1"/>
  <c r="L38" i="1"/>
  <c r="K38" i="1"/>
  <c r="J38" i="1"/>
  <c r="G38" i="1"/>
  <c r="F38" i="1"/>
  <c r="B38" i="1"/>
  <c r="BN37" i="1"/>
  <c r="BL37" i="1"/>
  <c r="BK37" i="1"/>
  <c r="BJ37" i="1"/>
  <c r="BH37" i="1"/>
  <c r="BF37" i="1"/>
  <c r="BE37" i="1"/>
  <c r="BD37" i="1"/>
  <c r="BB37" i="1"/>
  <c r="BA37" i="1"/>
  <c r="AZ37" i="1"/>
  <c r="AY37" i="1"/>
  <c r="AX37" i="1"/>
  <c r="AV37" i="1"/>
  <c r="AT37" i="1"/>
  <c r="AS37" i="1"/>
  <c r="AR37" i="1"/>
  <c r="AP37" i="1"/>
  <c r="AM37" i="1"/>
  <c r="AL37" i="1"/>
  <c r="AN37" i="1" s="1"/>
  <c r="AH37" i="1"/>
  <c r="AG37" i="1"/>
  <c r="AJ37" i="1" s="1"/>
  <c r="AF37" i="1"/>
  <c r="AB37" i="1"/>
  <c r="AA37" i="1"/>
  <c r="AD37" i="1" s="1"/>
  <c r="Z37" i="1"/>
  <c r="X37" i="1"/>
  <c r="V37" i="1"/>
  <c r="U37" i="1"/>
  <c r="T37" i="1"/>
  <c r="R37" i="1"/>
  <c r="L37" i="1"/>
  <c r="K37" i="1"/>
  <c r="J37" i="1"/>
  <c r="G37" i="1"/>
  <c r="F37" i="1"/>
  <c r="B37" i="1"/>
  <c r="BN36" i="1"/>
  <c r="BK36" i="1"/>
  <c r="BJ36" i="1"/>
  <c r="BL36" i="1" s="1"/>
  <c r="BE36" i="1"/>
  <c r="BH36" i="1" s="1"/>
  <c r="BD36" i="1"/>
  <c r="AY36" i="1"/>
  <c r="BB36" i="1" s="1"/>
  <c r="AX36" i="1"/>
  <c r="AZ36" i="1" s="1"/>
  <c r="AV36" i="1"/>
  <c r="AT36" i="1"/>
  <c r="AS36" i="1"/>
  <c r="AR36" i="1"/>
  <c r="AO36" i="1"/>
  <c r="AN36" i="1"/>
  <c r="AM36" i="1"/>
  <c r="AP36" i="1" s="1"/>
  <c r="AL36" i="1"/>
  <c r="AJ36" i="1"/>
  <c r="AG36" i="1"/>
  <c r="AF36" i="1"/>
  <c r="AC36" i="1"/>
  <c r="AB36" i="1"/>
  <c r="AA36" i="1"/>
  <c r="AD36" i="1" s="1"/>
  <c r="Z36" i="1"/>
  <c r="W36" i="1"/>
  <c r="V36" i="1"/>
  <c r="U36" i="1"/>
  <c r="X36" i="1" s="1"/>
  <c r="T36" i="1"/>
  <c r="R36" i="1"/>
  <c r="Q36" i="1"/>
  <c r="L36" i="1"/>
  <c r="K36" i="1"/>
  <c r="J36" i="1"/>
  <c r="BA36" i="1"/>
  <c r="G36" i="1"/>
  <c r="F36" i="1"/>
  <c r="B36" i="1"/>
  <c r="BN35" i="1"/>
  <c r="BK35" i="1"/>
  <c r="BJ35" i="1"/>
  <c r="BH35" i="1"/>
  <c r="BG35" i="1"/>
  <c r="BE35" i="1"/>
  <c r="BD35" i="1"/>
  <c r="BF35" i="1" s="1"/>
  <c r="BA35" i="1"/>
  <c r="AZ35" i="1"/>
  <c r="AY35" i="1"/>
  <c r="BB35" i="1" s="1"/>
  <c r="AX35" i="1"/>
  <c r="AU35" i="1"/>
  <c r="AT35" i="1"/>
  <c r="AS35" i="1"/>
  <c r="AV35" i="1" s="1"/>
  <c r="AR35" i="1"/>
  <c r="AP35" i="1"/>
  <c r="AO35" i="1"/>
  <c r="AN35" i="1"/>
  <c r="AM35" i="1"/>
  <c r="AL35" i="1"/>
  <c r="AJ35" i="1"/>
  <c r="AG35" i="1"/>
  <c r="AF35" i="1"/>
  <c r="AH35" i="1" s="1"/>
  <c r="AC35" i="1"/>
  <c r="AA35" i="1"/>
  <c r="AD35" i="1" s="1"/>
  <c r="Z35" i="1"/>
  <c r="AB35" i="1" s="1"/>
  <c r="X35" i="1"/>
  <c r="W35" i="1"/>
  <c r="V35" i="1"/>
  <c r="U35" i="1"/>
  <c r="T35" i="1"/>
  <c r="R35" i="1"/>
  <c r="L35" i="1"/>
  <c r="K35" i="1"/>
  <c r="J35" i="1"/>
  <c r="G35" i="1"/>
  <c r="F35" i="1"/>
  <c r="B35" i="1"/>
  <c r="BN34" i="1"/>
  <c r="BM34" i="1"/>
  <c r="BL34" i="1"/>
  <c r="BK34" i="1"/>
  <c r="BJ34" i="1"/>
  <c r="BF34" i="1"/>
  <c r="BE34" i="1"/>
  <c r="BH34" i="1" s="1"/>
  <c r="BD34" i="1"/>
  <c r="AZ34" i="1"/>
  <c r="AY34" i="1"/>
  <c r="BB34" i="1" s="1"/>
  <c r="AX34" i="1"/>
  <c r="AT34" i="1"/>
  <c r="AS34" i="1"/>
  <c r="AV34" i="1" s="1"/>
  <c r="AR34" i="1"/>
  <c r="AM34" i="1"/>
  <c r="AP34" i="1" s="1"/>
  <c r="AL34" i="1"/>
  <c r="AN34" i="1" s="1"/>
  <c r="AG34" i="1"/>
  <c r="AJ34" i="1" s="1"/>
  <c r="AF34" i="1"/>
  <c r="AH34" i="1" s="1"/>
  <c r="AB34" i="1"/>
  <c r="AA34" i="1"/>
  <c r="AD34" i="1" s="1"/>
  <c r="Z34" i="1"/>
  <c r="X34" i="1"/>
  <c r="V34" i="1"/>
  <c r="U34" i="1"/>
  <c r="T34" i="1"/>
  <c r="R34" i="1"/>
  <c r="L34" i="1"/>
  <c r="K34" i="1"/>
  <c r="J34" i="1"/>
  <c r="G34" i="1"/>
  <c r="F34" i="1"/>
  <c r="B34" i="1"/>
  <c r="BN33" i="1"/>
  <c r="BL33" i="1"/>
  <c r="BK33" i="1"/>
  <c r="BJ33" i="1"/>
  <c r="BH33" i="1"/>
  <c r="BF33" i="1"/>
  <c r="BE33" i="1"/>
  <c r="BD33" i="1"/>
  <c r="AY33" i="1"/>
  <c r="BB33" i="1" s="1"/>
  <c r="AX33" i="1"/>
  <c r="AZ33" i="1" s="1"/>
  <c r="AV33" i="1"/>
  <c r="AT33" i="1"/>
  <c r="AS33" i="1"/>
  <c r="AR33" i="1"/>
  <c r="AM33" i="1"/>
  <c r="AP33" i="1" s="1"/>
  <c r="AL33" i="1"/>
  <c r="AN33" i="1" s="1"/>
  <c r="AH33" i="1"/>
  <c r="AG33" i="1"/>
  <c r="AJ33" i="1" s="1"/>
  <c r="AF33" i="1"/>
  <c r="AD33" i="1"/>
  <c r="AB33" i="1"/>
  <c r="AA33" i="1"/>
  <c r="Z33" i="1"/>
  <c r="X33" i="1"/>
  <c r="U33" i="1"/>
  <c r="T33" i="1"/>
  <c r="V33" i="1" s="1"/>
  <c r="L33" i="1"/>
  <c r="K33" i="1"/>
  <c r="J33" i="1"/>
  <c r="G33" i="1"/>
  <c r="F33" i="1"/>
  <c r="B33" i="1"/>
  <c r="BN32" i="1"/>
  <c r="BK32" i="1"/>
  <c r="BJ32" i="1"/>
  <c r="BL32" i="1" s="1"/>
  <c r="BG32" i="1"/>
  <c r="BE32" i="1"/>
  <c r="BH32" i="1" s="1"/>
  <c r="BD32" i="1"/>
  <c r="BF32" i="1" s="1"/>
  <c r="AZ32" i="1"/>
  <c r="AY32" i="1"/>
  <c r="BB32" i="1" s="1"/>
  <c r="AX32" i="1"/>
  <c r="AV32" i="1"/>
  <c r="AT32" i="1"/>
  <c r="AS32" i="1"/>
  <c r="AR32" i="1"/>
  <c r="AP32" i="1"/>
  <c r="AM32" i="1"/>
  <c r="AL32" i="1"/>
  <c r="AN32" i="1" s="1"/>
  <c r="AJ32" i="1"/>
  <c r="AH32" i="1"/>
  <c r="AG32" i="1"/>
  <c r="AF32" i="1"/>
  <c r="AD32" i="1"/>
  <c r="AB32" i="1"/>
  <c r="AA32" i="1"/>
  <c r="Z32" i="1"/>
  <c r="V32" i="1"/>
  <c r="U32" i="1"/>
  <c r="X32" i="1" s="1"/>
  <c r="T32" i="1"/>
  <c r="L32" i="1"/>
  <c r="K32" i="1"/>
  <c r="J32" i="1"/>
  <c r="G32" i="1"/>
  <c r="F32" i="1"/>
  <c r="B32" i="1"/>
  <c r="BN31" i="1"/>
  <c r="BL31" i="1"/>
  <c r="BK31" i="1"/>
  <c r="BJ31" i="1"/>
  <c r="BH31" i="1"/>
  <c r="BE31" i="1"/>
  <c r="BD31" i="1"/>
  <c r="BB31" i="1"/>
  <c r="BA31" i="1"/>
  <c r="AZ31" i="1"/>
  <c r="AY31" i="1"/>
  <c r="AX31" i="1"/>
  <c r="AT31" i="1"/>
  <c r="AS31" i="1"/>
  <c r="AV31" i="1" s="1"/>
  <c r="AR31" i="1"/>
  <c r="AP31" i="1"/>
  <c r="AM31" i="1"/>
  <c r="AL31" i="1"/>
  <c r="AN31" i="1" s="1"/>
  <c r="AG31" i="1"/>
  <c r="AJ31" i="1" s="1"/>
  <c r="AF31" i="1"/>
  <c r="AA31" i="1"/>
  <c r="AD31" i="1" s="1"/>
  <c r="Z31" i="1"/>
  <c r="AB31" i="1" s="1"/>
  <c r="V31" i="1"/>
  <c r="U31" i="1"/>
  <c r="X31" i="1" s="1"/>
  <c r="T31" i="1"/>
  <c r="L31" i="1"/>
  <c r="K31" i="1"/>
  <c r="J31" i="1"/>
  <c r="G31" i="1"/>
  <c r="F31" i="1"/>
  <c r="B31" i="1"/>
  <c r="BL30" i="1"/>
  <c r="BK30" i="1"/>
  <c r="BN30" i="1" s="1"/>
  <c r="BJ30" i="1"/>
  <c r="BH30" i="1"/>
  <c r="BF30" i="1"/>
  <c r="BE30" i="1"/>
  <c r="BD30" i="1"/>
  <c r="AY30" i="1"/>
  <c r="BB30" i="1" s="1"/>
  <c r="AX30" i="1"/>
  <c r="AZ30" i="1" s="1"/>
  <c r="AS30" i="1"/>
  <c r="AV30" i="1" s="1"/>
  <c r="AR30" i="1"/>
  <c r="AT30" i="1" s="1"/>
  <c r="AN30" i="1"/>
  <c r="AM30" i="1"/>
  <c r="AP30" i="1" s="1"/>
  <c r="AL30" i="1"/>
  <c r="AJ30" i="1"/>
  <c r="AH30" i="1"/>
  <c r="AG30" i="1"/>
  <c r="AF30" i="1"/>
  <c r="AB30" i="1"/>
  <c r="AA30" i="1"/>
  <c r="AD30" i="1" s="1"/>
  <c r="Z30" i="1"/>
  <c r="X30" i="1"/>
  <c r="W30" i="1"/>
  <c r="U30" i="1"/>
  <c r="T30" i="1"/>
  <c r="V30" i="1" s="1"/>
  <c r="L30" i="1"/>
  <c r="K30" i="1"/>
  <c r="J30" i="1"/>
  <c r="G30" i="1"/>
  <c r="F30" i="1"/>
  <c r="B30" i="1"/>
  <c r="BK29" i="1"/>
  <c r="BN29" i="1" s="1"/>
  <c r="BJ29" i="1"/>
  <c r="BL29" i="1" s="1"/>
  <c r="BE29" i="1"/>
  <c r="BH29" i="1" s="1"/>
  <c r="BD29" i="1"/>
  <c r="BF29" i="1" s="1"/>
  <c r="BB29" i="1"/>
  <c r="AY29" i="1"/>
  <c r="AX29" i="1"/>
  <c r="AZ29" i="1" s="1"/>
  <c r="AV29" i="1"/>
  <c r="AT29" i="1"/>
  <c r="AS29" i="1"/>
  <c r="AR29" i="1"/>
  <c r="AM29" i="1"/>
  <c r="AP29" i="1" s="1"/>
  <c r="AL29" i="1"/>
  <c r="AN29" i="1" s="1"/>
  <c r="AJ29" i="1"/>
  <c r="AH29" i="1"/>
  <c r="AG29" i="1"/>
  <c r="AF29" i="1"/>
  <c r="AD29" i="1"/>
  <c r="AB29" i="1"/>
  <c r="AA29" i="1"/>
  <c r="Z29" i="1"/>
  <c r="X29" i="1"/>
  <c r="U29" i="1"/>
  <c r="T29" i="1"/>
  <c r="V29" i="1" s="1"/>
  <c r="Q29" i="1"/>
  <c r="L29" i="1"/>
  <c r="K29" i="1"/>
  <c r="J29" i="1"/>
  <c r="G29" i="1"/>
  <c r="F29" i="1"/>
  <c r="B29" i="1"/>
  <c r="BK28" i="1"/>
  <c r="BN28" i="1" s="1"/>
  <c r="BJ28" i="1"/>
  <c r="BL28" i="1" s="1"/>
  <c r="BF28" i="1"/>
  <c r="BE28" i="1"/>
  <c r="BH28" i="1" s="1"/>
  <c r="BD28" i="1"/>
  <c r="AZ28" i="1"/>
  <c r="AY28" i="1"/>
  <c r="BB28" i="1" s="1"/>
  <c r="AX28" i="1"/>
  <c r="AV28" i="1"/>
  <c r="AS28" i="1"/>
  <c r="AR28" i="1"/>
  <c r="AT28" i="1" s="1"/>
  <c r="AP28" i="1"/>
  <c r="AN28" i="1"/>
  <c r="AM28" i="1"/>
  <c r="AL28" i="1"/>
  <c r="AH28" i="1"/>
  <c r="AG28" i="1"/>
  <c r="AJ28" i="1" s="1"/>
  <c r="AF28" i="1"/>
  <c r="AB28" i="1"/>
  <c r="AA28" i="1"/>
  <c r="AD28" i="1" s="1"/>
  <c r="Z28" i="1"/>
  <c r="X28" i="1"/>
  <c r="W28" i="1"/>
  <c r="V28" i="1"/>
  <c r="U28" i="1"/>
  <c r="T28" i="1"/>
  <c r="R28" i="1"/>
  <c r="L28" i="1"/>
  <c r="K28" i="1"/>
  <c r="J28" i="1"/>
  <c r="G28" i="1"/>
  <c r="F28" i="1"/>
  <c r="B28" i="1"/>
  <c r="BM27" i="1"/>
  <c r="BL27" i="1"/>
  <c r="BK27" i="1"/>
  <c r="BN27" i="1" s="1"/>
  <c r="BJ27" i="1"/>
  <c r="BF27" i="1"/>
  <c r="BE27" i="1"/>
  <c r="BH27" i="1" s="1"/>
  <c r="BD27" i="1"/>
  <c r="AZ27" i="1"/>
  <c r="AY27" i="1"/>
  <c r="BB27" i="1" s="1"/>
  <c r="AX27" i="1"/>
  <c r="AV27" i="1"/>
  <c r="AS27" i="1"/>
  <c r="AR27" i="1"/>
  <c r="AT27" i="1" s="1"/>
  <c r="AM27" i="1"/>
  <c r="AP27" i="1" s="1"/>
  <c r="AL27" i="1"/>
  <c r="AN27" i="1" s="1"/>
  <c r="AJ27" i="1"/>
  <c r="AH27" i="1"/>
  <c r="AG27" i="1"/>
  <c r="AF27" i="1"/>
  <c r="AA27" i="1"/>
  <c r="AD27" i="1" s="1"/>
  <c r="Z27" i="1"/>
  <c r="AB27" i="1" s="1"/>
  <c r="X27" i="1"/>
  <c r="V27" i="1"/>
  <c r="U27" i="1"/>
  <c r="T27" i="1"/>
  <c r="R27" i="1"/>
  <c r="L27" i="1"/>
  <c r="K27" i="1"/>
  <c r="J27" i="1"/>
  <c r="G27" i="1"/>
  <c r="F27" i="1"/>
  <c r="B27" i="1"/>
  <c r="BN26" i="1"/>
  <c r="BK26" i="1"/>
  <c r="BJ26" i="1"/>
  <c r="BL26" i="1" s="1"/>
  <c r="BE26" i="1"/>
  <c r="BH26" i="1" s="1"/>
  <c r="BD26" i="1"/>
  <c r="BF26" i="1" s="1"/>
  <c r="AZ26" i="1"/>
  <c r="AY26" i="1"/>
  <c r="BB26" i="1" s="1"/>
  <c r="AX26" i="1"/>
  <c r="AT26" i="1"/>
  <c r="AS26" i="1"/>
  <c r="AV26" i="1" s="1"/>
  <c r="AR26" i="1"/>
  <c r="AN26" i="1"/>
  <c r="AM26" i="1"/>
  <c r="AP26" i="1" s="1"/>
  <c r="AL26" i="1"/>
  <c r="AH26" i="1"/>
  <c r="AG26" i="1"/>
  <c r="AJ26" i="1" s="1"/>
  <c r="AF26" i="1"/>
  <c r="AD26" i="1"/>
  <c r="AA26" i="1"/>
  <c r="Z26" i="1"/>
  <c r="AB26" i="1" s="1"/>
  <c r="U26" i="1"/>
  <c r="X26" i="1" s="1"/>
  <c r="T26" i="1"/>
  <c r="V26" i="1" s="1"/>
  <c r="R26" i="1"/>
  <c r="L26" i="1"/>
  <c r="K26" i="1"/>
  <c r="J26" i="1"/>
  <c r="G26" i="1"/>
  <c r="F26" i="1"/>
  <c r="B26" i="1"/>
  <c r="BN25" i="1"/>
  <c r="BK25" i="1"/>
  <c r="BJ25" i="1"/>
  <c r="BL25" i="1" s="1"/>
  <c r="BE25" i="1"/>
  <c r="BH25" i="1" s="1"/>
  <c r="BD25" i="1"/>
  <c r="BF25" i="1" s="1"/>
  <c r="AY25" i="1"/>
  <c r="BB25" i="1" s="1"/>
  <c r="AX25" i="1"/>
  <c r="AV25" i="1"/>
  <c r="AT25" i="1"/>
  <c r="AS25" i="1"/>
  <c r="AR25" i="1"/>
  <c r="AP25" i="1"/>
  <c r="AM25" i="1"/>
  <c r="AL25" i="1"/>
  <c r="AN25" i="1" s="1"/>
  <c r="AH25" i="1"/>
  <c r="AG25" i="1"/>
  <c r="AJ25" i="1" s="1"/>
  <c r="AF25" i="1"/>
  <c r="AA25" i="1"/>
  <c r="AD25" i="1" s="1"/>
  <c r="Z25" i="1"/>
  <c r="AB25" i="1" s="1"/>
  <c r="X25" i="1"/>
  <c r="V25" i="1"/>
  <c r="U25" i="1"/>
  <c r="T25" i="1"/>
  <c r="R25" i="1"/>
  <c r="L25" i="1"/>
  <c r="K25" i="1"/>
  <c r="J25" i="1"/>
  <c r="G25" i="1"/>
  <c r="F25" i="1"/>
  <c r="B25" i="1"/>
  <c r="BM24" i="1"/>
  <c r="BK24" i="1"/>
  <c r="BN24" i="1" s="1"/>
  <c r="BJ24" i="1"/>
  <c r="BL24" i="1" s="1"/>
  <c r="BG24" i="1"/>
  <c r="BE24" i="1"/>
  <c r="BH24" i="1" s="1"/>
  <c r="BD24" i="1"/>
  <c r="BF24" i="1" s="1"/>
  <c r="BA24" i="1"/>
  <c r="AZ24" i="1"/>
  <c r="AY24" i="1"/>
  <c r="BB24" i="1" s="1"/>
  <c r="AX24" i="1"/>
  <c r="AV24" i="1"/>
  <c r="AS24" i="1"/>
  <c r="AR24" i="1"/>
  <c r="AT24" i="1" s="1"/>
  <c r="AN24" i="1"/>
  <c r="AM24" i="1"/>
  <c r="AP24" i="1" s="1"/>
  <c r="AL24" i="1"/>
  <c r="AO24" i="1" s="1"/>
  <c r="AJ24" i="1"/>
  <c r="AG24" i="1"/>
  <c r="AF24" i="1"/>
  <c r="AI24" i="1" s="1"/>
  <c r="AD24" i="1"/>
  <c r="AC24" i="1"/>
  <c r="AB24" i="1"/>
  <c r="AA24" i="1"/>
  <c r="Z24" i="1"/>
  <c r="W24" i="1"/>
  <c r="U24" i="1"/>
  <c r="X24" i="1" s="1"/>
  <c r="T24" i="1"/>
  <c r="V24" i="1" s="1"/>
  <c r="R24" i="1"/>
  <c r="L24" i="1"/>
  <c r="K24" i="1"/>
  <c r="J24" i="1"/>
  <c r="AU24" i="1"/>
  <c r="G24" i="1"/>
  <c r="F24" i="1"/>
  <c r="B24" i="1"/>
  <c r="BL23" i="1"/>
  <c r="BK23" i="1"/>
  <c r="BN23" i="1" s="1"/>
  <c r="BJ23" i="1"/>
  <c r="BG23" i="1"/>
  <c r="BF23" i="1"/>
  <c r="BE23" i="1"/>
  <c r="BH23" i="1" s="1"/>
  <c r="BD23" i="1"/>
  <c r="BB23" i="1"/>
  <c r="BA23" i="1"/>
  <c r="AZ23" i="1"/>
  <c r="AY23" i="1"/>
  <c r="AX23" i="1"/>
  <c r="AU23" i="1"/>
  <c r="AS23" i="1"/>
  <c r="AV23" i="1" s="1"/>
  <c r="AR23" i="1"/>
  <c r="AT23" i="1" s="1"/>
  <c r="AP23" i="1"/>
  <c r="AO23" i="1"/>
  <c r="AM23" i="1"/>
  <c r="AL23" i="1"/>
  <c r="AN23" i="1" s="1"/>
  <c r="AJ23" i="1"/>
  <c r="AI23" i="1"/>
  <c r="AH23" i="1"/>
  <c r="AG23" i="1"/>
  <c r="AF23" i="1"/>
  <c r="AC23" i="1"/>
  <c r="AB23" i="1"/>
  <c r="AA23" i="1"/>
  <c r="AD23" i="1" s="1"/>
  <c r="Z23" i="1"/>
  <c r="U23" i="1"/>
  <c r="X23" i="1" s="1"/>
  <c r="T23" i="1"/>
  <c r="W23" i="1" s="1"/>
  <c r="R23" i="1"/>
  <c r="Q23" i="1"/>
  <c r="L23" i="1"/>
  <c r="K23" i="1"/>
  <c r="J23" i="1"/>
  <c r="BM23" i="1"/>
  <c r="G23" i="1"/>
  <c r="F23" i="1"/>
  <c r="B23" i="1"/>
  <c r="BK22" i="1"/>
  <c r="BN22" i="1" s="1"/>
  <c r="BJ22" i="1"/>
  <c r="BM22" i="1" s="1"/>
  <c r="BH22" i="1"/>
  <c r="BG22" i="1"/>
  <c r="BF22" i="1"/>
  <c r="BE22" i="1"/>
  <c r="BD22" i="1"/>
  <c r="AY22" i="1"/>
  <c r="BB22" i="1" s="1"/>
  <c r="AX22" i="1"/>
  <c r="AZ22" i="1" s="1"/>
  <c r="AU22" i="1"/>
  <c r="AT22" i="1"/>
  <c r="AS22" i="1"/>
  <c r="AV22" i="1" s="1"/>
  <c r="AR22" i="1"/>
  <c r="AM22" i="1"/>
  <c r="AP22" i="1" s="1"/>
  <c r="AL22" i="1"/>
  <c r="AO22" i="1" s="1"/>
  <c r="AJ22" i="1"/>
  <c r="AG22" i="1"/>
  <c r="AF22" i="1"/>
  <c r="AH22" i="1" s="1"/>
  <c r="AA22" i="1"/>
  <c r="AD22" i="1" s="1"/>
  <c r="Z22" i="1"/>
  <c r="AB22" i="1" s="1"/>
  <c r="X22" i="1"/>
  <c r="W22" i="1"/>
  <c r="V22" i="1"/>
  <c r="U22" i="1"/>
  <c r="T22" i="1"/>
  <c r="R22" i="1"/>
  <c r="Q22" i="1"/>
  <c r="L22" i="1"/>
  <c r="K22" i="1"/>
  <c r="J22" i="1"/>
  <c r="AC22" i="1"/>
  <c r="G22" i="1"/>
  <c r="F22" i="1"/>
  <c r="B22" i="1"/>
  <c r="BN21" i="1"/>
  <c r="BM21" i="1"/>
  <c r="BL21" i="1"/>
  <c r="BK21" i="1"/>
  <c r="BJ21" i="1"/>
  <c r="BH21" i="1"/>
  <c r="BG21" i="1"/>
  <c r="BF21" i="1"/>
  <c r="BE21" i="1"/>
  <c r="BD21" i="1"/>
  <c r="BB21" i="1"/>
  <c r="AZ21" i="1"/>
  <c r="AY21" i="1"/>
  <c r="AX21" i="1"/>
  <c r="AS21" i="1"/>
  <c r="AV21" i="1" s="1"/>
  <c r="AR21" i="1"/>
  <c r="AU21" i="1" s="1"/>
  <c r="AN21" i="1"/>
  <c r="AM21" i="1"/>
  <c r="AP21" i="1" s="1"/>
  <c r="AL21" i="1"/>
  <c r="AI21" i="1"/>
  <c r="AH21" i="1"/>
  <c r="AG21" i="1"/>
  <c r="AJ21" i="1" s="1"/>
  <c r="AF21" i="1"/>
  <c r="AA21" i="1"/>
  <c r="AD21" i="1" s="1"/>
  <c r="Z21" i="1"/>
  <c r="AB21" i="1" s="1"/>
  <c r="X21" i="1"/>
  <c r="W21" i="1"/>
  <c r="U21" i="1"/>
  <c r="T21" i="1"/>
  <c r="V21" i="1" s="1"/>
  <c r="R21" i="1"/>
  <c r="L21" i="1"/>
  <c r="K21" i="1"/>
  <c r="J21" i="1"/>
  <c r="AC21" i="1"/>
  <c r="G21" i="1"/>
  <c r="F21" i="1"/>
  <c r="B21" i="1"/>
  <c r="BN20" i="1"/>
  <c r="BL20" i="1"/>
  <c r="BK20" i="1"/>
  <c r="BJ20" i="1"/>
  <c r="BF20" i="1"/>
  <c r="BE20" i="1"/>
  <c r="BH20" i="1" s="1"/>
  <c r="BD20" i="1"/>
  <c r="BB20" i="1"/>
  <c r="AZ20" i="1"/>
  <c r="AY20" i="1"/>
  <c r="AX20" i="1"/>
  <c r="AT20" i="1"/>
  <c r="AS20" i="1"/>
  <c r="AV20" i="1" s="1"/>
  <c r="AR20" i="1"/>
  <c r="AM20" i="1"/>
  <c r="AP20" i="1" s="1"/>
  <c r="AL20" i="1"/>
  <c r="AN20" i="1" s="1"/>
  <c r="AI20" i="1"/>
  <c r="AH20" i="1"/>
  <c r="AG20" i="1"/>
  <c r="AJ20" i="1" s="1"/>
  <c r="AF20" i="1"/>
  <c r="AA20" i="1"/>
  <c r="AD20" i="1" s="1"/>
  <c r="Z20" i="1"/>
  <c r="AB20" i="1" s="1"/>
  <c r="U20" i="1"/>
  <c r="X20" i="1" s="1"/>
  <c r="T20" i="1"/>
  <c r="V20" i="1" s="1"/>
  <c r="R20" i="1"/>
  <c r="L20" i="1"/>
  <c r="K20" i="1"/>
  <c r="J20" i="1"/>
  <c r="BG20" i="1"/>
  <c r="G20" i="1"/>
  <c r="F20" i="1"/>
  <c r="B20" i="1"/>
  <c r="BL19" i="1"/>
  <c r="BK19" i="1"/>
  <c r="BN19" i="1" s="1"/>
  <c r="BJ19" i="1"/>
  <c r="BM19" i="1" s="1"/>
  <c r="BG19" i="1"/>
  <c r="BF19" i="1"/>
  <c r="BE19" i="1"/>
  <c r="BH19" i="1" s="1"/>
  <c r="BD19" i="1"/>
  <c r="BA19" i="1"/>
  <c r="AZ19" i="1"/>
  <c r="AY19" i="1"/>
  <c r="BB19" i="1" s="1"/>
  <c r="AX19" i="1"/>
  <c r="AV19" i="1"/>
  <c r="AS19" i="1"/>
  <c r="AR19" i="1"/>
  <c r="AT19" i="1" s="1"/>
  <c r="AN19" i="1"/>
  <c r="AM19" i="1"/>
  <c r="AP19" i="1" s="1"/>
  <c r="AL19" i="1"/>
  <c r="AO19" i="1" s="1"/>
  <c r="AJ19" i="1"/>
  <c r="AI19" i="1"/>
  <c r="AH19" i="1"/>
  <c r="AG19" i="1"/>
  <c r="AF19" i="1"/>
  <c r="AD19" i="1"/>
  <c r="AC19" i="1"/>
  <c r="AA19" i="1"/>
  <c r="Z19" i="1"/>
  <c r="AB19" i="1" s="1"/>
  <c r="W19" i="1"/>
  <c r="U19" i="1"/>
  <c r="X19" i="1" s="1"/>
  <c r="T19" i="1"/>
  <c r="V19" i="1" s="1"/>
  <c r="R19" i="1"/>
  <c r="L19" i="1"/>
  <c r="K19" i="1"/>
  <c r="J19" i="1"/>
  <c r="AU19" i="1"/>
  <c r="G19" i="1"/>
  <c r="F19" i="1"/>
  <c r="B19" i="1"/>
  <c r="BL18" i="1"/>
  <c r="BK18" i="1"/>
  <c r="BN18" i="1" s="1"/>
  <c r="BJ18" i="1"/>
  <c r="BE18" i="1"/>
  <c r="BH18" i="1" s="1"/>
  <c r="BD18" i="1"/>
  <c r="BB18" i="1"/>
  <c r="AY18" i="1"/>
  <c r="AX18" i="1"/>
  <c r="AZ18" i="1" s="1"/>
  <c r="AS18" i="1"/>
  <c r="AV18" i="1" s="1"/>
  <c r="AR18" i="1"/>
  <c r="AT18" i="1" s="1"/>
  <c r="AP18" i="1"/>
  <c r="AN18" i="1"/>
  <c r="AM18" i="1"/>
  <c r="AL18" i="1"/>
  <c r="AJ18" i="1"/>
  <c r="AH18" i="1"/>
  <c r="AG18" i="1"/>
  <c r="AF18" i="1"/>
  <c r="AD18" i="1"/>
  <c r="AA18" i="1"/>
  <c r="Z18" i="1"/>
  <c r="AB18" i="1" s="1"/>
  <c r="U18" i="1"/>
  <c r="X18" i="1" s="1"/>
  <c r="T18" i="1"/>
  <c r="W18" i="1" s="1"/>
  <c r="L18" i="1"/>
  <c r="K18" i="1"/>
  <c r="J18" i="1"/>
  <c r="G18" i="1"/>
  <c r="F18" i="1"/>
  <c r="B18" i="1"/>
  <c r="BK17" i="1"/>
  <c r="BN17" i="1" s="1"/>
  <c r="BJ17" i="1"/>
  <c r="BH17" i="1"/>
  <c r="BG17" i="1"/>
  <c r="BF17" i="1"/>
  <c r="BE17" i="1"/>
  <c r="BD17" i="1"/>
  <c r="BB17" i="1"/>
  <c r="AZ17" i="1"/>
  <c r="AY17" i="1"/>
  <c r="AX17" i="1"/>
  <c r="AV17" i="1"/>
  <c r="AT17" i="1"/>
  <c r="AS17" i="1"/>
  <c r="AR17" i="1"/>
  <c r="AP17" i="1"/>
  <c r="AN17" i="1"/>
  <c r="AM17" i="1"/>
  <c r="AL17" i="1"/>
  <c r="AI17" i="1"/>
  <c r="AH17" i="1"/>
  <c r="AG17" i="1"/>
  <c r="AJ17" i="1" s="1"/>
  <c r="AF17" i="1"/>
  <c r="AA17" i="1"/>
  <c r="AD17" i="1" s="1"/>
  <c r="Z17" i="1"/>
  <c r="AB17" i="1" s="1"/>
  <c r="V17" i="1"/>
  <c r="U17" i="1"/>
  <c r="X17" i="1" s="1"/>
  <c r="T17" i="1"/>
  <c r="L17" i="1"/>
  <c r="K17" i="1"/>
  <c r="J17" i="1"/>
  <c r="G17" i="1"/>
  <c r="F17" i="1"/>
  <c r="B17" i="1"/>
  <c r="BN16" i="1"/>
  <c r="BL16" i="1"/>
  <c r="BK16" i="1"/>
  <c r="BJ16" i="1"/>
  <c r="BF16" i="1"/>
  <c r="BE16" i="1"/>
  <c r="BH16" i="1" s="1"/>
  <c r="BD16" i="1"/>
  <c r="BB16" i="1"/>
  <c r="AZ16" i="1"/>
  <c r="AY16" i="1"/>
  <c r="AX16" i="1"/>
  <c r="AT16" i="1"/>
  <c r="AS16" i="1"/>
  <c r="AV16" i="1" s="1"/>
  <c r="AR16" i="1"/>
  <c r="AN16" i="1"/>
  <c r="AM16" i="1"/>
  <c r="AP16" i="1" s="1"/>
  <c r="AL16" i="1"/>
  <c r="AG16" i="1"/>
  <c r="AJ16" i="1" s="1"/>
  <c r="AF16" i="1"/>
  <c r="AH16" i="1" s="1"/>
  <c r="AD16" i="1"/>
  <c r="AA16" i="1"/>
  <c r="Z16" i="1"/>
  <c r="AB16" i="1" s="1"/>
  <c r="U16" i="1"/>
  <c r="X16" i="1" s="1"/>
  <c r="T16" i="1"/>
  <c r="V16" i="1" s="1"/>
  <c r="L16" i="1"/>
  <c r="K16" i="1"/>
  <c r="J16" i="1"/>
  <c r="G16" i="1"/>
  <c r="F16" i="1"/>
  <c r="B16" i="1"/>
  <c r="BK15" i="1"/>
  <c r="BN15" i="1" s="1"/>
  <c r="BJ15" i="1"/>
  <c r="BF15" i="1"/>
  <c r="BE15" i="1"/>
  <c r="BH15" i="1" s="1"/>
  <c r="BD15" i="1"/>
  <c r="BB15" i="1"/>
  <c r="AZ15" i="1"/>
  <c r="AY15" i="1"/>
  <c r="AX15" i="1"/>
  <c r="BA15" i="1" s="1"/>
  <c r="AS15" i="1"/>
  <c r="AV15" i="1" s="1"/>
  <c r="AR15" i="1"/>
  <c r="AT15" i="1" s="1"/>
  <c r="AM15" i="1"/>
  <c r="AP15" i="1" s="1"/>
  <c r="AL15" i="1"/>
  <c r="AJ15" i="1"/>
  <c r="AH15" i="1"/>
  <c r="AG15" i="1"/>
  <c r="AF15" i="1"/>
  <c r="AD15" i="1"/>
  <c r="AA15" i="1"/>
  <c r="Z15" i="1"/>
  <c r="AB15" i="1" s="1"/>
  <c r="U15" i="1"/>
  <c r="X15" i="1" s="1"/>
  <c r="T15" i="1"/>
  <c r="V15" i="1" s="1"/>
  <c r="L15" i="1"/>
  <c r="K15" i="1"/>
  <c r="J15" i="1"/>
  <c r="G15" i="1"/>
  <c r="F15" i="1"/>
  <c r="B15" i="1"/>
  <c r="BK14" i="1"/>
  <c r="BN14" i="1" s="1"/>
  <c r="BJ14" i="1"/>
  <c r="BL14" i="1" s="1"/>
  <c r="BF14" i="1"/>
  <c r="BE14" i="1"/>
  <c r="BH14" i="1" s="1"/>
  <c r="BD14" i="1"/>
  <c r="BB14" i="1"/>
  <c r="AY14" i="1"/>
  <c r="AX14" i="1"/>
  <c r="AZ14" i="1" s="1"/>
  <c r="AS14" i="1"/>
  <c r="AV14" i="1" s="1"/>
  <c r="AR14" i="1"/>
  <c r="AT14" i="1" s="1"/>
  <c r="AO14" i="1"/>
  <c r="AN14" i="1"/>
  <c r="AM14" i="1"/>
  <c r="AP14" i="1" s="1"/>
  <c r="AL14" i="1"/>
  <c r="AJ14" i="1"/>
  <c r="AI14" i="1"/>
  <c r="AH14" i="1"/>
  <c r="AG14" i="1"/>
  <c r="AF14" i="1"/>
  <c r="AD14" i="1"/>
  <c r="AB14" i="1"/>
  <c r="AA14" i="1"/>
  <c r="Z14" i="1"/>
  <c r="U14" i="1"/>
  <c r="X14" i="1" s="1"/>
  <c r="T14" i="1"/>
  <c r="V14" i="1" s="1"/>
  <c r="L14" i="1"/>
  <c r="K14" i="1"/>
  <c r="J14" i="1"/>
  <c r="BA14" i="1"/>
  <c r="G14" i="1"/>
  <c r="F14" i="1"/>
  <c r="B14" i="1"/>
  <c r="BK13" i="1"/>
  <c r="BN13" i="1" s="1"/>
  <c r="BJ13" i="1"/>
  <c r="BL13" i="1" s="1"/>
  <c r="BH13" i="1"/>
  <c r="BF13" i="1"/>
  <c r="BE13" i="1"/>
  <c r="BD13" i="1"/>
  <c r="AZ13" i="1"/>
  <c r="AY13" i="1"/>
  <c r="BB13" i="1" s="1"/>
  <c r="AX13" i="1"/>
  <c r="AS13" i="1"/>
  <c r="AV13" i="1" s="1"/>
  <c r="AR13" i="1"/>
  <c r="AT13" i="1" s="1"/>
  <c r="AP13" i="1"/>
  <c r="AN13" i="1"/>
  <c r="AM13" i="1"/>
  <c r="AL13" i="1"/>
  <c r="AG13" i="1"/>
  <c r="AJ13" i="1" s="1"/>
  <c r="AF13" i="1"/>
  <c r="AH13" i="1" s="1"/>
  <c r="AD13" i="1"/>
  <c r="AC13" i="1"/>
  <c r="AB13" i="1"/>
  <c r="AA13" i="1"/>
  <c r="Z13" i="1"/>
  <c r="U13" i="1"/>
  <c r="X13" i="1" s="1"/>
  <c r="T13" i="1"/>
  <c r="V13" i="1" s="1"/>
  <c r="L13" i="1"/>
  <c r="K13" i="1"/>
  <c r="J13" i="1"/>
  <c r="G13" i="1"/>
  <c r="F13" i="1"/>
  <c r="B13" i="1"/>
  <c r="BL12" i="1"/>
  <c r="BK12" i="1"/>
  <c r="BN12" i="1" s="1"/>
  <c r="BJ12" i="1"/>
  <c r="BE12" i="1"/>
  <c r="BH12" i="1" s="1"/>
  <c r="BD12" i="1"/>
  <c r="BF12" i="1" s="1"/>
  <c r="BB12" i="1"/>
  <c r="AZ12" i="1"/>
  <c r="AY12" i="1"/>
  <c r="AX12" i="1"/>
  <c r="AV12" i="1"/>
  <c r="AU12" i="1"/>
  <c r="AS12" i="1"/>
  <c r="AR12" i="1"/>
  <c r="AT12" i="1" s="1"/>
  <c r="AM12" i="1"/>
  <c r="AP12" i="1" s="1"/>
  <c r="AL12" i="1"/>
  <c r="AN12" i="1" s="1"/>
  <c r="AG12" i="1"/>
  <c r="AJ12" i="1" s="1"/>
  <c r="AF12" i="1"/>
  <c r="AH12" i="1" s="1"/>
  <c r="AD12" i="1"/>
  <c r="AC12" i="1"/>
  <c r="AB12" i="1"/>
  <c r="AA12" i="1"/>
  <c r="Z12" i="1"/>
  <c r="U12" i="1"/>
  <c r="X12" i="1" s="1"/>
  <c r="T12" i="1"/>
  <c r="V12" i="1" s="1"/>
  <c r="R12" i="1"/>
  <c r="L12" i="1"/>
  <c r="K12" i="1"/>
  <c r="J12" i="1"/>
  <c r="BG12" i="1"/>
  <c r="G12" i="1"/>
  <c r="F12" i="1"/>
  <c r="B12" i="1"/>
  <c r="BL11" i="1"/>
  <c r="BK11" i="1"/>
  <c r="BN11" i="1" s="1"/>
  <c r="BJ11" i="1"/>
  <c r="BM11" i="1" s="1"/>
  <c r="BE11" i="1"/>
  <c r="BH11" i="1" s="1"/>
  <c r="BD11" i="1"/>
  <c r="BG11" i="1" s="1"/>
  <c r="AY11" i="1"/>
  <c r="BB11" i="1" s="1"/>
  <c r="AX11" i="1"/>
  <c r="BA11" i="1" s="1"/>
  <c r="AV11" i="1"/>
  <c r="AS11" i="1"/>
  <c r="AR11" i="1"/>
  <c r="AT11" i="1" s="1"/>
  <c r="AN11" i="1"/>
  <c r="AM11" i="1"/>
  <c r="AP11" i="1" s="1"/>
  <c r="AL11" i="1"/>
  <c r="AO11" i="1" s="1"/>
  <c r="AJ11" i="1"/>
  <c r="AI11" i="1"/>
  <c r="AH11" i="1"/>
  <c r="AG11" i="1"/>
  <c r="AF11" i="1"/>
  <c r="AD11" i="1"/>
  <c r="AA11" i="1"/>
  <c r="Z11" i="1"/>
  <c r="AB11" i="1" s="1"/>
  <c r="W11" i="1"/>
  <c r="V11" i="1"/>
  <c r="U11" i="1"/>
  <c r="X11" i="1" s="1"/>
  <c r="T11" i="1"/>
  <c r="R11" i="1"/>
  <c r="L11" i="1"/>
  <c r="K11" i="1"/>
  <c r="J11" i="1"/>
  <c r="AU11" i="1"/>
  <c r="G11" i="1"/>
  <c r="F11" i="1"/>
  <c r="B11" i="1"/>
  <c r="BN10" i="1"/>
  <c r="BL10" i="1"/>
  <c r="BK10" i="1"/>
  <c r="BJ10" i="1"/>
  <c r="BE10" i="1"/>
  <c r="BH10" i="1" s="1"/>
  <c r="BD10" i="1"/>
  <c r="BF10" i="1" s="1"/>
  <c r="BB10" i="1"/>
  <c r="AY10" i="1"/>
  <c r="AX10" i="1"/>
  <c r="AZ10" i="1" s="1"/>
  <c r="AS10" i="1"/>
  <c r="AV10" i="1" s="1"/>
  <c r="AR10" i="1"/>
  <c r="AN10" i="1"/>
  <c r="AM10" i="1"/>
  <c r="AP10" i="1" s="1"/>
  <c r="AL10" i="1"/>
  <c r="AJ10" i="1"/>
  <c r="AH10" i="1"/>
  <c r="AG10" i="1"/>
  <c r="AF10" i="1"/>
  <c r="AD10" i="1"/>
  <c r="AB10" i="1"/>
  <c r="AA10" i="1"/>
  <c r="Z10" i="1"/>
  <c r="X10" i="1"/>
  <c r="V10" i="1"/>
  <c r="U10" i="1"/>
  <c r="T10" i="1"/>
  <c r="R10" i="1"/>
  <c r="L10" i="1"/>
  <c r="K10" i="1"/>
  <c r="J10" i="1"/>
  <c r="G10" i="1"/>
  <c r="F10" i="1"/>
  <c r="B10" i="1"/>
  <c r="BN9" i="1"/>
  <c r="BK9" i="1"/>
  <c r="BJ9" i="1"/>
  <c r="BL9" i="1" s="1"/>
  <c r="BH9" i="1"/>
  <c r="BF9" i="1"/>
  <c r="BE9" i="1"/>
  <c r="BD9" i="1"/>
  <c r="AY9" i="1"/>
  <c r="BB9" i="1" s="1"/>
  <c r="AX9" i="1"/>
  <c r="AZ9" i="1" s="1"/>
  <c r="AT9" i="1"/>
  <c r="AS9" i="1"/>
  <c r="AV9" i="1" s="1"/>
  <c r="AR9" i="1"/>
  <c r="AN9" i="1"/>
  <c r="AM9" i="1"/>
  <c r="AP9" i="1" s="1"/>
  <c r="AL9" i="1"/>
  <c r="AG9" i="1"/>
  <c r="AJ9" i="1" s="1"/>
  <c r="AF9" i="1"/>
  <c r="AH9" i="1" s="1"/>
  <c r="AB9" i="1"/>
  <c r="AA9" i="1"/>
  <c r="AD9" i="1" s="1"/>
  <c r="Z9" i="1"/>
  <c r="X9" i="1"/>
  <c r="U9" i="1"/>
  <c r="T9" i="1"/>
  <c r="V9" i="1" s="1"/>
  <c r="R9" i="1"/>
  <c r="L9" i="1"/>
  <c r="K9" i="1"/>
  <c r="J9" i="1"/>
  <c r="G9" i="1"/>
  <c r="F9" i="1"/>
  <c r="B9" i="1"/>
  <c r="BN8" i="1"/>
  <c r="BL8" i="1"/>
  <c r="BK8" i="1"/>
  <c r="BJ8" i="1"/>
  <c r="BE8" i="1"/>
  <c r="BH8" i="1" s="1"/>
  <c r="BD8" i="1"/>
  <c r="BF8" i="1" s="1"/>
  <c r="AY8" i="1"/>
  <c r="BB8" i="1" s="1"/>
  <c r="AX8" i="1"/>
  <c r="AZ8" i="1" s="1"/>
  <c r="AT8" i="1"/>
  <c r="AS8" i="1"/>
  <c r="AV8" i="1" s="1"/>
  <c r="AR8" i="1"/>
  <c r="AM8" i="1"/>
  <c r="AP8" i="1" s="1"/>
  <c r="AL8" i="1"/>
  <c r="AN8" i="1" s="1"/>
  <c r="AJ8" i="1"/>
  <c r="AG8" i="1"/>
  <c r="AF8" i="1"/>
  <c r="AH8" i="1" s="1"/>
  <c r="AB8" i="1"/>
  <c r="AA8" i="1"/>
  <c r="AD8" i="1" s="1"/>
  <c r="Z8" i="1"/>
  <c r="X8" i="1"/>
  <c r="V8" i="1"/>
  <c r="U8" i="1"/>
  <c r="T8" i="1"/>
  <c r="R8" i="1"/>
  <c r="L8" i="1"/>
  <c r="K8" i="1"/>
  <c r="J8" i="1"/>
  <c r="AC8" i="1"/>
  <c r="G8" i="1"/>
  <c r="F8" i="1"/>
  <c r="B8" i="1"/>
  <c r="BK7" i="1"/>
  <c r="BN7" i="1" s="1"/>
  <c r="BJ7" i="1"/>
  <c r="BL7" i="1" s="1"/>
  <c r="BG7" i="1"/>
  <c r="BF7" i="1"/>
  <c r="BE7" i="1"/>
  <c r="BH7" i="1" s="1"/>
  <c r="BD7" i="1"/>
  <c r="BA7" i="1"/>
  <c r="AY7" i="1"/>
  <c r="BB7" i="1" s="1"/>
  <c r="AX7" i="1"/>
  <c r="AZ7" i="1" s="1"/>
  <c r="AV7" i="1"/>
  <c r="AT7" i="1"/>
  <c r="AS7" i="1"/>
  <c r="AR7" i="1"/>
  <c r="AO7" i="1"/>
  <c r="AM7" i="1"/>
  <c r="AP7" i="1" s="1"/>
  <c r="AL7" i="1"/>
  <c r="AN7" i="1" s="1"/>
  <c r="AJ7" i="1"/>
  <c r="AG7" i="1"/>
  <c r="AF7" i="1"/>
  <c r="AA7" i="1"/>
  <c r="AD7" i="1" s="1"/>
  <c r="Z7" i="1"/>
  <c r="AB7" i="1" s="1"/>
  <c r="U7" i="1"/>
  <c r="X7" i="1" s="1"/>
  <c r="T7" i="1"/>
  <c r="V7" i="1" s="1"/>
  <c r="Q7" i="1"/>
  <c r="R7" i="1"/>
  <c r="L7" i="1"/>
  <c r="K7" i="1"/>
  <c r="J7" i="1"/>
  <c r="AU7" i="1"/>
  <c r="G7" i="1"/>
  <c r="F7" i="1"/>
  <c r="B7" i="1"/>
  <c r="BN6" i="1"/>
  <c r="BL6" i="1"/>
  <c r="BK6" i="1"/>
  <c r="BJ6" i="1"/>
  <c r="BH6" i="1"/>
  <c r="BF6" i="1"/>
  <c r="BE6" i="1"/>
  <c r="BD6" i="1"/>
  <c r="AY6" i="1"/>
  <c r="BB6" i="1" s="1"/>
  <c r="AX6" i="1"/>
  <c r="AZ6" i="1" s="1"/>
  <c r="AU6" i="1"/>
  <c r="AT6" i="1"/>
  <c r="AS6" i="1"/>
  <c r="AV6" i="1" s="1"/>
  <c r="AR6" i="1"/>
  <c r="AM6" i="1"/>
  <c r="AP6" i="1" s="1"/>
  <c r="AL6" i="1"/>
  <c r="AN6" i="1" s="1"/>
  <c r="AJ6" i="1"/>
  <c r="AG6" i="1"/>
  <c r="AF6" i="1"/>
  <c r="AH6" i="1" s="1"/>
  <c r="AD6" i="1"/>
  <c r="AB6" i="1"/>
  <c r="AA6" i="1"/>
  <c r="Z6" i="1"/>
  <c r="V6" i="1"/>
  <c r="U6" i="1"/>
  <c r="X6" i="1" s="1"/>
  <c r="T6" i="1"/>
  <c r="R6" i="1"/>
  <c r="L6" i="1"/>
  <c r="K6" i="1"/>
  <c r="J6" i="1"/>
  <c r="G6" i="1"/>
  <c r="F6" i="1"/>
  <c r="B6" i="1"/>
  <c r="BK5" i="1"/>
  <c r="BN5" i="1" s="1"/>
  <c r="BJ5" i="1"/>
  <c r="BL5" i="1" s="1"/>
  <c r="BH5" i="1"/>
  <c r="BE5" i="1"/>
  <c r="BD5" i="1"/>
  <c r="BF5" i="1" s="1"/>
  <c r="AY5" i="1"/>
  <c r="BB5" i="1" s="1"/>
  <c r="AX5" i="1"/>
  <c r="AZ5" i="1" s="1"/>
  <c r="AV5" i="1"/>
  <c r="AU5" i="1"/>
  <c r="AS5" i="1"/>
  <c r="AR5" i="1"/>
  <c r="AT5" i="1" s="1"/>
  <c r="AO5" i="1"/>
  <c r="AN5" i="1"/>
  <c r="AM5" i="1"/>
  <c r="AP5" i="1" s="1"/>
  <c r="AL5" i="1"/>
  <c r="AG5" i="1"/>
  <c r="AJ5" i="1" s="1"/>
  <c r="AF5" i="1"/>
  <c r="AH5" i="1" s="1"/>
  <c r="AC5" i="1"/>
  <c r="AB5" i="1"/>
  <c r="AA5" i="1"/>
  <c r="AD5" i="1" s="1"/>
  <c r="Z5" i="1"/>
  <c r="U5" i="1"/>
  <c r="X5" i="1" s="1"/>
  <c r="T5" i="1"/>
  <c r="V5" i="1" s="1"/>
  <c r="R5" i="1"/>
  <c r="L5" i="1"/>
  <c r="K5" i="1"/>
  <c r="J5" i="1"/>
  <c r="G5" i="1"/>
  <c r="F5" i="1"/>
  <c r="B5" i="1"/>
  <c r="BL4" i="1"/>
  <c r="BK4" i="1"/>
  <c r="BN4" i="1" s="1"/>
  <c r="BJ4" i="1"/>
  <c r="BH4" i="1"/>
  <c r="BE4" i="1"/>
  <c r="BD4" i="1"/>
  <c r="BF4" i="1" s="1"/>
  <c r="BA4" i="1"/>
  <c r="AY4" i="1"/>
  <c r="BB4" i="1" s="1"/>
  <c r="AX4" i="1"/>
  <c r="AZ4" i="1" s="1"/>
  <c r="AT4" i="1"/>
  <c r="AS4" i="1"/>
  <c r="AV4" i="1" s="1"/>
  <c r="AR4" i="1"/>
  <c r="AN4" i="1"/>
  <c r="AM4" i="1"/>
  <c r="AP4" i="1" s="1"/>
  <c r="AL4" i="1"/>
  <c r="AI4" i="1"/>
  <c r="AH4" i="1"/>
  <c r="AG4" i="1"/>
  <c r="AJ4" i="1" s="1"/>
  <c r="AF4" i="1"/>
  <c r="AD4" i="1"/>
  <c r="AB4" i="1"/>
  <c r="AA4" i="1"/>
  <c r="Z4" i="1"/>
  <c r="X4" i="1"/>
  <c r="V4" i="1"/>
  <c r="U4" i="1"/>
  <c r="T4" i="1"/>
  <c r="R4" i="1"/>
  <c r="L4" i="1"/>
  <c r="K4" i="1"/>
  <c r="J4" i="1"/>
  <c r="AC4" i="1"/>
  <c r="G4" i="1"/>
  <c r="F4" i="1"/>
  <c r="B4" i="1"/>
  <c r="BK3" i="1"/>
  <c r="BN3" i="1" s="1"/>
  <c r="BJ3" i="1"/>
  <c r="BL3" i="1" s="1"/>
  <c r="BE3" i="1"/>
  <c r="BH3" i="1" s="1"/>
  <c r="BD3" i="1"/>
  <c r="BB3" i="1"/>
  <c r="AY3" i="1"/>
  <c r="AX3" i="1"/>
  <c r="BA3" i="1" s="1"/>
  <c r="AT3" i="1"/>
  <c r="AS3" i="1"/>
  <c r="AV3" i="1" s="1"/>
  <c r="AR3" i="1"/>
  <c r="AP3" i="1"/>
  <c r="AO3" i="1"/>
  <c r="AN3" i="1"/>
  <c r="AM3" i="1"/>
  <c r="AL3" i="1"/>
  <c r="AG3" i="1"/>
  <c r="AJ3" i="1" s="1"/>
  <c r="AF3" i="1"/>
  <c r="AI3" i="1" s="1"/>
  <c r="AD3" i="1"/>
  <c r="AC3" i="1"/>
  <c r="AA3" i="1"/>
  <c r="Z3" i="1"/>
  <c r="AB3" i="1" s="1"/>
  <c r="W3" i="1"/>
  <c r="U3" i="1"/>
  <c r="X3" i="1" s="1"/>
  <c r="T3" i="1"/>
  <c r="V3" i="1" s="1"/>
  <c r="R3" i="1"/>
  <c r="L3" i="1"/>
  <c r="K3" i="1"/>
  <c r="J3" i="1"/>
  <c r="AU3" i="1"/>
  <c r="G3" i="1"/>
  <c r="F3" i="1"/>
  <c r="B3" i="1"/>
  <c r="BN2" i="1"/>
  <c r="BL2" i="1"/>
  <c r="BK2" i="1"/>
  <c r="BJ2" i="1"/>
  <c r="BE2" i="1"/>
  <c r="BH2" i="1" s="1"/>
  <c r="BD2" i="1"/>
  <c r="BF2" i="1" s="1"/>
  <c r="AY2" i="1"/>
  <c r="BB2" i="1" s="1"/>
  <c r="AX2" i="1"/>
  <c r="AZ2" i="1" s="1"/>
  <c r="AT2" i="1"/>
  <c r="AS2" i="1"/>
  <c r="AV2" i="1" s="1"/>
  <c r="AR2" i="1"/>
  <c r="AP2" i="1"/>
  <c r="AN2" i="1"/>
  <c r="AM2" i="1"/>
  <c r="AL2" i="1"/>
  <c r="AJ2" i="1"/>
  <c r="AG2" i="1"/>
  <c r="AF2" i="1"/>
  <c r="AH2" i="1" s="1"/>
  <c r="AD2" i="1"/>
  <c r="AB2" i="1"/>
  <c r="AA2" i="1"/>
  <c r="Z2" i="1"/>
  <c r="V2" i="1"/>
  <c r="U2" i="1"/>
  <c r="X2" i="1" s="1"/>
  <c r="T2" i="1"/>
  <c r="R2" i="1"/>
  <c r="L2" i="1"/>
  <c r="K2" i="1"/>
  <c r="J2" i="1"/>
  <c r="AO2" i="1"/>
  <c r="G2" i="1"/>
  <c r="F2" i="1"/>
  <c r="B2" i="1"/>
  <c r="S13" i="3" s="1"/>
  <c r="W15" i="1" l="1"/>
  <c r="AO17" i="1"/>
  <c r="BA18" i="1"/>
  <c r="AO26" i="1"/>
  <c r="Q31" i="1"/>
  <c r="AU31" i="1"/>
  <c r="AU34" i="1"/>
  <c r="Q50" i="1"/>
  <c r="Q57" i="1"/>
  <c r="AI63" i="1"/>
  <c r="W65" i="1"/>
  <c r="BM17" i="1"/>
  <c r="AU65" i="1"/>
  <c r="BG9" i="1"/>
  <c r="AU10" i="1"/>
  <c r="BA16" i="1"/>
  <c r="BM41" i="1"/>
  <c r="AC42" i="1"/>
  <c r="BA42" i="1"/>
  <c r="AU50" i="1"/>
  <c r="AU57" i="1"/>
  <c r="Q63" i="1"/>
  <c r="BA26" i="1"/>
  <c r="AI9" i="1"/>
  <c r="BG15" i="1"/>
  <c r="AU17" i="1"/>
  <c r="AU25" i="1"/>
  <c r="W50" i="1"/>
  <c r="BA57" i="1"/>
  <c r="BA65" i="1"/>
  <c r="Q66" i="1"/>
  <c r="W48" i="1"/>
  <c r="AO58" i="1"/>
  <c r="AC9" i="1"/>
  <c r="W10" i="1"/>
  <c r="AC15" i="1"/>
  <c r="W34" i="1"/>
  <c r="Q58" i="1"/>
  <c r="W66" i="1"/>
  <c r="AU18" i="1"/>
  <c r="AI18" i="1"/>
  <c r="AC65" i="1"/>
  <c r="AO9" i="1"/>
  <c r="AU47" i="1"/>
  <c r="Q62" i="1"/>
  <c r="BA62" i="1"/>
  <c r="AI10" i="1"/>
  <c r="AC25" i="1"/>
  <c r="AI31" i="1"/>
  <c r="AU32" i="1"/>
  <c r="BM42" i="1"/>
  <c r="AI48" i="1"/>
  <c r="AC57" i="1"/>
  <c r="AI60" i="1"/>
  <c r="W33" i="1"/>
  <c r="BM9" i="1"/>
  <c r="AU15" i="1"/>
  <c r="AC34" i="1"/>
  <c r="BG34" i="1"/>
  <c r="AC61" i="1"/>
  <c r="AI65" i="1"/>
  <c r="BM50" i="1"/>
  <c r="Q18" i="1"/>
  <c r="AC31" i="1"/>
  <c r="BM31" i="1"/>
  <c r="BG50" i="1"/>
  <c r="AO66" i="1"/>
  <c r="AO44" i="1"/>
  <c r="AC33" i="1"/>
  <c r="Q65" i="1"/>
  <c r="BA25" i="1"/>
  <c r="AZ25" i="1"/>
  <c r="AI30" i="1"/>
  <c r="AO30" i="1"/>
  <c r="BG30" i="1"/>
  <c r="AC30" i="1"/>
  <c r="BA30" i="1"/>
  <c r="AO55" i="1"/>
  <c r="AC55" i="1"/>
  <c r="BA55" i="1"/>
  <c r="AU55" i="1"/>
  <c r="BM55" i="1"/>
  <c r="Q55" i="1"/>
  <c r="AI55" i="1"/>
  <c r="AZ3" i="1"/>
  <c r="W5" i="1"/>
  <c r="BM30" i="1"/>
  <c r="Q45" i="1"/>
  <c r="AU53" i="1"/>
  <c r="AU68" i="1"/>
  <c r="S6" i="3"/>
  <c r="BM15" i="1"/>
  <c r="BL15" i="1"/>
  <c r="BG49" i="1"/>
  <c r="Q49" i="1"/>
  <c r="AI49" i="1"/>
  <c r="BA49" i="1"/>
  <c r="AU49" i="1"/>
  <c r="BM49" i="1"/>
  <c r="AC6" i="1"/>
  <c r="AI6" i="1"/>
  <c r="BM6" i="1"/>
  <c r="W6" i="1"/>
  <c r="BG6" i="1"/>
  <c r="W8" i="1"/>
  <c r="BA8" i="1"/>
  <c r="AO8" i="1"/>
  <c r="AC11" i="1"/>
  <c r="AZ11" i="1"/>
  <c r="AO15" i="1"/>
  <c r="AN15" i="1"/>
  <c r="AO49" i="1"/>
  <c r="Q68" i="1"/>
  <c r="BG37" i="1"/>
  <c r="AC37" i="1"/>
  <c r="AU37" i="1"/>
  <c r="BM37" i="1"/>
  <c r="AO37" i="1"/>
  <c r="Q37" i="1"/>
  <c r="W37" i="1"/>
  <c r="AI37" i="1"/>
  <c r="V72" i="1"/>
  <c r="W72" i="1"/>
  <c r="R21" i="3"/>
  <c r="BL35" i="1"/>
  <c r="BM35" i="1"/>
  <c r="AU69" i="1"/>
  <c r="AT69" i="1"/>
  <c r="BL47" i="1"/>
  <c r="BM47" i="1"/>
  <c r="AH3" i="1"/>
  <c r="BG3" i="1"/>
  <c r="BF3" i="1"/>
  <c r="AO4" i="1"/>
  <c r="BM4" i="1"/>
  <c r="BG8" i="1"/>
  <c r="AT10" i="1"/>
  <c r="Q12" i="1"/>
  <c r="W16" i="1"/>
  <c r="AO16" i="1"/>
  <c r="Q16" i="1"/>
  <c r="BG16" i="1"/>
  <c r="AI16" i="1"/>
  <c r="BG31" i="1"/>
  <c r="BF31" i="1"/>
  <c r="AI52" i="1"/>
  <c r="AH52" i="1"/>
  <c r="W7" i="1"/>
  <c r="AI8" i="1"/>
  <c r="BF11" i="1"/>
  <c r="BL17" i="1"/>
  <c r="V18" i="1"/>
  <c r="AO6" i="1"/>
  <c r="W9" i="1"/>
  <c r="AC20" i="1"/>
  <c r="AT21" i="1"/>
  <c r="AC26" i="1"/>
  <c r="Q28" i="1"/>
  <c r="AI28" i="1"/>
  <c r="BA28" i="1"/>
  <c r="AC28" i="1"/>
  <c r="AO28" i="1"/>
  <c r="BG28" i="1"/>
  <c r="Q30" i="1"/>
  <c r="AH31" i="1"/>
  <c r="AI67" i="1"/>
  <c r="AH67" i="1"/>
  <c r="AC2" i="1"/>
  <c r="BG2" i="1"/>
  <c r="Q2" i="1"/>
  <c r="AU2" i="1"/>
  <c r="BM2" i="1"/>
  <c r="W2" i="1"/>
  <c r="AI7" i="1"/>
  <c r="AH7" i="1"/>
  <c r="Q25" i="1"/>
  <c r="AI2" i="1"/>
  <c r="Q13" i="1"/>
  <c r="BA13" i="1"/>
  <c r="BG13" i="1"/>
  <c r="AU13" i="1"/>
  <c r="BM13" i="1"/>
  <c r="W13" i="1"/>
  <c r="AI13" i="1"/>
  <c r="S456" i="3"/>
  <c r="O455" i="3"/>
  <c r="R453" i="3"/>
  <c r="O452" i="3"/>
  <c r="P447" i="3"/>
  <c r="R443" i="3"/>
  <c r="P442" i="3"/>
  <c r="S438" i="3"/>
  <c r="O437" i="3"/>
  <c r="O432" i="3"/>
  <c r="Q428" i="3"/>
  <c r="N427" i="3"/>
  <c r="S423" i="3"/>
  <c r="R418" i="3"/>
  <c r="P417" i="3"/>
  <c r="O411" i="3"/>
  <c r="Q453" i="3"/>
  <c r="N452" i="3"/>
  <c r="Q443" i="3"/>
  <c r="O442" i="3"/>
  <c r="R438" i="3"/>
  <c r="N437" i="3"/>
  <c r="N432" i="3"/>
  <c r="R423" i="3"/>
  <c r="Q418" i="3"/>
  <c r="O417" i="3"/>
  <c r="O399" i="3"/>
  <c r="R394" i="3"/>
  <c r="P453" i="3"/>
  <c r="P443" i="3"/>
  <c r="N442" i="3"/>
  <c r="Q438" i="3"/>
  <c r="T434" i="3"/>
  <c r="P423" i="3"/>
  <c r="P418" i="3"/>
  <c r="N417" i="3"/>
  <c r="T407" i="3"/>
  <c r="Q406" i="3"/>
  <c r="O443" i="3"/>
  <c r="T439" i="3"/>
  <c r="P438" i="3"/>
  <c r="S434" i="3"/>
  <c r="T424" i="3"/>
  <c r="N423" i="3"/>
  <c r="O418" i="3"/>
  <c r="S407" i="3"/>
  <c r="R395" i="3"/>
  <c r="P394" i="3"/>
  <c r="T383" i="3"/>
  <c r="T456" i="3"/>
  <c r="N453" i="3"/>
  <c r="O448" i="3"/>
  <c r="N443" i="3"/>
  <c r="S439" i="3"/>
  <c r="N438" i="3"/>
  <c r="T435" i="3"/>
  <c r="R434" i="3"/>
  <c r="R424" i="3"/>
  <c r="N418" i="3"/>
  <c r="R407" i="3"/>
  <c r="T402" i="3"/>
  <c r="Q395" i="3"/>
  <c r="O394" i="3"/>
  <c r="Q456" i="3"/>
  <c r="R439" i="3"/>
  <c r="S435" i="3"/>
  <c r="Q434" i="3"/>
  <c r="T430" i="3"/>
  <c r="P429" i="3"/>
  <c r="P424" i="3"/>
  <c r="R420" i="3"/>
  <c r="O419" i="3"/>
  <c r="Q458" i="3"/>
  <c r="T450" i="3"/>
  <c r="P439" i="3"/>
  <c r="R435" i="3"/>
  <c r="P434" i="3"/>
  <c r="O424" i="3"/>
  <c r="R408" i="3"/>
  <c r="O407" i="3"/>
  <c r="R402" i="3"/>
  <c r="O395" i="3"/>
  <c r="S390" i="3"/>
  <c r="S450" i="3"/>
  <c r="T440" i="3"/>
  <c r="N439" i="3"/>
  <c r="Q435" i="3"/>
  <c r="O434" i="3"/>
  <c r="N424" i="3"/>
  <c r="T409" i="3"/>
  <c r="Q408" i="3"/>
  <c r="N407" i="3"/>
  <c r="S403" i="3"/>
  <c r="Q402" i="3"/>
  <c r="N395" i="3"/>
  <c r="R390" i="3"/>
  <c r="R378" i="3"/>
  <c r="T451" i="3"/>
  <c r="R450" i="3"/>
  <c r="R440" i="3"/>
  <c r="P435" i="3"/>
  <c r="N434" i="3"/>
  <c r="T426" i="3"/>
  <c r="S415" i="3"/>
  <c r="S409" i="3"/>
  <c r="P408" i="3"/>
  <c r="S451" i="3"/>
  <c r="Q450" i="3"/>
  <c r="O435" i="3"/>
  <c r="T431" i="3"/>
  <c r="S426" i="3"/>
  <c r="T410" i="3"/>
  <c r="O402" i="3"/>
  <c r="S391" i="3"/>
  <c r="P390" i="3"/>
  <c r="R451" i="3"/>
  <c r="P450" i="3"/>
  <c r="N435" i="3"/>
  <c r="T427" i="3"/>
  <c r="R426" i="3"/>
  <c r="T416" i="3"/>
  <c r="P415" i="3"/>
  <c r="S410" i="3"/>
  <c r="Q409" i="3"/>
  <c r="N408" i="3"/>
  <c r="P403" i="3"/>
  <c r="N402" i="3"/>
  <c r="T398" i="3"/>
  <c r="Q397" i="3"/>
  <c r="R391" i="3"/>
  <c r="N390" i="3"/>
  <c r="T452" i="3"/>
  <c r="Q451" i="3"/>
  <c r="O450" i="3"/>
  <c r="T437" i="3"/>
  <c r="R431" i="3"/>
  <c r="S427" i="3"/>
  <c r="Q426" i="3"/>
  <c r="T422" i="3"/>
  <c r="P421" i="3"/>
  <c r="R416" i="3"/>
  <c r="O415" i="3"/>
  <c r="R410" i="3"/>
  <c r="P409" i="3"/>
  <c r="O403" i="3"/>
  <c r="S452" i="3"/>
  <c r="P451" i="3"/>
  <c r="N450" i="3"/>
  <c r="T442" i="3"/>
  <c r="Q441" i="3"/>
  <c r="S437" i="3"/>
  <c r="O436" i="3"/>
  <c r="P431" i="3"/>
  <c r="R427" i="3"/>
  <c r="P426" i="3"/>
  <c r="S422" i="3"/>
  <c r="O421" i="3"/>
  <c r="R455" i="3"/>
  <c r="R452" i="3"/>
  <c r="O451" i="3"/>
  <c r="T447" i="3"/>
  <c r="P446" i="3"/>
  <c r="S442" i="3"/>
  <c r="P441" i="3"/>
  <c r="R437" i="3"/>
  <c r="N436" i="3"/>
  <c r="T432" i="3"/>
  <c r="N431" i="3"/>
  <c r="T428" i="3"/>
  <c r="Q427" i="3"/>
  <c r="O426" i="3"/>
  <c r="R422" i="3"/>
  <c r="N421" i="3"/>
  <c r="S417" i="3"/>
  <c r="P416" i="3"/>
  <c r="R411" i="3"/>
  <c r="P410" i="3"/>
  <c r="N409" i="3"/>
  <c r="T399" i="3"/>
  <c r="Q398" i="3"/>
  <c r="N397" i="3"/>
  <c r="T453" i="3"/>
  <c r="Q452" i="3"/>
  <c r="N451" i="3"/>
  <c r="T443" i="3"/>
  <c r="R442" i="3"/>
  <c r="P427" i="3"/>
  <c r="N426" i="3"/>
  <c r="T418" i="3"/>
  <c r="O410" i="3"/>
  <c r="S399" i="3"/>
  <c r="P455" i="3"/>
  <c r="S453" i="3"/>
  <c r="P452" i="3"/>
  <c r="R447" i="3"/>
  <c r="S443" i="3"/>
  <c r="Q442" i="3"/>
  <c r="T438" i="3"/>
  <c r="P437" i="3"/>
  <c r="R428" i="3"/>
  <c r="O427" i="3"/>
  <c r="T423" i="3"/>
  <c r="P422" i="3"/>
  <c r="S418" i="3"/>
  <c r="Q417" i="3"/>
  <c r="N416" i="3"/>
  <c r="P411" i="3"/>
  <c r="N410" i="3"/>
  <c r="T406" i="3"/>
  <c r="R399" i="3"/>
  <c r="N398" i="3"/>
  <c r="T394" i="3"/>
  <c r="O392" i="3"/>
  <c r="Q387" i="3"/>
  <c r="O386" i="3"/>
  <c r="P374" i="3"/>
  <c r="S397" i="3"/>
  <c r="O393" i="3"/>
  <c r="P391" i="3"/>
  <c r="S387" i="3"/>
  <c r="S379" i="3"/>
  <c r="O378" i="3"/>
  <c r="O365" i="3"/>
  <c r="T417" i="3"/>
  <c r="S406" i="3"/>
  <c r="O397" i="3"/>
  <c r="O391" i="3"/>
  <c r="R387" i="3"/>
  <c r="O384" i="3"/>
  <c r="P399" i="3"/>
  <c r="N391" i="3"/>
  <c r="P387" i="3"/>
  <c r="N384" i="3"/>
  <c r="Q379" i="3"/>
  <c r="S367" i="3"/>
  <c r="T362" i="3"/>
  <c r="S357" i="3"/>
  <c r="S414" i="3"/>
  <c r="S411" i="3"/>
  <c r="T401" i="3"/>
  <c r="N399" i="3"/>
  <c r="N387" i="3"/>
  <c r="P379" i="3"/>
  <c r="R367" i="3"/>
  <c r="S362" i="3"/>
  <c r="R357" i="3"/>
  <c r="R347" i="3"/>
  <c r="R403" i="3"/>
  <c r="Q401" i="3"/>
  <c r="T408" i="3"/>
  <c r="N403" i="3"/>
  <c r="N401" i="3"/>
  <c r="S394" i="3"/>
  <c r="T392" i="3"/>
  <c r="Q385" i="3"/>
  <c r="R368" i="3"/>
  <c r="O367" i="3"/>
  <c r="O362" i="3"/>
  <c r="Q416" i="3"/>
  <c r="S396" i="3"/>
  <c r="Q394" i="3"/>
  <c r="R392" i="3"/>
  <c r="P385" i="3"/>
  <c r="R380" i="3"/>
  <c r="Q376" i="3"/>
  <c r="T373" i="3"/>
  <c r="Q368" i="3"/>
  <c r="N367" i="3"/>
  <c r="N394" i="3"/>
  <c r="Q392" i="3"/>
  <c r="T390" i="3"/>
  <c r="S373" i="3"/>
  <c r="T369" i="3"/>
  <c r="P368" i="3"/>
  <c r="P413" i="3"/>
  <c r="Q410" i="3"/>
  <c r="R398" i="3"/>
  <c r="N392" i="3"/>
  <c r="Q390" i="3"/>
  <c r="T386" i="3"/>
  <c r="N388" i="3"/>
  <c r="S386" i="3"/>
  <c r="R383" i="3"/>
  <c r="S402" i="3"/>
  <c r="R386" i="3"/>
  <c r="P383" i="3"/>
  <c r="T374" i="3"/>
  <c r="P373" i="3"/>
  <c r="Q369" i="3"/>
  <c r="P407" i="3"/>
  <c r="P402" i="3"/>
  <c r="Q386" i="3"/>
  <c r="N383" i="3"/>
  <c r="T378" i="3"/>
  <c r="N415" i="3"/>
  <c r="P386" i="3"/>
  <c r="S378" i="3"/>
  <c r="R374" i="3"/>
  <c r="N373" i="3"/>
  <c r="R365" i="3"/>
  <c r="N349" i="3"/>
  <c r="Q404" i="3"/>
  <c r="S395" i="3"/>
  <c r="T393" i="3"/>
  <c r="N386" i="3"/>
  <c r="Q378" i="3"/>
  <c r="O409" i="3"/>
  <c r="P395" i="3"/>
  <c r="Q393" i="3"/>
  <c r="T391" i="3"/>
  <c r="T387" i="3"/>
  <c r="T384" i="3"/>
  <c r="P378" i="3"/>
  <c r="N374" i="3"/>
  <c r="R373" i="3"/>
  <c r="S369" i="3"/>
  <c r="P364" i="3"/>
  <c r="R359" i="3"/>
  <c r="R329" i="3"/>
  <c r="O328" i="3"/>
  <c r="R323" i="3"/>
  <c r="T318" i="3"/>
  <c r="R317" i="3"/>
  <c r="T380" i="3"/>
  <c r="Q373" i="3"/>
  <c r="R371" i="3"/>
  <c r="R369" i="3"/>
  <c r="Q359" i="3"/>
  <c r="Q317" i="3"/>
  <c r="R305" i="3"/>
  <c r="R293" i="3"/>
  <c r="N380" i="3"/>
  <c r="O373" i="3"/>
  <c r="N371" i="3"/>
  <c r="P369" i="3"/>
  <c r="T367" i="3"/>
  <c r="R362" i="3"/>
  <c r="P359" i="3"/>
  <c r="O352" i="3"/>
  <c r="S349" i="3"/>
  <c r="O348" i="3"/>
  <c r="S341" i="3"/>
  <c r="Q367" i="3"/>
  <c r="P362" i="3"/>
  <c r="O359" i="3"/>
  <c r="N352" i="3"/>
  <c r="R349" i="3"/>
  <c r="N348" i="3"/>
  <c r="P345" i="3"/>
  <c r="T337" i="3"/>
  <c r="T325" i="3"/>
  <c r="O323" i="3"/>
  <c r="Q318" i="3"/>
  <c r="O317" i="3"/>
  <c r="T385" i="3"/>
  <c r="P367" i="3"/>
  <c r="S365" i="3"/>
  <c r="Q349" i="3"/>
  <c r="T342" i="3"/>
  <c r="S337" i="3"/>
  <c r="P330" i="3"/>
  <c r="R385" i="3"/>
  <c r="R382" i="3"/>
  <c r="R377" i="3"/>
  <c r="Q365" i="3"/>
  <c r="P349" i="3"/>
  <c r="S342" i="3"/>
  <c r="O341" i="3"/>
  <c r="R337" i="3"/>
  <c r="O330" i="3"/>
  <c r="R325" i="3"/>
  <c r="N382" i="3"/>
  <c r="R379" i="3"/>
  <c r="N365" i="3"/>
  <c r="T354" i="3"/>
  <c r="P342" i="3"/>
  <c r="P325" i="3"/>
  <c r="Q307" i="3"/>
  <c r="Q301" i="3"/>
  <c r="Q276" i="3"/>
  <c r="R252" i="3"/>
  <c r="O379" i="3"/>
  <c r="T370" i="3"/>
  <c r="R363" i="3"/>
  <c r="Q357" i="3"/>
  <c r="S354" i="3"/>
  <c r="P346" i="3"/>
  <c r="R343" i="3"/>
  <c r="O342" i="3"/>
  <c r="N379" i="3"/>
  <c r="S374" i="3"/>
  <c r="R370" i="3"/>
  <c r="T368" i="3"/>
  <c r="Q363" i="3"/>
  <c r="P357" i="3"/>
  <c r="R354" i="3"/>
  <c r="O350" i="3"/>
  <c r="T376" i="3"/>
  <c r="Q374" i="3"/>
  <c r="P370" i="3"/>
  <c r="S368" i="3"/>
  <c r="T366" i="3"/>
  <c r="O363" i="3"/>
  <c r="O357" i="3"/>
  <c r="P354" i="3"/>
  <c r="S351" i="3"/>
  <c r="N350" i="3"/>
  <c r="T347" i="3"/>
  <c r="T334" i="3"/>
  <c r="R333" i="3"/>
  <c r="P314" i="3"/>
  <c r="O368" i="3"/>
  <c r="S366" i="3"/>
  <c r="N363" i="3"/>
  <c r="T361" i="3"/>
  <c r="N357" i="3"/>
  <c r="O354" i="3"/>
  <c r="Q347" i="3"/>
  <c r="Q333" i="3"/>
  <c r="R309" i="3"/>
  <c r="N368" i="3"/>
  <c r="Q366" i="3"/>
  <c r="S361" i="3"/>
  <c r="R358" i="3"/>
  <c r="Q351" i="3"/>
  <c r="O347" i="3"/>
  <c r="N366" i="3"/>
  <c r="T364" i="3"/>
  <c r="Q361" i="3"/>
  <c r="Q358" i="3"/>
  <c r="P351" i="3"/>
  <c r="N347" i="3"/>
  <c r="Q334" i="3"/>
  <c r="O333" i="3"/>
  <c r="R328" i="3"/>
  <c r="S364" i="3"/>
  <c r="T359" i="3"/>
  <c r="P358" i="3"/>
  <c r="N378" i="3"/>
  <c r="Q364" i="3"/>
  <c r="S359" i="3"/>
  <c r="O358" i="3"/>
  <c r="S352" i="3"/>
  <c r="S348" i="3"/>
  <c r="O334" i="3"/>
  <c r="S329" i="3"/>
  <c r="P328" i="3"/>
  <c r="P365" i="3"/>
  <c r="R310" i="3"/>
  <c r="R307" i="3"/>
  <c r="Q296" i="3"/>
  <c r="T293" i="3"/>
  <c r="O292" i="3"/>
  <c r="T283" i="3"/>
  <c r="N282" i="3"/>
  <c r="Q278" i="3"/>
  <c r="O277" i="3"/>
  <c r="S273" i="3"/>
  <c r="P272" i="3"/>
  <c r="R268" i="3"/>
  <c r="O267" i="3"/>
  <c r="P257" i="3"/>
  <c r="R253" i="3"/>
  <c r="O252" i="3"/>
  <c r="S248" i="3"/>
  <c r="O241" i="3"/>
  <c r="S236" i="3"/>
  <c r="P235" i="3"/>
  <c r="S224" i="3"/>
  <c r="N216" i="3"/>
  <c r="T200" i="3"/>
  <c r="O192" i="3"/>
  <c r="T352" i="3"/>
  <c r="R320" i="3"/>
  <c r="T313" i="3"/>
  <c r="Q310" i="3"/>
  <c r="P307" i="3"/>
  <c r="O296" i="3"/>
  <c r="S293" i="3"/>
  <c r="Q283" i="3"/>
  <c r="P278" i="3"/>
  <c r="R273" i="3"/>
  <c r="N272" i="3"/>
  <c r="T269" i="3"/>
  <c r="Q268" i="3"/>
  <c r="N267" i="3"/>
  <c r="R263" i="3"/>
  <c r="N262" i="3"/>
  <c r="O349" i="3"/>
  <c r="S346" i="3"/>
  <c r="N341" i="3"/>
  <c r="Q320" i="3"/>
  <c r="R318" i="3"/>
  <c r="N315" i="3"/>
  <c r="S313" i="3"/>
  <c r="P310" i="3"/>
  <c r="O307" i="3"/>
  <c r="N303" i="3"/>
  <c r="R300" i="3"/>
  <c r="N296" i="3"/>
  <c r="Q293" i="3"/>
  <c r="T289" i="3"/>
  <c r="P288" i="3"/>
  <c r="T284" i="3"/>
  <c r="P283" i="3"/>
  <c r="S279" i="3"/>
  <c r="O278" i="3"/>
  <c r="P273" i="3"/>
  <c r="S269" i="3"/>
  <c r="P268" i="3"/>
  <c r="Q263" i="3"/>
  <c r="T254" i="3"/>
  <c r="P253" i="3"/>
  <c r="T249" i="3"/>
  <c r="Q248" i="3"/>
  <c r="N247" i="3"/>
  <c r="P242" i="3"/>
  <c r="T237" i="3"/>
  <c r="Q236" i="3"/>
  <c r="N235" i="3"/>
  <c r="Q343" i="3"/>
  <c r="P318" i="3"/>
  <c r="R313" i="3"/>
  <c r="N307" i="3"/>
  <c r="P293" i="3"/>
  <c r="O283" i="3"/>
  <c r="N278" i="3"/>
  <c r="O273" i="3"/>
  <c r="O268" i="3"/>
  <c r="T259" i="3"/>
  <c r="O253" i="3"/>
  <c r="P248" i="3"/>
  <c r="P236" i="3"/>
  <c r="P224" i="3"/>
  <c r="N343" i="3"/>
  <c r="T338" i="3"/>
  <c r="T333" i="3"/>
  <c r="T327" i="3"/>
  <c r="O318" i="3"/>
  <c r="P313" i="3"/>
  <c r="Q304" i="3"/>
  <c r="T301" i="3"/>
  <c r="P300" i="3"/>
  <c r="R297" i="3"/>
  <c r="S294" i="3"/>
  <c r="O293" i="3"/>
  <c r="Q289" i="3"/>
  <c r="T285" i="3"/>
  <c r="R284" i="3"/>
  <c r="N283" i="3"/>
  <c r="T280" i="3"/>
  <c r="Q279" i="3"/>
  <c r="N273" i="3"/>
  <c r="Q269" i="3"/>
  <c r="N268" i="3"/>
  <c r="S264" i="3"/>
  <c r="S259" i="3"/>
  <c r="R254" i="3"/>
  <c r="N253" i="3"/>
  <c r="R249" i="3"/>
  <c r="N248" i="3"/>
  <c r="T244" i="3"/>
  <c r="R237" i="3"/>
  <c r="N236" i="3"/>
  <c r="T232" i="3"/>
  <c r="O230" i="3"/>
  <c r="T226" i="3"/>
  <c r="Q225" i="3"/>
  <c r="O224" i="3"/>
  <c r="R338" i="3"/>
  <c r="S333" i="3"/>
  <c r="S327" i="3"/>
  <c r="S325" i="3"/>
  <c r="N318" i="3"/>
  <c r="N313" i="3"/>
  <c r="P304" i="3"/>
  <c r="S301" i="3"/>
  <c r="N300" i="3"/>
  <c r="Q297" i="3"/>
  <c r="N293" i="3"/>
  <c r="T290" i="3"/>
  <c r="P289" i="3"/>
  <c r="S285" i="3"/>
  <c r="T260" i="3"/>
  <c r="Q254" i="3"/>
  <c r="P249" i="3"/>
  <c r="Q338" i="3"/>
  <c r="P333" i="3"/>
  <c r="Q331" i="3"/>
  <c r="T329" i="3"/>
  <c r="P327" i="3"/>
  <c r="Q325" i="3"/>
  <c r="T316" i="3"/>
  <c r="T305" i="3"/>
  <c r="N304" i="3"/>
  <c r="R301" i="3"/>
  <c r="P297" i="3"/>
  <c r="Q294" i="3"/>
  <c r="S290" i="3"/>
  <c r="N289" i="3"/>
  <c r="T286" i="3"/>
  <c r="R285" i="3"/>
  <c r="P284" i="3"/>
  <c r="R280" i="3"/>
  <c r="O279" i="3"/>
  <c r="T275" i="3"/>
  <c r="P274" i="3"/>
  <c r="S270" i="3"/>
  <c r="O269" i="3"/>
  <c r="P264" i="3"/>
  <c r="S260" i="3"/>
  <c r="Q259" i="3"/>
  <c r="P254" i="3"/>
  <c r="O249" i="3"/>
  <c r="R244" i="3"/>
  <c r="O237" i="3"/>
  <c r="T233" i="3"/>
  <c r="R232" i="3"/>
  <c r="O351" i="3"/>
  <c r="N333" i="3"/>
  <c r="O331" i="3"/>
  <c r="P329" i="3"/>
  <c r="O325" i="3"/>
  <c r="T323" i="3"/>
  <c r="S305" i="3"/>
  <c r="P301" i="3"/>
  <c r="R290" i="3"/>
  <c r="S286" i="3"/>
  <c r="Q285" i="3"/>
  <c r="S265" i="3"/>
  <c r="N264" i="3"/>
  <c r="T261" i="3"/>
  <c r="R260" i="3"/>
  <c r="P259" i="3"/>
  <c r="O254" i="3"/>
  <c r="N249" i="3"/>
  <c r="T245" i="3"/>
  <c r="Q244" i="3"/>
  <c r="N243" i="3"/>
  <c r="T348" i="3"/>
  <c r="S340" i="3"/>
  <c r="S335" i="3"/>
  <c r="N331" i="3"/>
  <c r="N325" i="3"/>
  <c r="P323" i="3"/>
  <c r="S314" i="3"/>
  <c r="Q305" i="3"/>
  <c r="O301" i="3"/>
  <c r="R286" i="3"/>
  <c r="P285" i="3"/>
  <c r="T281" i="3"/>
  <c r="Q260" i="3"/>
  <c r="P232" i="3"/>
  <c r="Q208" i="3"/>
  <c r="O207" i="3"/>
  <c r="O189" i="3"/>
  <c r="R184" i="3"/>
  <c r="R360" i="3"/>
  <c r="N323" i="3"/>
  <c r="Q321" i="3"/>
  <c r="S319" i="3"/>
  <c r="N316" i="3"/>
  <c r="R314" i="3"/>
  <c r="T309" i="3"/>
  <c r="P305" i="3"/>
  <c r="R302" i="3"/>
  <c r="N301" i="3"/>
  <c r="T295" i="3"/>
  <c r="T291" i="3"/>
  <c r="O290" i="3"/>
  <c r="Q286" i="3"/>
  <c r="O285" i="3"/>
  <c r="S281" i="3"/>
  <c r="T276" i="3"/>
  <c r="T266" i="3"/>
  <c r="P260" i="3"/>
  <c r="N259" i="3"/>
  <c r="R245" i="3"/>
  <c r="N244" i="3"/>
  <c r="T240" i="3"/>
  <c r="Q233" i="3"/>
  <c r="O232" i="3"/>
  <c r="R227" i="3"/>
  <c r="O226" i="3"/>
  <c r="P208" i="3"/>
  <c r="N207" i="3"/>
  <c r="N321" i="3"/>
  <c r="R319" i="3"/>
  <c r="N314" i="3"/>
  <c r="S309" i="3"/>
  <c r="T306" i="3"/>
  <c r="N305" i="3"/>
  <c r="Q302" i="3"/>
  <c r="S295" i="3"/>
  <c r="R291" i="3"/>
  <c r="N290" i="3"/>
  <c r="T287" i="3"/>
  <c r="P286" i="3"/>
  <c r="N285" i="3"/>
  <c r="R281" i="3"/>
  <c r="N280" i="3"/>
  <c r="S276" i="3"/>
  <c r="R271" i="3"/>
  <c r="N270" i="3"/>
  <c r="R266" i="3"/>
  <c r="Q261" i="3"/>
  <c r="O260" i="3"/>
  <c r="S256" i="3"/>
  <c r="T246" i="3"/>
  <c r="P245" i="3"/>
  <c r="S240" i="3"/>
  <c r="Q239" i="3"/>
  <c r="P233" i="3"/>
  <c r="N232" i="3"/>
  <c r="Q227" i="3"/>
  <c r="N226" i="3"/>
  <c r="T216" i="3"/>
  <c r="O208" i="3"/>
  <c r="P353" i="3"/>
  <c r="Q342" i="3"/>
  <c r="Q319" i="3"/>
  <c r="Q309" i="3"/>
  <c r="P302" i="3"/>
  <c r="Q291" i="3"/>
  <c r="R276" i="3"/>
  <c r="Q266" i="3"/>
  <c r="N260" i="3"/>
  <c r="R240" i="3"/>
  <c r="S216" i="3"/>
  <c r="N208" i="3"/>
  <c r="T192" i="3"/>
  <c r="O184" i="3"/>
  <c r="N356" i="3"/>
  <c r="S350" i="3"/>
  <c r="S344" i="3"/>
  <c r="N342" i="3"/>
  <c r="Q337" i="3"/>
  <c r="T332" i="3"/>
  <c r="O319" i="3"/>
  <c r="T317" i="3"/>
  <c r="Q312" i="3"/>
  <c r="P309" i="3"/>
  <c r="N302" i="3"/>
  <c r="P295" i="3"/>
  <c r="T292" i="3"/>
  <c r="P291" i="3"/>
  <c r="R287" i="3"/>
  <c r="N286" i="3"/>
  <c r="T282" i="3"/>
  <c r="P281" i="3"/>
  <c r="T277" i="3"/>
  <c r="P276" i="3"/>
  <c r="T272" i="3"/>
  <c r="P271" i="3"/>
  <c r="S267" i="3"/>
  <c r="P266" i="3"/>
  <c r="S262" i="3"/>
  <c r="O261" i="3"/>
  <c r="Q256" i="3"/>
  <c r="T252" i="3"/>
  <c r="Q251" i="3"/>
  <c r="T247" i="3"/>
  <c r="Q246" i="3"/>
  <c r="N245" i="3"/>
  <c r="S241" i="3"/>
  <c r="Q240" i="3"/>
  <c r="O239" i="3"/>
  <c r="T235" i="3"/>
  <c r="N233" i="3"/>
  <c r="O227" i="3"/>
  <c r="T217" i="3"/>
  <c r="R216" i="3"/>
  <c r="Q344" i="3"/>
  <c r="N337" i="3"/>
  <c r="R334" i="3"/>
  <c r="R332" i="3"/>
  <c r="S328" i="3"/>
  <c r="S317" i="3"/>
  <c r="O309" i="3"/>
  <c r="T303" i="3"/>
  <c r="O295" i="3"/>
  <c r="S292" i="3"/>
  <c r="O291" i="3"/>
  <c r="N281" i="3"/>
  <c r="O276" i="3"/>
  <c r="R267" i="3"/>
  <c r="O266" i="3"/>
  <c r="T257" i="3"/>
  <c r="S252" i="3"/>
  <c r="S247" i="3"/>
  <c r="P246" i="3"/>
  <c r="R241" i="3"/>
  <c r="P240" i="3"/>
  <c r="N239" i="3"/>
  <c r="S235" i="3"/>
  <c r="T229" i="3"/>
  <c r="N227" i="3"/>
  <c r="Q339" i="3"/>
  <c r="P334" i="3"/>
  <c r="Q332" i="3"/>
  <c r="S330" i="3"/>
  <c r="Q328" i="3"/>
  <c r="P326" i="3"/>
  <c r="P317" i="3"/>
  <c r="O312" i="3"/>
  <c r="N309" i="3"/>
  <c r="O306" i="3"/>
  <c r="S303" i="3"/>
  <c r="P299" i="3"/>
  <c r="S296" i="3"/>
  <c r="N295" i="3"/>
  <c r="R292" i="3"/>
  <c r="N291" i="3"/>
  <c r="T288" i="3"/>
  <c r="P287" i="3"/>
  <c r="R282" i="3"/>
  <c r="S278" i="3"/>
  <c r="Q277" i="3"/>
  <c r="N276" i="3"/>
  <c r="R272" i="3"/>
  <c r="N271" i="3"/>
  <c r="T268" i="3"/>
  <c r="Q267" i="3"/>
  <c r="N266" i="3"/>
  <c r="S257" i="3"/>
  <c r="Q252" i="3"/>
  <c r="R247" i="3"/>
  <c r="Q241" i="3"/>
  <c r="O240" i="3"/>
  <c r="R235" i="3"/>
  <c r="S229" i="3"/>
  <c r="R217" i="3"/>
  <c r="P216" i="3"/>
  <c r="S211" i="3"/>
  <c r="T199" i="3"/>
  <c r="Q198" i="3"/>
  <c r="O339" i="3"/>
  <c r="N332" i="3"/>
  <c r="N330" i="3"/>
  <c r="T322" i="3"/>
  <c r="N317" i="3"/>
  <c r="S310" i="3"/>
  <c r="T307" i="3"/>
  <c r="Q303" i="3"/>
  <c r="R296" i="3"/>
  <c r="Q292" i="3"/>
  <c r="O287" i="3"/>
  <c r="P282" i="3"/>
  <c r="R278" i="3"/>
  <c r="P277" i="3"/>
  <c r="T273" i="3"/>
  <c r="Q272" i="3"/>
  <c r="S268" i="3"/>
  <c r="P267" i="3"/>
  <c r="N240" i="3"/>
  <c r="Q226" i="3"/>
  <c r="R224" i="3"/>
  <c r="N217" i="3"/>
  <c r="T211" i="3"/>
  <c r="P206" i="3"/>
  <c r="S199" i="3"/>
  <c r="S193" i="3"/>
  <c r="N192" i="3"/>
  <c r="S189" i="3"/>
  <c r="O185" i="3"/>
  <c r="T182" i="3"/>
  <c r="S177" i="3"/>
  <c r="P176" i="3"/>
  <c r="T172" i="3"/>
  <c r="T167" i="3"/>
  <c r="Q160" i="3"/>
  <c r="O147" i="3"/>
  <c r="T137" i="3"/>
  <c r="R136" i="3"/>
  <c r="S124" i="3"/>
  <c r="S253" i="3"/>
  <c r="Q235" i="3"/>
  <c r="R230" i="3"/>
  <c r="Q224" i="3"/>
  <c r="R211" i="3"/>
  <c r="O206" i="3"/>
  <c r="Q199" i="3"/>
  <c r="R193" i="3"/>
  <c r="R189" i="3"/>
  <c r="N185" i="3"/>
  <c r="R182" i="3"/>
  <c r="R177" i="3"/>
  <c r="O176" i="3"/>
  <c r="R172" i="3"/>
  <c r="S167" i="3"/>
  <c r="P160" i="3"/>
  <c r="T149" i="3"/>
  <c r="S137" i="3"/>
  <c r="Q136" i="3"/>
  <c r="T131" i="3"/>
  <c r="R124" i="3"/>
  <c r="R112" i="3"/>
  <c r="Q253" i="3"/>
  <c r="S242" i="3"/>
  <c r="O235" i="3"/>
  <c r="Q230" i="3"/>
  <c r="N224" i="3"/>
  <c r="T218" i="3"/>
  <c r="P211" i="3"/>
  <c r="N206" i="3"/>
  <c r="P199" i="3"/>
  <c r="P189" i="3"/>
  <c r="Q182" i="3"/>
  <c r="Q177" i="3"/>
  <c r="N176" i="3"/>
  <c r="Q172" i="3"/>
  <c r="T168" i="3"/>
  <c r="R167" i="3"/>
  <c r="O160" i="3"/>
  <c r="P262" i="3"/>
  <c r="Q247" i="3"/>
  <c r="Q242" i="3"/>
  <c r="P237" i="3"/>
  <c r="N230" i="3"/>
  <c r="Q222" i="3"/>
  <c r="R220" i="3"/>
  <c r="R218" i="3"/>
  <c r="O211" i="3"/>
  <c r="T207" i="3"/>
  <c r="O199" i="3"/>
  <c r="O193" i="3"/>
  <c r="N189" i="3"/>
  <c r="S168" i="3"/>
  <c r="N160" i="3"/>
  <c r="T144" i="3"/>
  <c r="O136" i="3"/>
  <c r="P112" i="3"/>
  <c r="O247" i="3"/>
  <c r="N237" i="3"/>
  <c r="S232" i="3"/>
  <c r="O222" i="3"/>
  <c r="Q218" i="3"/>
  <c r="S207" i="3"/>
  <c r="P204" i="3"/>
  <c r="N199" i="3"/>
  <c r="N193" i="3"/>
  <c r="T190" i="3"/>
  <c r="Q186" i="3"/>
  <c r="T183" i="3"/>
  <c r="O182" i="3"/>
  <c r="S178" i="3"/>
  <c r="N177" i="3"/>
  <c r="S173" i="3"/>
  <c r="N172" i="3"/>
  <c r="T169" i="3"/>
  <c r="R168" i="3"/>
  <c r="P167" i="3"/>
  <c r="S244" i="3"/>
  <c r="Q232" i="3"/>
  <c r="T225" i="3"/>
  <c r="O218" i="3"/>
  <c r="R207" i="3"/>
  <c r="S200" i="3"/>
  <c r="N182" i="3"/>
  <c r="Q168" i="3"/>
  <c r="O167" i="3"/>
  <c r="R144" i="3"/>
  <c r="S120" i="3"/>
  <c r="N112" i="3"/>
  <c r="T96" i="3"/>
  <c r="S225" i="3"/>
  <c r="N218" i="3"/>
  <c r="T214" i="3"/>
  <c r="S212" i="3"/>
  <c r="Q207" i="3"/>
  <c r="R200" i="3"/>
  <c r="Q194" i="3"/>
  <c r="P190" i="3"/>
  <c r="T187" i="3"/>
  <c r="N186" i="3"/>
  <c r="R183" i="3"/>
  <c r="T179" i="3"/>
  <c r="P178" i="3"/>
  <c r="T174" i="3"/>
  <c r="R169" i="3"/>
  <c r="P168" i="3"/>
  <c r="N167" i="3"/>
  <c r="S163" i="3"/>
  <c r="T239" i="3"/>
  <c r="P225" i="3"/>
  <c r="Q216" i="3"/>
  <c r="R212" i="3"/>
  <c r="P207" i="3"/>
  <c r="Q200" i="3"/>
  <c r="Q169" i="3"/>
  <c r="O168" i="3"/>
  <c r="S151" i="3"/>
  <c r="P144" i="3"/>
  <c r="T133" i="3"/>
  <c r="N131" i="3"/>
  <c r="T258" i="3"/>
  <c r="P252" i="3"/>
  <c r="N234" i="3"/>
  <c r="T227" i="3"/>
  <c r="O225" i="3"/>
  <c r="O216" i="3"/>
  <c r="P212" i="3"/>
  <c r="S205" i="3"/>
  <c r="P200" i="3"/>
  <c r="T191" i="3"/>
  <c r="Q187" i="3"/>
  <c r="T184" i="3"/>
  <c r="O183" i="3"/>
  <c r="R179" i="3"/>
  <c r="N178" i="3"/>
  <c r="N252" i="3"/>
  <c r="N246" i="3"/>
  <c r="P241" i="3"/>
  <c r="T236" i="3"/>
  <c r="R229" i="3"/>
  <c r="N225" i="3"/>
  <c r="T223" i="3"/>
  <c r="T219" i="3"/>
  <c r="N212" i="3"/>
  <c r="P205" i="3"/>
  <c r="O200" i="3"/>
  <c r="O197" i="3"/>
  <c r="N194" i="3"/>
  <c r="S191" i="3"/>
  <c r="P187" i="3"/>
  <c r="S184" i="3"/>
  <c r="N183" i="3"/>
  <c r="T180" i="3"/>
  <c r="Q179" i="3"/>
  <c r="T175" i="3"/>
  <c r="P174" i="3"/>
  <c r="S170" i="3"/>
  <c r="O169" i="3"/>
  <c r="P163" i="3"/>
  <c r="N241" i="3"/>
  <c r="R236" i="3"/>
  <c r="T231" i="3"/>
  <c r="O229" i="3"/>
  <c r="R223" i="3"/>
  <c r="R219" i="3"/>
  <c r="Q210" i="3"/>
  <c r="T208" i="3"/>
  <c r="O205" i="3"/>
  <c r="T201" i="3"/>
  <c r="N200" i="3"/>
  <c r="T195" i="3"/>
  <c r="Q191" i="3"/>
  <c r="T188" i="3"/>
  <c r="O187" i="3"/>
  <c r="Q184" i="3"/>
  <c r="S180" i="3"/>
  <c r="P179" i="3"/>
  <c r="S175" i="3"/>
  <c r="O174" i="3"/>
  <c r="R170" i="3"/>
  <c r="N169" i="3"/>
  <c r="O163" i="3"/>
  <c r="R158" i="3"/>
  <c r="T153" i="3"/>
  <c r="R152" i="3"/>
  <c r="P151" i="3"/>
  <c r="T243" i="3"/>
  <c r="Q231" i="3"/>
  <c r="N229" i="3"/>
  <c r="P223" i="3"/>
  <c r="N221" i="3"/>
  <c r="Q219" i="3"/>
  <c r="O210" i="3"/>
  <c r="S208" i="3"/>
  <c r="N205" i="3"/>
  <c r="P184" i="3"/>
  <c r="R180" i="3"/>
  <c r="Q170" i="3"/>
  <c r="Q158" i="3"/>
  <c r="S153" i="3"/>
  <c r="Q152" i="3"/>
  <c r="O151" i="3"/>
  <c r="R140" i="3"/>
  <c r="O133" i="3"/>
  <c r="R128" i="3"/>
  <c r="R122" i="3"/>
  <c r="O121" i="3"/>
  <c r="P115" i="3"/>
  <c r="T248" i="3"/>
  <c r="P243" i="3"/>
  <c r="O231" i="3"/>
  <c r="O223" i="3"/>
  <c r="P219" i="3"/>
  <c r="R208" i="3"/>
  <c r="O203" i="3"/>
  <c r="T198" i="3"/>
  <c r="R195" i="3"/>
  <c r="S192" i="3"/>
  <c r="O191" i="3"/>
  <c r="R188" i="3"/>
  <c r="N184" i="3"/>
  <c r="Q180" i="3"/>
  <c r="N179" i="3"/>
  <c r="T176" i="3"/>
  <c r="Q175" i="3"/>
  <c r="T171" i="3"/>
  <c r="P170" i="3"/>
  <c r="S165" i="3"/>
  <c r="P158" i="3"/>
  <c r="T263" i="3"/>
  <c r="R257" i="3"/>
  <c r="R248" i="3"/>
  <c r="O219" i="3"/>
  <c r="S217" i="3"/>
  <c r="T206" i="3"/>
  <c r="R198" i="3"/>
  <c r="R192" i="3"/>
  <c r="S185" i="3"/>
  <c r="P180" i="3"/>
  <c r="S176" i="3"/>
  <c r="O170" i="3"/>
  <c r="T160" i="3"/>
  <c r="O152" i="3"/>
  <c r="P140" i="3"/>
  <c r="P128" i="3"/>
  <c r="P122" i="3"/>
  <c r="N115" i="3"/>
  <c r="N257" i="3"/>
  <c r="S233" i="3"/>
  <c r="S226" i="3"/>
  <c r="Q217" i="3"/>
  <c r="P198" i="3"/>
  <c r="P195" i="3"/>
  <c r="Q192" i="3"/>
  <c r="P188" i="3"/>
  <c r="R185" i="3"/>
  <c r="N180" i="3"/>
  <c r="R176" i="3"/>
  <c r="O175" i="3"/>
  <c r="R171" i="3"/>
  <c r="N170" i="3"/>
  <c r="P165" i="3"/>
  <c r="R226" i="3"/>
  <c r="T224" i="3"/>
  <c r="O217" i="3"/>
  <c r="Q206" i="3"/>
  <c r="N198" i="3"/>
  <c r="T193" i="3"/>
  <c r="P192" i="3"/>
  <c r="T189" i="3"/>
  <c r="N188" i="3"/>
  <c r="P185" i="3"/>
  <c r="T177" i="3"/>
  <c r="Q176" i="3"/>
  <c r="N175" i="3"/>
  <c r="Q171" i="3"/>
  <c r="O165" i="3"/>
  <c r="R160" i="3"/>
  <c r="O153" i="3"/>
  <c r="N156" i="3"/>
  <c r="N152" i="3"/>
  <c r="T150" i="3"/>
  <c r="S138" i="3"/>
  <c r="N133" i="3"/>
  <c r="N128" i="3"/>
  <c r="P120" i="3"/>
  <c r="P117" i="3"/>
  <c r="O114" i="3"/>
  <c r="Q111" i="3"/>
  <c r="S108" i="3"/>
  <c r="S104" i="3"/>
  <c r="Q103" i="3"/>
  <c r="N102" i="3"/>
  <c r="R99" i="3"/>
  <c r="O76" i="3"/>
  <c r="T67" i="3"/>
  <c r="R66" i="3"/>
  <c r="O65" i="3"/>
  <c r="O59" i="3"/>
  <c r="T170" i="3"/>
  <c r="T158" i="3"/>
  <c r="Q150" i="3"/>
  <c r="Q138" i="3"/>
  <c r="S131" i="3"/>
  <c r="R126" i="3"/>
  <c r="T121" i="3"/>
  <c r="O120" i="3"/>
  <c r="N117" i="3"/>
  <c r="T115" i="3"/>
  <c r="N114" i="3"/>
  <c r="R108" i="3"/>
  <c r="R104" i="3"/>
  <c r="P103" i="3"/>
  <c r="Q99" i="3"/>
  <c r="S95" i="3"/>
  <c r="T82" i="3"/>
  <c r="N76" i="3"/>
  <c r="S72" i="3"/>
  <c r="N71" i="3"/>
  <c r="S67" i="3"/>
  <c r="Q66" i="3"/>
  <c r="N65" i="3"/>
  <c r="N59" i="3"/>
  <c r="T55" i="3"/>
  <c r="N158" i="3"/>
  <c r="O150" i="3"/>
  <c r="O138" i="3"/>
  <c r="T136" i="3"/>
  <c r="Q131" i="3"/>
  <c r="Q126" i="3"/>
  <c r="S121" i="3"/>
  <c r="N120" i="3"/>
  <c r="S115" i="3"/>
  <c r="T112" i="3"/>
  <c r="Q108" i="3"/>
  <c r="T105" i="3"/>
  <c r="Q104" i="3"/>
  <c r="O103" i="3"/>
  <c r="P99" i="3"/>
  <c r="Q95" i="3"/>
  <c r="R82" i="3"/>
  <c r="T78" i="3"/>
  <c r="R67" i="3"/>
  <c r="S55" i="3"/>
  <c r="S43" i="3"/>
  <c r="S37" i="3"/>
  <c r="N35" i="3"/>
  <c r="N150" i="3"/>
  <c r="T146" i="3"/>
  <c r="T141" i="3"/>
  <c r="N138" i="3"/>
  <c r="S136" i="3"/>
  <c r="O131" i="3"/>
  <c r="S129" i="3"/>
  <c r="P126" i="3"/>
  <c r="R121" i="3"/>
  <c r="R115" i="3"/>
  <c r="S112" i="3"/>
  <c r="P108" i="3"/>
  <c r="P104" i="3"/>
  <c r="N103" i="3"/>
  <c r="T100" i="3"/>
  <c r="O99" i="3"/>
  <c r="P95" i="3"/>
  <c r="T83" i="3"/>
  <c r="P72" i="3"/>
  <c r="N173" i="3"/>
  <c r="Q163" i="3"/>
  <c r="S146" i="3"/>
  <c r="R141" i="3"/>
  <c r="P136" i="3"/>
  <c r="T134" i="3"/>
  <c r="Q129" i="3"/>
  <c r="O126" i="3"/>
  <c r="Q121" i="3"/>
  <c r="T118" i="3"/>
  <c r="Q115" i="3"/>
  <c r="Q112" i="3"/>
  <c r="N108" i="3"/>
  <c r="O104" i="3"/>
  <c r="S100" i="3"/>
  <c r="S96" i="3"/>
  <c r="O95" i="3"/>
  <c r="S92" i="3"/>
  <c r="S83" i="3"/>
  <c r="P82" i="3"/>
  <c r="R78" i="3"/>
  <c r="P67" i="3"/>
  <c r="T56" i="3"/>
  <c r="Q55" i="3"/>
  <c r="S160" i="3"/>
  <c r="R153" i="3"/>
  <c r="R146" i="3"/>
  <c r="P141" i="3"/>
  <c r="N136" i="3"/>
  <c r="Q134" i="3"/>
  <c r="P129" i="3"/>
  <c r="N126" i="3"/>
  <c r="P121" i="3"/>
  <c r="Q118" i="3"/>
  <c r="O115" i="3"/>
  <c r="O112" i="3"/>
  <c r="Q105" i="3"/>
  <c r="N104" i="3"/>
  <c r="R100" i="3"/>
  <c r="R96" i="3"/>
  <c r="N95" i="3"/>
  <c r="R92" i="3"/>
  <c r="T84" i="3"/>
  <c r="R83" i="3"/>
  <c r="O82" i="3"/>
  <c r="Q78" i="3"/>
  <c r="O67" i="3"/>
  <c r="S56" i="3"/>
  <c r="P55" i="3"/>
  <c r="S50" i="3"/>
  <c r="P49" i="3"/>
  <c r="P169" i="3"/>
  <c r="P153" i="3"/>
  <c r="T151" i="3"/>
  <c r="P146" i="3"/>
  <c r="O134" i="3"/>
  <c r="T124" i="3"/>
  <c r="N121" i="3"/>
  <c r="O118" i="3"/>
  <c r="P105" i="3"/>
  <c r="P100" i="3"/>
  <c r="T97" i="3"/>
  <c r="Q96" i="3"/>
  <c r="Q92" i="3"/>
  <c r="S84" i="3"/>
  <c r="Q83" i="3"/>
  <c r="N82" i="3"/>
  <c r="P78" i="3"/>
  <c r="N67" i="3"/>
  <c r="T63" i="3"/>
  <c r="N55" i="3"/>
  <c r="T51" i="3"/>
  <c r="R50" i="3"/>
  <c r="O43" i="3"/>
  <c r="O37" i="3"/>
  <c r="R155" i="3"/>
  <c r="R151" i="3"/>
  <c r="N146" i="3"/>
  <c r="S144" i="3"/>
  <c r="N134" i="3"/>
  <c r="T132" i="3"/>
  <c r="Q124" i="3"/>
  <c r="S113" i="3"/>
  <c r="O105" i="3"/>
  <c r="S97" i="3"/>
  <c r="P96" i="3"/>
  <c r="P92" i="3"/>
  <c r="R84" i="3"/>
  <c r="P83" i="3"/>
  <c r="O78" i="3"/>
  <c r="S63" i="3"/>
  <c r="R157" i="3"/>
  <c r="P155" i="3"/>
  <c r="Q151" i="3"/>
  <c r="Q144" i="3"/>
  <c r="R132" i="3"/>
  <c r="N124" i="3"/>
  <c r="T122" i="3"/>
  <c r="T119" i="3"/>
  <c r="O96" i="3"/>
  <c r="T89" i="3"/>
  <c r="Q84" i="3"/>
  <c r="O83" i="3"/>
  <c r="N78" i="3"/>
  <c r="R63" i="3"/>
  <c r="R51" i="3"/>
  <c r="R162" i="3"/>
  <c r="P157" i="3"/>
  <c r="N151" i="3"/>
  <c r="S149" i="3"/>
  <c r="O144" i="3"/>
  <c r="P139" i="3"/>
  <c r="R137" i="3"/>
  <c r="P132" i="3"/>
  <c r="Q127" i="3"/>
  <c r="S122" i="3"/>
  <c r="R119" i="3"/>
  <c r="P116" i="3"/>
  <c r="O113" i="3"/>
  <c r="R110" i="3"/>
  <c r="R106" i="3"/>
  <c r="P101" i="3"/>
  <c r="T98" i="3"/>
  <c r="Q97" i="3"/>
  <c r="N96" i="3"/>
  <c r="S93" i="3"/>
  <c r="R89" i="3"/>
  <c r="S85" i="3"/>
  <c r="P84" i="3"/>
  <c r="N83" i="3"/>
  <c r="Q79" i="3"/>
  <c r="N162" i="3"/>
  <c r="P149" i="3"/>
  <c r="N144" i="3"/>
  <c r="P137" i="3"/>
  <c r="N132" i="3"/>
  <c r="Q122" i="3"/>
  <c r="P119" i="3"/>
  <c r="N113" i="3"/>
  <c r="O101" i="3"/>
  <c r="S98" i="3"/>
  <c r="P97" i="3"/>
  <c r="R93" i="3"/>
  <c r="P89" i="3"/>
  <c r="R85" i="3"/>
  <c r="O84" i="3"/>
  <c r="T80" i="3"/>
  <c r="S75" i="3"/>
  <c r="Q159" i="3"/>
  <c r="N149" i="3"/>
  <c r="S147" i="3"/>
  <c r="T142" i="3"/>
  <c r="N137" i="3"/>
  <c r="O122" i="3"/>
  <c r="O97" i="3"/>
  <c r="P93" i="3"/>
  <c r="O89" i="3"/>
  <c r="Q85" i="3"/>
  <c r="N84" i="3"/>
  <c r="S80" i="3"/>
  <c r="T76" i="3"/>
  <c r="R75" i="3"/>
  <c r="Q70" i="3"/>
  <c r="N63" i="3"/>
  <c r="N168" i="3"/>
  <c r="Q147" i="3"/>
  <c r="P142" i="3"/>
  <c r="T140" i="3"/>
  <c r="T128" i="3"/>
  <c r="N122" i="3"/>
  <c r="S76" i="3"/>
  <c r="Q75" i="3"/>
  <c r="T65" i="3"/>
  <c r="S59" i="3"/>
  <c r="Q58" i="3"/>
  <c r="N51" i="3"/>
  <c r="T47" i="3"/>
  <c r="N45" i="3"/>
  <c r="R40" i="3"/>
  <c r="T152" i="3"/>
  <c r="P147" i="3"/>
  <c r="N142" i="3"/>
  <c r="S140" i="3"/>
  <c r="S133" i="3"/>
  <c r="S128" i="3"/>
  <c r="T120" i="3"/>
  <c r="T103" i="3"/>
  <c r="R76" i="3"/>
  <c r="P75" i="3"/>
  <c r="R59" i="3"/>
  <c r="S35" i="3"/>
  <c r="N27" i="3"/>
  <c r="T11" i="3"/>
  <c r="O3" i="3"/>
  <c r="Q174" i="3"/>
  <c r="S154" i="3"/>
  <c r="S152" i="3"/>
  <c r="Q145" i="3"/>
  <c r="Q140" i="3"/>
  <c r="N135" i="3"/>
  <c r="R133" i="3"/>
  <c r="Q128" i="3"/>
  <c r="N125" i="3"/>
  <c r="R120" i="3"/>
  <c r="S103" i="3"/>
  <c r="T99" i="3"/>
  <c r="Q76" i="3"/>
  <c r="O75" i="3"/>
  <c r="T66" i="3"/>
  <c r="Q65" i="3"/>
  <c r="Q59" i="3"/>
  <c r="O58" i="3"/>
  <c r="R47" i="3"/>
  <c r="R35" i="3"/>
  <c r="T164" i="3"/>
  <c r="O161" i="3"/>
  <c r="S156" i="3"/>
  <c r="O154" i="3"/>
  <c r="P152" i="3"/>
  <c r="N140" i="3"/>
  <c r="P133" i="3"/>
  <c r="O128" i="3"/>
  <c r="Q120" i="3"/>
  <c r="R117" i="3"/>
  <c r="P114" i="3"/>
  <c r="R111" i="3"/>
  <c r="O107" i="3"/>
  <c r="T104" i="3"/>
  <c r="R103" i="3"/>
  <c r="O102" i="3"/>
  <c r="S99" i="3"/>
  <c r="N98" i="3"/>
  <c r="P94" i="3"/>
  <c r="T91" i="3"/>
  <c r="P90" i="3"/>
  <c r="Q86" i="3"/>
  <c r="Q74" i="3"/>
  <c r="Q71" i="3"/>
  <c r="P59" i="3"/>
  <c r="Q51" i="3"/>
  <c r="Q11" i="3"/>
  <c r="R55" i="3"/>
  <c r="P51" i="3"/>
  <c r="R49" i="3"/>
  <c r="T39" i="3"/>
  <c r="Q36" i="3"/>
  <c r="T26" i="3"/>
  <c r="P11" i="3"/>
  <c r="S66" i="3"/>
  <c r="O51" i="3"/>
  <c r="Q49" i="3"/>
  <c r="S26" i="3"/>
  <c r="T17" i="3"/>
  <c r="O11" i="3"/>
  <c r="O66" i="3"/>
  <c r="Q61" i="3"/>
  <c r="N49" i="3"/>
  <c r="Q47" i="3"/>
  <c r="T42" i="3"/>
  <c r="R26" i="3"/>
  <c r="N11" i="3"/>
  <c r="T3" i="3"/>
  <c r="P76" i="3"/>
  <c r="P47" i="3"/>
  <c r="S45" i="3"/>
  <c r="S42" i="3"/>
  <c r="P39" i="3"/>
  <c r="O33" i="3"/>
  <c r="S30" i="3"/>
  <c r="Q26" i="3"/>
  <c r="Q63" i="3"/>
  <c r="Q45" i="3"/>
  <c r="R42" i="3"/>
  <c r="T37" i="3"/>
  <c r="T27" i="3"/>
  <c r="P26" i="3"/>
  <c r="S18" i="3"/>
  <c r="R3" i="3"/>
  <c r="S70" i="3"/>
  <c r="P63" i="3"/>
  <c r="S52" i="3"/>
  <c r="P45" i="3"/>
  <c r="P42" i="3"/>
  <c r="R37" i="3"/>
  <c r="P30" i="3"/>
  <c r="S27" i="3"/>
  <c r="O26" i="3"/>
  <c r="S23" i="3"/>
  <c r="T19" i="3"/>
  <c r="R18" i="3"/>
  <c r="O17" i="3"/>
  <c r="R70" i="3"/>
  <c r="T58" i="3"/>
  <c r="R52" i="3"/>
  <c r="O45" i="3"/>
  <c r="O42" i="3"/>
  <c r="Q37" i="3"/>
  <c r="S31" i="3"/>
  <c r="O30" i="3"/>
  <c r="R27" i="3"/>
  <c r="N26" i="3"/>
  <c r="R23" i="3"/>
  <c r="S19" i="3"/>
  <c r="Q18" i="3"/>
  <c r="N17" i="3"/>
  <c r="T14" i="3"/>
  <c r="S4" i="3"/>
  <c r="P3" i="3"/>
  <c r="P65" i="3"/>
  <c r="S58" i="3"/>
  <c r="P56" i="3"/>
  <c r="Q52" i="3"/>
  <c r="T50" i="3"/>
  <c r="T43" i="3"/>
  <c r="N42" i="3"/>
  <c r="T40" i="3"/>
  <c r="P37" i="3"/>
  <c r="R31" i="3"/>
  <c r="N30" i="3"/>
  <c r="Q27" i="3"/>
  <c r="Q23" i="3"/>
  <c r="T20" i="3"/>
  <c r="R19" i="3"/>
  <c r="P18" i="3"/>
  <c r="T9" i="3"/>
  <c r="N3" i="3"/>
  <c r="R58" i="3"/>
  <c r="N56" i="3"/>
  <c r="Q50" i="3"/>
  <c r="R43" i="3"/>
  <c r="S40" i="3"/>
  <c r="N37" i="3"/>
  <c r="Q31" i="3"/>
  <c r="P27" i="3"/>
  <c r="P23" i="3"/>
  <c r="S20" i="3"/>
  <c r="Q19" i="3"/>
  <c r="O18" i="3"/>
  <c r="R9" i="3"/>
  <c r="T75" i="3"/>
  <c r="N58" i="3"/>
  <c r="O50" i="3"/>
  <c r="T48" i="3"/>
  <c r="Q43" i="3"/>
  <c r="N40" i="3"/>
  <c r="T35" i="3"/>
  <c r="P31" i="3"/>
  <c r="O27" i="3"/>
  <c r="T24" i="3"/>
  <c r="R20" i="3"/>
  <c r="P19" i="3"/>
  <c r="N18" i="3"/>
  <c r="Q14" i="3"/>
  <c r="Q9" i="3"/>
  <c r="S5" i="3"/>
  <c r="N75" i="3"/>
  <c r="T62" i="3"/>
  <c r="N50" i="3"/>
  <c r="S48" i="3"/>
  <c r="T46" i="3"/>
  <c r="P43" i="3"/>
  <c r="S38" i="3"/>
  <c r="Q35" i="3"/>
  <c r="T32" i="3"/>
  <c r="N31" i="3"/>
  <c r="R81" i="3"/>
  <c r="Q67" i="3"/>
  <c r="N62" i="3"/>
  <c r="O48" i="3"/>
  <c r="S46" i="3"/>
  <c r="N43" i="3"/>
  <c r="P35" i="3"/>
  <c r="S32" i="3"/>
  <c r="Q28" i="3"/>
  <c r="P24" i="3"/>
  <c r="T21" i="3"/>
  <c r="P20" i="3"/>
  <c r="N19" i="3"/>
  <c r="O14" i="3"/>
  <c r="N48" i="3"/>
  <c r="R46" i="3"/>
  <c r="S44" i="3"/>
  <c r="O38" i="3"/>
  <c r="O35" i="3"/>
  <c r="R32" i="3"/>
  <c r="P69" i="3"/>
  <c r="T64" i="3"/>
  <c r="N46" i="3"/>
  <c r="S11" i="3"/>
  <c r="S77" i="3"/>
  <c r="O69" i="3"/>
  <c r="S64" i="3"/>
  <c r="T59" i="3"/>
  <c r="T53" i="3"/>
  <c r="S51" i="3"/>
  <c r="P41" i="3"/>
  <c r="S36" i="3"/>
  <c r="O32" i="3"/>
  <c r="T29" i="3"/>
  <c r="Q5" i="3"/>
  <c r="O5" i="3"/>
  <c r="S3" i="3"/>
  <c r="S24" i="3"/>
  <c r="O19" i="3"/>
  <c r="P5" i="3"/>
  <c r="O24" i="3"/>
  <c r="P14" i="3"/>
  <c r="S21" i="3"/>
  <c r="N14" i="3"/>
  <c r="P9" i="3"/>
  <c r="N5" i="3"/>
  <c r="Q3" i="3"/>
  <c r="Q21" i="3"/>
  <c r="T16" i="3"/>
  <c r="R11" i="3"/>
  <c r="N9" i="3"/>
  <c r="R28" i="3"/>
  <c r="Q20" i="3"/>
  <c r="P4" i="3"/>
  <c r="N28" i="3"/>
  <c r="T25" i="3"/>
  <c r="O20" i="3"/>
  <c r="N4" i="3"/>
  <c r="T15" i="3"/>
  <c r="T10" i="3"/>
  <c r="T8" i="3"/>
  <c r="N2" i="3"/>
  <c r="Q25" i="3"/>
  <c r="R15" i="3"/>
  <c r="S10" i="3"/>
  <c r="P15" i="3"/>
  <c r="Q10" i="3"/>
  <c r="O10" i="3"/>
  <c r="Q17" i="3"/>
  <c r="R5" i="3"/>
  <c r="V57" i="1"/>
  <c r="W57" i="1"/>
  <c r="AO13" i="1"/>
  <c r="AU30" i="1"/>
  <c r="BA2" i="1"/>
  <c r="P3" i="10" s="1" a="1"/>
  <c r="Q3" i="1"/>
  <c r="BA5" i="1"/>
  <c r="BM5" i="1"/>
  <c r="BG5" i="1"/>
  <c r="AC7" i="1"/>
  <c r="BM8" i="1"/>
  <c r="AC10" i="1"/>
  <c r="BA10" i="1"/>
  <c r="AO10" i="1"/>
  <c r="BG10" i="1"/>
  <c r="Q10" i="1"/>
  <c r="BA12" i="1"/>
  <c r="BM16" i="1"/>
  <c r="BM28" i="1"/>
  <c r="Q47" i="1"/>
  <c r="W49" i="1"/>
  <c r="W55" i="1"/>
  <c r="BL56" i="1"/>
  <c r="BM56" i="1"/>
  <c r="BM63" i="1"/>
  <c r="BL63" i="1"/>
  <c r="AN71" i="1"/>
  <c r="T4" i="3"/>
  <c r="T18" i="3"/>
  <c r="Q6" i="1"/>
  <c r="BM3" i="1"/>
  <c r="AI5" i="1"/>
  <c r="Q8" i="1"/>
  <c r="AC14" i="1"/>
  <c r="BM14" i="1"/>
  <c r="Q14" i="1"/>
  <c r="BG14" i="1"/>
  <c r="AU14" i="1"/>
  <c r="W14" i="1"/>
  <c r="Q19" i="1"/>
  <c r="P12" i="3"/>
  <c r="BG36" i="1"/>
  <c r="BF36" i="1"/>
  <c r="AI45" i="1"/>
  <c r="AH45" i="1"/>
  <c r="BL48" i="1"/>
  <c r="BM48" i="1"/>
  <c r="AN63" i="1"/>
  <c r="AO63" i="1"/>
  <c r="Q11" i="1"/>
  <c r="AU16" i="1"/>
  <c r="W20" i="1"/>
  <c r="AO20" i="1"/>
  <c r="Q20" i="1"/>
  <c r="BA20" i="1"/>
  <c r="AU20" i="1"/>
  <c r="BM20" i="1"/>
  <c r="AI26" i="1"/>
  <c r="W26" i="1"/>
  <c r="Q26" i="1"/>
  <c r="BM26" i="1"/>
  <c r="AU26" i="1"/>
  <c r="W58" i="1"/>
  <c r="V58" i="1"/>
  <c r="W68" i="1"/>
  <c r="AO68" i="1"/>
  <c r="BG68" i="1"/>
  <c r="BA68" i="1"/>
  <c r="BM68" i="1"/>
  <c r="AI68" i="1"/>
  <c r="BF18" i="1"/>
  <c r="BG18" i="1"/>
  <c r="AN22" i="1"/>
  <c r="BL22" i="1"/>
  <c r="V23" i="1"/>
  <c r="BG29" i="1"/>
  <c r="BA29" i="1"/>
  <c r="AC29" i="1"/>
  <c r="AU29" i="1"/>
  <c r="W29" i="1"/>
  <c r="AI29" i="1"/>
  <c r="AO29" i="1"/>
  <c r="BM29" i="1"/>
  <c r="AH36" i="1"/>
  <c r="AI36" i="1"/>
  <c r="AN48" i="1"/>
  <c r="AO48" i="1"/>
  <c r="W56" i="1"/>
  <c r="V56" i="1"/>
  <c r="AU67" i="1"/>
  <c r="AT67" i="1"/>
  <c r="W4" i="1"/>
  <c r="BG4" i="1"/>
  <c r="Q4" i="1"/>
  <c r="AU4" i="1"/>
  <c r="BA6" i="1"/>
  <c r="AU8" i="1"/>
  <c r="BA9" i="1"/>
  <c r="Q9" i="1"/>
  <c r="W12" i="1"/>
  <c r="AO12" i="1"/>
  <c r="AI12" i="1"/>
  <c r="BM12" i="1"/>
  <c r="AC17" i="1"/>
  <c r="BM57" i="1"/>
  <c r="BL57" i="1"/>
  <c r="AC49" i="1"/>
  <c r="BG55" i="1"/>
  <c r="Q5" i="1"/>
  <c r="BM7" i="1"/>
  <c r="AU28" i="1"/>
  <c r="BM32" i="1"/>
  <c r="AO32" i="1"/>
  <c r="AI32" i="1"/>
  <c r="BA32" i="1"/>
  <c r="W32" i="1"/>
  <c r="Q32" i="1"/>
  <c r="BM36" i="1"/>
  <c r="BG66" i="1"/>
  <c r="BF66" i="1"/>
  <c r="N24" i="3"/>
  <c r="BA69" i="1"/>
  <c r="Q70" i="1"/>
  <c r="T2" i="3"/>
  <c r="S2" i="3"/>
  <c r="R2" i="3"/>
  <c r="Q2" i="3"/>
  <c r="O2" i="3"/>
  <c r="T28" i="3"/>
  <c r="Q6" i="3"/>
  <c r="P6" i="3"/>
  <c r="O6" i="3"/>
  <c r="N6" i="3"/>
  <c r="G60" i="1"/>
  <c r="T13" i="3"/>
  <c r="R13" i="3"/>
  <c r="Q13" i="3"/>
  <c r="P13" i="3"/>
  <c r="O13" i="3"/>
  <c r="N13" i="3"/>
  <c r="AI34" i="1"/>
  <c r="AO34" i="1"/>
  <c r="Q34" i="1"/>
  <c r="BG41" i="1"/>
  <c r="AI41" i="1"/>
  <c r="BA41" i="1"/>
  <c r="AC41" i="1"/>
  <c r="AU41" i="1"/>
  <c r="Q53" i="1"/>
  <c r="P32" i="3"/>
  <c r="T57" i="3"/>
  <c r="BM60" i="1"/>
  <c r="W60" i="1"/>
  <c r="BG60" i="1"/>
  <c r="Q60" i="1"/>
  <c r="BA60" i="1"/>
  <c r="BM71" i="1"/>
  <c r="Q71" i="1"/>
  <c r="AI71" i="1"/>
  <c r="BA71" i="1"/>
  <c r="AU71" i="1"/>
  <c r="AH24" i="1"/>
  <c r="BA33" i="1"/>
  <c r="AT45" i="1"/>
  <c r="AI46" i="1"/>
  <c r="AU46" i="1"/>
  <c r="W46" i="1"/>
  <c r="AO46" i="1"/>
  <c r="Q46" i="1"/>
  <c r="BG46" i="1"/>
  <c r="AO53" i="1"/>
  <c r="AC54" i="1"/>
  <c r="AZ57" i="1"/>
  <c r="V66" i="1"/>
  <c r="AI69" i="1"/>
  <c r="AT70" i="1"/>
  <c r="AT72" i="1"/>
  <c r="P2" i="3"/>
  <c r="AO27" i="1"/>
  <c r="BG27" i="1"/>
  <c r="Q27" i="1"/>
  <c r="AI27" i="1"/>
  <c r="AC27" i="1"/>
  <c r="BA27" i="1"/>
  <c r="Q21" i="1"/>
  <c r="BA21" i="1"/>
  <c r="AI22" i="1"/>
  <c r="BA22" i="1"/>
  <c r="AC40" i="1"/>
  <c r="AI43" i="1"/>
  <c r="AC43" i="1"/>
  <c r="BM43" i="1"/>
  <c r="W43" i="1"/>
  <c r="BG44" i="1"/>
  <c r="W45" i="1"/>
  <c r="V50" i="1"/>
  <c r="BA51" i="1"/>
  <c r="AC51" i="1"/>
  <c r="AU51" i="1"/>
  <c r="W51" i="1"/>
  <c r="AO51" i="1"/>
  <c r="BG71" i="1"/>
  <c r="R6" i="3"/>
  <c r="BG33" i="1"/>
  <c r="AO33" i="1"/>
  <c r="AI33" i="1"/>
  <c r="W40" i="1"/>
  <c r="AO40" i="1"/>
  <c r="Q40" i="1"/>
  <c r="AI54" i="1"/>
  <c r="BM54" i="1"/>
  <c r="W54" i="1"/>
  <c r="AO54" i="1"/>
  <c r="BG54" i="1"/>
  <c r="AI64" i="1"/>
  <c r="BA64" i="1"/>
  <c r="AC64" i="1"/>
  <c r="BM64" i="1"/>
  <c r="W64" i="1"/>
  <c r="T6" i="3"/>
  <c r="S14" i="3"/>
  <c r="T44" i="3"/>
  <c r="O7" i="3"/>
  <c r="T7" i="3"/>
  <c r="S7" i="3"/>
  <c r="R7" i="3"/>
  <c r="Q7" i="3"/>
  <c r="N7" i="3"/>
  <c r="AC59" i="1"/>
  <c r="AU59" i="1"/>
  <c r="AO59" i="1"/>
  <c r="Q41" i="3"/>
  <c r="BG61" i="1"/>
  <c r="W61" i="1"/>
  <c r="Q61" i="1"/>
  <c r="BA61" i="1"/>
  <c r="AU66" i="1"/>
  <c r="T12" i="3"/>
  <c r="S12" i="3"/>
  <c r="R12" i="3"/>
  <c r="Q12" i="3"/>
  <c r="O12" i="3"/>
  <c r="N12" i="3"/>
  <c r="AU39" i="1"/>
  <c r="BM39" i="1"/>
  <c r="W39" i="1"/>
  <c r="AO39" i="1"/>
  <c r="Q39" i="1"/>
  <c r="BG53" i="1"/>
  <c r="BM53" i="1"/>
  <c r="AI53" i="1"/>
  <c r="BA53" i="1"/>
  <c r="AC53" i="1"/>
  <c r="Q22" i="3"/>
  <c r="T22" i="3"/>
  <c r="S22" i="3"/>
  <c r="R22" i="3"/>
  <c r="P22" i="3"/>
  <c r="O22" i="3"/>
  <c r="N22" i="3"/>
  <c r="AO21" i="1"/>
  <c r="BG25" i="1"/>
  <c r="BM25" i="1"/>
  <c r="W25" i="1"/>
  <c r="AO25" i="1"/>
  <c r="Q33" i="1"/>
  <c r="BM33" i="1"/>
  <c r="Q35" i="1"/>
  <c r="BM40" i="1"/>
  <c r="W41" i="1"/>
  <c r="AI42" i="1"/>
  <c r="BG42" i="1"/>
  <c r="Q42" i="1"/>
  <c r="W47" i="1"/>
  <c r="AO47" i="1"/>
  <c r="AI47" i="1"/>
  <c r="Q54" i="1"/>
  <c r="AO57" i="1"/>
  <c r="BG59" i="1"/>
  <c r="AT62" i="1"/>
  <c r="Q64" i="1"/>
  <c r="BL70" i="1"/>
  <c r="R4" i="3"/>
  <c r="P7" i="3"/>
  <c r="S15" i="3"/>
  <c r="T38" i="3"/>
  <c r="AI72" i="1"/>
  <c r="AH72" i="1"/>
  <c r="P10" i="3"/>
  <c r="Q17" i="1"/>
  <c r="BA17" i="1"/>
  <c r="AC18" i="1"/>
  <c r="BM18" i="1"/>
  <c r="W27" i="1"/>
  <c r="AU27" i="1"/>
  <c r="AI61" i="1"/>
  <c r="BG63" i="1"/>
  <c r="BA63" i="1"/>
  <c r="AC63" i="1"/>
  <c r="AU63" i="1"/>
  <c r="AO64" i="1"/>
  <c r="AN66" i="1"/>
  <c r="W71" i="1"/>
  <c r="Q8" i="3"/>
  <c r="S8" i="3"/>
  <c r="R8" i="3"/>
  <c r="P8" i="3"/>
  <c r="O8" i="3"/>
  <c r="N8" i="3"/>
  <c r="R25" i="3"/>
  <c r="Q34" i="3"/>
  <c r="P34" i="3"/>
  <c r="P44" i="3"/>
  <c r="T114" i="3"/>
  <c r="Q15" i="3"/>
  <c r="S17" i="3"/>
  <c r="N20" i="3"/>
  <c r="Q30" i="3"/>
  <c r="N38" i="3"/>
  <c r="R44" i="3"/>
  <c r="R54" i="3"/>
  <c r="Q54" i="3"/>
  <c r="P54" i="3"/>
  <c r="N54" i="3"/>
  <c r="T54" i="3"/>
  <c r="Q60" i="3"/>
  <c r="P60" i="3"/>
  <c r="O60" i="3"/>
  <c r="T60" i="3"/>
  <c r="S60" i="3"/>
  <c r="T107" i="3"/>
  <c r="T125" i="3"/>
  <c r="Q42" i="3"/>
  <c r="R65" i="3"/>
  <c r="T70" i="3"/>
  <c r="Q38" i="3"/>
  <c r="N89" i="3"/>
  <c r="T111" i="3"/>
  <c r="T45" i="3"/>
  <c r="T68" i="3"/>
  <c r="R68" i="3"/>
  <c r="Q68" i="3"/>
  <c r="P68" i="3"/>
  <c r="O68" i="3"/>
  <c r="N68" i="3"/>
  <c r="S73" i="3"/>
  <c r="Q73" i="3"/>
  <c r="T73" i="3"/>
  <c r="R73" i="3"/>
  <c r="P73" i="3"/>
  <c r="O73" i="3"/>
  <c r="N73" i="3"/>
  <c r="T93" i="3"/>
  <c r="R97" i="3"/>
  <c r="AU48" i="1"/>
  <c r="AC62" i="1"/>
  <c r="BG69" i="1"/>
  <c r="O4" i="3"/>
  <c r="Q16" i="3"/>
  <c r="R16" i="3"/>
  <c r="S28" i="3"/>
  <c r="S33" i="3"/>
  <c r="N33" i="3"/>
  <c r="S47" i="3"/>
  <c r="T79" i="3"/>
  <c r="R14" i="3"/>
  <c r="S25" i="3"/>
  <c r="N34" i="3"/>
  <c r="P36" i="3"/>
  <c r="T36" i="3"/>
  <c r="O39" i="3"/>
  <c r="S39" i="3"/>
  <c r="N39" i="3"/>
  <c r="O54" i="3"/>
  <c r="N60" i="3"/>
  <c r="T86" i="3"/>
  <c r="S101" i="3"/>
  <c r="O119" i="3"/>
  <c r="AU56" i="1"/>
  <c r="AI70" i="1"/>
  <c r="AC70" i="1"/>
  <c r="N29" i="3"/>
  <c r="S29" i="3"/>
  <c r="R29" i="3"/>
  <c r="O34" i="3"/>
  <c r="S54" i="3"/>
  <c r="R60" i="3"/>
  <c r="R10" i="3"/>
  <c r="N21" i="3"/>
  <c r="R34" i="3"/>
  <c r="S41" i="3"/>
  <c r="N41" i="3"/>
  <c r="T41" i="3"/>
  <c r="R41" i="3"/>
  <c r="Q44" i="3"/>
  <c r="O44" i="3"/>
  <c r="S57" i="3"/>
  <c r="R57" i="3"/>
  <c r="N57" i="3"/>
  <c r="T61" i="3"/>
  <c r="P66" i="3"/>
  <c r="S90" i="3"/>
  <c r="T94" i="3"/>
  <c r="T123" i="3"/>
  <c r="T130" i="3"/>
  <c r="O15" i="3"/>
  <c r="N15" i="3"/>
  <c r="Q32" i="3"/>
  <c r="S34" i="3"/>
  <c r="R80" i="3"/>
  <c r="T116" i="3"/>
  <c r="W31" i="1"/>
  <c r="AU36" i="1"/>
  <c r="BM44" i="1"/>
  <c r="BA48" i="1"/>
  <c r="AI50" i="1"/>
  <c r="AC50" i="1"/>
  <c r="W52" i="1"/>
  <c r="BG57" i="1"/>
  <c r="AU58" i="1"/>
  <c r="BM66" i="1"/>
  <c r="BA70" i="1"/>
  <c r="T5" i="3"/>
  <c r="P17" i="3"/>
  <c r="Q24" i="3"/>
  <c r="R24" i="3"/>
  <c r="R30" i="3"/>
  <c r="T34" i="3"/>
  <c r="O53" i="3"/>
  <c r="N53" i="3"/>
  <c r="S53" i="3"/>
  <c r="R53" i="3"/>
  <c r="Q53" i="3"/>
  <c r="T71" i="3"/>
  <c r="T74" i="3"/>
  <c r="T102" i="3"/>
  <c r="T127" i="3"/>
  <c r="S145" i="3"/>
  <c r="P28" i="3"/>
  <c r="O28" i="3"/>
  <c r="R38" i="3"/>
  <c r="P38" i="3"/>
  <c r="R64" i="3"/>
  <c r="S68" i="3"/>
  <c r="Q113" i="3"/>
  <c r="AI35" i="1"/>
  <c r="Q48" i="1"/>
  <c r="BA56" i="1"/>
  <c r="AC58" i="1"/>
  <c r="BG62" i="1"/>
  <c r="BG65" i="1"/>
  <c r="Q69" i="1"/>
  <c r="S9" i="3"/>
  <c r="O9" i="3"/>
  <c r="N16" i="3"/>
  <c r="R17" i="3"/>
  <c r="T30" i="3"/>
  <c r="P33" i="3"/>
  <c r="N36" i="3"/>
  <c r="Q39" i="3"/>
  <c r="Q46" i="3"/>
  <c r="P46" i="3"/>
  <c r="O46" i="3"/>
  <c r="T69" i="3"/>
  <c r="R77" i="3"/>
  <c r="Q4" i="3"/>
  <c r="O16" i="3"/>
  <c r="N25" i="3"/>
  <c r="O29" i="3"/>
  <c r="Q33" i="3"/>
  <c r="O36" i="3"/>
  <c r="R39" i="3"/>
  <c r="Q48" i="3"/>
  <c r="R48" i="3"/>
  <c r="P48" i="3"/>
  <c r="O57" i="3"/>
  <c r="S62" i="3"/>
  <c r="R62" i="3"/>
  <c r="Q62" i="3"/>
  <c r="P62" i="3"/>
  <c r="O62" i="3"/>
  <c r="T106" i="3"/>
  <c r="S117" i="3"/>
  <c r="AU52" i="1"/>
  <c r="AO62" i="1"/>
  <c r="AI66" i="1"/>
  <c r="AC66" i="1"/>
  <c r="P16" i="3"/>
  <c r="O21" i="3"/>
  <c r="O25" i="3"/>
  <c r="P29" i="3"/>
  <c r="R33" i="3"/>
  <c r="P57" i="3"/>
  <c r="T135" i="3"/>
  <c r="BG70" i="1"/>
  <c r="AI38" i="1"/>
  <c r="AC38" i="1"/>
  <c r="BG45" i="1"/>
  <c r="BA58" i="1"/>
  <c r="AO69" i="1"/>
  <c r="N10" i="3"/>
  <c r="S16" i="3"/>
  <c r="P21" i="3"/>
  <c r="O23" i="3"/>
  <c r="N23" i="3"/>
  <c r="T23" i="3"/>
  <c r="P25" i="3"/>
  <c r="Q29" i="3"/>
  <c r="N32" i="3"/>
  <c r="T33" i="3"/>
  <c r="R36" i="3"/>
  <c r="P40" i="3"/>
  <c r="O41" i="3"/>
  <c r="N44" i="3"/>
  <c r="P50" i="3"/>
  <c r="P53" i="3"/>
  <c r="R56" i="3"/>
  <c r="Q57" i="3"/>
  <c r="T81" i="3"/>
  <c r="T110" i="3"/>
  <c r="Q88" i="3"/>
  <c r="O88" i="3"/>
  <c r="Q109" i="3"/>
  <c r="S139" i="3"/>
  <c r="O139" i="3"/>
  <c r="P145" i="3"/>
  <c r="O31" i="3"/>
  <c r="O40" i="3"/>
  <c r="S49" i="3"/>
  <c r="N52" i="3"/>
  <c r="N64" i="3"/>
  <c r="N70" i="3"/>
  <c r="R71" i="3"/>
  <c r="T77" i="3"/>
  <c r="N80" i="3"/>
  <c r="N85" i="3"/>
  <c r="R86" i="3"/>
  <c r="Q90" i="3"/>
  <c r="O92" i="3"/>
  <c r="R94" i="3"/>
  <c r="O98" i="3"/>
  <c r="P102" i="3"/>
  <c r="P107" i="3"/>
  <c r="S111" i="3"/>
  <c r="Q114" i="3"/>
  <c r="Q157" i="3"/>
  <c r="T157" i="3"/>
  <c r="S157" i="3"/>
  <c r="O157" i="3"/>
  <c r="N157" i="3"/>
  <c r="T162" i="3"/>
  <c r="S162" i="3"/>
  <c r="Q162" i="3"/>
  <c r="P162" i="3"/>
  <c r="O162" i="3"/>
  <c r="T165" i="3"/>
  <c r="AO72" i="1"/>
  <c r="AC72" i="1"/>
  <c r="O52" i="3"/>
  <c r="O55" i="3"/>
  <c r="P58" i="3"/>
  <c r="O64" i="3"/>
  <c r="O70" i="3"/>
  <c r="S71" i="3"/>
  <c r="P80" i="3"/>
  <c r="S82" i="3"/>
  <c r="O85" i="3"/>
  <c r="S86" i="3"/>
  <c r="R90" i="3"/>
  <c r="P98" i="3"/>
  <c r="O100" i="3"/>
  <c r="Q100" i="3"/>
  <c r="N100" i="3"/>
  <c r="Q102" i="3"/>
  <c r="R107" i="3"/>
  <c r="N110" i="3"/>
  <c r="R114" i="3"/>
  <c r="S118" i="3"/>
  <c r="R118" i="3"/>
  <c r="P118" i="3"/>
  <c r="N118" i="3"/>
  <c r="O125" i="3"/>
  <c r="N130" i="3"/>
  <c r="Q135" i="3"/>
  <c r="T155" i="3"/>
  <c r="S155" i="3"/>
  <c r="Q155" i="3"/>
  <c r="O155" i="3"/>
  <c r="N155" i="3"/>
  <c r="R175" i="3"/>
  <c r="P52" i="3"/>
  <c r="P64" i="3"/>
  <c r="P70" i="3"/>
  <c r="N74" i="3"/>
  <c r="P85" i="3"/>
  <c r="O93" i="3"/>
  <c r="T95" i="3"/>
  <c r="R95" i="3"/>
  <c r="N97" i="3"/>
  <c r="Q98" i="3"/>
  <c r="R102" i="3"/>
  <c r="O110" i="3"/>
  <c r="N119" i="3"/>
  <c r="R125" i="3"/>
  <c r="P130" i="3"/>
  <c r="S134" i="3"/>
  <c r="R134" i="3"/>
  <c r="P134" i="3"/>
  <c r="R135" i="3"/>
  <c r="Q146" i="3"/>
  <c r="O146" i="3"/>
  <c r="N153" i="3"/>
  <c r="N69" i="3"/>
  <c r="Q72" i="3"/>
  <c r="O72" i="3"/>
  <c r="O74" i="3"/>
  <c r="N79" i="3"/>
  <c r="O87" i="3"/>
  <c r="R98" i="3"/>
  <c r="N101" i="3"/>
  <c r="O106" i="3"/>
  <c r="O108" i="3"/>
  <c r="T108" i="3"/>
  <c r="P110" i="3"/>
  <c r="O129" i="3"/>
  <c r="N129" i="3"/>
  <c r="T129" i="3"/>
  <c r="R129" i="3"/>
  <c r="S130" i="3"/>
  <c r="Q141" i="3"/>
  <c r="O141" i="3"/>
  <c r="N141" i="3"/>
  <c r="S141" i="3"/>
  <c r="S169" i="3"/>
  <c r="S179" i="3"/>
  <c r="P74" i="3"/>
  <c r="P79" i="3"/>
  <c r="Q106" i="3"/>
  <c r="Q110" i="3"/>
  <c r="N116" i="3"/>
  <c r="T126" i="3"/>
  <c r="O127" i="3"/>
  <c r="N139" i="3"/>
  <c r="T143" i="3"/>
  <c r="R143" i="3"/>
  <c r="P143" i="3"/>
  <c r="N143" i="3"/>
  <c r="O148" i="3"/>
  <c r="R148" i="3"/>
  <c r="Q148" i="3"/>
  <c r="N148" i="3"/>
  <c r="T166" i="3"/>
  <c r="S81" i="3"/>
  <c r="Q81" i="3"/>
  <c r="R45" i="3"/>
  <c r="O47" i="3"/>
  <c r="T52" i="3"/>
  <c r="O56" i="3"/>
  <c r="S65" i="3"/>
  <c r="Q69" i="3"/>
  <c r="R74" i="3"/>
  <c r="R79" i="3"/>
  <c r="T85" i="3"/>
  <c r="N88" i="3"/>
  <c r="N92" i="3"/>
  <c r="N99" i="3"/>
  <c r="N105" i="3"/>
  <c r="S106" i="3"/>
  <c r="N109" i="3"/>
  <c r="R116" i="3"/>
  <c r="R127" i="3"/>
  <c r="T138" i="3"/>
  <c r="R138" i="3"/>
  <c r="P138" i="3"/>
  <c r="Q139" i="3"/>
  <c r="R150" i="3"/>
  <c r="T163" i="3"/>
  <c r="O215" i="3"/>
  <c r="R69" i="3"/>
  <c r="O71" i="3"/>
  <c r="S79" i="3"/>
  <c r="P88" i="3"/>
  <c r="T90" i="3"/>
  <c r="S94" i="3"/>
  <c r="Q94" i="3"/>
  <c r="O94" i="3"/>
  <c r="S102" i="3"/>
  <c r="O109" i="3"/>
  <c r="P111" i="3"/>
  <c r="N111" i="3"/>
  <c r="P123" i="3"/>
  <c r="O123" i="3"/>
  <c r="S123" i="3"/>
  <c r="S127" i="3"/>
  <c r="R139" i="3"/>
  <c r="O158" i="3"/>
  <c r="S187" i="3"/>
  <c r="S201" i="3"/>
  <c r="Q40" i="3"/>
  <c r="O49" i="3"/>
  <c r="N61" i="3"/>
  <c r="S69" i="3"/>
  <c r="R88" i="3"/>
  <c r="S107" i="3"/>
  <c r="Q107" i="3"/>
  <c r="P109" i="3"/>
  <c r="S114" i="3"/>
  <c r="Q117" i="3"/>
  <c r="O117" i="3"/>
  <c r="T117" i="3"/>
  <c r="T139" i="3"/>
  <c r="T145" i="3"/>
  <c r="R145" i="3"/>
  <c r="N145" i="3"/>
  <c r="Q167" i="3"/>
  <c r="O61" i="3"/>
  <c r="Q64" i="3"/>
  <c r="Q80" i="3"/>
  <c r="O80" i="3"/>
  <c r="N87" i="3"/>
  <c r="S88" i="3"/>
  <c r="N91" i="3"/>
  <c r="R109" i="3"/>
  <c r="Q125" i="3"/>
  <c r="S125" i="3"/>
  <c r="P125" i="3"/>
  <c r="P61" i="3"/>
  <c r="N66" i="3"/>
  <c r="N72" i="3"/>
  <c r="N77" i="3"/>
  <c r="P87" i="3"/>
  <c r="T88" i="3"/>
  <c r="O91" i="3"/>
  <c r="R105" i="3"/>
  <c r="S109" i="3"/>
  <c r="P148" i="3"/>
  <c r="Q154" i="3"/>
  <c r="P154" i="3"/>
  <c r="N154" i="3"/>
  <c r="T154" i="3"/>
  <c r="R154" i="3"/>
  <c r="S161" i="3"/>
  <c r="S74" i="3"/>
  <c r="O77" i="3"/>
  <c r="S78" i="3"/>
  <c r="Q82" i="3"/>
  <c r="Q87" i="3"/>
  <c r="S89" i="3"/>
  <c r="Q89" i="3"/>
  <c r="P91" i="3"/>
  <c r="T92" i="3"/>
  <c r="S105" i="3"/>
  <c r="T109" i="3"/>
  <c r="S119" i="3"/>
  <c r="Q119" i="3"/>
  <c r="P135" i="3"/>
  <c r="O135" i="3"/>
  <c r="S135" i="3"/>
  <c r="O143" i="3"/>
  <c r="S148" i="3"/>
  <c r="O164" i="3"/>
  <c r="S164" i="3"/>
  <c r="R164" i="3"/>
  <c r="Q164" i="3"/>
  <c r="P164" i="3"/>
  <c r="N164" i="3"/>
  <c r="R174" i="3"/>
  <c r="P191" i="3"/>
  <c r="T31" i="3"/>
  <c r="T49" i="3"/>
  <c r="R61" i="3"/>
  <c r="O63" i="3"/>
  <c r="R72" i="3"/>
  <c r="P77" i="3"/>
  <c r="N81" i="3"/>
  <c r="N86" i="3"/>
  <c r="R87" i="3"/>
  <c r="Q91" i="3"/>
  <c r="Q93" i="3"/>
  <c r="N93" i="3"/>
  <c r="Q101" i="3"/>
  <c r="T101" i="3"/>
  <c r="R101" i="3"/>
  <c r="S110" i="3"/>
  <c r="N123" i="3"/>
  <c r="R130" i="3"/>
  <c r="Q130" i="3"/>
  <c r="O130" i="3"/>
  <c r="Q143" i="3"/>
  <c r="T147" i="3"/>
  <c r="T148" i="3"/>
  <c r="S188" i="3"/>
  <c r="N47" i="3"/>
  <c r="S61" i="3"/>
  <c r="Q77" i="3"/>
  <c r="O79" i="3"/>
  <c r="O81" i="3"/>
  <c r="O86" i="3"/>
  <c r="S87" i="3"/>
  <c r="N90" i="3"/>
  <c r="R91" i="3"/>
  <c r="P106" i="3"/>
  <c r="N106" i="3"/>
  <c r="O111" i="3"/>
  <c r="T113" i="3"/>
  <c r="R113" i="3"/>
  <c r="P113" i="3"/>
  <c r="Q123" i="3"/>
  <c r="Q137" i="3"/>
  <c r="S143" i="3"/>
  <c r="T181" i="3"/>
  <c r="S195" i="3"/>
  <c r="R206" i="3"/>
  <c r="S213" i="3"/>
  <c r="T238" i="3"/>
  <c r="Q56" i="3"/>
  <c r="P71" i="3"/>
  <c r="T72" i="3"/>
  <c r="P81" i="3"/>
  <c r="P86" i="3"/>
  <c r="T87" i="3"/>
  <c r="O90" i="3"/>
  <c r="S91" i="3"/>
  <c r="N94" i="3"/>
  <c r="N107" i="3"/>
  <c r="O116" i="3"/>
  <c r="S116" i="3"/>
  <c r="Q116" i="3"/>
  <c r="R123" i="3"/>
  <c r="P127" i="3"/>
  <c r="N127" i="3"/>
  <c r="S132" i="3"/>
  <c r="O145" i="3"/>
  <c r="O159" i="3"/>
  <c r="N159" i="3"/>
  <c r="T159" i="3"/>
  <c r="S159" i="3"/>
  <c r="R159" i="3"/>
  <c r="P159" i="3"/>
  <c r="S171" i="3"/>
  <c r="O156" i="3"/>
  <c r="T161" i="3"/>
  <c r="R166" i="3"/>
  <c r="Q173" i="3"/>
  <c r="P181" i="3"/>
  <c r="P183" i="3"/>
  <c r="Q197" i="3"/>
  <c r="T197" i="3"/>
  <c r="R197" i="3"/>
  <c r="N197" i="3"/>
  <c r="O201" i="3"/>
  <c r="R213" i="3"/>
  <c r="T241" i="3"/>
  <c r="R246" i="3"/>
  <c r="T279" i="3"/>
  <c r="R178" i="3"/>
  <c r="R181" i="3"/>
  <c r="S190" i="3"/>
  <c r="R190" i="3"/>
  <c r="O190" i="3"/>
  <c r="T194" i="3"/>
  <c r="P201" i="3"/>
  <c r="R225" i="3"/>
  <c r="Q238" i="3"/>
  <c r="T267" i="3"/>
  <c r="S275" i="3"/>
  <c r="T299" i="3"/>
  <c r="S324" i="3"/>
  <c r="R147" i="3"/>
  <c r="Q149" i="3"/>
  <c r="Q153" i="3"/>
  <c r="R165" i="3"/>
  <c r="P175" i="3"/>
  <c r="S181" i="3"/>
  <c r="Q188" i="3"/>
  <c r="N191" i="3"/>
  <c r="Q195" i="3"/>
  <c r="Q201" i="3"/>
  <c r="S214" i="3"/>
  <c r="Q214" i="3"/>
  <c r="P214" i="3"/>
  <c r="O214" i="3"/>
  <c r="N214" i="3"/>
  <c r="S227" i="3"/>
  <c r="T234" i="3"/>
  <c r="S234" i="3"/>
  <c r="R234" i="3"/>
  <c r="Q234" i="3"/>
  <c r="P234" i="3"/>
  <c r="O234" i="3"/>
  <c r="S261" i="3"/>
  <c r="O186" i="3"/>
  <c r="T186" i="3"/>
  <c r="R201" i="3"/>
  <c r="S218" i="3"/>
  <c r="S239" i="3"/>
  <c r="T255" i="3"/>
  <c r="S255" i="3"/>
  <c r="R255" i="3"/>
  <c r="Q255" i="3"/>
  <c r="P255" i="3"/>
  <c r="O255" i="3"/>
  <c r="N255" i="3"/>
  <c r="S271" i="3"/>
  <c r="S280" i="3"/>
  <c r="O124" i="3"/>
  <c r="S142" i="3"/>
  <c r="N163" i="3"/>
  <c r="O172" i="3"/>
  <c r="S172" i="3"/>
  <c r="N174" i="3"/>
  <c r="O177" i="3"/>
  <c r="O179" i="3"/>
  <c r="S182" i="3"/>
  <c r="N187" i="3"/>
  <c r="Q193" i="3"/>
  <c r="R199" i="3"/>
  <c r="O204" i="3"/>
  <c r="N204" i="3"/>
  <c r="T204" i="3"/>
  <c r="S204" i="3"/>
  <c r="Q204" i="3"/>
  <c r="S166" i="3"/>
  <c r="S222" i="3"/>
  <c r="N222" i="3"/>
  <c r="T222" i="3"/>
  <c r="R222" i="3"/>
  <c r="P222" i="3"/>
  <c r="P244" i="3"/>
  <c r="O196" i="3"/>
  <c r="R196" i="3"/>
  <c r="Q196" i="3"/>
  <c r="N196" i="3"/>
  <c r="Q202" i="3"/>
  <c r="P202" i="3"/>
  <c r="O202" i="3"/>
  <c r="N202" i="3"/>
  <c r="S209" i="3"/>
  <c r="R209" i="3"/>
  <c r="Q209" i="3"/>
  <c r="P209" i="3"/>
  <c r="O209" i="3"/>
  <c r="Q281" i="3"/>
  <c r="O286" i="3"/>
  <c r="Q181" i="3"/>
  <c r="O194" i="3"/>
  <c r="P197" i="3"/>
  <c r="O220" i="3"/>
  <c r="Q220" i="3"/>
  <c r="P220" i="3"/>
  <c r="N220" i="3"/>
  <c r="R242" i="3"/>
  <c r="P247" i="3"/>
  <c r="T265" i="3"/>
  <c r="S272" i="3"/>
  <c r="Q132" i="3"/>
  <c r="P150" i="3"/>
  <c r="P156" i="3"/>
  <c r="R163" i="3"/>
  <c r="Q165" i="3"/>
  <c r="P171" i="3"/>
  <c r="O173" i="3"/>
  <c r="O178" i="3"/>
  <c r="Q183" i="3"/>
  <c r="T185" i="3"/>
  <c r="Q185" i="3"/>
  <c r="N190" i="3"/>
  <c r="P194" i="3"/>
  <c r="S197" i="3"/>
  <c r="S206" i="3"/>
  <c r="R214" i="3"/>
  <c r="O228" i="3"/>
  <c r="T228" i="3"/>
  <c r="S228" i="3"/>
  <c r="R228" i="3"/>
  <c r="Q228" i="3"/>
  <c r="P228" i="3"/>
  <c r="S250" i="3"/>
  <c r="T250" i="3"/>
  <c r="R250" i="3"/>
  <c r="Q250" i="3"/>
  <c r="P250" i="3"/>
  <c r="O250" i="3"/>
  <c r="N250" i="3"/>
  <c r="T256" i="3"/>
  <c r="R259" i="3"/>
  <c r="T262" i="3"/>
  <c r="Q156" i="3"/>
  <c r="P173" i="3"/>
  <c r="P217" i="3"/>
  <c r="R277" i="3"/>
  <c r="P290" i="3"/>
  <c r="P131" i="3"/>
  <c r="O137" i="3"/>
  <c r="O140" i="3"/>
  <c r="O149" i="3"/>
  <c r="R156" i="3"/>
  <c r="S158" i="3"/>
  <c r="N161" i="3"/>
  <c r="R173" i="3"/>
  <c r="Q178" i="3"/>
  <c r="S183" i="3"/>
  <c r="P186" i="3"/>
  <c r="O188" i="3"/>
  <c r="Q190" i="3"/>
  <c r="R194" i="3"/>
  <c r="Q213" i="3"/>
  <c r="T213" i="3"/>
  <c r="N213" i="3"/>
  <c r="T215" i="3"/>
  <c r="S215" i="3"/>
  <c r="R215" i="3"/>
  <c r="Q215" i="3"/>
  <c r="P215" i="3"/>
  <c r="N215" i="3"/>
  <c r="S282" i="3"/>
  <c r="S326" i="3"/>
  <c r="S194" i="3"/>
  <c r="N201" i="3"/>
  <c r="R202" i="3"/>
  <c r="P226" i="3"/>
  <c r="S245" i="3"/>
  <c r="S287" i="3"/>
  <c r="S312" i="3"/>
  <c r="P124" i="3"/>
  <c r="R131" i="3"/>
  <c r="Q133" i="3"/>
  <c r="O142" i="3"/>
  <c r="R149" i="3"/>
  <c r="T156" i="3"/>
  <c r="P161" i="3"/>
  <c r="N166" i="3"/>
  <c r="P172" i="3"/>
  <c r="T173" i="3"/>
  <c r="P177" i="3"/>
  <c r="T178" i="3"/>
  <c r="P182" i="3"/>
  <c r="R186" i="3"/>
  <c r="R191" i="3"/>
  <c r="O195" i="3"/>
  <c r="N195" i="3"/>
  <c r="S202" i="3"/>
  <c r="R204" i="3"/>
  <c r="N209" i="3"/>
  <c r="R233" i="3"/>
  <c r="T251" i="3"/>
  <c r="T298" i="3"/>
  <c r="N319" i="3"/>
  <c r="Q161" i="3"/>
  <c r="O166" i="3"/>
  <c r="S174" i="3"/>
  <c r="S186" i="3"/>
  <c r="P193" i="3"/>
  <c r="P196" i="3"/>
  <c r="T202" i="3"/>
  <c r="T205" i="3"/>
  <c r="T209" i="3"/>
  <c r="S220" i="3"/>
  <c r="Q223" i="3"/>
  <c r="S238" i="3"/>
  <c r="R238" i="3"/>
  <c r="P238" i="3"/>
  <c r="O238" i="3"/>
  <c r="N238" i="3"/>
  <c r="S126" i="3"/>
  <c r="Q142" i="3"/>
  <c r="N147" i="3"/>
  <c r="R161" i="3"/>
  <c r="P166" i="3"/>
  <c r="N171" i="3"/>
  <c r="N181" i="3"/>
  <c r="R187" i="3"/>
  <c r="S196" i="3"/>
  <c r="T203" i="3"/>
  <c r="S203" i="3"/>
  <c r="R203" i="3"/>
  <c r="Q203" i="3"/>
  <c r="P203" i="3"/>
  <c r="N203" i="3"/>
  <c r="N210" i="3"/>
  <c r="T210" i="3"/>
  <c r="S210" i="3"/>
  <c r="R210" i="3"/>
  <c r="P210" i="3"/>
  <c r="O213" i="3"/>
  <c r="T220" i="3"/>
  <c r="N228" i="3"/>
  <c r="R295" i="3"/>
  <c r="T302" i="3"/>
  <c r="O132" i="3"/>
  <c r="R142" i="3"/>
  <c r="S150" i="3"/>
  <c r="N165" i="3"/>
  <c r="Q166" i="3"/>
  <c r="O171" i="3"/>
  <c r="O181" i="3"/>
  <c r="T196" i="3"/>
  <c r="P213" i="3"/>
  <c r="Q221" i="3"/>
  <c r="T221" i="3"/>
  <c r="S221" i="3"/>
  <c r="R221" i="3"/>
  <c r="P221" i="3"/>
  <c r="O221" i="3"/>
  <c r="S231" i="3"/>
  <c r="R231" i="3"/>
  <c r="P231" i="3"/>
  <c r="N231" i="3"/>
  <c r="S254" i="3"/>
  <c r="T270" i="3"/>
  <c r="S284" i="3"/>
  <c r="S288" i="3"/>
  <c r="S306" i="3"/>
  <c r="F280" i="3"/>
  <c r="T294" i="3"/>
  <c r="N294" i="3"/>
  <c r="O299" i="3"/>
  <c r="P316" i="3"/>
  <c r="O316" i="3"/>
  <c r="S316" i="3"/>
  <c r="O321" i="3"/>
  <c r="S321" i="3"/>
  <c r="R321" i="3"/>
  <c r="P321" i="3"/>
  <c r="Q324" i="3"/>
  <c r="S223" i="3"/>
  <c r="Q237" i="3"/>
  <c r="T242" i="3"/>
  <c r="O246" i="3"/>
  <c r="Q249" i="3"/>
  <c r="N251" i="3"/>
  <c r="N256" i="3"/>
  <c r="Q262" i="3"/>
  <c r="O264" i="3"/>
  <c r="R264" i="3"/>
  <c r="S274" i="3"/>
  <c r="F284" i="3"/>
  <c r="T308" i="3"/>
  <c r="P308" i="3"/>
  <c r="R311" i="3"/>
  <c r="Q311" i="3"/>
  <c r="O311" i="3"/>
  <c r="O251" i="3"/>
  <c r="P256" i="3"/>
  <c r="N261" i="3"/>
  <c r="R262" i="3"/>
  <c r="N269" i="3"/>
  <c r="O271" i="3"/>
  <c r="F274" i="3"/>
  <c r="H280" i="3"/>
  <c r="Q287" i="3"/>
  <c r="O289" i="3"/>
  <c r="R289" i="3"/>
  <c r="O297" i="3"/>
  <c r="S297" i="3"/>
  <c r="Q299" i="3"/>
  <c r="P306" i="3"/>
  <c r="P312" i="3"/>
  <c r="Q326" i="3"/>
  <c r="T331" i="3"/>
  <c r="N340" i="3"/>
  <c r="T340" i="3"/>
  <c r="Q340" i="3"/>
  <c r="P340" i="3"/>
  <c r="O340" i="3"/>
  <c r="R340" i="3"/>
  <c r="O212" i="3"/>
  <c r="S230" i="3"/>
  <c r="S258" i="3"/>
  <c r="R258" i="3"/>
  <c r="O304" i="3"/>
  <c r="R306" i="3"/>
  <c r="Q335" i="3"/>
  <c r="P335" i="3"/>
  <c r="O335" i="3"/>
  <c r="N335" i="3"/>
  <c r="T335" i="3"/>
  <c r="R335" i="3"/>
  <c r="P227" i="3"/>
  <c r="O233" i="3"/>
  <c r="O236" i="3"/>
  <c r="P239" i="3"/>
  <c r="O245" i="3"/>
  <c r="R251" i="3"/>
  <c r="T253" i="3"/>
  <c r="R256" i="3"/>
  <c r="P261" i="3"/>
  <c r="N265" i="3"/>
  <c r="Q271" i="3"/>
  <c r="Q273" i="3"/>
  <c r="N275" i="3"/>
  <c r="T278" i="3"/>
  <c r="S283" i="3"/>
  <c r="R283" i="3"/>
  <c r="N298" i="3"/>
  <c r="O300" i="3"/>
  <c r="S318" i="3"/>
  <c r="R327" i="3"/>
  <c r="Q327" i="3"/>
  <c r="O327" i="3"/>
  <c r="S338" i="3"/>
  <c r="R351" i="3"/>
  <c r="Q205" i="3"/>
  <c r="S251" i="3"/>
  <c r="O263" i="3"/>
  <c r="O265" i="3"/>
  <c r="P275" i="3"/>
  <c r="H279" i="3"/>
  <c r="F283" i="3"/>
  <c r="P298" i="3"/>
  <c r="Q313" i="3"/>
  <c r="S343" i="3"/>
  <c r="Q229" i="3"/>
  <c r="R239" i="3"/>
  <c r="R261" i="3"/>
  <c r="P265" i="3"/>
  <c r="O270" i="3"/>
  <c r="Q275" i="3"/>
  <c r="F278" i="3"/>
  <c r="O280" i="3"/>
  <c r="O288" i="3"/>
  <c r="R298" i="3"/>
  <c r="O180" i="3"/>
  <c r="S198" i="3"/>
  <c r="N219" i="3"/>
  <c r="N254" i="3"/>
  <c r="Q257" i="3"/>
  <c r="O257" i="3"/>
  <c r="O259" i="3"/>
  <c r="R265" i="3"/>
  <c r="P270" i="3"/>
  <c r="O272" i="3"/>
  <c r="H273" i="3"/>
  <c r="N274" i="3"/>
  <c r="R275" i="3"/>
  <c r="S277" i="3"/>
  <c r="P280" i="3"/>
  <c r="H283" i="3"/>
  <c r="N284" i="3"/>
  <c r="P292" i="3"/>
  <c r="O294" i="3"/>
  <c r="T296" i="3"/>
  <c r="P296" i="3"/>
  <c r="S298" i="3"/>
  <c r="N308" i="3"/>
  <c r="O310" i="3"/>
  <c r="N310" i="3"/>
  <c r="T310" i="3"/>
  <c r="N311" i="3"/>
  <c r="Q316" i="3"/>
  <c r="S320" i="3"/>
  <c r="P320" i="3"/>
  <c r="O320" i="3"/>
  <c r="T321" i="3"/>
  <c r="R270" i="3"/>
  <c r="O274" i="3"/>
  <c r="F277" i="3"/>
  <c r="H278" i="3"/>
  <c r="N279" i="3"/>
  <c r="Q280" i="3"/>
  <c r="Q282" i="3"/>
  <c r="O282" i="3"/>
  <c r="O284" i="3"/>
  <c r="P294" i="3"/>
  <c r="N297" i="3"/>
  <c r="R303" i="3"/>
  <c r="O308" i="3"/>
  <c r="P311" i="3"/>
  <c r="S315" i="3"/>
  <c r="T315" i="3"/>
  <c r="R315" i="3"/>
  <c r="P315" i="3"/>
  <c r="R316" i="3"/>
  <c r="Q322" i="3"/>
  <c r="O322" i="3"/>
  <c r="N322" i="3"/>
  <c r="S322" i="3"/>
  <c r="N327" i="3"/>
  <c r="T336" i="3"/>
  <c r="S336" i="3"/>
  <c r="R336" i="3"/>
  <c r="Q336" i="3"/>
  <c r="P336" i="3"/>
  <c r="O336" i="3"/>
  <c r="O243" i="3"/>
  <c r="S246" i="3"/>
  <c r="S299" i="3"/>
  <c r="R299" i="3"/>
  <c r="Q308" i="3"/>
  <c r="S311" i="3"/>
  <c r="T324" i="3"/>
  <c r="R324" i="3"/>
  <c r="P324" i="3"/>
  <c r="N324" i="3"/>
  <c r="N358" i="3"/>
  <c r="P251" i="3"/>
  <c r="N258" i="3"/>
  <c r="Q264" i="3"/>
  <c r="P269" i="3"/>
  <c r="Q274" i="3"/>
  <c r="H277" i="3"/>
  <c r="P279" i="3"/>
  <c r="Q284" i="3"/>
  <c r="R294" i="3"/>
  <c r="Q306" i="3"/>
  <c r="N306" i="3"/>
  <c r="R308" i="3"/>
  <c r="T311" i="3"/>
  <c r="S332" i="3"/>
  <c r="S355" i="3"/>
  <c r="P355" i="3"/>
  <c r="R355" i="3"/>
  <c r="O355" i="3"/>
  <c r="N355" i="3"/>
  <c r="T355" i="3"/>
  <c r="Q355" i="3"/>
  <c r="S372" i="3"/>
  <c r="N242" i="3"/>
  <c r="Q243" i="3"/>
  <c r="O256" i="3"/>
  <c r="O258" i="3"/>
  <c r="N263" i="3"/>
  <c r="T271" i="3"/>
  <c r="R274" i="3"/>
  <c r="F276" i="3"/>
  <c r="H282" i="3"/>
  <c r="S308" i="3"/>
  <c r="T312" i="3"/>
  <c r="R312" i="3"/>
  <c r="N312" i="3"/>
  <c r="T326" i="3"/>
  <c r="R326" i="3"/>
  <c r="O326" i="3"/>
  <c r="N326" i="3"/>
  <c r="N211" i="3"/>
  <c r="Q212" i="3"/>
  <c r="P218" i="3"/>
  <c r="S219" i="3"/>
  <c r="N223" i="3"/>
  <c r="P230" i="3"/>
  <c r="S237" i="3"/>
  <c r="O242" i="3"/>
  <c r="R243" i="3"/>
  <c r="Q245" i="3"/>
  <c r="S249" i="3"/>
  <c r="P258" i="3"/>
  <c r="P263" i="3"/>
  <c r="T264" i="3"/>
  <c r="R269" i="3"/>
  <c r="T274" i="3"/>
  <c r="R279" i="3"/>
  <c r="O281" i="3"/>
  <c r="N288" i="3"/>
  <c r="S289" i="3"/>
  <c r="Q295" i="3"/>
  <c r="T297" i="3"/>
  <c r="Q300" i="3"/>
  <c r="S302" i="3"/>
  <c r="O302" i="3"/>
  <c r="R304" i="3"/>
  <c r="N320" i="3"/>
  <c r="T328" i="3"/>
  <c r="N334" i="3"/>
  <c r="N336" i="3"/>
  <c r="T339" i="3"/>
  <c r="S243" i="3"/>
  <c r="Q258" i="3"/>
  <c r="Q265" i="3"/>
  <c r="O275" i="3"/>
  <c r="Q298" i="3"/>
  <c r="O298" i="3"/>
  <c r="S304" i="3"/>
  <c r="O344" i="3"/>
  <c r="N344" i="3"/>
  <c r="T344" i="3"/>
  <c r="R344" i="3"/>
  <c r="P344" i="3"/>
  <c r="F275" i="3"/>
  <c r="N277" i="3"/>
  <c r="Q288" i="3"/>
  <c r="Q290" i="3"/>
  <c r="N292" i="3"/>
  <c r="S300" i="3"/>
  <c r="O303" i="3"/>
  <c r="T304" i="3"/>
  <c r="O315" i="3"/>
  <c r="T319" i="3"/>
  <c r="P319" i="3"/>
  <c r="P322" i="3"/>
  <c r="T350" i="3"/>
  <c r="Q189" i="3"/>
  <c r="O198" i="3"/>
  <c r="R205" i="3"/>
  <c r="Q211" i="3"/>
  <c r="T212" i="3"/>
  <c r="P229" i="3"/>
  <c r="T230" i="3"/>
  <c r="O244" i="3"/>
  <c r="O262" i="3"/>
  <c r="S263" i="3"/>
  <c r="Q270" i="3"/>
  <c r="N287" i="3"/>
  <c r="R288" i="3"/>
  <c r="N299" i="3"/>
  <c r="T300" i="3"/>
  <c r="P303" i="3"/>
  <c r="T314" i="3"/>
  <c r="Q315" i="3"/>
  <c r="T320" i="3"/>
  <c r="R322" i="3"/>
  <c r="O324" i="3"/>
  <c r="O337" i="3"/>
  <c r="N339" i="3"/>
  <c r="Q346" i="3"/>
  <c r="N346" i="3"/>
  <c r="S370" i="3"/>
  <c r="Q330" i="3"/>
  <c r="P339" i="3"/>
  <c r="P341" i="3"/>
  <c r="T349" i="3"/>
  <c r="O353" i="3"/>
  <c r="R356" i="3"/>
  <c r="P356" i="3"/>
  <c r="O356" i="3"/>
  <c r="N360" i="3"/>
  <c r="Q360" i="3"/>
  <c r="T365" i="3"/>
  <c r="T395" i="3"/>
  <c r="O305" i="3"/>
  <c r="O314" i="3"/>
  <c r="S323" i="3"/>
  <c r="O332" i="3"/>
  <c r="S334" i="3"/>
  <c r="F336" i="3"/>
  <c r="N338" i="3"/>
  <c r="S339" i="3"/>
  <c r="O343" i="3"/>
  <c r="S358" i="3"/>
  <c r="O329" i="3"/>
  <c r="P332" i="3"/>
  <c r="O338" i="3"/>
  <c r="P343" i="3"/>
  <c r="O345" i="3"/>
  <c r="Q345" i="3"/>
  <c r="T358" i="3"/>
  <c r="O346" i="3"/>
  <c r="R348" i="3"/>
  <c r="Q352" i="3"/>
  <c r="N359" i="3"/>
  <c r="Q372" i="3"/>
  <c r="S377" i="3"/>
  <c r="P377" i="3"/>
  <c r="T377" i="3"/>
  <c r="Q377" i="3"/>
  <c r="O377" i="3"/>
  <c r="N377" i="3"/>
  <c r="P350" i="3"/>
  <c r="O360" i="3"/>
  <c r="N369" i="3"/>
  <c r="Q375" i="3"/>
  <c r="S375" i="3"/>
  <c r="T375" i="3"/>
  <c r="P375" i="3"/>
  <c r="O375" i="3"/>
  <c r="O248" i="3"/>
  <c r="S266" i="3"/>
  <c r="S291" i="3"/>
  <c r="P331" i="3"/>
  <c r="P337" i="3"/>
  <c r="R346" i="3"/>
  <c r="R350" i="3"/>
  <c r="N353" i="3"/>
  <c r="P360" i="3"/>
  <c r="R364" i="3"/>
  <c r="O364" i="3"/>
  <c r="R331" i="3"/>
  <c r="R339" i="3"/>
  <c r="T346" i="3"/>
  <c r="Q353" i="3"/>
  <c r="Q356" i="3"/>
  <c r="S360" i="3"/>
  <c r="P393" i="3"/>
  <c r="Q341" i="3"/>
  <c r="N345" i="3"/>
  <c r="N351" i="3"/>
  <c r="T351" i="3"/>
  <c r="R353" i="3"/>
  <c r="S356" i="3"/>
  <c r="T360" i="3"/>
  <c r="T400" i="3"/>
  <c r="Q314" i="3"/>
  <c r="N329" i="3"/>
  <c r="R330" i="3"/>
  <c r="R341" i="3"/>
  <c r="T343" i="3"/>
  <c r="S353" i="3"/>
  <c r="T356" i="3"/>
  <c r="O361" i="3"/>
  <c r="R361" i="3"/>
  <c r="P361" i="3"/>
  <c r="N361" i="3"/>
  <c r="R366" i="3"/>
  <c r="P366" i="3"/>
  <c r="O366" i="3"/>
  <c r="P338" i="3"/>
  <c r="R345" i="3"/>
  <c r="T353" i="3"/>
  <c r="T357" i="3"/>
  <c r="N375" i="3"/>
  <c r="S307" i="3"/>
  <c r="Q323" i="3"/>
  <c r="N328" i="3"/>
  <c r="Q329" i="3"/>
  <c r="T330" i="3"/>
  <c r="T341" i="3"/>
  <c r="S345" i="3"/>
  <c r="P348" i="3"/>
  <c r="Q350" i="3"/>
  <c r="P352" i="3"/>
  <c r="S363" i="3"/>
  <c r="P363" i="3"/>
  <c r="T363" i="3"/>
  <c r="N364" i="3"/>
  <c r="R375" i="3"/>
  <c r="O313" i="3"/>
  <c r="S331" i="3"/>
  <c r="F338" i="3"/>
  <c r="R342" i="3"/>
  <c r="T345" i="3"/>
  <c r="Q348" i="3"/>
  <c r="R352" i="3"/>
  <c r="R372" i="3"/>
  <c r="T372" i="3"/>
  <c r="P372" i="3"/>
  <c r="O372" i="3"/>
  <c r="N372" i="3"/>
  <c r="P381" i="3"/>
  <c r="N381" i="3"/>
  <c r="R381" i="3"/>
  <c r="T381" i="3"/>
  <c r="S381" i="3"/>
  <c r="Q381" i="3"/>
  <c r="O381" i="3"/>
  <c r="S376" i="3"/>
  <c r="P376" i="3"/>
  <c r="O380" i="3"/>
  <c r="S398" i="3"/>
  <c r="Q422" i="3"/>
  <c r="T436" i="3"/>
  <c r="P440" i="3"/>
  <c r="S385" i="3"/>
  <c r="R388" i="3"/>
  <c r="P388" i="3"/>
  <c r="O388" i="3"/>
  <c r="T388" i="3"/>
  <c r="P392" i="3"/>
  <c r="T444" i="3"/>
  <c r="S347" i="3"/>
  <c r="P347" i="3"/>
  <c r="Q362" i="3"/>
  <c r="N362" i="3"/>
  <c r="T396" i="3"/>
  <c r="R396" i="3"/>
  <c r="Q396" i="3"/>
  <c r="O396" i="3"/>
  <c r="N396" i="3"/>
  <c r="O405" i="3"/>
  <c r="N405" i="3"/>
  <c r="S405" i="3"/>
  <c r="R405" i="3"/>
  <c r="Q405" i="3"/>
  <c r="N400" i="3"/>
  <c r="O416" i="3"/>
  <c r="T419" i="3"/>
  <c r="S430" i="3"/>
  <c r="S455" i="3"/>
  <c r="S371" i="3"/>
  <c r="P371" i="3"/>
  <c r="T379" i="3"/>
  <c r="O382" i="3"/>
  <c r="S382" i="3"/>
  <c r="Q382" i="3"/>
  <c r="P382" i="3"/>
  <c r="Q400" i="3"/>
  <c r="O408" i="3"/>
  <c r="Q437" i="3"/>
  <c r="T441" i="3"/>
  <c r="T403" i="3"/>
  <c r="T445" i="3"/>
  <c r="N376" i="3"/>
  <c r="P380" i="3"/>
  <c r="S384" i="3"/>
  <c r="R384" i="3"/>
  <c r="P384" i="3"/>
  <c r="N385" i="3"/>
  <c r="Q388" i="3"/>
  <c r="S401" i="3"/>
  <c r="P405" i="3"/>
  <c r="O376" i="3"/>
  <c r="Q380" i="3"/>
  <c r="O385" i="3"/>
  <c r="O387" i="3"/>
  <c r="S388" i="3"/>
  <c r="P396" i="3"/>
  <c r="T405" i="3"/>
  <c r="N411" i="3"/>
  <c r="T414" i="3"/>
  <c r="Q370" i="3"/>
  <c r="N370" i="3"/>
  <c r="S389" i="3"/>
  <c r="R389" i="3"/>
  <c r="P389" i="3"/>
  <c r="O389" i="3"/>
  <c r="T420" i="3"/>
  <c r="S431" i="3"/>
  <c r="T449" i="3"/>
  <c r="R376" i="3"/>
  <c r="S380" i="3"/>
  <c r="T397" i="3"/>
  <c r="T446" i="3"/>
  <c r="R409" i="3"/>
  <c r="P428" i="3"/>
  <c r="Q354" i="3"/>
  <c r="N354" i="3"/>
  <c r="O369" i="3"/>
  <c r="O371" i="3"/>
  <c r="T382" i="3"/>
  <c r="N389" i="3"/>
  <c r="T404" i="3"/>
  <c r="S404" i="3"/>
  <c r="R404" i="3"/>
  <c r="P404" i="3"/>
  <c r="O404" i="3"/>
  <c r="N404" i="3"/>
  <c r="T421" i="3"/>
  <c r="Q371" i="3"/>
  <c r="Q389" i="3"/>
  <c r="R412" i="3"/>
  <c r="T415" i="3"/>
  <c r="R432" i="3"/>
  <c r="T389" i="3"/>
  <c r="S400" i="3"/>
  <c r="R400" i="3"/>
  <c r="P400" i="3"/>
  <c r="O400" i="3"/>
  <c r="T425" i="3"/>
  <c r="S447" i="3"/>
  <c r="O370" i="3"/>
  <c r="T371" i="3"/>
  <c r="Q384" i="3"/>
  <c r="Q383" i="3"/>
  <c r="R393" i="3"/>
  <c r="S412" i="3"/>
  <c r="P432" i="3"/>
  <c r="N441" i="3"/>
  <c r="S393" i="3"/>
  <c r="P398" i="3"/>
  <c r="Q407" i="3"/>
  <c r="Q411" i="3"/>
  <c r="T412" i="3"/>
  <c r="R417" i="3"/>
  <c r="S424" i="3"/>
  <c r="Q424" i="3"/>
  <c r="S428" i="3"/>
  <c r="Q439" i="3"/>
  <c r="O439" i="3"/>
  <c r="O441" i="3"/>
  <c r="N446" i="3"/>
  <c r="Q455" i="3"/>
  <c r="T458" i="3"/>
  <c r="S458" i="3"/>
  <c r="R458" i="3"/>
  <c r="Q454" i="3"/>
  <c r="O454" i="3"/>
  <c r="N454" i="3"/>
  <c r="S433" i="3"/>
  <c r="Q446" i="3"/>
  <c r="S448" i="3"/>
  <c r="Q448" i="3"/>
  <c r="P397" i="3"/>
  <c r="O406" i="3"/>
  <c r="T411" i="3"/>
  <c r="N425" i="3"/>
  <c r="P436" i="3"/>
  <c r="N440" i="3"/>
  <c r="R441" i="3"/>
  <c r="N445" i="3"/>
  <c r="R446" i="3"/>
  <c r="Q421" i="3"/>
  <c r="Q423" i="3"/>
  <c r="O423" i="3"/>
  <c r="O425" i="3"/>
  <c r="N430" i="3"/>
  <c r="Q436" i="3"/>
  <c r="O438" i="3"/>
  <c r="O440" i="3"/>
  <c r="O445" i="3"/>
  <c r="S446" i="3"/>
  <c r="R397" i="3"/>
  <c r="Q399" i="3"/>
  <c r="Q403" i="3"/>
  <c r="N414" i="3"/>
  <c r="R415" i="3"/>
  <c r="N420" i="3"/>
  <c r="R421" i="3"/>
  <c r="P425" i="3"/>
  <c r="P430" i="3"/>
  <c r="R436" i="3"/>
  <c r="P445" i="3"/>
  <c r="N449" i="3"/>
  <c r="N458" i="3"/>
  <c r="P414" i="3"/>
  <c r="O420" i="3"/>
  <c r="S421" i="3"/>
  <c r="Q425" i="3"/>
  <c r="Q430" i="3"/>
  <c r="S432" i="3"/>
  <c r="Q432" i="3"/>
  <c r="S436" i="3"/>
  <c r="Q445" i="3"/>
  <c r="Q447" i="3"/>
  <c r="O447" i="3"/>
  <c r="O449" i="3"/>
  <c r="P454" i="3"/>
  <c r="O458" i="3"/>
  <c r="O374" i="3"/>
  <c r="O383" i="3"/>
  <c r="S392" i="3"/>
  <c r="O401" i="3"/>
  <c r="N413" i="3"/>
  <c r="Q414" i="3"/>
  <c r="P420" i="3"/>
  <c r="R425" i="3"/>
  <c r="N429" i="3"/>
  <c r="R430" i="3"/>
  <c r="N444" i="3"/>
  <c r="R445" i="3"/>
  <c r="P449" i="3"/>
  <c r="R454" i="3"/>
  <c r="P458" i="3"/>
  <c r="O398" i="3"/>
  <c r="P401" i="3"/>
  <c r="O413" i="3"/>
  <c r="R414" i="3"/>
  <c r="S416" i="3"/>
  <c r="N419" i="3"/>
  <c r="Q420" i="3"/>
  <c r="O422" i="3"/>
  <c r="O429" i="3"/>
  <c r="S441" i="3"/>
  <c r="O444" i="3"/>
  <c r="S445" i="3"/>
  <c r="Q449" i="3"/>
  <c r="S454" i="3"/>
  <c r="N433" i="3"/>
  <c r="P444" i="3"/>
  <c r="N448" i="3"/>
  <c r="R449" i="3"/>
  <c r="T454" i="3"/>
  <c r="S383" i="3"/>
  <c r="Q391" i="3"/>
  <c r="R401" i="3"/>
  <c r="N406" i="3"/>
  <c r="N412" i="3"/>
  <c r="Q413" i="3"/>
  <c r="P419" i="3"/>
  <c r="S420" i="3"/>
  <c r="Q429" i="3"/>
  <c r="Q431" i="3"/>
  <c r="O431" i="3"/>
  <c r="O433" i="3"/>
  <c r="Q444" i="3"/>
  <c r="O446" i="3"/>
  <c r="N455" i="3"/>
  <c r="T455" i="3"/>
  <c r="N393" i="3"/>
  <c r="P406" i="3"/>
  <c r="O412" i="3"/>
  <c r="R413" i="3"/>
  <c r="Q415" i="3"/>
  <c r="Q419" i="3"/>
  <c r="N428" i="3"/>
  <c r="R429" i="3"/>
  <c r="P433" i="3"/>
  <c r="R444" i="3"/>
  <c r="P448" i="3"/>
  <c r="O453" i="3"/>
  <c r="T457" i="3"/>
  <c r="R457" i="3"/>
  <c r="Q457" i="3"/>
  <c r="P457" i="3"/>
  <c r="O457" i="3"/>
  <c r="S457" i="3"/>
  <c r="N457" i="3"/>
  <c r="P412" i="3"/>
  <c r="S413" i="3"/>
  <c r="R419" i="3"/>
  <c r="S425" i="3"/>
  <c r="O428" i="3"/>
  <c r="S429" i="3"/>
  <c r="Q433" i="3"/>
  <c r="S440" i="3"/>
  <c r="Q440" i="3"/>
  <c r="S444" i="3"/>
  <c r="R448" i="3"/>
  <c r="O390" i="3"/>
  <c r="R406" i="3"/>
  <c r="S408" i="3"/>
  <c r="Q412" i="3"/>
  <c r="T413" i="3"/>
  <c r="S419" i="3"/>
  <c r="T429" i="3"/>
  <c r="R433" i="3"/>
  <c r="N447" i="3"/>
  <c r="T448" i="3"/>
  <c r="O414" i="3"/>
  <c r="N422" i="3"/>
  <c r="O430" i="3"/>
  <c r="T433" i="3"/>
  <c r="S449" i="3"/>
  <c r="P456" i="3"/>
  <c r="O456" i="3"/>
  <c r="N456" i="3"/>
  <c r="R456" i="3"/>
  <c r="BF58" i="10" l="1"/>
  <c r="AP58" i="10"/>
  <c r="Z58" i="10"/>
  <c r="BA57" i="10"/>
  <c r="AK57" i="10"/>
  <c r="U57" i="10"/>
  <c r="AV56" i="10"/>
  <c r="AF56" i="10"/>
  <c r="P56" i="10"/>
  <c r="AQ55" i="10"/>
  <c r="AA55" i="10"/>
  <c r="BB54" i="10"/>
  <c r="AL54" i="10"/>
  <c r="V54" i="10"/>
  <c r="AW53" i="10"/>
  <c r="AG53" i="10"/>
  <c r="Q53" i="10"/>
  <c r="AR52" i="10"/>
  <c r="AB52" i="10"/>
  <c r="BC51" i="10"/>
  <c r="AM51" i="10"/>
  <c r="W51" i="10"/>
  <c r="AX50" i="10"/>
  <c r="AH50" i="10"/>
  <c r="R50" i="10"/>
  <c r="AS49" i="10"/>
  <c r="AC49" i="10"/>
  <c r="BD48" i="10"/>
  <c r="AN48" i="10"/>
  <c r="X48" i="10"/>
  <c r="AY47" i="10"/>
  <c r="AI47" i="10"/>
  <c r="S47" i="10"/>
  <c r="AT46" i="10"/>
  <c r="AD46" i="10"/>
  <c r="BE45" i="10"/>
  <c r="AO45" i="10"/>
  <c r="Y45" i="10"/>
  <c r="AZ44" i="10"/>
  <c r="AJ44" i="10"/>
  <c r="T44" i="10"/>
  <c r="AU43" i="10"/>
  <c r="AE43" i="10"/>
  <c r="BF42" i="10"/>
  <c r="AP42" i="10"/>
  <c r="Z42" i="10"/>
  <c r="BA41" i="10"/>
  <c r="AK41" i="10"/>
  <c r="U41" i="10"/>
  <c r="AV40" i="10"/>
  <c r="AF40" i="10"/>
  <c r="P40" i="10"/>
  <c r="AQ39" i="10"/>
  <c r="AA39" i="10"/>
  <c r="BB38" i="10"/>
  <c r="AL38" i="10"/>
  <c r="V38" i="10"/>
  <c r="AW37" i="10"/>
  <c r="AG37" i="10"/>
  <c r="Q37" i="10"/>
  <c r="AR36" i="10"/>
  <c r="AB36" i="10"/>
  <c r="BC35" i="10"/>
  <c r="AM35" i="10"/>
  <c r="W35" i="10"/>
  <c r="AX34" i="10"/>
  <c r="AH34" i="10"/>
  <c r="R34" i="10"/>
  <c r="AS33" i="10"/>
  <c r="AC33" i="10"/>
  <c r="BD32" i="10"/>
  <c r="AN32" i="10"/>
  <c r="X32" i="10"/>
  <c r="AY31" i="10"/>
  <c r="AI31" i="10"/>
  <c r="S31" i="10"/>
  <c r="AT30" i="10"/>
  <c r="AD30" i="10"/>
  <c r="BE29" i="10"/>
  <c r="AO29" i="10"/>
  <c r="Y29" i="10"/>
  <c r="AZ28" i="10"/>
  <c r="AJ28" i="10"/>
  <c r="T28" i="10"/>
  <c r="AU27" i="10"/>
  <c r="BE58" i="10"/>
  <c r="BD58" i="10"/>
  <c r="BC58" i="10"/>
  <c r="BB58" i="10"/>
  <c r="BA58" i="10"/>
  <c r="AZ58" i="10"/>
  <c r="AJ58" i="10"/>
  <c r="T58" i="10"/>
  <c r="AU57" i="10"/>
  <c r="AE57" i="10"/>
  <c r="BF56" i="10"/>
  <c r="AP56" i="10"/>
  <c r="Z56" i="10"/>
  <c r="BA55" i="10"/>
  <c r="AK55" i="10"/>
  <c r="U55" i="10"/>
  <c r="AV54" i="10"/>
  <c r="AF54" i="10"/>
  <c r="P54" i="10"/>
  <c r="AQ53" i="10"/>
  <c r="AA53" i="10"/>
  <c r="BB52" i="10"/>
  <c r="AL52" i="10"/>
  <c r="V52" i="10"/>
  <c r="AW51" i="10"/>
  <c r="AG51" i="10"/>
  <c r="Q51" i="10"/>
  <c r="AR50" i="10"/>
  <c r="AB50" i="10"/>
  <c r="BC49" i="10"/>
  <c r="AM49" i="10"/>
  <c r="W49" i="10"/>
  <c r="AX48" i="10"/>
  <c r="AH48" i="10"/>
  <c r="R48" i="10"/>
  <c r="AS47" i="10"/>
  <c r="AC47" i="10"/>
  <c r="BD46" i="10"/>
  <c r="AN46" i="10"/>
  <c r="X46" i="10"/>
  <c r="AY45" i="10"/>
  <c r="AI45" i="10"/>
  <c r="S45" i="10"/>
  <c r="AT44" i="10"/>
  <c r="AD44" i="10"/>
  <c r="BE43" i="10"/>
  <c r="AO43" i="10"/>
  <c r="Y43" i="10"/>
  <c r="AZ42" i="10"/>
  <c r="AJ42" i="10"/>
  <c r="T42" i="10"/>
  <c r="AU41" i="10"/>
  <c r="AE41" i="10"/>
  <c r="BF40" i="10"/>
  <c r="AP40" i="10"/>
  <c r="Z40" i="10"/>
  <c r="BA39" i="10"/>
  <c r="AK39" i="10"/>
  <c r="U39" i="10"/>
  <c r="AV38" i="10"/>
  <c r="AF38" i="10"/>
  <c r="P38" i="10"/>
  <c r="AQ37" i="10"/>
  <c r="AA37" i="10"/>
  <c r="BB36" i="10"/>
  <c r="AL36" i="10"/>
  <c r="V36" i="10"/>
  <c r="AW35" i="10"/>
  <c r="AG35" i="10"/>
  <c r="Q35" i="10"/>
  <c r="AR34" i="10"/>
  <c r="AB34" i="10"/>
  <c r="BC33" i="10"/>
  <c r="AM33" i="10"/>
  <c r="W33" i="10"/>
  <c r="AX32" i="10"/>
  <c r="AH32" i="10"/>
  <c r="R32" i="10"/>
  <c r="AS31" i="10"/>
  <c r="AC31" i="10"/>
  <c r="BD30" i="10"/>
  <c r="AN30" i="10"/>
  <c r="X30" i="10"/>
  <c r="AY29" i="10"/>
  <c r="AI29" i="10"/>
  <c r="S29" i="10"/>
  <c r="AT28" i="10"/>
  <c r="AD28" i="10"/>
  <c r="BE27" i="10"/>
  <c r="AO27" i="10"/>
  <c r="AY58" i="10"/>
  <c r="AI58" i="10"/>
  <c r="S58" i="10"/>
  <c r="AT57" i="10"/>
  <c r="AD57" i="10"/>
  <c r="BE56" i="10"/>
  <c r="AO56" i="10"/>
  <c r="Y56" i="10"/>
  <c r="AZ55" i="10"/>
  <c r="AJ55" i="10"/>
  <c r="T55" i="10"/>
  <c r="AU54" i="10"/>
  <c r="AE54" i="10"/>
  <c r="BF53" i="10"/>
  <c r="AP53" i="10"/>
  <c r="Z53" i="10"/>
  <c r="BA52" i="10"/>
  <c r="AK52" i="10"/>
  <c r="U52" i="10"/>
  <c r="AV51" i="10"/>
  <c r="AF51" i="10"/>
  <c r="P51" i="10"/>
  <c r="AQ50" i="10"/>
  <c r="AA50" i="10"/>
  <c r="BB49" i="10"/>
  <c r="AL49" i="10"/>
  <c r="V49" i="10"/>
  <c r="AW48" i="10"/>
  <c r="AG48" i="10"/>
  <c r="Q48" i="10"/>
  <c r="AR47" i="10"/>
  <c r="AB47" i="10"/>
  <c r="BC46" i="10"/>
  <c r="AM46" i="10"/>
  <c r="W46" i="10"/>
  <c r="AX45" i="10"/>
  <c r="AH45" i="10"/>
  <c r="R45" i="10"/>
  <c r="AS44" i="10"/>
  <c r="AF58" i="10"/>
  <c r="BD57" i="10"/>
  <c r="AJ57" i="10"/>
  <c r="Q57" i="10"/>
  <c r="AM56" i="10"/>
  <c r="T56" i="10"/>
  <c r="AR55" i="10"/>
  <c r="X55" i="10"/>
  <c r="AT54" i="10"/>
  <c r="AA54" i="10"/>
  <c r="AY53" i="10"/>
  <c r="AE53" i="10"/>
  <c r="BC52" i="10"/>
  <c r="AH52" i="10"/>
  <c r="BF51" i="10"/>
  <c r="AL51" i="10"/>
  <c r="S51" i="10"/>
  <c r="AO50" i="10"/>
  <c r="V50" i="10"/>
  <c r="AT49" i="10"/>
  <c r="Z49" i="10"/>
  <c r="AV48" i="10"/>
  <c r="AC48" i="10"/>
  <c r="BA47" i="10"/>
  <c r="AG47" i="10"/>
  <c r="BE46" i="10"/>
  <c r="AJ46" i="10"/>
  <c r="Q46" i="10"/>
  <c r="AN45" i="10"/>
  <c r="U45" i="10"/>
  <c r="AQ44" i="10"/>
  <c r="Y44" i="10"/>
  <c r="AX43" i="10"/>
  <c r="AF43" i="10"/>
  <c r="BD42" i="10"/>
  <c r="AL42" i="10"/>
  <c r="S42" i="10"/>
  <c r="AR41" i="10"/>
  <c r="Z41" i="10"/>
  <c r="AY40" i="10"/>
  <c r="AG40" i="10"/>
  <c r="BE39" i="10"/>
  <c r="AM39" i="10"/>
  <c r="T39" i="10"/>
  <c r="AS38" i="10"/>
  <c r="AA38" i="10"/>
  <c r="AZ37" i="10"/>
  <c r="AH37" i="10"/>
  <c r="BF36" i="10"/>
  <c r="AN36" i="10"/>
  <c r="U36" i="10"/>
  <c r="AT35" i="10"/>
  <c r="AB35" i="10"/>
  <c r="BA34" i="10"/>
  <c r="AI34" i="10"/>
  <c r="P34" i="10"/>
  <c r="AO33" i="10"/>
  <c r="V33" i="10"/>
  <c r="AU32" i="10"/>
  <c r="AC32" i="10"/>
  <c r="BB31" i="10"/>
  <c r="AJ31" i="10"/>
  <c r="Q31" i="10"/>
  <c r="AP30" i="10"/>
  <c r="W30" i="10"/>
  <c r="AV29" i="10"/>
  <c r="AD29" i="10"/>
  <c r="BC28" i="10"/>
  <c r="AK28" i="10"/>
  <c r="R28" i="10"/>
  <c r="AQ27" i="10"/>
  <c r="Z27" i="10"/>
  <c r="BA26" i="10"/>
  <c r="AK26" i="10"/>
  <c r="U26" i="10"/>
  <c r="AV25" i="10"/>
  <c r="AF25" i="10"/>
  <c r="P25" i="10"/>
  <c r="AQ24" i="10"/>
  <c r="AA24" i="10"/>
  <c r="BB23" i="10"/>
  <c r="AL23" i="10"/>
  <c r="V23" i="10"/>
  <c r="AW22" i="10"/>
  <c r="AG22" i="10"/>
  <c r="AX58" i="10"/>
  <c r="AE58" i="10"/>
  <c r="AC58" i="10"/>
  <c r="AY57" i="10"/>
  <c r="AC57" i="10"/>
  <c r="AZ56" i="10"/>
  <c r="AE56" i="10"/>
  <c r="BB55" i="10"/>
  <c r="AF55" i="10"/>
  <c r="BC54" i="10"/>
  <c r="AH54" i="10"/>
  <c r="BC53" i="10"/>
  <c r="AI53" i="10"/>
  <c r="BE52" i="10"/>
  <c r="AI52" i="10"/>
  <c r="BE51" i="10"/>
  <c r="AJ51" i="10"/>
  <c r="BE50" i="10"/>
  <c r="AK50" i="10"/>
  <c r="P50" i="10"/>
  <c r="AK49" i="10"/>
  <c r="Q49" i="10"/>
  <c r="AM48" i="10"/>
  <c r="S48" i="10"/>
  <c r="AN47" i="10"/>
  <c r="T47" i="10"/>
  <c r="AP46" i="10"/>
  <c r="T46" i="10"/>
  <c r="AQ45" i="10"/>
  <c r="V45" i="10"/>
  <c r="AP44" i="10"/>
  <c r="W44" i="10"/>
  <c r="AT43" i="10"/>
  <c r="AA43" i="10"/>
  <c r="AX42" i="10"/>
  <c r="AE42" i="10"/>
  <c r="BC41" i="10"/>
  <c r="AI41" i="10"/>
  <c r="P41" i="10"/>
  <c r="AM40" i="10"/>
  <c r="T40" i="10"/>
  <c r="AR39" i="10"/>
  <c r="X39" i="10"/>
  <c r="AU38" i="10"/>
  <c r="AB38" i="10"/>
  <c r="AY37" i="10"/>
  <c r="AE37" i="10"/>
  <c r="BC36" i="10"/>
  <c r="AI36" i="10"/>
  <c r="P36" i="10"/>
  <c r="AN35" i="10"/>
  <c r="T35" i="10"/>
  <c r="AQ34" i="10"/>
  <c r="X34" i="10"/>
  <c r="AV33" i="10"/>
  <c r="AB33" i="10"/>
  <c r="AZ32" i="10"/>
  <c r="AF32" i="10"/>
  <c r="BD31" i="10"/>
  <c r="AK31" i="10"/>
  <c r="P31" i="10"/>
  <c r="AM30" i="10"/>
  <c r="T30" i="10"/>
  <c r="AR29" i="10"/>
  <c r="X29" i="10"/>
  <c r="AV28" i="10"/>
  <c r="AB28" i="10"/>
  <c r="AZ27" i="10"/>
  <c r="AG27" i="10"/>
  <c r="P27" i="10"/>
  <c r="AP26" i="10"/>
  <c r="Y26" i="10"/>
  <c r="AY25" i="10"/>
  <c r="AH25" i="10"/>
  <c r="Q25" i="10"/>
  <c r="AP24" i="10"/>
  <c r="Y24" i="10"/>
  <c r="AY23" i="10"/>
  <c r="AH23" i="10"/>
  <c r="Q23" i="10"/>
  <c r="AQ22" i="10"/>
  <c r="Z22" i="10"/>
  <c r="BA21" i="10"/>
  <c r="AK21" i="10"/>
  <c r="U21" i="10"/>
  <c r="AV20" i="10"/>
  <c r="AF20" i="10"/>
  <c r="P20" i="10"/>
  <c r="AQ19" i="10"/>
  <c r="AA19" i="10"/>
  <c r="BB18" i="10"/>
  <c r="AL18" i="10"/>
  <c r="V18" i="10"/>
  <c r="AW17" i="10"/>
  <c r="AG17" i="10"/>
  <c r="Q17" i="10"/>
  <c r="AR16" i="10"/>
  <c r="AB16" i="10"/>
  <c r="BC15" i="10"/>
  <c r="AM15" i="10"/>
  <c r="W15" i="10"/>
  <c r="AX14" i="10"/>
  <c r="AH14" i="10"/>
  <c r="R14" i="10"/>
  <c r="AS13" i="10"/>
  <c r="AC13" i="10"/>
  <c r="BD12" i="10"/>
  <c r="AN12" i="10"/>
  <c r="X12" i="10"/>
  <c r="AY11" i="10"/>
  <c r="AI11" i="10"/>
  <c r="S11" i="10"/>
  <c r="AT10" i="10"/>
  <c r="AD10" i="10"/>
  <c r="BE9" i="10"/>
  <c r="AO9" i="10"/>
  <c r="Y9" i="10"/>
  <c r="AZ8" i="10"/>
  <c r="AJ8" i="10"/>
  <c r="T8" i="10"/>
  <c r="AW58" i="10"/>
  <c r="AB58" i="10"/>
  <c r="AX57" i="10"/>
  <c r="AB57" i="10"/>
  <c r="AY56" i="10"/>
  <c r="AD56" i="10"/>
  <c r="AY55" i="10"/>
  <c r="AE55" i="10"/>
  <c r="BA54" i="10"/>
  <c r="AG54" i="10"/>
  <c r="BB53" i="10"/>
  <c r="AH53" i="10"/>
  <c r="BD52" i="10"/>
  <c r="AG52" i="10"/>
  <c r="BD51" i="10"/>
  <c r="AI51" i="10"/>
  <c r="BD50" i="10"/>
  <c r="AJ50" i="10"/>
  <c r="BF49" i="10"/>
  <c r="AJ49" i="10"/>
  <c r="P49" i="10"/>
  <c r="AL48" i="10"/>
  <c r="P48" i="10"/>
  <c r="AM47" i="10"/>
  <c r="R47" i="10"/>
  <c r="AO46" i="10"/>
  <c r="S46" i="10"/>
  <c r="AP45" i="10"/>
  <c r="T45" i="10"/>
  <c r="AO44" i="10"/>
  <c r="V44" i="10"/>
  <c r="AS43" i="10"/>
  <c r="Z43" i="10"/>
  <c r="AW42" i="10"/>
  <c r="AD42" i="10"/>
  <c r="BB41" i="10"/>
  <c r="AH41" i="10"/>
  <c r="BE40" i="10"/>
  <c r="AL40" i="10"/>
  <c r="S40" i="10"/>
  <c r="AP39" i="10"/>
  <c r="W39" i="10"/>
  <c r="AT38" i="10"/>
  <c r="Z38" i="10"/>
  <c r="AX37" i="10"/>
  <c r="AD37" i="10"/>
  <c r="BA36" i="10"/>
  <c r="AH36" i="10"/>
  <c r="BF35" i="10"/>
  <c r="AL35" i="10"/>
  <c r="S35" i="10"/>
  <c r="AP34" i="10"/>
  <c r="W34" i="10"/>
  <c r="AU33" i="10"/>
  <c r="AA33" i="10"/>
  <c r="AY32" i="10"/>
  <c r="AE32" i="10"/>
  <c r="BC31" i="10"/>
  <c r="AH31" i="10"/>
  <c r="BF30" i="10"/>
  <c r="AL30" i="10"/>
  <c r="S30" i="10"/>
  <c r="AQ29" i="10"/>
  <c r="W29" i="10"/>
  <c r="AU28" i="10"/>
  <c r="AA28" i="10"/>
  <c r="AY27" i="10"/>
  <c r="AF27" i="10"/>
  <c r="BF26" i="10"/>
  <c r="AO26" i="10"/>
  <c r="X26" i="10"/>
  <c r="AX25" i="10"/>
  <c r="AG25" i="10"/>
  <c r="BF24" i="10"/>
  <c r="AO24" i="10"/>
  <c r="X24" i="10"/>
  <c r="AX23" i="10"/>
  <c r="AG23" i="10"/>
  <c r="P23" i="10"/>
  <c r="AP22" i="10"/>
  <c r="Y22" i="10"/>
  <c r="AZ21" i="10"/>
  <c r="AJ21" i="10"/>
  <c r="T21" i="10"/>
  <c r="AU20" i="10"/>
  <c r="AE20" i="10"/>
  <c r="BF19" i="10"/>
  <c r="AP19" i="10"/>
  <c r="Z19" i="10"/>
  <c r="BA18" i="10"/>
  <c r="AV58" i="10"/>
  <c r="AA58" i="10"/>
  <c r="AW57" i="10"/>
  <c r="AA57" i="10"/>
  <c r="AX56" i="10"/>
  <c r="AC56" i="10"/>
  <c r="AX55" i="10"/>
  <c r="AD55" i="10"/>
  <c r="AZ54" i="10"/>
  <c r="AD54" i="10"/>
  <c r="BA53" i="10"/>
  <c r="AF53" i="10"/>
  <c r="AZ52" i="10"/>
  <c r="AF52" i="10"/>
  <c r="BB51" i="10"/>
  <c r="AH51" i="10"/>
  <c r="BC50" i="10"/>
  <c r="AI50" i="10"/>
  <c r="BE49" i="10"/>
  <c r="AI49" i="10"/>
  <c r="BF48" i="10"/>
  <c r="AK48" i="10"/>
  <c r="BF47" i="10"/>
  <c r="AL47" i="10"/>
  <c r="Q47" i="10"/>
  <c r="AL46" i="10"/>
  <c r="R46" i="10"/>
  <c r="AM45" i="10"/>
  <c r="Q45" i="10"/>
  <c r="AN44" i="10"/>
  <c r="U44" i="10"/>
  <c r="AR43" i="10"/>
  <c r="X43" i="10"/>
  <c r="AV42" i="10"/>
  <c r="AC42" i="10"/>
  <c r="AZ41" i="10"/>
  <c r="AG41" i="10"/>
  <c r="BD40" i="10"/>
  <c r="AK40" i="10"/>
  <c r="R40" i="10"/>
  <c r="AO39" i="10"/>
  <c r="V39" i="10"/>
  <c r="AR38" i="10"/>
  <c r="Y38" i="10"/>
  <c r="AV37" i="10"/>
  <c r="AC37" i="10"/>
  <c r="AZ36" i="10"/>
  <c r="AG36" i="10"/>
  <c r="BE35" i="10"/>
  <c r="AK35" i="10"/>
  <c r="R35" i="10"/>
  <c r="AO34" i="10"/>
  <c r="V34" i="10"/>
  <c r="AT33" i="10"/>
  <c r="Z33" i="10"/>
  <c r="AW32" i="10"/>
  <c r="AD32" i="10"/>
  <c r="BA31" i="10"/>
  <c r="AG31" i="10"/>
  <c r="BE30" i="10"/>
  <c r="AK30" i="10"/>
  <c r="R30" i="10"/>
  <c r="AP29" i="10"/>
  <c r="V29" i="10"/>
  <c r="AS28" i="10"/>
  <c r="Z28" i="10"/>
  <c r="AX27" i="10"/>
  <c r="AE27" i="10"/>
  <c r="BE26" i="10"/>
  <c r="AN26" i="10"/>
  <c r="W26" i="10"/>
  <c r="AW25" i="10"/>
  <c r="AE25" i="10"/>
  <c r="BE24" i="10"/>
  <c r="AN24" i="10"/>
  <c r="W24" i="10"/>
  <c r="AW23" i="10"/>
  <c r="AF23" i="10"/>
  <c r="BF22" i="10"/>
  <c r="AO22" i="10"/>
  <c r="X22" i="10"/>
  <c r="AY21" i="10"/>
  <c r="AI21" i="10"/>
  <c r="S21" i="10"/>
  <c r="AT20" i="10"/>
  <c r="W58" i="10"/>
  <c r="AO57" i="10"/>
  <c r="P57" i="10"/>
  <c r="AH56" i="10"/>
  <c r="AV55" i="10"/>
  <c r="W55" i="10"/>
  <c r="AO54" i="10"/>
  <c r="Q54" i="10"/>
  <c r="AD53" i="10"/>
  <c r="AV52" i="10"/>
  <c r="X52" i="10"/>
  <c r="AP51" i="10"/>
  <c r="BF50" i="10"/>
  <c r="AE50" i="10"/>
  <c r="AW49" i="10"/>
  <c r="X49" i="10"/>
  <c r="AP48" i="10"/>
  <c r="BD47" i="10"/>
  <c r="AE47" i="10"/>
  <c r="AW46" i="10"/>
  <c r="Y46" i="10"/>
  <c r="AL45" i="10"/>
  <c r="BD44" i="10"/>
  <c r="AF44" i="10"/>
  <c r="AZ43" i="10"/>
  <c r="AB43" i="10"/>
  <c r="AS42" i="10"/>
  <c r="V42" i="10"/>
  <c r="AO41" i="10"/>
  <c r="R41" i="10"/>
  <c r="AI40" i="10"/>
  <c r="BB39" i="10"/>
  <c r="AE39" i="10"/>
  <c r="AY38" i="10"/>
  <c r="X38" i="10"/>
  <c r="AR37" i="10"/>
  <c r="U37" i="10"/>
  <c r="AO36" i="10"/>
  <c r="Q36" i="10"/>
  <c r="AH35" i="10"/>
  <c r="BB34" i="10"/>
  <c r="AD34" i="10"/>
  <c r="AX33" i="10"/>
  <c r="X33" i="10"/>
  <c r="AQ32" i="10"/>
  <c r="T32" i="10"/>
  <c r="AN31" i="10"/>
  <c r="BC30" i="10"/>
  <c r="AG30" i="10"/>
  <c r="BA29" i="10"/>
  <c r="AC29" i="10"/>
  <c r="AW28" i="10"/>
  <c r="W28" i="10"/>
  <c r="AP27" i="10"/>
  <c r="U27" i="10"/>
  <c r="AR26" i="10"/>
  <c r="T26" i="10"/>
  <c r="AQ25" i="10"/>
  <c r="W25" i="10"/>
  <c r="AT24" i="10"/>
  <c r="V24" i="10"/>
  <c r="AS23" i="10"/>
  <c r="Y23" i="10"/>
  <c r="AU22" i="10"/>
  <c r="AA22" i="10"/>
  <c r="AV21" i="10"/>
  <c r="AC21" i="10"/>
  <c r="BA20" i="10"/>
  <c r="AH20" i="10"/>
  <c r="BE19" i="10"/>
  <c r="AM19" i="10"/>
  <c r="U19" i="10"/>
  <c r="AT18" i="10"/>
  <c r="AC18" i="10"/>
  <c r="BC17" i="10"/>
  <c r="AL17" i="10"/>
  <c r="U17" i="10"/>
  <c r="AU16" i="10"/>
  <c r="AD16" i="10"/>
  <c r="BD15" i="10"/>
  <c r="AL15" i="10"/>
  <c r="U15" i="10"/>
  <c r="AU14" i="10"/>
  <c r="AD14" i="10"/>
  <c r="BD13" i="10"/>
  <c r="AM13" i="10"/>
  <c r="V13" i="10"/>
  <c r="AV12" i="10"/>
  <c r="AE12" i="10"/>
  <c r="BE11" i="10"/>
  <c r="AN11" i="10"/>
  <c r="W11" i="10"/>
  <c r="AW10" i="10"/>
  <c r="AF10" i="10"/>
  <c r="BF9" i="10"/>
  <c r="AN9" i="10"/>
  <c r="W9" i="10"/>
  <c r="AW8" i="10"/>
  <c r="AF8" i="10"/>
  <c r="BF7" i="10"/>
  <c r="AP7" i="10"/>
  <c r="Z7" i="10"/>
  <c r="BA6" i="10"/>
  <c r="AK6" i="10"/>
  <c r="U6" i="10"/>
  <c r="AV5" i="10"/>
  <c r="AF5" i="10"/>
  <c r="P5" i="10"/>
  <c r="AQ4" i="10"/>
  <c r="AA4" i="10"/>
  <c r="BB3" i="10"/>
  <c r="AL3" i="10"/>
  <c r="V3" i="10"/>
  <c r="AU58" i="10"/>
  <c r="V58" i="10"/>
  <c r="AN57" i="10"/>
  <c r="BD56" i="10"/>
  <c r="AG56" i="10"/>
  <c r="AU55" i="10"/>
  <c r="V55" i="10"/>
  <c r="AN54" i="10"/>
  <c r="BE53" i="10"/>
  <c r="AC53" i="10"/>
  <c r="AU52" i="10"/>
  <c r="W52" i="10"/>
  <c r="AO51" i="10"/>
  <c r="BB50" i="10"/>
  <c r="AD50" i="10"/>
  <c r="AV49" i="10"/>
  <c r="U49" i="10"/>
  <c r="AO48" i="10"/>
  <c r="BC47" i="10"/>
  <c r="AD47" i="10"/>
  <c r="AV46" i="10"/>
  <c r="V46" i="10"/>
  <c r="AK45" i="10"/>
  <c r="BC44" i="10"/>
  <c r="AE44" i="10"/>
  <c r="AY43" i="10"/>
  <c r="W43" i="10"/>
  <c r="AR42" i="10"/>
  <c r="U42" i="10"/>
  <c r="AN41" i="10"/>
  <c r="Q41" i="10"/>
  <c r="AH40" i="10"/>
  <c r="AZ39" i="10"/>
  <c r="AD39" i="10"/>
  <c r="AX38" i="10"/>
  <c r="W38" i="10"/>
  <c r="AP37" i="10"/>
  <c r="T37" i="10"/>
  <c r="AM36" i="10"/>
  <c r="BD35" i="10"/>
  <c r="AF35" i="10"/>
  <c r="AZ34" i="10"/>
  <c r="AC34" i="10"/>
  <c r="AW33" i="10"/>
  <c r="U33" i="10"/>
  <c r="AP32" i="10"/>
  <c r="S32" i="10"/>
  <c r="AM31" i="10"/>
  <c r="BB30" i="10"/>
  <c r="AF30" i="10"/>
  <c r="AZ29" i="10"/>
  <c r="AB29" i="10"/>
  <c r="AR28" i="10"/>
  <c r="V28" i="10"/>
  <c r="AN27" i="10"/>
  <c r="T27" i="10"/>
  <c r="AQ26" i="10"/>
  <c r="S26" i="10"/>
  <c r="AP25" i="10"/>
  <c r="V25" i="10"/>
  <c r="AS24" i="10"/>
  <c r="U24" i="10"/>
  <c r="AR23" i="10"/>
  <c r="X23" i="10"/>
  <c r="AT22" i="10"/>
  <c r="W22" i="10"/>
  <c r="AU21" i="10"/>
  <c r="AB21" i="10"/>
  <c r="AZ20" i="10"/>
  <c r="AG20" i="10"/>
  <c r="BD19" i="10"/>
  <c r="AL19" i="10"/>
  <c r="T19" i="10"/>
  <c r="AS18" i="10"/>
  <c r="AB18" i="10"/>
  <c r="BB17" i="10"/>
  <c r="AK17" i="10"/>
  <c r="T17" i="10"/>
  <c r="AT16" i="10"/>
  <c r="AC16" i="10"/>
  <c r="BB15" i="10"/>
  <c r="AK15" i="10"/>
  <c r="T15" i="10"/>
  <c r="AT14" i="10"/>
  <c r="AC14" i="10"/>
  <c r="BC13" i="10"/>
  <c r="AL13" i="10"/>
  <c r="U13" i="10"/>
  <c r="AU12" i="10"/>
  <c r="AD12" i="10"/>
  <c r="BD11" i="10"/>
  <c r="AM11" i="10"/>
  <c r="V11" i="10"/>
  <c r="AV10" i="10"/>
  <c r="AE10" i="10"/>
  <c r="BD9" i="10"/>
  <c r="AM9" i="10"/>
  <c r="V9" i="10"/>
  <c r="AV8" i="10"/>
  <c r="AE8" i="10"/>
  <c r="BE7" i="10"/>
  <c r="AO7" i="10"/>
  <c r="Y7" i="10"/>
  <c r="AZ6" i="10"/>
  <c r="AJ6" i="10"/>
  <c r="T6" i="10"/>
  <c r="AU5" i="10"/>
  <c r="AE5" i="10"/>
  <c r="BF4" i="10"/>
  <c r="AP4" i="10"/>
  <c r="Z4" i="10"/>
  <c r="BA3" i="10"/>
  <c r="AK3" i="10"/>
  <c r="U3" i="10"/>
  <c r="AT58" i="10"/>
  <c r="U58" i="10"/>
  <c r="AM57" i="10"/>
  <c r="BC56" i="10"/>
  <c r="AB56" i="10"/>
  <c r="AT55" i="10"/>
  <c r="S55" i="10"/>
  <c r="AM54" i="10"/>
  <c r="BD53" i="10"/>
  <c r="AB53" i="10"/>
  <c r="AT52" i="10"/>
  <c r="T52" i="10"/>
  <c r="AN51" i="10"/>
  <c r="BA50" i="10"/>
  <c r="AC50" i="10"/>
  <c r="AU49" i="10"/>
  <c r="T49" i="10"/>
  <c r="AJ48" i="10"/>
  <c r="BB47" i="10"/>
  <c r="AA47" i="10"/>
  <c r="AU46" i="10"/>
  <c r="U46" i="10"/>
  <c r="AJ45" i="10"/>
  <c r="BB44" i="10"/>
  <c r="AC44" i="10"/>
  <c r="AW43" i="10"/>
  <c r="V43" i="10"/>
  <c r="AQ42" i="10"/>
  <c r="R42" i="10"/>
  <c r="AM41" i="10"/>
  <c r="BC40" i="10"/>
  <c r="AE40" i="10"/>
  <c r="AY39" i="10"/>
  <c r="AC39" i="10"/>
  <c r="AW38" i="10"/>
  <c r="U38" i="10"/>
  <c r="AO37" i="10"/>
  <c r="S37" i="10"/>
  <c r="AK36" i="10"/>
  <c r="BB35" i="10"/>
  <c r="AE35" i="10"/>
  <c r="AS58" i="10"/>
  <c r="R58" i="10"/>
  <c r="AL57" i="10"/>
  <c r="BB56" i="10"/>
  <c r="AA56" i="10"/>
  <c r="AS55" i="10"/>
  <c r="R55" i="10"/>
  <c r="AK54" i="10"/>
  <c r="AZ53" i="10"/>
  <c r="Y53" i="10"/>
  <c r="AS52" i="10"/>
  <c r="S52" i="10"/>
  <c r="AK51" i="10"/>
  <c r="AZ50" i="10"/>
  <c r="Z50" i="10"/>
  <c r="AR49" i="10"/>
  <c r="S49" i="10"/>
  <c r="AI48" i="10"/>
  <c r="AZ47" i="10"/>
  <c r="Z47" i="10"/>
  <c r="AS46" i="10"/>
  <c r="P46" i="10"/>
  <c r="AG45" i="10"/>
  <c r="BA44" i="10"/>
  <c r="AB44" i="10"/>
  <c r="AV43" i="10"/>
  <c r="U43" i="10"/>
  <c r="AO42" i="10"/>
  <c r="Q42" i="10"/>
  <c r="AL41" i="10"/>
  <c r="BB40" i="10"/>
  <c r="AD40" i="10"/>
  <c r="AX39" i="10"/>
  <c r="AB39" i="10"/>
  <c r="AQ38" i="10"/>
  <c r="T38" i="10"/>
  <c r="AN37" i="10"/>
  <c r="R37" i="10"/>
  <c r="AJ36" i="10"/>
  <c r="BA35" i="10"/>
  <c r="AD35" i="10"/>
  <c r="AW34" i="10"/>
  <c r="Z34" i="10"/>
  <c r="AQ33" i="10"/>
  <c r="S33" i="10"/>
  <c r="AM32" i="10"/>
  <c r="P32" i="10"/>
  <c r="AF31" i="10"/>
  <c r="AZ30" i="10"/>
  <c r="AC30" i="10"/>
  <c r="AW29" i="10"/>
  <c r="Z29" i="10"/>
  <c r="AP28" i="10"/>
  <c r="S28" i="10"/>
  <c r="AL27" i="10"/>
  <c r="R27" i="10"/>
  <c r="AL26" i="10"/>
  <c r="Q26" i="10"/>
  <c r="AN25" i="10"/>
  <c r="T25" i="10"/>
  <c r="AM24" i="10"/>
  <c r="S24" i="10"/>
  <c r="AP23" i="10"/>
  <c r="U23" i="10"/>
  <c r="AR22" i="10"/>
  <c r="U22" i="10"/>
  <c r="AS21" i="10"/>
  <c r="Z21" i="10"/>
  <c r="AX20" i="10"/>
  <c r="AC20" i="10"/>
  <c r="BB19" i="10"/>
  <c r="AJ19" i="10"/>
  <c r="R19" i="10"/>
  <c r="AQ18" i="10"/>
  <c r="Z18" i="10"/>
  <c r="AZ17" i="10"/>
  <c r="AI17" i="10"/>
  <c r="R17" i="10"/>
  <c r="AQ16" i="10"/>
  <c r="Z16" i="10"/>
  <c r="AZ15" i="10"/>
  <c r="AI15" i="10"/>
  <c r="R15" i="10"/>
  <c r="AR14" i="10"/>
  <c r="AA14" i="10"/>
  <c r="BE57" i="10"/>
  <c r="W57" i="10"/>
  <c r="AI56" i="10"/>
  <c r="AM55" i="10"/>
  <c r="AW54" i="10"/>
  <c r="R54" i="10"/>
  <c r="U53" i="10"/>
  <c r="AD52" i="10"/>
  <c r="AQ51" i="10"/>
  <c r="AU50" i="10"/>
  <c r="BD49" i="10"/>
  <c r="Y49" i="10"/>
  <c r="AB48" i="10"/>
  <c r="AO47" i="10"/>
  <c r="AX46" i="10"/>
  <c r="BB45" i="10"/>
  <c r="X45" i="10"/>
  <c r="AG44" i="10"/>
  <c r="AM43" i="10"/>
  <c r="BB42" i="10"/>
  <c r="W42" i="10"/>
  <c r="AC41" i="10"/>
  <c r="AR40" i="10"/>
  <c r="BC39" i="10"/>
  <c r="R39" i="10"/>
  <c r="AH38" i="10"/>
  <c r="AS37" i="10"/>
  <c r="AY36" i="10"/>
  <c r="X36" i="10"/>
  <c r="AI35" i="10"/>
  <c r="AT34" i="10"/>
  <c r="BF33" i="10"/>
  <c r="AF33" i="10"/>
  <c r="AR32" i="10"/>
  <c r="BE31" i="10"/>
  <c r="Z31" i="10"/>
  <c r="AQ30" i="10"/>
  <c r="BC29" i="10"/>
  <c r="U29" i="10"/>
  <c r="AL28" i="10"/>
  <c r="BA27" i="10"/>
  <c r="X27" i="10"/>
  <c r="AM26" i="10"/>
  <c r="BE25" i="10"/>
  <c r="AD25" i="10"/>
  <c r="AX24" i="10"/>
  <c r="Z24" i="10"/>
  <c r="AN23" i="10"/>
  <c r="BD22" i="10"/>
  <c r="AF22" i="10"/>
  <c r="AX21" i="10"/>
  <c r="Y21" i="10"/>
  <c r="AQ20" i="10"/>
  <c r="V20" i="10"/>
  <c r="AR19" i="10"/>
  <c r="S19" i="10"/>
  <c r="AN18" i="10"/>
  <c r="S18" i="10"/>
  <c r="AP17" i="10"/>
  <c r="V17" i="10"/>
  <c r="AO16" i="10"/>
  <c r="U16" i="10"/>
  <c r="AR15" i="10"/>
  <c r="X15" i="10"/>
  <c r="AQ14" i="10"/>
  <c r="W14" i="10"/>
  <c r="AU13" i="10"/>
  <c r="AA13" i="10"/>
  <c r="AY12" i="10"/>
  <c r="AF12" i="10"/>
  <c r="BB11" i="10"/>
  <c r="AH11" i="10"/>
  <c r="BF10" i="10"/>
  <c r="AM10" i="10"/>
  <c r="T10" i="10"/>
  <c r="AR9" i="10"/>
  <c r="X9" i="10"/>
  <c r="AT8" i="10"/>
  <c r="AA8" i="10"/>
  <c r="AY7" i="10"/>
  <c r="AG7" i="10"/>
  <c r="BF6" i="10"/>
  <c r="AN6" i="10"/>
  <c r="V6" i="10"/>
  <c r="AS5" i="10"/>
  <c r="AA5" i="10"/>
  <c r="AZ4" i="10"/>
  <c r="AH4" i="10"/>
  <c r="P4" i="10"/>
  <c r="AO3" i="10"/>
  <c r="W3" i="10"/>
  <c r="AR58" i="10"/>
  <c r="BC57" i="10"/>
  <c r="V57" i="10"/>
  <c r="X56" i="10"/>
  <c r="AL55" i="10"/>
  <c r="AS54" i="10"/>
  <c r="AX53" i="10"/>
  <c r="T53" i="10"/>
  <c r="AC52" i="10"/>
  <c r="AE51" i="10"/>
  <c r="AT50" i="10"/>
  <c r="BA49" i="10"/>
  <c r="R49" i="10"/>
  <c r="AA48" i="10"/>
  <c r="AK47" i="10"/>
  <c r="AR46" i="10"/>
  <c r="BA45" i="10"/>
  <c r="W45" i="10"/>
  <c r="AA44" i="10"/>
  <c r="AL43" i="10"/>
  <c r="BA42" i="10"/>
  <c r="P42" i="10"/>
  <c r="AB41" i="10"/>
  <c r="AQ40" i="10"/>
  <c r="AW39" i="10"/>
  <c r="Q39" i="10"/>
  <c r="AG38" i="10"/>
  <c r="AM37" i="10"/>
  <c r="AX36" i="10"/>
  <c r="W36" i="10"/>
  <c r="AC35" i="10"/>
  <c r="AS34" i="10"/>
  <c r="BE33" i="10"/>
  <c r="AE33" i="10"/>
  <c r="AO32" i="10"/>
  <c r="AZ31" i="10"/>
  <c r="Y31" i="10"/>
  <c r="AO30" i="10"/>
  <c r="BB29" i="10"/>
  <c r="T29" i="10"/>
  <c r="AI28" i="10"/>
  <c r="AW27" i="10"/>
  <c r="W27" i="10"/>
  <c r="AJ26" i="10"/>
  <c r="BD25" i="10"/>
  <c r="AC25" i="10"/>
  <c r="AW24" i="10"/>
  <c r="T24" i="10"/>
  <c r="AM23" i="10"/>
  <c r="BC22" i="10"/>
  <c r="AE22" i="10"/>
  <c r="AW21" i="10"/>
  <c r="X21" i="10"/>
  <c r="AP20" i="10"/>
  <c r="U20" i="10"/>
  <c r="AO19" i="10"/>
  <c r="Q19" i="10"/>
  <c r="AM18" i="10"/>
  <c r="R18" i="10"/>
  <c r="AO17" i="10"/>
  <c r="S17" i="10"/>
  <c r="AN16" i="10"/>
  <c r="T16" i="10"/>
  <c r="AQ15" i="10"/>
  <c r="V15" i="10"/>
  <c r="AP14" i="10"/>
  <c r="V14" i="10"/>
  <c r="AT13" i="10"/>
  <c r="Z13" i="10"/>
  <c r="AX12" i="10"/>
  <c r="AC12" i="10"/>
  <c r="BA11" i="10"/>
  <c r="AG11" i="10"/>
  <c r="BE10" i="10"/>
  <c r="AL10" i="10"/>
  <c r="S10" i="10"/>
  <c r="AQ9" i="10"/>
  <c r="U9" i="10"/>
  <c r="AS8" i="10"/>
  <c r="Z8" i="10"/>
  <c r="AX7" i="10"/>
  <c r="AF7" i="10"/>
  <c r="BE6" i="10"/>
  <c r="AM6" i="10"/>
  <c r="S6" i="10"/>
  <c r="AR5" i="10"/>
  <c r="Z5" i="10"/>
  <c r="AY4" i="10"/>
  <c r="AG4" i="10"/>
  <c r="BF3" i="10"/>
  <c r="AN3" i="10"/>
  <c r="T3" i="10"/>
  <c r="AQ58" i="10"/>
  <c r="BB57" i="10"/>
  <c r="T57" i="10"/>
  <c r="W56" i="10"/>
  <c r="AI55" i="10"/>
  <c r="AR54" i="10"/>
  <c r="AV53" i="10"/>
  <c r="S53" i="10"/>
  <c r="AA52" i="10"/>
  <c r="AD51" i="10"/>
  <c r="AS50" i="10"/>
  <c r="AZ49" i="10"/>
  <c r="BE48" i="10"/>
  <c r="Z48" i="10"/>
  <c r="AJ47" i="10"/>
  <c r="AQ46" i="10"/>
  <c r="AZ45" i="10"/>
  <c r="P45" i="10"/>
  <c r="Z44" i="10"/>
  <c r="AK43" i="10"/>
  <c r="AY42" i="10"/>
  <c r="BF41" i="10"/>
  <c r="AA41" i="10"/>
  <c r="AO40" i="10"/>
  <c r="AV39" i="10"/>
  <c r="P39" i="10"/>
  <c r="AE38" i="10"/>
  <c r="AL37" i="10"/>
  <c r="AW36" i="10"/>
  <c r="T36" i="10"/>
  <c r="AA35" i="10"/>
  <c r="AN34" i="10"/>
  <c r="BD33" i="10"/>
  <c r="AD33" i="10"/>
  <c r="AL32" i="10"/>
  <c r="AX31" i="10"/>
  <c r="X31" i="10"/>
  <c r="AJ30" i="10"/>
  <c r="AX29" i="10"/>
  <c r="R29" i="10"/>
  <c r="AH28" i="10"/>
  <c r="AV27" i="10"/>
  <c r="V27" i="10"/>
  <c r="AI26" i="10"/>
  <c r="BC25" i="10"/>
  <c r="AB25" i="10"/>
  <c r="AV24" i="10"/>
  <c r="R24" i="10"/>
  <c r="AK23" i="10"/>
  <c r="BB22" i="10"/>
  <c r="AD22" i="10"/>
  <c r="AT21" i="10"/>
  <c r="W21" i="10"/>
  <c r="AO20" i="10"/>
  <c r="T20" i="10"/>
  <c r="AN19" i="10"/>
  <c r="P19" i="10"/>
  <c r="AK18" i="10"/>
  <c r="Q18" i="10"/>
  <c r="AN17" i="10"/>
  <c r="P17" i="10"/>
  <c r="AM16" i="10"/>
  <c r="S16" i="10"/>
  <c r="AP15" i="10"/>
  <c r="S15" i="10"/>
  <c r="AO14" i="10"/>
  <c r="U14" i="10"/>
  <c r="AR13" i="10"/>
  <c r="Y13" i="10"/>
  <c r="AW12" i="10"/>
  <c r="AB12" i="10"/>
  <c r="AZ11" i="10"/>
  <c r="AF11" i="10"/>
  <c r="BD10" i="10"/>
  <c r="AK10" i="10"/>
  <c r="R10" i="10"/>
  <c r="AP9" i="10"/>
  <c r="T9" i="10"/>
  <c r="AR8" i="10"/>
  <c r="Y8" i="10"/>
  <c r="AW7" i="10"/>
  <c r="AE7" i="10"/>
  <c r="BD6" i="10"/>
  <c r="AL6" i="10"/>
  <c r="R6" i="10"/>
  <c r="AQ5" i="10"/>
  <c r="Y5" i="10"/>
  <c r="AX4" i="10"/>
  <c r="AF4" i="10"/>
  <c r="BE3" i="10"/>
  <c r="AM3" i="10"/>
  <c r="S3" i="10"/>
  <c r="AO58" i="10"/>
  <c r="AZ57" i="10"/>
  <c r="S57" i="10"/>
  <c r="V56" i="10"/>
  <c r="AH55" i="10"/>
  <c r="AQ54" i="10"/>
  <c r="AU53" i="10"/>
  <c r="R53" i="10"/>
  <c r="Z52" i="10"/>
  <c r="AC51" i="10"/>
  <c r="AP50" i="10"/>
  <c r="AY49" i="10"/>
  <c r="BC48" i="10"/>
  <c r="Y48" i="10"/>
  <c r="AH47" i="10"/>
  <c r="AK46" i="10"/>
  <c r="AW45" i="10"/>
  <c r="BF44" i="10"/>
  <c r="X44" i="10"/>
  <c r="AJ43" i="10"/>
  <c r="AU42" i="10"/>
  <c r="BE41" i="10"/>
  <c r="Y41" i="10"/>
  <c r="AN40" i="10"/>
  <c r="AU39" i="10"/>
  <c r="BF38" i="10"/>
  <c r="AD38" i="10"/>
  <c r="AK37" i="10"/>
  <c r="AV36" i="10"/>
  <c r="S36" i="10"/>
  <c r="Z35" i="10"/>
  <c r="AM34" i="10"/>
  <c r="BB33" i="10"/>
  <c r="Y33" i="10"/>
  <c r="AK32" i="10"/>
  <c r="AW31" i="10"/>
  <c r="W31" i="10"/>
  <c r="AI30" i="10"/>
  <c r="AU29" i="10"/>
  <c r="Q29" i="10"/>
  <c r="AG28" i="10"/>
  <c r="AT27" i="10"/>
  <c r="S27" i="10"/>
  <c r="AH26" i="10"/>
  <c r="BB25" i="10"/>
  <c r="AA25" i="10"/>
  <c r="AU24" i="10"/>
  <c r="Q24" i="10"/>
  <c r="AJ23" i="10"/>
  <c r="BA22" i="10"/>
  <c r="AC22" i="10"/>
  <c r="AR21" i="10"/>
  <c r="V21" i="10"/>
  <c r="AN20" i="10"/>
  <c r="S20" i="10"/>
  <c r="AK19" i="10"/>
  <c r="BF18" i="10"/>
  <c r="AJ18" i="10"/>
  <c r="P18" i="10"/>
  <c r="AM17" i="10"/>
  <c r="BF16" i="10"/>
  <c r="AL16" i="10"/>
  <c r="R16" i="10"/>
  <c r="AO15" i="10"/>
  <c r="Q15" i="10"/>
  <c r="AN14" i="10"/>
  <c r="T14" i="10"/>
  <c r="AQ13" i="10"/>
  <c r="X13" i="10"/>
  <c r="AT12" i="10"/>
  <c r="AA12" i="10"/>
  <c r="AX11" i="10"/>
  <c r="AE11" i="10"/>
  <c r="BC10" i="10"/>
  <c r="AJ10" i="10"/>
  <c r="Q10" i="10"/>
  <c r="AL9" i="10"/>
  <c r="S9" i="10"/>
  <c r="AQ8" i="10"/>
  <c r="X8" i="10"/>
  <c r="AV7" i="10"/>
  <c r="AD7" i="10"/>
  <c r="BC6" i="10"/>
  <c r="AI6" i="10"/>
  <c r="Q6" i="10"/>
  <c r="AP5" i="10"/>
  <c r="X5" i="10"/>
  <c r="AW4" i="10"/>
  <c r="AE4" i="10"/>
  <c r="BD3" i="10"/>
  <c r="AJ3" i="10"/>
  <c r="R3" i="10"/>
  <c r="AM58" i="10"/>
  <c r="AS57" i="10"/>
  <c r="AL58" i="10"/>
  <c r="AR57" i="10"/>
  <c r="AW56" i="10"/>
  <c r="R56" i="10"/>
  <c r="AB55" i="10"/>
  <c r="AI54" i="10"/>
  <c r="AR53" i="10"/>
  <c r="AY52" i="10"/>
  <c r="Q52" i="10"/>
  <c r="Z51" i="10"/>
  <c r="AL50" i="10"/>
  <c r="AP49" i="10"/>
  <c r="AZ48" i="10"/>
  <c r="U48" i="10"/>
  <c r="X47" i="10"/>
  <c r="AG46" i="10"/>
  <c r="AT45" i="10"/>
  <c r="AX44" i="10"/>
  <c r="Q44" i="10"/>
  <c r="AG43" i="10"/>
  <c r="AM42" i="10"/>
  <c r="AX41" i="10"/>
  <c r="V41" i="10"/>
  <c r="AB40" i="10"/>
  <c r="AN39" i="10"/>
  <c r="BC38" i="10"/>
  <c r="R38" i="10"/>
  <c r="AF37" i="10"/>
  <c r="AS36" i="10"/>
  <c r="AY35" i="10"/>
  <c r="V35" i="10"/>
  <c r="AJ34" i="10"/>
  <c r="AY33" i="10"/>
  <c r="Q33" i="10"/>
  <c r="AG32" i="10"/>
  <c r="AT31" i="10"/>
  <c r="T31" i="10"/>
  <c r="AB30" i="10"/>
  <c r="AN29" i="10"/>
  <c r="BE28" i="10"/>
  <c r="AC28" i="10"/>
  <c r="AM27" i="10"/>
  <c r="BC26" i="10"/>
  <c r="AE26" i="10"/>
  <c r="AU25" i="10"/>
  <c r="X25" i="10"/>
  <c r="AK24" i="10"/>
  <c r="BE23" i="10"/>
  <c r="AD23" i="10"/>
  <c r="AX22" i="10"/>
  <c r="T22" i="10"/>
  <c r="AO21" i="10"/>
  <c r="P21" i="10"/>
  <c r="AK20" i="10"/>
  <c r="BC19" i="10"/>
  <c r="AG19" i="10"/>
  <c r="BC18" i="10"/>
  <c r="AG18" i="10"/>
  <c r="BD17" i="10"/>
  <c r="AF17" i="10"/>
  <c r="BC16" i="10"/>
  <c r="AI16" i="10"/>
  <c r="BF15" i="10"/>
  <c r="AH15" i="10"/>
  <c r="BE14" i="10"/>
  <c r="AK14" i="10"/>
  <c r="P14" i="10"/>
  <c r="AN13" i="10"/>
  <c r="S13" i="10"/>
  <c r="AQ12" i="10"/>
  <c r="W12" i="10"/>
  <c r="AU11" i="10"/>
  <c r="AB11" i="10"/>
  <c r="AZ10" i="10"/>
  <c r="AG10" i="10"/>
  <c r="BB9" i="10"/>
  <c r="AI9" i="10"/>
  <c r="P9" i="10"/>
  <c r="AN8" i="10"/>
  <c r="U8" i="10"/>
  <c r="AS7" i="10"/>
  <c r="AA7" i="10"/>
  <c r="AX6" i="10"/>
  <c r="AF6" i="10"/>
  <c r="BE5" i="10"/>
  <c r="AG57" i="10"/>
  <c r="U56" i="10"/>
  <c r="P55" i="10"/>
  <c r="S54" i="10"/>
  <c r="AQ52" i="10"/>
  <c r="AS51" i="10"/>
  <c r="AF50" i="10"/>
  <c r="AD49" i="10"/>
  <c r="T48" i="10"/>
  <c r="BB46" i="10"/>
  <c r="AU45" i="10"/>
  <c r="AM44" i="10"/>
  <c r="AI43" i="10"/>
  <c r="AG42" i="10"/>
  <c r="AD41" i="10"/>
  <c r="X40" i="10"/>
  <c r="Y39" i="10"/>
  <c r="BF37" i="10"/>
  <c r="P37" i="10"/>
  <c r="AX35" i="10"/>
  <c r="BC34" i="10"/>
  <c r="AZ33" i="10"/>
  <c r="BB32" i="10"/>
  <c r="AV31" i="10"/>
  <c r="AX30" i="10"/>
  <c r="BD29" i="10"/>
  <c r="BA28" i="10"/>
  <c r="BC27" i="10"/>
  <c r="AZ26" i="10"/>
  <c r="R26" i="10"/>
  <c r="U25" i="10"/>
  <c r="AE24" i="10"/>
  <c r="AE23" i="10"/>
  <c r="AL22" i="10"/>
  <c r="AQ21" i="10"/>
  <c r="BC20" i="10"/>
  <c r="W20" i="10"/>
  <c r="AD19" i="10"/>
  <c r="AP18" i="10"/>
  <c r="AY17" i="10"/>
  <c r="Y17" i="10"/>
  <c r="AH16" i="10"/>
  <c r="AV15" i="10"/>
  <c r="BF14" i="10"/>
  <c r="AE14" i="10"/>
  <c r="AP13" i="10"/>
  <c r="BF12" i="10"/>
  <c r="AG12" i="10"/>
  <c r="AR11" i="10"/>
  <c r="Q11" i="10"/>
  <c r="AB10" i="10"/>
  <c r="AU9" i="10"/>
  <c r="BF8" i="10"/>
  <c r="AG8" i="10"/>
  <c r="AT7" i="10"/>
  <c r="T7" i="10"/>
  <c r="AH6" i="10"/>
  <c r="BA5" i="10"/>
  <c r="AC5" i="10"/>
  <c r="AT4" i="10"/>
  <c r="V4" i="10"/>
  <c r="AQ3" i="10"/>
  <c r="P3" i="10"/>
  <c r="AN58" i="10"/>
  <c r="AF57" i="10"/>
  <c r="S56" i="10"/>
  <c r="BF54" i="10"/>
  <c r="AT53" i="10"/>
  <c r="AP52" i="10"/>
  <c r="AR51" i="10"/>
  <c r="Y50" i="10"/>
  <c r="AB49" i="10"/>
  <c r="BE47" i="10"/>
  <c r="BA46" i="10"/>
  <c r="AS45" i="10"/>
  <c r="AL44" i="10"/>
  <c r="AH43" i="10"/>
  <c r="AF42" i="10"/>
  <c r="X41" i="10"/>
  <c r="W40" i="10"/>
  <c r="S39" i="10"/>
  <c r="BE37" i="10"/>
  <c r="BE36" i="10"/>
  <c r="AV35" i="10"/>
  <c r="AY34" i="10"/>
  <c r="AR33" i="10"/>
  <c r="BA32" i="10"/>
  <c r="AU31" i="10"/>
  <c r="AW30" i="10"/>
  <c r="AT29" i="10"/>
  <c r="AY28" i="10"/>
  <c r="BB27" i="10"/>
  <c r="AY26" i="10"/>
  <c r="P26" i="10"/>
  <c r="S25" i="10"/>
  <c r="AD24" i="10"/>
  <c r="AC23" i="10"/>
  <c r="AK22" i="10"/>
  <c r="AP21" i="10"/>
  <c r="BB20" i="10"/>
  <c r="R20" i="10"/>
  <c r="AC19" i="10"/>
  <c r="AO18" i="10"/>
  <c r="AX17" i="10"/>
  <c r="X17" i="10"/>
  <c r="AG16" i="10"/>
  <c r="AU15" i="10"/>
  <c r="BD14" i="10"/>
  <c r="AB14" i="10"/>
  <c r="AO13" i="10"/>
  <c r="BE12" i="10"/>
  <c r="Z12" i="10"/>
  <c r="AQ11" i="10"/>
  <c r="P11" i="10"/>
  <c r="AA10" i="10"/>
  <c r="AT9" i="10"/>
  <c r="BE8" i="10"/>
  <c r="AD8" i="10"/>
  <c r="AR7" i="10"/>
  <c r="S7" i="10"/>
  <c r="AG6" i="10"/>
  <c r="AZ5" i="10"/>
  <c r="AB5" i="10"/>
  <c r="AS4" i="10"/>
  <c r="U4" i="10"/>
  <c r="AP3" i="10"/>
  <c r="AK58" i="10"/>
  <c r="Z57" i="10"/>
  <c r="Q56" i="10"/>
  <c r="BE54" i="10"/>
  <c r="AS53" i="10"/>
  <c r="AO52" i="10"/>
  <c r="AB51" i="10"/>
  <c r="X50" i="10"/>
  <c r="AA49" i="10"/>
  <c r="AX47" i="10"/>
  <c r="AZ46" i="10"/>
  <c r="AR45" i="10"/>
  <c r="AK44" i="10"/>
  <c r="AD43" i="10"/>
  <c r="AB42" i="10"/>
  <c r="W41" i="10"/>
  <c r="V40" i="10"/>
  <c r="BE38" i="10"/>
  <c r="BD37" i="10"/>
  <c r="BD36" i="10"/>
  <c r="AU35" i="10"/>
  <c r="AV34" i="10"/>
  <c r="AP33" i="10"/>
  <c r="AV32" i="10"/>
  <c r="AR31" i="10"/>
  <c r="AV30" i="10"/>
  <c r="AS29" i="10"/>
  <c r="AX28" i="10"/>
  <c r="AS27" i="10"/>
  <c r="AX26" i="10"/>
  <c r="BF25" i="10"/>
  <c r="R25" i="10"/>
  <c r="AC24" i="10"/>
  <c r="AB23" i="10"/>
  <c r="AJ22" i="10"/>
  <c r="AN21" i="10"/>
  <c r="AY20" i="10"/>
  <c r="Q20" i="10"/>
  <c r="AB19" i="10"/>
  <c r="AI18" i="10"/>
  <c r="AV17" i="10"/>
  <c r="W17" i="10"/>
  <c r="AF16" i="10"/>
  <c r="AT15" i="10"/>
  <c r="BC14" i="10"/>
  <c r="Z14" i="10"/>
  <c r="AK13" i="10"/>
  <c r="BC12" i="10"/>
  <c r="Y12" i="10"/>
  <c r="AP11" i="10"/>
  <c r="BB10" i="10"/>
  <c r="Z10" i="10"/>
  <c r="AS9" i="10"/>
  <c r="BD8" i="10"/>
  <c r="AC8" i="10"/>
  <c r="AQ7" i="10"/>
  <c r="R7" i="10"/>
  <c r="AE6" i="10"/>
  <c r="AY5" i="10"/>
  <c r="W5" i="10"/>
  <c r="AR4" i="10"/>
  <c r="T4" i="10"/>
  <c r="AI3" i="10"/>
  <c r="AH58" i="10"/>
  <c r="Y57" i="10"/>
  <c r="BF55" i="10"/>
  <c r="BD54" i="10"/>
  <c r="AO53" i="10"/>
  <c r="AN52" i="10"/>
  <c r="AA51" i="10"/>
  <c r="W50" i="10"/>
  <c r="BB48" i="10"/>
  <c r="AW47" i="10"/>
  <c r="AY46" i="10"/>
  <c r="AF45" i="10"/>
  <c r="AI44" i="10"/>
  <c r="AC43" i="10"/>
  <c r="AA42" i="10"/>
  <c r="T41" i="10"/>
  <c r="U40" i="10"/>
  <c r="BD38" i="10"/>
  <c r="BC37" i="10"/>
  <c r="AU36" i="10"/>
  <c r="AS35" i="10"/>
  <c r="AU34" i="10"/>
  <c r="AN33" i="10"/>
  <c r="AT32" i="10"/>
  <c r="AQ31" i="10"/>
  <c r="AU30" i="10"/>
  <c r="AM29" i="10"/>
  <c r="AQ28" i="10"/>
  <c r="AR27" i="10"/>
  <c r="AW26" i="10"/>
  <c r="BA25" i="10"/>
  <c r="BD24" i="10"/>
  <c r="AB24" i="10"/>
  <c r="AA23" i="10"/>
  <c r="AI22" i="10"/>
  <c r="AM21" i="10"/>
  <c r="AW20" i="10"/>
  <c r="BA19" i="10"/>
  <c r="Y19" i="10"/>
  <c r="AH18" i="10"/>
  <c r="AU17" i="10"/>
  <c r="BE16" i="10"/>
  <c r="AE16" i="10"/>
  <c r="AS15" i="10"/>
  <c r="BB14" i="10"/>
  <c r="Y14" i="10"/>
  <c r="AJ13" i="10"/>
  <c r="BB12" i="10"/>
  <c r="V12" i="10"/>
  <c r="AO11" i="10"/>
  <c r="BA10" i="10"/>
  <c r="Y10" i="10"/>
  <c r="AK9" i="10"/>
  <c r="BC8" i="10"/>
  <c r="AB8" i="10"/>
  <c r="AN7" i="10"/>
  <c r="Q7" i="10"/>
  <c r="AD6" i="10"/>
  <c r="AX5" i="10"/>
  <c r="V5" i="10"/>
  <c r="AO4" i="10"/>
  <c r="S4" i="10"/>
  <c r="AH3" i="10"/>
  <c r="AG58" i="10"/>
  <c r="X57" i="10"/>
  <c r="BE55" i="10"/>
  <c r="AY54" i="10"/>
  <c r="AN53" i="10"/>
  <c r="AM52" i="10"/>
  <c r="Y51" i="10"/>
  <c r="U50" i="10"/>
  <c r="BA48" i="10"/>
  <c r="AV47" i="10"/>
  <c r="AI46" i="10"/>
  <c r="AE45" i="10"/>
  <c r="AH44" i="10"/>
  <c r="T43" i="10"/>
  <c r="Y42" i="10"/>
  <c r="S41" i="10"/>
  <c r="Q40" i="10"/>
  <c r="BA38" i="10"/>
  <c r="BB37" i="10"/>
  <c r="AT36" i="10"/>
  <c r="AR35" i="10"/>
  <c r="AL34" i="10"/>
  <c r="AL33" i="10"/>
  <c r="AS32" i="10"/>
  <c r="AP31" i="10"/>
  <c r="AS30" i="10"/>
  <c r="AL29" i="10"/>
  <c r="AO28" i="10"/>
  <c r="AK27" i="10"/>
  <c r="AV26" i="10"/>
  <c r="AZ25" i="10"/>
  <c r="BC24" i="10"/>
  <c r="P24" i="10"/>
  <c r="Z23" i="10"/>
  <c r="AH22" i="10"/>
  <c r="AL21" i="10"/>
  <c r="AS20" i="10"/>
  <c r="AZ19" i="10"/>
  <c r="X19" i="10"/>
  <c r="AF18" i="10"/>
  <c r="AT17" i="10"/>
  <c r="BD16" i="10"/>
  <c r="AA16" i="10"/>
  <c r="AN15" i="10"/>
  <c r="BA14" i="10"/>
  <c r="X14" i="10"/>
  <c r="AI13" i="10"/>
  <c r="BA12" i="10"/>
  <c r="U12" i="10"/>
  <c r="AL11" i="10"/>
  <c r="AY10" i="10"/>
  <c r="X10" i="10"/>
  <c r="AJ9" i="10"/>
  <c r="BB8" i="10"/>
  <c r="W8" i="10"/>
  <c r="AM7" i="10"/>
  <c r="P7" i="10"/>
  <c r="AC6" i="10"/>
  <c r="AW5" i="10"/>
  <c r="U5" i="10"/>
  <c r="AN4" i="10"/>
  <c r="R4" i="10"/>
  <c r="AG3" i="10"/>
  <c r="AD58" i="10"/>
  <c r="R57" i="10"/>
  <c r="BD55" i="10"/>
  <c r="AX54" i="10"/>
  <c r="AM53" i="10"/>
  <c r="AJ52" i="10"/>
  <c r="X51" i="10"/>
  <c r="T50" i="10"/>
  <c r="AY48" i="10"/>
  <c r="AU47" i="10"/>
  <c r="AH46" i="10"/>
  <c r="AD45" i="10"/>
  <c r="S44" i="10"/>
  <c r="S43" i="10"/>
  <c r="X42" i="10"/>
  <c r="BA40" i="10"/>
  <c r="BF39" i="10"/>
  <c r="AZ38" i="10"/>
  <c r="BA37" i="10"/>
  <c r="AQ36" i="10"/>
  <c r="AQ35" i="10"/>
  <c r="AK34" i="10"/>
  <c r="AK33" i="10"/>
  <c r="AJ32" i="10"/>
  <c r="AO31" i="10"/>
  <c r="AR30" i="10"/>
  <c r="AK29" i="10"/>
  <c r="AN28" i="10"/>
  <c r="AJ27" i="10"/>
  <c r="AU26" i="10"/>
  <c r="AT25" i="10"/>
  <c r="BB24" i="10"/>
  <c r="BF23" i="10"/>
  <c r="W23" i="10"/>
  <c r="AB22" i="10"/>
  <c r="AH21" i="10"/>
  <c r="AR20" i="10"/>
  <c r="AY19" i="10"/>
  <c r="W19" i="10"/>
  <c r="AE18" i="10"/>
  <c r="AS17" i="10"/>
  <c r="BB16" i="10"/>
  <c r="Y16" i="10"/>
  <c r="AJ15" i="10"/>
  <c r="AZ14" i="10"/>
  <c r="S14" i="10"/>
  <c r="AH13" i="10"/>
  <c r="AZ12" i="10"/>
  <c r="T12" i="10"/>
  <c r="AK11" i="10"/>
  <c r="AX10" i="10"/>
  <c r="W10" i="10"/>
  <c r="AH9" i="10"/>
  <c r="BA8" i="10"/>
  <c r="V8" i="10"/>
  <c r="AL7" i="10"/>
  <c r="BB6" i="10"/>
  <c r="AB6" i="10"/>
  <c r="AT5" i="10"/>
  <c r="T5" i="10"/>
  <c r="AM4" i="10"/>
  <c r="Q4" i="10"/>
  <c r="AF3" i="10"/>
  <c r="Y58" i="10"/>
  <c r="BA56" i="10"/>
  <c r="BC55" i="10"/>
  <c r="AP54" i="10"/>
  <c r="AL53" i="10"/>
  <c r="AE52" i="10"/>
  <c r="V51" i="10"/>
  <c r="S50" i="10"/>
  <c r="AU48" i="10"/>
  <c r="AT47" i="10"/>
  <c r="AF46" i="10"/>
  <c r="AC45" i="10"/>
  <c r="R44" i="10"/>
  <c r="R43" i="10"/>
  <c r="BD41" i="10"/>
  <c r="AZ40" i="10"/>
  <c r="BD39" i="10"/>
  <c r="AP38" i="10"/>
  <c r="AU37" i="10"/>
  <c r="AP36" i="10"/>
  <c r="AP35" i="10"/>
  <c r="AG34" i="10"/>
  <c r="AJ33" i="10"/>
  <c r="AI32" i="10"/>
  <c r="AL31" i="10"/>
  <c r="AH30" i="10"/>
  <c r="AJ29" i="10"/>
  <c r="AM28" i="10"/>
  <c r="AI27" i="10"/>
  <c r="AT26" i="10"/>
  <c r="AS25" i="10"/>
  <c r="BA24" i="10"/>
  <c r="BD23" i="10"/>
  <c r="T23" i="10"/>
  <c r="V22" i="10"/>
  <c r="AG21" i="10"/>
  <c r="AM20" i="10"/>
  <c r="AX19" i="10"/>
  <c r="V19" i="10"/>
  <c r="AD18" i="10"/>
  <c r="AR17" i="10"/>
  <c r="BA16" i="10"/>
  <c r="X16" i="10"/>
  <c r="AG15" i="10"/>
  <c r="AY14" i="10"/>
  <c r="Q14" i="10"/>
  <c r="AG13" i="10"/>
  <c r="AS12" i="10"/>
  <c r="S12" i="10"/>
  <c r="AJ11" i="10"/>
  <c r="AU10" i="10"/>
  <c r="V10" i="10"/>
  <c r="AG9" i="10"/>
  <c r="AY8" i="10"/>
  <c r="S8" i="10"/>
  <c r="AK7" i="10"/>
  <c r="AY6" i="10"/>
  <c r="AA6" i="10"/>
  <c r="AO5" i="10"/>
  <c r="S5" i="10"/>
  <c r="AL4" i="10"/>
  <c r="BC3" i="10"/>
  <c r="AE3" i="10"/>
  <c r="X58" i="10"/>
  <c r="AU56" i="10"/>
  <c r="AW55" i="10"/>
  <c r="AJ54" i="10"/>
  <c r="AK53" i="10"/>
  <c r="Y52" i="10"/>
  <c r="U51" i="10"/>
  <c r="Q50" i="10"/>
  <c r="AT48" i="10"/>
  <c r="AQ47" i="10"/>
  <c r="AE46" i="10"/>
  <c r="AB45" i="10"/>
  <c r="P44" i="10"/>
  <c r="Q43" i="10"/>
  <c r="AY41" i="10"/>
  <c r="AX40" i="10"/>
  <c r="AT39" i="10"/>
  <c r="AO38" i="10"/>
  <c r="AT37" i="10"/>
  <c r="AF36" i="10"/>
  <c r="AO35" i="10"/>
  <c r="AF34" i="10"/>
  <c r="AI33" i="10"/>
  <c r="AB32" i="10"/>
  <c r="AE31" i="10"/>
  <c r="AE30" i="10"/>
  <c r="AH29" i="10"/>
  <c r="AF28" i="10"/>
  <c r="AH27" i="10"/>
  <c r="AS26" i="10"/>
  <c r="AR25" i="10"/>
  <c r="AZ24" i="10"/>
  <c r="BC23" i="10"/>
  <c r="S23" i="10"/>
  <c r="S22" i="10"/>
  <c r="AF21" i="10"/>
  <c r="AL20" i="10"/>
  <c r="AW19" i="10"/>
  <c r="BE18" i="10"/>
  <c r="AA18" i="10"/>
  <c r="AQ17" i="10"/>
  <c r="AZ16" i="10"/>
  <c r="W16" i="10"/>
  <c r="AF15" i="10"/>
  <c r="AW14" i="10"/>
  <c r="BF13" i="10"/>
  <c r="AF13" i="10"/>
  <c r="AR12" i="10"/>
  <c r="R12" i="10"/>
  <c r="AD11" i="10"/>
  <c r="AS10" i="10"/>
  <c r="U10" i="10"/>
  <c r="AF9" i="10"/>
  <c r="AX8" i="10"/>
  <c r="R8" i="10"/>
  <c r="AJ7" i="10"/>
  <c r="AW6" i="10"/>
  <c r="Z6" i="10"/>
  <c r="AN5" i="10"/>
  <c r="R5" i="10"/>
  <c r="AK4" i="10"/>
  <c r="AZ3" i="10"/>
  <c r="AD3" i="10"/>
  <c r="Q58" i="10"/>
  <c r="AT56" i="10"/>
  <c r="AP55" i="10"/>
  <c r="AC54" i="10"/>
  <c r="AJ53" i="10"/>
  <c r="R52" i="10"/>
  <c r="T51" i="10"/>
  <c r="AX49" i="10"/>
  <c r="AS48" i="10"/>
  <c r="AP47" i="10"/>
  <c r="AC46" i="10"/>
  <c r="AA45" i="10"/>
  <c r="BF43" i="10"/>
  <c r="P43" i="10"/>
  <c r="AW41" i="10"/>
  <c r="AW40" i="10"/>
  <c r="AS39" i="10"/>
  <c r="AN38" i="10"/>
  <c r="AJ37" i="10"/>
  <c r="AE36" i="10"/>
  <c r="AJ35" i="10"/>
  <c r="AE34" i="10"/>
  <c r="AH33" i="10"/>
  <c r="AA32" i="10"/>
  <c r="AD31" i="10"/>
  <c r="AA30" i="10"/>
  <c r="AG29" i="10"/>
  <c r="AE28" i="10"/>
  <c r="AD27" i="10"/>
  <c r="AG26" i="10"/>
  <c r="AO25" i="10"/>
  <c r="AY24" i="10"/>
  <c r="BA23" i="10"/>
  <c r="R23" i="10"/>
  <c r="R22" i="10"/>
  <c r="AE21" i="10"/>
  <c r="AJ20" i="10"/>
  <c r="AV19" i="10"/>
  <c r="BD18" i="10"/>
  <c r="Y18" i="10"/>
  <c r="AJ17" i="10"/>
  <c r="AY16" i="10"/>
  <c r="V16" i="10"/>
  <c r="AE15" i="10"/>
  <c r="AV14" i="10"/>
  <c r="BE13" i="10"/>
  <c r="AE13" i="10"/>
  <c r="AP12" i="10"/>
  <c r="Q12" i="10"/>
  <c r="AC11" i="10"/>
  <c r="AR10" i="10"/>
  <c r="P10" i="10"/>
  <c r="AE9" i="10"/>
  <c r="AU8" i="10"/>
  <c r="Q8" i="10"/>
  <c r="AI7" i="10"/>
  <c r="AV6" i="10"/>
  <c r="Y6" i="10"/>
  <c r="AM5" i="10"/>
  <c r="Q5" i="10"/>
  <c r="AJ4" i="10"/>
  <c r="AY3" i="10"/>
  <c r="AC3" i="10"/>
  <c r="P58" i="10"/>
  <c r="AS56" i="10"/>
  <c r="AO55" i="10"/>
  <c r="AB54" i="10"/>
  <c r="X53" i="10"/>
  <c r="P52" i="10"/>
  <c r="R51" i="10"/>
  <c r="AQ49" i="10"/>
  <c r="AR48" i="10"/>
  <c r="AF47" i="10"/>
  <c r="AB46" i="10"/>
  <c r="Z45" i="10"/>
  <c r="BD43" i="10"/>
  <c r="BE42" i="10"/>
  <c r="AV41" i="10"/>
  <c r="AU40" i="10"/>
  <c r="AL39" i="10"/>
  <c r="AM38" i="10"/>
  <c r="AI37" i="10"/>
  <c r="AD36" i="10"/>
  <c r="Y35" i="10"/>
  <c r="AA34" i="10"/>
  <c r="AG33" i="10"/>
  <c r="Z32" i="10"/>
  <c r="AB31" i="10"/>
  <c r="Z30" i="10"/>
  <c r="AF29" i="10"/>
  <c r="Y28" i="10"/>
  <c r="AC27" i="10"/>
  <c r="AF26" i="10"/>
  <c r="AM25" i="10"/>
  <c r="AR24" i="10"/>
  <c r="AZ23" i="10"/>
  <c r="BE22" i="10"/>
  <c r="Q22" i="10"/>
  <c r="AD21" i="10"/>
  <c r="AI20" i="10"/>
  <c r="AU19" i="10"/>
  <c r="AZ18" i="10"/>
  <c r="X18" i="10"/>
  <c r="AH17" i="10"/>
  <c r="AX16" i="10"/>
  <c r="Q16" i="10"/>
  <c r="AD15" i="10"/>
  <c r="AS14" i="10"/>
  <c r="BB13" i="10"/>
  <c r="AD13" i="10"/>
  <c r="AO12" i="10"/>
  <c r="P12" i="10"/>
  <c r="AA11" i="10"/>
  <c r="AQ10" i="10"/>
  <c r="BC9" i="10"/>
  <c r="AD9" i="10"/>
  <c r="AP8" i="10"/>
  <c r="P8" i="10"/>
  <c r="AH7" i="10"/>
  <c r="AU6" i="10"/>
  <c r="X6" i="10"/>
  <c r="AL5" i="10"/>
  <c r="BE4" i="10"/>
  <c r="AI4" i="10"/>
  <c r="AX3" i="10"/>
  <c r="AB3" i="10"/>
  <c r="BF57" i="10"/>
  <c r="AR56" i="10"/>
  <c r="AN55" i="10"/>
  <c r="Z54" i="10"/>
  <c r="W53" i="10"/>
  <c r="BA51" i="10"/>
  <c r="AY50" i="10"/>
  <c r="AO49" i="10"/>
  <c r="AQ48" i="10"/>
  <c r="Y47" i="10"/>
  <c r="AA46" i="10"/>
  <c r="BE44" i="10"/>
  <c r="BC43" i="10"/>
  <c r="BC42" i="10"/>
  <c r="AT41" i="10"/>
  <c r="AT40" i="10"/>
  <c r="AJ39" i="10"/>
  <c r="AK38" i="10"/>
  <c r="AB37" i="10"/>
  <c r="AC36" i="10"/>
  <c r="X35" i="10"/>
  <c r="Y34" i="10"/>
  <c r="T33" i="10"/>
  <c r="Y32" i="10"/>
  <c r="AA31" i="10"/>
  <c r="Y30" i="10"/>
  <c r="AE29" i="10"/>
  <c r="X28" i="10"/>
  <c r="AB27" i="10"/>
  <c r="AD26" i="10"/>
  <c r="AL25" i="10"/>
  <c r="AL24" i="10"/>
  <c r="AV23" i="10"/>
  <c r="AZ22" i="10"/>
  <c r="P22" i="10"/>
  <c r="AA21" i="10"/>
  <c r="AD20" i="10"/>
  <c r="AT19" i="10"/>
  <c r="AY18" i="10"/>
  <c r="W18" i="10"/>
  <c r="AE17" i="10"/>
  <c r="AW16" i="10"/>
  <c r="P16" i="10"/>
  <c r="AC15" i="10"/>
  <c r="AM14" i="10"/>
  <c r="BA13" i="10"/>
  <c r="AB13" i="10"/>
  <c r="AM12" i="10"/>
  <c r="BF11" i="10"/>
  <c r="Z11" i="10"/>
  <c r="AP10" i="10"/>
  <c r="BA9" i="10"/>
  <c r="AC9" i="10"/>
  <c r="AO8" i="10"/>
  <c r="BD7" i="10"/>
  <c r="AC7" i="10"/>
  <c r="AT6" i="10"/>
  <c r="W6" i="10"/>
  <c r="AK5" i="10"/>
  <c r="BD4" i="10"/>
  <c r="AD4" i="10"/>
  <c r="AW3" i="10"/>
  <c r="AA3" i="10"/>
  <c r="Y54" i="10"/>
  <c r="AV50" i="10"/>
  <c r="U47" i="10"/>
  <c r="AP43" i="10"/>
  <c r="Y40" i="10"/>
  <c r="AA36" i="10"/>
  <c r="P33" i="10"/>
  <c r="Q30" i="10"/>
  <c r="BD26" i="10"/>
  <c r="AF24" i="10"/>
  <c r="R21" i="10"/>
  <c r="AW18" i="10"/>
  <c r="AP16" i="10"/>
  <c r="AG14" i="10"/>
  <c r="AH12" i="10"/>
  <c r="AZ9" i="10"/>
  <c r="BB7" i="10"/>
  <c r="BD5" i="10"/>
  <c r="X4" i="10"/>
  <c r="AV57" i="10"/>
  <c r="X54" i="10"/>
  <c r="AN50" i="10"/>
  <c r="P47" i="10"/>
  <c r="AN43" i="10"/>
  <c r="AI39" i="10"/>
  <c r="Z36" i="10"/>
  <c r="BF32" i="10"/>
  <c r="P30" i="10"/>
  <c r="BB26" i="10"/>
  <c r="AU23" i="10"/>
  <c r="Q21" i="10"/>
  <c r="AV18" i="10"/>
  <c r="AK16" i="10"/>
  <c r="AF14" i="10"/>
  <c r="BC11" i="10"/>
  <c r="AY9" i="10"/>
  <c r="BA7" i="10"/>
  <c r="BC5" i="10"/>
  <c r="W4" i="10"/>
  <c r="AQ57" i="10"/>
  <c r="W54" i="10"/>
  <c r="AM50" i="10"/>
  <c r="BF46" i="10"/>
  <c r="AT42" i="10"/>
  <c r="AH39" i="10"/>
  <c r="Y36" i="10"/>
  <c r="BE32" i="10"/>
  <c r="BF29" i="10"/>
  <c r="AC26" i="10"/>
  <c r="AT23" i="10"/>
  <c r="BF20" i="10"/>
  <c r="AU18" i="10"/>
  <c r="AJ16" i="10"/>
  <c r="AZ13" i="10"/>
  <c r="AW11" i="10"/>
  <c r="AX9" i="10"/>
  <c r="AZ7" i="10"/>
  <c r="BB5" i="10"/>
  <c r="AV3" i="10"/>
  <c r="AP57" i="10"/>
  <c r="U54" i="10"/>
  <c r="AG50" i="10"/>
  <c r="Z46" i="10"/>
  <c r="AN42" i="10"/>
  <c r="AG39" i="10"/>
  <c r="R36" i="10"/>
  <c r="BC32" i="10"/>
  <c r="AA29" i="10"/>
  <c r="AB26" i="10"/>
  <c r="AQ23" i="10"/>
  <c r="BE20" i="10"/>
  <c r="AR18" i="10"/>
  <c r="BE15" i="10"/>
  <c r="AY13" i="10"/>
  <c r="AV11" i="10"/>
  <c r="AW9" i="10"/>
  <c r="AU7" i="10"/>
  <c r="AJ5" i="10"/>
  <c r="AU3" i="10"/>
  <c r="AI57" i="10"/>
  <c r="T54" i="10"/>
  <c r="AN49" i="10"/>
  <c r="BF45" i="10"/>
  <c r="AK42" i="10"/>
  <c r="AF39" i="10"/>
  <c r="AZ35" i="10"/>
  <c r="W32" i="10"/>
  <c r="P29" i="10"/>
  <c r="AA26" i="10"/>
  <c r="AO23" i="10"/>
  <c r="BD20" i="10"/>
  <c r="U18" i="10"/>
  <c r="BA15" i="10"/>
  <c r="AX13" i="10"/>
  <c r="AT11" i="10"/>
  <c r="AV9" i="10"/>
  <c r="AB7" i="10"/>
  <c r="AI5" i="10"/>
  <c r="AT3" i="10"/>
  <c r="AH57" i="10"/>
  <c r="V53" i="10"/>
  <c r="AH49" i="10"/>
  <c r="BD45" i="10"/>
  <c r="AI42" i="10"/>
  <c r="Z39" i="10"/>
  <c r="U35" i="10"/>
  <c r="V32" i="10"/>
  <c r="BF28" i="10"/>
  <c r="Z26" i="10"/>
  <c r="AI23" i="10"/>
  <c r="AB20" i="10"/>
  <c r="T18" i="10"/>
  <c r="AY15" i="10"/>
  <c r="AW13" i="10"/>
  <c r="AS11" i="10"/>
  <c r="AB9" i="10"/>
  <c r="X7" i="10"/>
  <c r="AH5" i="10"/>
  <c r="AS3" i="10"/>
  <c r="AQ56" i="10"/>
  <c r="P53" i="10"/>
  <c r="AG49" i="10"/>
  <c r="BC45" i="10"/>
  <c r="AH42" i="10"/>
  <c r="AJ38" i="10"/>
  <c r="P35" i="10"/>
  <c r="U32" i="10"/>
  <c r="BD28" i="10"/>
  <c r="V26" i="10"/>
  <c r="AY22" i="10"/>
  <c r="AA20" i="10"/>
  <c r="BF17" i="10"/>
  <c r="AX15" i="10"/>
  <c r="AV13" i="10"/>
  <c r="Y11" i="10"/>
  <c r="AA9" i="10"/>
  <c r="W7" i="10"/>
  <c r="AG5" i="10"/>
  <c r="AR3" i="10"/>
  <c r="AN56" i="10"/>
  <c r="BF52" i="10"/>
  <c r="AF49" i="10"/>
  <c r="AV45" i="10"/>
  <c r="AS41" i="10"/>
  <c r="AI38" i="10"/>
  <c r="BF34" i="10"/>
  <c r="Q32" i="10"/>
  <c r="BB28" i="10"/>
  <c r="AK25" i="10"/>
  <c r="AV22" i="10"/>
  <c r="Z20" i="10"/>
  <c r="BE17" i="10"/>
  <c r="AW15" i="10"/>
  <c r="W13" i="10"/>
  <c r="X11" i="10"/>
  <c r="Z9" i="10"/>
  <c r="V7" i="10"/>
  <c r="AD5" i="10"/>
  <c r="Z3" i="10"/>
  <c r="AL56" i="10"/>
  <c r="AX52" i="10"/>
  <c r="AE49" i="10"/>
  <c r="AY44" i="10"/>
  <c r="AQ41" i="10"/>
  <c r="AC38" i="10"/>
  <c r="BE34" i="10"/>
  <c r="BF31" i="10"/>
  <c r="U28" i="10"/>
  <c r="AJ25" i="10"/>
  <c r="AS22" i="10"/>
  <c r="Y20" i="10"/>
  <c r="BA17" i="10"/>
  <c r="AB15" i="10"/>
  <c r="T13" i="10"/>
  <c r="U11" i="10"/>
  <c r="R9" i="10"/>
  <c r="U7" i="10"/>
  <c r="BC4" i="10"/>
  <c r="Y3" i="10"/>
  <c r="AK56" i="10"/>
  <c r="AW52" i="10"/>
  <c r="AF48" i="10"/>
  <c r="AW44" i="10"/>
  <c r="AP41" i="10"/>
  <c r="S38" i="10"/>
  <c r="BD34" i="10"/>
  <c r="V31" i="10"/>
  <c r="Q28" i="10"/>
  <c r="AI25" i="10"/>
  <c r="AN22" i="10"/>
  <c r="X20" i="10"/>
  <c r="AD17" i="10"/>
  <c r="AA15" i="10"/>
  <c r="R13" i="10"/>
  <c r="T11" i="10"/>
  <c r="Q9" i="10"/>
  <c r="AS6" i="10"/>
  <c r="BB4" i="10"/>
  <c r="X3" i="10"/>
  <c r="AJ56" i="10"/>
  <c r="AZ51" i="10"/>
  <c r="AE48" i="10"/>
  <c r="AV44" i="10"/>
  <c r="AJ41" i="10"/>
  <c r="Q38" i="10"/>
  <c r="U34" i="10"/>
  <c r="U31" i="10"/>
  <c r="P28" i="10"/>
  <c r="Z25" i="10"/>
  <c r="AM22" i="10"/>
  <c r="AS19" i="10"/>
  <c r="AC17" i="10"/>
  <c r="Z15" i="10"/>
  <c r="Q13" i="10"/>
  <c r="R11" i="10"/>
  <c r="AM8" i="10"/>
  <c r="AR6" i="10"/>
  <c r="BA4" i="10"/>
  <c r="Q3" i="10"/>
  <c r="AG55" i="10"/>
  <c r="AY51" i="10"/>
  <c r="AD48" i="10"/>
  <c r="AU44" i="10"/>
  <c r="AF41" i="10"/>
  <c r="Z37" i="10"/>
  <c r="T34" i="10"/>
  <c r="R31" i="10"/>
  <c r="BF27" i="10"/>
  <c r="Y25" i="10"/>
  <c r="BF21" i="10"/>
  <c r="AI19" i="10"/>
  <c r="AB17" i="10"/>
  <c r="Y15" i="10"/>
  <c r="P13" i="10"/>
  <c r="AO10" i="10"/>
  <c r="AL8" i="10"/>
  <c r="AQ6" i="10"/>
  <c r="AV4" i="10"/>
  <c r="AC55" i="10"/>
  <c r="AX51" i="10"/>
  <c r="W48" i="10"/>
  <c r="AR44" i="10"/>
  <c r="AS40" i="10"/>
  <c r="Y37" i="10"/>
  <c r="S34" i="10"/>
  <c r="BA30" i="10"/>
  <c r="BD27" i="10"/>
  <c r="AJ24" i="10"/>
  <c r="BE21" i="10"/>
  <c r="AH19" i="10"/>
  <c r="AA17" i="10"/>
  <c r="P15" i="10"/>
  <c r="AL12" i="10"/>
  <c r="AN10" i="10"/>
  <c r="AK8" i="10"/>
  <c r="AP6" i="10"/>
  <c r="AU4" i="10"/>
  <c r="Z55" i="10"/>
  <c r="AU51" i="10"/>
  <c r="V48" i="10"/>
  <c r="BB43" i="10"/>
  <c r="AJ40" i="10"/>
  <c r="X37" i="10"/>
  <c r="Q34" i="10"/>
  <c r="AY30" i="10"/>
  <c r="AA27" i="10"/>
  <c r="AI24" i="10"/>
  <c r="BD21" i="10"/>
  <c r="AF19" i="10"/>
  <c r="Z17" i="10"/>
  <c r="AL14" i="10"/>
  <c r="AK12" i="10"/>
  <c r="AI10" i="10"/>
  <c r="AI8" i="10"/>
  <c r="AO6" i="10"/>
  <c r="AC4" i="10"/>
  <c r="Y55" i="10"/>
  <c r="AT51" i="10"/>
  <c r="W47" i="10"/>
  <c r="BA43" i="10"/>
  <c r="AC40" i="10"/>
  <c r="W37" i="10"/>
  <c r="BA33" i="10"/>
  <c r="V30" i="10"/>
  <c r="Y27" i="10"/>
  <c r="AH24" i="10"/>
  <c r="BC21" i="10"/>
  <c r="AE19" i="10"/>
  <c r="AV16" i="10"/>
  <c r="AJ14" i="10"/>
  <c r="AJ12" i="10"/>
  <c r="AH10" i="10"/>
  <c r="AH8" i="10"/>
  <c r="P6" i="10"/>
  <c r="AB4" i="10"/>
  <c r="Q55" i="10"/>
  <c r="AW50" i="10"/>
  <c r="V47" i="10"/>
  <c r="AQ43" i="10"/>
  <c r="AA40" i="10"/>
  <c r="V37" i="10"/>
  <c r="R33" i="10"/>
  <c r="U30" i="10"/>
  <c r="Q27" i="10"/>
  <c r="AG24" i="10"/>
  <c r="BB21" i="10"/>
  <c r="AX18" i="10"/>
  <c r="AS16" i="10"/>
  <c r="AI14" i="10"/>
  <c r="AI12" i="10"/>
  <c r="AC10" i="10"/>
  <c r="BC7" i="10"/>
  <c r="BF5" i="10"/>
  <c r="Y4" i="10"/>
</calcChain>
</file>

<file path=xl/sharedStrings.xml><?xml version="1.0" encoding="utf-8"?>
<sst xmlns="http://schemas.openxmlformats.org/spreadsheetml/2006/main" count="3922" uniqueCount="1029">
  <si>
    <t>Recette</t>
  </si>
  <si>
    <t>ID</t>
  </si>
  <si>
    <t>Ratio travail</t>
  </si>
  <si>
    <t>Poids (g) / unité</t>
  </si>
  <si>
    <t>Conditionnement</t>
  </si>
  <si>
    <t>Packaging / unité</t>
  </si>
  <si>
    <t>Prix achat plantes / kg</t>
  </si>
  <si>
    <t>Prix de vente/U</t>
  </si>
  <si>
    <t>Prix de vente/kg</t>
  </si>
  <si>
    <t>Prix/kg (no BIO)</t>
  </si>
  <si>
    <t>Prix/kg (cook)</t>
  </si>
  <si>
    <t>Prix/kg (artisan)</t>
  </si>
  <si>
    <t>Objectif de vente en unité N1</t>
  </si>
  <si>
    <t>Total (kg) N1</t>
  </si>
  <si>
    <t>Conditionnement N1</t>
  </si>
  <si>
    <t>Achat plantes N1</t>
  </si>
  <si>
    <t>Revenu brut N1</t>
  </si>
  <si>
    <t>Revenu net N1</t>
  </si>
  <si>
    <t>Objectif de vente en unité N2</t>
  </si>
  <si>
    <t>Total (kg) N2</t>
  </si>
  <si>
    <t>Conditionnement N2</t>
  </si>
  <si>
    <t>Achat plantes N2</t>
  </si>
  <si>
    <t>Revenu brut N2</t>
  </si>
  <si>
    <t>Revenu net N2</t>
  </si>
  <si>
    <t>Objectif de vente en unité N3</t>
  </si>
  <si>
    <t>Total (kg) N3</t>
  </si>
  <si>
    <t>Conditionnement N3</t>
  </si>
  <si>
    <t>Achat plantes N3</t>
  </si>
  <si>
    <t>Revenu brut N3</t>
  </si>
  <si>
    <t>Revenu net N3</t>
  </si>
  <si>
    <t>Objectif de vente en unité N4</t>
  </si>
  <si>
    <t>Total (kg) N4</t>
  </si>
  <si>
    <t>Conditionnement N4</t>
  </si>
  <si>
    <t>Achat plantes N4</t>
  </si>
  <si>
    <t>Revenu brut N4</t>
  </si>
  <si>
    <t>Revenu net N4</t>
  </si>
  <si>
    <t>Objectif de vente en unité N5</t>
  </si>
  <si>
    <t>Total (kg) N5</t>
  </si>
  <si>
    <t>Conditionnement N5</t>
  </si>
  <si>
    <t>Achat plantes N5</t>
  </si>
  <si>
    <t>Revenu brut N5</t>
  </si>
  <si>
    <t>Revenu net N5</t>
  </si>
  <si>
    <t>Objectif de vente en unité N6</t>
  </si>
  <si>
    <t>Total (kg) N6</t>
  </si>
  <si>
    <t>Conditionnement N6</t>
  </si>
  <si>
    <t>Achat plantes N6</t>
  </si>
  <si>
    <t>Revenu brut N6</t>
  </si>
  <si>
    <t>Revenu net N6</t>
  </si>
  <si>
    <t>Objectif de vente en unité N7</t>
  </si>
  <si>
    <t>Total (kg) N7</t>
  </si>
  <si>
    <t>Conditionnement N7</t>
  </si>
  <si>
    <t>Achat plantes N7</t>
  </si>
  <si>
    <t>Revenu brut N7</t>
  </si>
  <si>
    <t>Revenu net N7</t>
  </si>
  <si>
    <t>Objectif de vente en unité N8</t>
  </si>
  <si>
    <t>Total (kg) N8</t>
  </si>
  <si>
    <t>Conditionnement N8</t>
  </si>
  <si>
    <t>Achat plantes N8</t>
  </si>
  <si>
    <t>Revenu brut N8</t>
  </si>
  <si>
    <t>Revenu net N8</t>
  </si>
  <si>
    <t>Objectif de vente en unité N9</t>
  </si>
  <si>
    <t>Total (kg) N9</t>
  </si>
  <si>
    <t>Conditionnement N9</t>
  </si>
  <si>
    <t>Achat plantes N9</t>
  </si>
  <si>
    <t>Revenu brut N9</t>
  </si>
  <si>
    <t>Revenu net N9</t>
  </si>
  <si>
    <t>Herbes de Provence</t>
  </si>
  <si>
    <t>Epice 200ml</t>
  </si>
  <si>
    <t>Moutarde à l'ancienne</t>
  </si>
  <si>
    <t>Moutarde verre 265 ml</t>
  </si>
  <si>
    <t>Choucroute</t>
  </si>
  <si>
    <t>Seau 2,5 l, plastique</t>
  </si>
  <si>
    <t>Cumin graine</t>
  </si>
  <si>
    <t>Epice 100ml</t>
  </si>
  <si>
    <t>Cumin moulu</t>
  </si>
  <si>
    <t>Épices viandes rouges</t>
  </si>
  <si>
    <t>Gingembre</t>
  </si>
  <si>
    <t>Moutarde à l'estragon</t>
  </si>
  <si>
    <t>Moutarde verre 212 ml</t>
  </si>
  <si>
    <t>Paprika fumé</t>
  </si>
  <si>
    <t>Sirop de menthe</t>
  </si>
  <si>
    <t>Sirop 500 ml</t>
  </si>
  <si>
    <t>Sucre aux fleurs</t>
  </si>
  <si>
    <t>Curry</t>
  </si>
  <si>
    <t>Ail semoule</t>
  </si>
  <si>
    <t>Carvi graine</t>
  </si>
  <si>
    <t>Curcuma</t>
  </si>
  <si>
    <t>Paprika</t>
  </si>
  <si>
    <t>Sirop aux fleurs</t>
  </si>
  <si>
    <t>Sirop de basilic</t>
  </si>
  <si>
    <t>Sirop de thym</t>
  </si>
  <si>
    <t>Sucre à l'hibiscus</t>
  </si>
  <si>
    <t>Vinaigre du soleil</t>
  </si>
  <si>
    <t>Vinaigre 250 ml</t>
  </si>
  <si>
    <t>Vinaigre du sureau</t>
  </si>
  <si>
    <t>Zaatar</t>
  </si>
  <si>
    <t>Tabasco Rouge moyen</t>
  </si>
  <si>
    <t>Piment liquide 100ml</t>
  </si>
  <si>
    <t>Tabasco jalapeno</t>
  </si>
  <si>
    <t>Tabasco cayenne jaune</t>
  </si>
  <si>
    <t>Épices tandoori</t>
  </si>
  <si>
    <t>Curry Madras</t>
  </si>
  <si>
    <t>Tabasco violet fort</t>
  </si>
  <si>
    <t>Panch phoron</t>
  </si>
  <si>
    <t>Sans sel</t>
  </si>
  <si>
    <t>Shichimi togarashi</t>
  </si>
  <si>
    <t>Ketchup</t>
  </si>
  <si>
    <t>Piment liquide 250ml</t>
  </si>
  <si>
    <t>Gomasio maison</t>
  </si>
  <si>
    <t>Timur ko chhop</t>
  </si>
  <si>
    <t>Harissa</t>
  </si>
  <si>
    <t>Épices cajun</t>
  </si>
  <si>
    <t>Taklia</t>
  </si>
  <si>
    <t>Dukkah</t>
  </si>
  <si>
    <t>Tabel ou Tabil tunisien</t>
  </si>
  <si>
    <t>Zhug</t>
  </si>
  <si>
    <t>Épices pour marinade</t>
  </si>
  <si>
    <t>Épices poissons et fruits de mer</t>
  </si>
  <si>
    <t>Suya ghanéen</t>
  </si>
  <si>
    <t>Steak de Montréal</t>
  </si>
  <si>
    <t>Colombo</t>
  </si>
  <si>
    <t>Vindaloo masala</t>
  </si>
  <si>
    <t>Nuoc cham</t>
  </si>
  <si>
    <t>Épices guacamole</t>
  </si>
  <si>
    <t>Huile massage anti-arthrite</t>
  </si>
  <si>
    <t>Huile 1L</t>
  </si>
  <si>
    <t>Sriracha</t>
  </si>
  <si>
    <t>Ras el hanout</t>
  </si>
  <si>
    <t>Jamaican Jerk</t>
  </si>
  <si>
    <t>Durban masala</t>
  </si>
  <si>
    <t>Curry japonais</t>
  </si>
  <si>
    <t>Chaat masala</t>
  </si>
  <si>
    <t>Hawaij</t>
  </si>
  <si>
    <t>Carvi moulu</t>
  </si>
  <si>
    <t>Baharat arabe</t>
  </si>
  <si>
    <t>Pâte vindaloo</t>
  </si>
  <si>
    <t>Baharat turc</t>
  </si>
  <si>
    <t>Advieh</t>
  </si>
  <si>
    <t>Garam masala birman</t>
  </si>
  <si>
    <t>Quatre épices</t>
  </si>
  <si>
    <t>Garam masala</t>
  </si>
  <si>
    <t>Garam masala entier</t>
  </si>
  <si>
    <t>Sucre de rose</t>
  </si>
  <si>
    <t>Huile massage musculaire</t>
  </si>
  <si>
    <t>Sel de garrigue</t>
  </si>
  <si>
    <t>Tisane d'hiver</t>
  </si>
  <si>
    <t>Recharge craft 100ml</t>
  </si>
  <si>
    <t>Tisane digestive</t>
  </si>
  <si>
    <t>Ingredients</t>
  </si>
  <si>
    <t>Ratio séchage</t>
  </si>
  <si>
    <t>% eau</t>
  </si>
  <si>
    <t>Nom de la Production</t>
  </si>
  <si>
    <t>Prix de vente / kg</t>
  </si>
  <si>
    <t>Prix d'achat / kg</t>
  </si>
  <si>
    <t>Lien</t>
  </si>
  <si>
    <t>ail</t>
  </si>
  <si>
    <t>amande douce</t>
  </si>
  <si>
    <t>https://parisbelleville01.lecodrive.com/boutique/amande-douce-decortiquee-bio-espagne/</t>
  </si>
  <si>
    <t>amchur</t>
  </si>
  <si>
    <t>https://www.etsy.com/fr/listing/538432371/poudre-de-mangue-biologique-poudre?gpla=1&amp;gao=1&amp;</t>
  </si>
  <si>
    <t>aneth</t>
  </si>
  <si>
    <t>anis etoile</t>
  </si>
  <si>
    <t>https://vracbio.com/products/anis etoile-anis-etoile-bio-en-vrac?variant=31584511361139&amp;currency=EUR&amp;utm_medium=product_sync&amp;utm_source=google&amp;utm_content=sag_organic&amp;utm_campaign=sag_organic&amp;utm_campaign=gs-2020-05-12&amp;utm_source=google&amp;utm_medium=smart_campaign&amp;gad_source=1&amp;gclid=Cj0KCQjwwMqvBhCtARIsAIXsZpbzhzDINtZH-k_NigcEf1sWrPuGZLuWxNXCpnF2Jb13CK9238FySTMaAgwfEALw_wcB</t>
  </si>
  <si>
    <t>asafoetida</t>
  </si>
  <si>
    <t>basilic</t>
  </si>
  <si>
    <t>basilic thaï</t>
  </si>
  <si>
    <t>cannelle</t>
  </si>
  <si>
    <t>bleuet</t>
  </si>
  <si>
    <t>https://boutique.epicerie-durable.fr/bouillons/bouillon-de-poule-bio-2890kg-1150</t>
  </si>
  <si>
    <t>cacahuètes grillees</t>
  </si>
  <si>
    <t>https://www.googleadservices.com/pagead/aclk?sa=L&amp;ai=DChcSEwi8_L7IkfSEAxWWtWgJHdrGBpYYABAFGgJ3Zg&amp;ase=2&amp;gclid=Cj0KCQjwwMqvBhCtARIsAIXsZpYLT1VmI5Kq1BaXTkjkzxCxD3tRu3FW4QihyZ5AVHNacB5EEIP-EacaAtVBEALw_wcB&amp;ohost=www.google.com&amp;cid=CAESV-D25s4w_xgCt61JSCPtz_-6MB53MwZOqMSR3C53fMpAlGsUxYYNIVZyeD-U7TQmjoP8BSO5N0eb6P53Wc_pyXFm3Td7A7f5dhB2yVtf84Fpc8W6xGvNkg&amp;sig=AOD64_1j_v1y63lx74Qe3EwzAJMUknrPPQ&amp;ctype=5&amp;q=&amp;nis=4&amp;ved=2ahUKEwii3bjIkfSEAxUTUKQEHfKUBKUQ9aACKAB6BAgBECM&amp;adurl=</t>
  </si>
  <si>
    <t>camomille romaine</t>
  </si>
  <si>
    <t>https://www.googleadservices.com/pagead/aclk?sa=L&amp;ai=DChcSEwichuSekfSEAxVyQUECHat2BNwYABAMGgJ3cw&amp;ase=2&amp;gclid=Cj0KCQjwwMqvBhCtARIsAIXsZpZmpmc8fHRm_JGzy1Gmr0JI0grkfyuAV2XraPO2cYJ_I7mDJZoaepwaAlFBEALw_wcB&amp;ohost=www.google.com&amp;cid=CAESV-D2fcXVl2hyBhRmKKHyR9Mar6Ywa7Gxq7dChedDWqueLOlHIrSO08ZTbW6I8tjACgEP8JedobbYSxK8ul5eMEPhhJEPba-FfAwg293CrvZFTOWQMeyZvg&amp;sig=AOD64_00twfFYjSyymtiLPJAcag4fPwi1w&amp;ctype=5&amp;q=&amp;nis=4&amp;ved=2ahUKEwjQud6ekfSEAxVXU6QEHZs-CdUQ9aACKAB6BAgEEBM&amp;adurl=</t>
  </si>
  <si>
    <t>graine de carvi</t>
  </si>
  <si>
    <t>https://thesdirect.com/products/carvi-graine-entiere-bio?variant=46717109207382</t>
  </si>
  <si>
    <t>casse</t>
  </si>
  <si>
    <t>cassonade</t>
  </si>
  <si>
    <t>celeri</t>
  </si>
  <si>
    <t>celeri en poudre</t>
  </si>
  <si>
    <t>chenpi (peau de mandarine sechee)</t>
  </si>
  <si>
    <t>https://www.etsy.com/fr/listing/1671728644/zeste-de-mandarine-SEChee-biologique?gpla=1&amp;gao=1&amp;</t>
  </si>
  <si>
    <t>citron jaune</t>
  </si>
  <si>
    <t>https://www.googleadservices.com/pagead/aclk?sa=L&amp;ai=DChcSEwjImt71kvSEAxX4qGgJHfm2DMsYABAOGgJ3Zg&amp;ase=2&amp;gclid=Cj0KCQjwwMqvBhCtARIsAIXsZpZzuxlLYPk3jEbz2sSJyN4bocZn-7fGZ1l02xJ2SChDI7pgp8LAST8aAnq9EALw_wcB&amp;ohost=www.google.com&amp;cid=CAESV-D2Uxx-XLqYE_XjwL-kVovH9HTLCB4KlP7kJAwkGppGskGIF94N5JykIfKxIhGF_WNbbGhZMrxjSTAQ4FwvjJubk8RCtjodMYrRsrubTeHFyJdngqwO-Q&amp;sig=AOD64_24hJKAn2HpOv8TAFHuCr4695zSpw&amp;ctype=5&amp;q=&amp;nis=4&amp;ved=2ahUKEwjbttj1kvSEAxXWSKQEHcVUBosQ9aACKAB6BAgBEBM&amp;adurl=</t>
  </si>
  <si>
    <t>citron vert</t>
  </si>
  <si>
    <t>https://lecababio.fr/fruits-legumes-fruits-frais/2466-citron-vert-bio-la-piece-2017000000594.html</t>
  </si>
  <si>
    <t>clous de girofle</t>
  </si>
  <si>
    <t>https://thesdirect.com/products/girofle-clou-entier-bio?variant=42278504759535&amp;utm_medium=paidsearch&amp;utm_source=google&amp;utm_campaign=FR-PMC-Global&amp;utm_term=&amp;utm_content=&amp;gad_source=1&amp;gclid=Cj0KCQjwwMqvBhCtARIsAIXsZpYMcYHxWw4LzdPFYu1RLdfNCwEEgQ89WYbpA_kBagvr-9lOLjM_5DwaAt_uEALw_wcB</t>
  </si>
  <si>
    <t>tomate rouge</t>
  </si>
  <si>
    <t>coriandre feuille</t>
  </si>
  <si>
    <t>coriandre graine</t>
  </si>
  <si>
    <t>https://thesdirect.com/products/coriandre-graine-entiere-bio-origine-france?variant=46717581754710</t>
  </si>
  <si>
    <t>graine cumin</t>
  </si>
  <si>
    <t>https://thesdirect.com/products/grosssite-cumin-graine-poudre-bio-vente-en-gros?_pos=2&amp;_sid=3c51b5f81&amp;_ss=r</t>
  </si>
  <si>
    <t>graine cumin noir</t>
  </si>
  <si>
    <t>https://thesdirect.com/products/cumin-noir-nigelle-graine-entiere-bio?_pos=1&amp;_sid=3c51b5f81&amp;_ss=r</t>
  </si>
  <si>
    <t>curcuma</t>
  </si>
  <si>
    <t>production du curcuma bio en inde et son utilisation ...</t>
  </si>
  <si>
    <t>eau</t>
  </si>
  <si>
    <t>https://www.pharma5avenue.com/blog/mode-de-production-du-curcuma-longa-n63</t>
  </si>
  <si>
    <t>graine de fenugrec</t>
  </si>
  <si>
    <t>Pharma 5 Avenue</t>
  </si>
  <si>
    <t>feuille de 4 epices</t>
  </si>
  <si>
    <t>https://www.pharma5avenue.com › blog › mode-de-pro...</t>
  </si>
  <si>
    <t>Feuilles de cannelier</t>
  </si>
  <si>
    <t>feuilles de curry</t>
  </si>
  <si>
    <t>feuilles de laurier</t>
  </si>
  <si>
    <t>https://thesdirect.com/products/laurier-feuille-coupee-bio?_pos=1&amp;_sid=01cd0a848&amp;_ss=r</t>
  </si>
  <si>
    <t>figue</t>
  </si>
  <si>
    <t>fleur helichrysum</t>
  </si>
  <si>
    <t>gaultheria Procumbens Leaf Oil</t>
  </si>
  <si>
    <t>gingembre</t>
  </si>
  <si>
    <t>https://thesdirect.com/products/gingembre-rhizome-poudre-bio?_pos=7&amp;_sid=90d482203&amp;_ss=r</t>
  </si>
  <si>
    <t>graine de cardamone</t>
  </si>
  <si>
    <t>https://thesdirect.com/products/cardamome-fruit-entier-bio?_pos=1&amp;_sid=0d54a836c&amp;_ss=r</t>
  </si>
  <si>
    <t>https://thesdirect.com/products/carvi-graine-entiere-bio?_pos=1&amp;_sid=0340e6674&amp;_ss=r</t>
  </si>
  <si>
    <t>graine de fenouil</t>
  </si>
  <si>
    <t>https://thesdirect.com/products/fenouil-bio-en-vrac-1-kg?_pos=1&amp;_sid=0712c237c&amp;_ss=r</t>
  </si>
  <si>
    <t>https://thesdirect.com/products/graine-de-fenugrec-bio-en-vrac?_pos=1&amp;_sid=e3b571ae1&amp;_ss=r</t>
  </si>
  <si>
    <t>graine de moutarde</t>
  </si>
  <si>
    <t>https://thesdirect.com/products/graine-de-moutarde-jaune-bio-en-vrac?_pos=2&amp;_sid=ed731c47b&amp;_ss=r</t>
  </si>
  <si>
    <t>graine de moutarde noire</t>
  </si>
  <si>
    <t>https://thesdirect.com/products/graine-de-moutarde-noir-bio-en-vrac?_pos=1&amp;_sid=ed731c47b&amp;_ss=r</t>
  </si>
  <si>
    <t>graine de nigelle</t>
  </si>
  <si>
    <t>https://thesdirect.com/products/cumin-noir-nigelle-graine-entiere-bio?_pos=1&amp;_sid=952bb7c98&amp;_ss=r</t>
  </si>
  <si>
    <t>graines de pavot</t>
  </si>
  <si>
    <t>graine de sesame</t>
  </si>
  <si>
    <t>grande ortie</t>
  </si>
  <si>
    <t>https://thesdirect.com/products/ortie-piquante-partie-aerienne-poudre-bio-origine-france?_pos=3&amp;_sid=da77c7ad6&amp;_ss=r</t>
  </si>
  <si>
    <t>guimauve feuille</t>
  </si>
  <si>
    <t>guimauve fleur</t>
  </si>
  <si>
    <t>guimauve racine</t>
  </si>
  <si>
    <t>harpagophytum procumbens</t>
  </si>
  <si>
    <t>https://thesdirect.com/products/harpagophytum-racine-coupee-bio?variant=46723154116950&amp;utm_medium=paidsearch&amp;utm_source=google&amp;utm_campaign=FR-PMC-Global&amp;utm_term=&amp;utm_content=&amp;gad_source=1</t>
  </si>
  <si>
    <t>helichryse</t>
  </si>
  <si>
    <t>https://www.etsy.com/fr/listing/897347569/tisane-en-vrac-helichrysum-immortelle</t>
  </si>
  <si>
    <t>hemerocalle</t>
  </si>
  <si>
    <t>hibiscus</t>
  </si>
  <si>
    <t>huile d'olive</t>
  </si>
  <si>
    <t>huile de sesame grille</t>
  </si>
  <si>
    <t>huile de tournesol</t>
  </si>
  <si>
    <t>jaggery</t>
  </si>
  <si>
    <t>kala namak</t>
  </si>
  <si>
    <t>https://www.etsy.com/fr/listing/1231751144/100-indien-pur-sel-de-roche-noir-kala?gpla=1&amp;gao=1&amp;variation0=2788066596</t>
  </si>
  <si>
    <t>agastache</t>
  </si>
  <si>
    <t>pensee</t>
  </si>
  <si>
    <t>lavande</t>
  </si>
  <si>
    <t>https://thesdirect.com/products/lavandin-fleur-entiere-bio-origine-france?variant=46723154575702</t>
  </si>
  <si>
    <t>lilas</t>
  </si>
  <si>
    <t>macie</t>
  </si>
  <si>
    <t>marjolaine</t>
  </si>
  <si>
    <t>piments rouge - THUNDER MOUNTAIN LONGHORN</t>
  </si>
  <si>
    <t>mauve</t>
  </si>
  <si>
    <t>melilot</t>
  </si>
  <si>
    <t>menthe verte</t>
  </si>
  <si>
    <t>miel</t>
  </si>
  <si>
    <t>https://www.lepanieraveyronnais.fr/produit/miel-de-aveyron-toutes-fleurs-bio-agriculuture-biologique-apiculteurs-sebastien-cahors-cecilia-quiles/</t>
  </si>
  <si>
    <t>monarde</t>
  </si>
  <si>
    <t>muscade</t>
  </si>
  <si>
    <t>https://chabiothe.fr/epices/11-108-noix-de-muscade-bio?gad_source=1&amp;gclid=CjwKCAjw48-vBhBbEiwAzqrZVIDiHRyEYOLEv7zwECQJBrRz_RDYXdzUfmqQOWuHk72OVsZxTlXrGRoCBlIQAvD_BwE#/40-conditionnement-1_kg</t>
  </si>
  <si>
    <t>noisette</t>
  </si>
  <si>
    <t>https://www.pourdebon.com/noisettes-bio-5kg-p58530?gad_source=1&amp;gclid=CjwKCAjw48-vBhBbEiwAzqrZVLBFRH2sEQGOgpk-ci3ll-Pbnny5nNHuYSSzms4cv1ZL5X6k27hb6xoCu-MQAvD_BwE</t>
  </si>
  <si>
    <t>nuoc-mâm</t>
  </si>
  <si>
    <t>https://www.autourduriz.com/sauces-asiatiques-bio/423-sauce-nuoc-mam-bio-veggie-3760275575203.html</t>
  </si>
  <si>
    <t>oeillet d’Inde</t>
  </si>
  <si>
    <t>oignon</t>
  </si>
  <si>
    <t>origan</t>
  </si>
  <si>
    <t>https://thesdirect.com/products/origan-vert-feuille-entiere-bio-origine-france?_pos=1&amp;_sid=92a128b15&amp;_ss=r</t>
  </si>
  <si>
    <t>piment doux rouge</t>
  </si>
  <si>
    <t>pelargonium geranium</t>
  </si>
  <si>
    <t>persil</t>
  </si>
  <si>
    <t>petale de rose</t>
  </si>
  <si>
    <t>piment ancho</t>
  </si>
  <si>
    <t>https://www.capsicums.fr/piments/piment-mexicain-ancho-entier/</t>
  </si>
  <si>
    <t>piment de cayenne jaune</t>
  </si>
  <si>
    <t>piment de cayenne rouge</t>
  </si>
  <si>
    <t>Flash Poivrons VD - Chambre d'agriculture - Occitanie</t>
  </si>
  <si>
    <t>piment habanero violet</t>
  </si>
  <si>
    <t>Chambre d'agriculture - Occitanie</t>
  </si>
  <si>
    <t>piment jalapeno vert</t>
  </si>
  <si>
    <t>https://occitanie.chambre-agriculture.fr › Documents</t>
  </si>
  <si>
    <t>piment œil d'oiseau</t>
  </si>
  <si>
    <t>piment violet fort - Purple Delight</t>
  </si>
  <si>
    <t>piments kashmiri</t>
  </si>
  <si>
    <t>piments verts</t>
  </si>
  <si>
    <t>poivre blanc</t>
  </si>
  <si>
    <t>poivre de Jamaïque</t>
  </si>
  <si>
    <t>poivre de sichuan</t>
  </si>
  <si>
    <t>poivre de timut</t>
  </si>
  <si>
    <t>poivre des moines</t>
  </si>
  <si>
    <t>poivre noir</t>
  </si>
  <si>
    <t>https://thesdirect.com/products/poivre-noir-graine-entiere-bio?variant=28363204821069&amp;utm_medium=paidsearch&amp;utm_source=google&amp;utm_campaign=FR-PMC-Global&amp;utm_term=&amp;utm_content=&amp;gad_source=1&amp;gclid=CjwKCAjw48-vBhBbEiwAzqrZVBRJXNmJzQihjD3OQd4hOvQKPDGNn8BgdGDA3ds7bT5W8Nltvwr2OBoCJmEQAvD_BwE</t>
  </si>
  <si>
    <t>quatre epices</t>
  </si>
  <si>
    <t>romarin</t>
  </si>
  <si>
    <t>rose</t>
  </si>
  <si>
    <t>safran</t>
  </si>
  <si>
    <t>sarriette</t>
  </si>
  <si>
    <t>sauce soja</t>
  </si>
  <si>
    <t>https://www.autourduriz.com/sauces-asiatiques-vrac/332-shoyu-sauce-soja-5-l-3760275573025.html</t>
  </si>
  <si>
    <t>sauge</t>
  </si>
  <si>
    <t>-</t>
  </si>
  <si>
    <t>sel</t>
  </si>
  <si>
    <t>https://www.pourdebon.com/gros-sel-nature-5kg-p51630?utm_source=Twenga&amp;utm_medium=cpc&amp;utm_content=ggshopping-twenga&amp;utm_campaign=twenga&amp;gad_source=1</t>
  </si>
  <si>
    <t>graines de sesame</t>
  </si>
  <si>
    <t>souci</t>
  </si>
  <si>
    <t>https://www.svpnegoce.com/catalogue/sucre-conventionnel-biologique/sucres-biologiques/sucre-de-betterave-bio-origine-allemagne</t>
  </si>
  <si>
    <t>sucre de palme</t>
  </si>
  <si>
    <t>https://www.apiculture.net/sirop/7606-palette-sucre-de-canne-biologique-1080kg-alimentaire-54x20kg.html?kk=a4c626f-18e411b23ef-a3fee&amp;kgclid=CjwKCAjw48-vBhBbEiwAzqrZVI_0Pn7Eoe7X5_JvZvbTWxkK5E4ji2yIrkTdaQkY6n_lq79bD6I5HBoCb08QAvD_BwE&amp;utm_source=kelkoofr&amp;utm_medium=cpc&amp;utm_campaign=kelkooclick&amp;utm_term=Apiculture.net+-+Mat%C3%A9riel+apicole+fran%C3%A7a</t>
  </si>
  <si>
    <t>sumac</t>
  </si>
  <si>
    <t>sureau</t>
  </si>
  <si>
    <t>thym</t>
  </si>
  <si>
    <t>timut</t>
  </si>
  <si>
    <t>vinaigre de cidre</t>
  </si>
  <si>
    <t>https://comptoirdesplantes.com/matieres-brutes/161-vinaigre-de-cidre-BIO.html?pmax=shopping-2023-02-28&amp;gad_source=1&amp;gclid=Cj0KCQjwwMqvBhCtARIsAIXsZpY-rKsu7uA7WfCELHvTXY7hIuhneuKw5g-KKkqVqjC5BMGHdPHCyBIaAlDjEALw_wcB</t>
  </si>
  <si>
    <t>zeste d’orange seche</t>
  </si>
  <si>
    <t>estragon</t>
  </si>
  <si>
    <t>cornichon</t>
  </si>
  <si>
    <t>oignon rocambole</t>
  </si>
  <si>
    <t>choux</t>
  </si>
  <si>
    <t>feuille d'algue nori séchée</t>
  </si>
  <si>
    <t>églantier</t>
  </si>
  <si>
    <t>cassis</t>
  </si>
  <si>
    <t>fenouil</t>
  </si>
  <si>
    <t>mélisse</t>
  </si>
  <si>
    <t>verveine citronnelle</t>
  </si>
  <si>
    <t>Proportion</t>
  </si>
  <si>
    <t>fraction mélange</t>
  </si>
  <si>
    <t>Total proportion</t>
  </si>
  <si>
    <t>Prix pour kg de mélange</t>
  </si>
  <si>
    <t>Pays</t>
  </si>
  <si>
    <t>Type</t>
  </si>
  <si>
    <t>kg / année 1</t>
  </si>
  <si>
    <t>kg / année 2</t>
  </si>
  <si>
    <t>kg / année 3</t>
  </si>
  <si>
    <t>kg / année 4</t>
  </si>
  <si>
    <t>kg / année 5</t>
  </si>
  <si>
    <t>kg / année 6</t>
  </si>
  <si>
    <t>kg / année 7</t>
  </si>
  <si>
    <t>kg / année 8</t>
  </si>
  <si>
    <t>kg / année 9</t>
  </si>
  <si>
    <t>Pétale De Rose</t>
  </si>
  <si>
    <t>Syrie</t>
  </si>
  <si>
    <t>SEC</t>
  </si>
  <si>
    <t>Graine De Cardamome</t>
  </si>
  <si>
    <t>Graine De Cumin</t>
  </si>
  <si>
    <t>Cannelle Moulue</t>
  </si>
  <si>
    <t>Gingembre Sec</t>
  </si>
  <si>
    <t>Ail Sec</t>
  </si>
  <si>
    <t>Turquie</t>
  </si>
  <si>
    <t>Poivre Noir</t>
  </si>
  <si>
    <t>Quatre Épices</t>
  </si>
  <si>
    <t>Clous De Girofle</t>
  </si>
  <si>
    <t>Coriandre Graine</t>
  </si>
  <si>
    <t>Cumin Moulu</t>
  </si>
  <si>
    <t>Muscade</t>
  </si>
  <si>
    <t>Liban</t>
  </si>
  <si>
    <t>en huile</t>
  </si>
  <si>
    <t>Cannelle</t>
  </si>
  <si>
    <t>Menthe Verte Séchée</t>
  </si>
  <si>
    <t>Graine De Carvi</t>
  </si>
  <si>
    <t>Carvi Moule</t>
  </si>
  <si>
    <t>Amchur</t>
  </si>
  <si>
    <t>Iran</t>
  </si>
  <si>
    <t>Asafoetida</t>
  </si>
  <si>
    <t>Kala Namak</t>
  </si>
  <si>
    <t>Sel</t>
  </si>
  <si>
    <t>Choux</t>
  </si>
  <si>
    <t>Poivre Des Moines</t>
  </si>
  <si>
    <t>Curcuma Moulu</t>
  </si>
  <si>
    <t>Graine De Moutarde</t>
  </si>
  <si>
    <t>Graine De Fenugrec</t>
  </si>
  <si>
    <t>Graine De Fenouil</t>
  </si>
  <si>
    <t>Anis Étoilé</t>
  </si>
  <si>
    <t>Piment Doux Rouge En Poudre</t>
  </si>
  <si>
    <t>Irak</t>
  </si>
  <si>
    <t>Égypte</t>
  </si>
  <si>
    <t>Coriandre Moulue</t>
  </si>
  <si>
    <t>Paprika Fumé</t>
  </si>
  <si>
    <t>Chenpi (Peau De Mandarine Séchée)</t>
  </si>
  <si>
    <t>Fenugrec</t>
  </si>
  <si>
    <t>Piment De Cayenne Rouge SEC</t>
  </si>
  <si>
    <t>Sauge</t>
  </si>
  <si>
    <t>Thym</t>
  </si>
  <si>
    <t>Feuilles De Laurier</t>
  </si>
  <si>
    <t>Péninsule arabique</t>
  </si>
  <si>
    <t>Maghreb</t>
  </si>
  <si>
    <t>Oignon Séché</t>
  </si>
  <si>
    <t>Piment Œil D'Oiseau</t>
  </si>
  <si>
    <t>Noisette Entière</t>
  </si>
  <si>
    <t>Amande Douce</t>
  </si>
  <si>
    <t>Afrique australe</t>
  </si>
  <si>
    <t>Inde du nord</t>
  </si>
  <si>
    <t>Piment De Cayenne Jaune</t>
  </si>
  <si>
    <t>Origan</t>
  </si>
  <si>
    <t>Persil</t>
  </si>
  <si>
    <t>Céleri En Poudre</t>
  </si>
  <si>
    <t>Feuille De 4 Épices</t>
  </si>
  <si>
    <t>Poivre De Jamaïque</t>
  </si>
  <si>
    <t>Piments Rouge Séchés</t>
  </si>
  <si>
    <t>Piment De Cayenne Jaune SEC</t>
  </si>
  <si>
    <t>Muscade Moulue</t>
  </si>
  <si>
    <t>Casse Concassée</t>
  </si>
  <si>
    <t>Cumin Noir</t>
  </si>
  <si>
    <t>Ceinture himalayenne</t>
  </si>
  <si>
    <t>Macie</t>
  </si>
  <si>
    <t>Inde centrale</t>
  </si>
  <si>
    <t>Bâton De Cannelle</t>
  </si>
  <si>
    <t>Inde de l'est et Bangladesh</t>
  </si>
  <si>
    <t>Graines De Sésame</t>
  </si>
  <si>
    <t>Ail</t>
  </si>
  <si>
    <t>Jus De Citron Jaune</t>
  </si>
  <si>
    <t>Huile D'Olive</t>
  </si>
  <si>
    <t>Romarin</t>
  </si>
  <si>
    <t>Sarriette</t>
  </si>
  <si>
    <t>Basilic SEC</t>
  </si>
  <si>
    <t>Gaultheria Procumbens</t>
  </si>
  <si>
    <t>Harpagophytum Procumbens</t>
  </si>
  <si>
    <t>Grande Ortie</t>
  </si>
  <si>
    <t>Lavande</t>
  </si>
  <si>
    <t>Hélichryse</t>
  </si>
  <si>
    <t>Huile De Tournesol</t>
  </si>
  <si>
    <t>Masera De Piment</t>
  </si>
  <si>
    <t>Cassonade</t>
  </si>
  <si>
    <t>Tomate Rouge</t>
  </si>
  <si>
    <t>Poivre De Timut</t>
  </si>
  <si>
    <t>Oignon</t>
  </si>
  <si>
    <t>Vinaigre De Cidre</t>
  </si>
  <si>
    <t>Figue</t>
  </si>
  <si>
    <t>Eau</t>
  </si>
  <si>
    <t>Estragon</t>
  </si>
  <si>
    <t>Gousse D'Ail</t>
  </si>
  <si>
    <t>Sucre De Palme</t>
  </si>
  <si>
    <t>Citron Vert</t>
  </si>
  <si>
    <t>Nuoc-Mâm</t>
  </si>
  <si>
    <t>Graine De Nigelle</t>
  </si>
  <si>
    <t>Piments Kashmiri Séchés Entier</t>
  </si>
  <si>
    <t>Graine De Moutarde Noire</t>
  </si>
  <si>
    <t>Jaggery</t>
  </si>
  <si>
    <t>Poivre Blanc</t>
  </si>
  <si>
    <t>Sumac</t>
  </si>
  <si>
    <t>Feuille D'Algue Nori Séchée</t>
  </si>
  <si>
    <t>Graines De Pavot</t>
  </si>
  <si>
    <t>Poivre De Sichuan</t>
  </si>
  <si>
    <t>Sucre Blanc</t>
  </si>
  <si>
    <t>Monarde SEC</t>
  </si>
  <si>
    <t>Mauve SEC</t>
  </si>
  <si>
    <t>Pelargonium (Géranium)</t>
  </si>
  <si>
    <t>Basilic Thaï</t>
  </si>
  <si>
    <t>Citron Jaune</t>
  </si>
  <si>
    <t>Menthe Verte</t>
  </si>
  <si>
    <t>Piments Rouge</t>
  </si>
  <si>
    <t>Piment Ancho</t>
  </si>
  <si>
    <t>Concentré De Tomate</t>
  </si>
  <si>
    <t>Huile De Sesame Grillé</t>
  </si>
  <si>
    <t>Sauce Soja</t>
  </si>
  <si>
    <t>Miel</t>
  </si>
  <si>
    <t>Aneth SEC</t>
  </si>
  <si>
    <t>Marjolaine</t>
  </si>
  <si>
    <t>Hibiscus</t>
  </si>
  <si>
    <t>Sureau SEC</t>
  </si>
  <si>
    <t>Camomille Romaine SEC</t>
  </si>
  <si>
    <t>Bleuet SEC</t>
  </si>
  <si>
    <t>La Pensée SEC</t>
  </si>
  <si>
    <t>Fleur Helichrysum SEC</t>
  </si>
  <si>
    <t>Souci SEC (Calendula Officinalis)</t>
  </si>
  <si>
    <t>Rose SEC</t>
  </si>
  <si>
    <t>Pelargonium SEC (Géranium)</t>
  </si>
  <si>
    <t>Lavande SEC</t>
  </si>
  <si>
    <t>Oeillet D’Inde SEC</t>
  </si>
  <si>
    <t>L'Agastache SEC</t>
  </si>
  <si>
    <t>Rose</t>
  </si>
  <si>
    <t>Cacahuètes Grillées</t>
  </si>
  <si>
    <t>Bouillon Poulet</t>
  </si>
  <si>
    <t>Piment Jalapeno Vert</t>
  </si>
  <si>
    <t>Piment Habanero Violet</t>
  </si>
  <si>
    <t>Piment Violet Fort - Purple Delight</t>
  </si>
  <si>
    <t>Safran</t>
  </si>
  <si>
    <t>Coriandre Feuille</t>
  </si>
  <si>
    <t>Feuilles De Curry</t>
  </si>
  <si>
    <t>Piments Verts</t>
  </si>
  <si>
    <t>Aveyron</t>
  </si>
  <si>
    <t>Thym SEC</t>
  </si>
  <si>
    <t>Romarin SEC</t>
  </si>
  <si>
    <t>Sarriette SEC</t>
  </si>
  <si>
    <t>Églantier SEC</t>
  </si>
  <si>
    <t>Sauge SEC</t>
  </si>
  <si>
    <t>Cassis SEC</t>
  </si>
  <si>
    <t>Menthe Verte SEC</t>
  </si>
  <si>
    <t>Fenouil Graine</t>
  </si>
  <si>
    <t>Mélisse SEC</t>
  </si>
  <si>
    <t>Verveine Citronnelle SEC</t>
  </si>
  <si>
    <t>Besoins matières — issus des objectifs Produit N1–N3 (Recettes)</t>
  </si>
  <si>
    <t>kg = unités × poids/unité × fraction recette. Pour plantes sèches : kg frais ≈ kg sec × ratio séchage. Eau/sel/sucre exclus des surfaces.</t>
  </si>
  <si>
    <t>Espèce / matière</t>
  </si>
  <si>
    <t>Espace</t>
  </si>
  <si>
    <t>Source An1-3</t>
  </si>
  <si>
    <t>Ingrédients recette</t>
  </si>
  <si>
    <t>kg sec N1</t>
  </si>
  <si>
    <t>kg frais N1</t>
  </si>
  <si>
    <t>kg sec N2</t>
  </si>
  <si>
    <t>kg frais N2</t>
  </si>
  <si>
    <t>kg sec N3</t>
  </si>
  <si>
    <t>kg frais N3</t>
  </si>
  <si>
    <t>m² indicatifs N3*</t>
  </si>
  <si>
    <t>Notes</t>
  </si>
  <si>
    <t>Chou (choucroute)</t>
  </si>
  <si>
    <t>Maraîchage</t>
  </si>
  <si>
    <t>ferme An1</t>
  </si>
  <si>
    <t>Frais — pas de séchage ; gros volume</t>
  </si>
  <si>
    <t>Moutarde (graine)</t>
  </si>
  <si>
    <t>Grande culture</t>
  </si>
  <si>
    <t>Annuelle — semis printemps</t>
  </si>
  <si>
    <t>Piment doux (paprika)</t>
  </si>
  <si>
    <t>Tunnel</t>
  </si>
  <si>
    <t>Paprika, Paprika Fumé, Piment Doux Rouge En Poudre</t>
  </si>
  <si>
    <t>Même culture + fumage</t>
  </si>
  <si>
    <t>Cumin</t>
  </si>
  <si>
    <t>Cumin Moulu, Graine De Cumin</t>
  </si>
  <si>
    <t>Annuelle — semis fragile, expérimental</t>
  </si>
  <si>
    <t>Ail, Ail Sec</t>
  </si>
  <si>
    <t>Bulbes — plantation automne, récolte été ; puis séchage/semoule</t>
  </si>
  <si>
    <t>Drainé PPAM</t>
  </si>
  <si>
    <t>achat An1 / plante An3</t>
  </si>
  <si>
    <t>Plantation An3 — acheter An1-2</t>
  </si>
  <si>
    <t>ferme+achat An1</t>
  </si>
  <si>
    <t>Thym, Thym SEC</t>
  </si>
  <si>
    <t>Idem</t>
  </si>
  <si>
    <t>Carvi</t>
  </si>
  <si>
    <t>ferme An1-2</t>
  </si>
  <si>
    <t>Bisannuelle — semis An1, récolte An2</t>
  </si>
  <si>
    <t>achat An1 / plante An2</t>
  </si>
  <si>
    <t>Romarin, Romarin SEC</t>
  </si>
  <si>
    <t>Sarriette, Sarriette SEC</t>
  </si>
  <si>
    <t>Menthe</t>
  </si>
  <si>
    <t>Espace frais / Maraîchage</t>
  </si>
  <si>
    <t>Menthe Verte, Menthe Verte SEC</t>
  </si>
  <si>
    <t>achat An1-4</t>
  </si>
  <si>
    <t>Arbuste — An5</t>
  </si>
  <si>
    <t>Sésame</t>
  </si>
  <si>
    <t>Tunnel / GC</t>
  </si>
  <si>
    <t>achat+essai</t>
  </si>
  <si>
    <t>Difficile en Aveyron</t>
  </si>
  <si>
    <t>achat+essai An1</t>
  </si>
  <si>
    <t>Rhizome tunnel — rendement limité An1</t>
  </si>
  <si>
    <t>Maraîchage / Tunnel</t>
  </si>
  <si>
    <t>Vivace — plants</t>
  </si>
  <si>
    <t>Coriandre</t>
  </si>
  <si>
    <t>Grande culture / Maraîchage</t>
  </si>
  <si>
    <t>Annuelle</t>
  </si>
  <si>
    <t>Rhizome tunnel</t>
  </si>
  <si>
    <t>Basilic</t>
  </si>
  <si>
    <t>Annuelle tunnel — plusieurs successions</t>
  </si>
  <si>
    <t>Gattilier</t>
  </si>
  <si>
    <t>achat An1-3</t>
  </si>
  <si>
    <t>Arbuste — baies An4+</t>
  </si>
  <si>
    <t>Combava / citron</t>
  </si>
  <si>
    <t>Serre semis / Pot</t>
  </si>
  <si>
    <t>achat+pot</t>
  </si>
  <si>
    <t>Agrumes en pot orangerie</t>
  </si>
  <si>
    <t>Piment fort</t>
  </si>
  <si>
    <t>Monarde</t>
  </si>
  <si>
    <t>Grande culture / Frais</t>
  </si>
  <si>
    <t>Fleurs</t>
  </si>
  <si>
    <t>Bleuet</t>
  </si>
  <si>
    <t>Espace frais / Haie</t>
  </si>
  <si>
    <t>ferme An2+</t>
  </si>
  <si>
    <t>Rose, Rose SEC</t>
  </si>
  <si>
    <t>Haie / rosier — long terme</t>
  </si>
  <si>
    <t>Pélargonium</t>
  </si>
  <si>
    <t>Tunnel / Pot</t>
  </si>
  <si>
    <t>Pots / tunnel</t>
  </si>
  <si>
    <t>Sureau</t>
  </si>
  <si>
    <t>Espace frais</t>
  </si>
  <si>
    <t>Arbuste — fleurs An2+</t>
  </si>
  <si>
    <t>Camomille</t>
  </si>
  <si>
    <t>Souci</t>
  </si>
  <si>
    <t>Pensée</t>
  </si>
  <si>
    <t>Œillet d'Inde</t>
  </si>
  <si>
    <t>Mauve</t>
  </si>
  <si>
    <t>Agastache</t>
  </si>
  <si>
    <t>À classer</t>
  </si>
  <si>
    <t>achat?</t>
  </si>
  <si>
    <t>À rattacher manuellement</t>
  </si>
  <si>
    <t>Églantier</t>
  </si>
  <si>
    <t>Haie / Frais</t>
  </si>
  <si>
    <t>cueillette+plante An2</t>
  </si>
  <si>
    <t>Cynorrhodon — haie</t>
  </si>
  <si>
    <t>Fenouil</t>
  </si>
  <si>
    <t>Verveine citronnelle</t>
  </si>
  <si>
    <t>Hiverner hors gel</t>
  </si>
  <si>
    <t>Mélisse</t>
  </si>
  <si>
    <t>ferme An2</t>
  </si>
  <si>
    <t>Plantation An2</t>
  </si>
  <si>
    <t>Basilic thaï</t>
  </si>
  <si>
    <t>Cassis</t>
  </si>
  <si>
    <t>Buissons</t>
  </si>
  <si>
    <t>Site</t>
  </si>
  <si>
    <t>site</t>
  </si>
  <si>
    <t>Eau du site — hors surface culture</t>
  </si>
  <si>
    <t>Achat</t>
  </si>
  <si>
    <t>achat</t>
  </si>
  <si>
    <t>Import</t>
  </si>
  <si>
    <t>Import — non cultivable</t>
  </si>
  <si>
    <t>Achat / transform</t>
  </si>
  <si>
    <t>achat An1</t>
  </si>
  <si>
    <t>Achat An1 ; production possible plus tard</t>
  </si>
  <si>
    <t>Non cultivable 🔴</t>
  </si>
  <si>
    <t>* m² N3 = kg sec N3 / rendement indicatif (kg sec/ha) × 10 000 — ordre de grandeur, pas un plan parcellaire.</t>
  </si>
  <si>
    <t>Vert = besoin dès An1 (ferme). Orange = achat / non cultivable.</t>
  </si>
  <si>
    <t>Planning culture An 1–3 — calé 15 refs labo + montée progressive</t>
  </si>
  <si>
    <t>Surfaces An1 = 0,5 ha drainé + tunnel + maraîchage + grande culture. Objectif : couvrir au max les besoins verts (Besoins plantes), le reste en achat BIO temporaire.</t>
  </si>
  <si>
    <t>Espèce</t>
  </si>
  <si>
    <t>An plantation</t>
  </si>
  <si>
    <t>Surface An1 (m²)</t>
  </si>
  <si>
    <t>Surface An2 (m²)</t>
  </si>
  <si>
    <t>Surface An3 (m²)</t>
  </si>
  <si>
    <t>Densité (pl/ha ou note)</t>
  </si>
  <si>
    <t>Semis / plantation</t>
  </si>
  <si>
    <t>Récolte</t>
  </si>
  <si>
    <t>kg sec cible N1</t>
  </si>
  <si>
    <t>kg sec cible N3</t>
  </si>
  <si>
    <t>Priorité labo</t>
  </si>
  <si>
    <t>Vivace</t>
  </si>
  <si>
    <t>2 000 pl/ha</t>
  </si>
  <si>
    <t>Mars–avr (plants) / boutures</t>
  </si>
  <si>
    <t>Juin–juil (+sept)</t>
  </si>
  <si>
    <t>P1 — HdP, zaatar, sel, tisane</t>
  </si>
  <si>
    <t>Socle An1 — 0,15 ha</t>
  </si>
  <si>
    <t>1 500 pl/ha</t>
  </si>
  <si>
    <t>Mars–avr plants</t>
  </si>
  <si>
    <t>Juill–août (fleurs An2+)</t>
  </si>
  <si>
    <t>P2 — sucre fleurs</t>
  </si>
  <si>
    <t>0,2 ha An1 — peu de récolte An1</t>
  </si>
  <si>
    <t>Avr plants</t>
  </si>
  <si>
    <t>Juil–août fleurs</t>
  </si>
  <si>
    <t>P2 — sucre / vinaigre</t>
  </si>
  <si>
    <t>0,1 ha An1</t>
  </si>
  <si>
    <t>1 200 pl/ha</t>
  </si>
  <si>
    <t>Mars plants</t>
  </si>
  <si>
    <t>Juin–sept</t>
  </si>
  <si>
    <t>P1 — HdP</t>
  </si>
  <si>
    <t>Acheter sec An1</t>
  </si>
  <si>
    <t>Juil–août</t>
  </si>
  <si>
    <t>P1 — HdP, viandes</t>
  </si>
  <si>
    <t>Acheter An1-2</t>
  </si>
  <si>
    <t>Juin–juil</t>
  </si>
  <si>
    <t>P2 — tisane hiver</t>
  </si>
  <si>
    <t>Semis dense</t>
  </si>
  <si>
    <t>Mars–avr semis</t>
  </si>
  <si>
    <t>Juil–août graines</t>
  </si>
  <si>
    <t>P1 — moutardes</t>
  </si>
  <si>
    <t>~0,2–0,3 ha</t>
  </si>
  <si>
    <t>Semis</t>
  </si>
  <si>
    <t>Avr semis</t>
  </si>
  <si>
    <t>Août–sept</t>
  </si>
  <si>
    <t>P1 — cumin g/m</t>
  </si>
  <si>
    <t>Culture délicate — filets oiseaux</t>
  </si>
  <si>
    <t>Bisannuelle</t>
  </si>
  <si>
    <t>Mai–juin An1</t>
  </si>
  <si>
    <t>Juil An2 graines</t>
  </si>
  <si>
    <t>P1 — carvi</t>
  </si>
  <si>
    <t>Semis An1 → récolte An2</t>
  </si>
  <si>
    <t>Mars–sept successions</t>
  </si>
  <si>
    <t>Juin–oct graines</t>
  </si>
  <si>
    <t>P2 — curry</t>
  </si>
  <si>
    <t>Avr</t>
  </si>
  <si>
    <t>P2 — curry Madras</t>
  </si>
  <si>
    <t>Annuelle/bis.</t>
  </si>
  <si>
    <t>Sept–oct graines</t>
  </si>
  <si>
    <t>P2 — tisane dig.</t>
  </si>
  <si>
    <t>An2+ tisanes</t>
  </si>
  <si>
    <t>Mars–avr</t>
  </si>
  <si>
    <t>Juin–juil fleurs</t>
  </si>
  <si>
    <t>P2 — sucre/tisane</t>
  </si>
  <si>
    <t>Mars–juin</t>
  </si>
  <si>
    <t>Juin–oct fleurs</t>
  </si>
  <si>
    <t>P3 — sucre</t>
  </si>
  <si>
    <t>Bulbe</t>
  </si>
  <si>
    <t>Plant. densité potagère</t>
  </si>
  <si>
    <t>Oct–nov plantation</t>
  </si>
  <si>
    <t>P1 — ail semoule</t>
  </si>
  <si>
    <t>Puis séchage + broyage</t>
  </si>
  <si>
    <t>Chou cabus</t>
  </si>
  <si>
    <t>Espac. 50×50</t>
  </si>
  <si>
    <t>Mai–juin plants</t>
  </si>
  <si>
    <t>Sept–nov</t>
  </si>
  <si>
    <t>P1 — choucroute</t>
  </si>
  <si>
    <t>Volume frais ! ~0,03–0,05 ha</t>
  </si>
  <si>
    <t>Plants</t>
  </si>
  <si>
    <t>P1 — moutarde estragon</t>
  </si>
  <si>
    <t>Stolons / bac</t>
  </si>
  <si>
    <t>Mai–sept (plusieurs coupes)</t>
  </si>
  <si>
    <t>P1 — sirop menthe</t>
  </si>
  <si>
    <t>Contenir (bac/bordure)</t>
  </si>
  <si>
    <t>Arbuste</t>
  </si>
  <si>
    <t>5–10 sujets</t>
  </si>
  <si>
    <t>Nov–mars plants</t>
  </si>
  <si>
    <t>Mai–juin fleurs (An2+)</t>
  </si>
  <si>
    <t>P2 — tisane/vinaigre</t>
  </si>
  <si>
    <t>Planter An1, fleurs An2+</t>
  </si>
  <si>
    <t>Piment doux paprika</t>
  </si>
  <si>
    <t>2–3 pl/m²</t>
  </si>
  <si>
    <t>Mars semis chauffé → mai tunnel</t>
  </si>
  <si>
    <t>Août–oct</t>
  </si>
  <si>
    <t>P1 — paprika / fumé</t>
  </si>
  <si>
    <t>Sécher + fumer une part</t>
  </si>
  <si>
    <t>Basilic / basilic thaï</t>
  </si>
  <si>
    <t>Successions</t>
  </si>
  <si>
    <t>Mars–août semis</t>
  </si>
  <si>
    <t>Mai–oct</t>
  </si>
  <si>
    <t>P2 — sirop basilic An2</t>
  </si>
  <si>
    <t>Mars→mai</t>
  </si>
  <si>
    <t>P3 — curry</t>
  </si>
  <si>
    <t>Rhizome</t>
  </si>
  <si>
    <t>Bacs</t>
  </si>
  <si>
    <t>Mars rhizomes</t>
  </si>
  <si>
    <t>Oct–nov</t>
  </si>
  <si>
    <t>P2 — achat+essai</t>
  </si>
  <si>
    <t>Compléter par achat</t>
  </si>
  <si>
    <t>Vivace gélive</t>
  </si>
  <si>
    <t>Pots</t>
  </si>
  <si>
    <t>P2 — tisane</t>
  </si>
  <si>
    <t>Rentrer l'hiver</t>
  </si>
  <si>
    <t>TOTAL surfaces culture (m²)</t>
  </si>
  <si>
    <t>Dont Drainé PPAM cible vault : 5 000 m² An1 → 10 000 An2 → 15 000 An3 (0,5 ha/an).</t>
  </si>
  <si>
    <t>Légende priorités : P1 = 15 refs An1 · P2 = montée An2 · P3 = variété An3+</t>
  </si>
  <si>
    <t>Vert = surface An1 · Jaune = An2 · Bleu = An3</t>
  </si>
  <si>
    <t>Calendrier cultural mensuel (An 1 type — Aveyron)</t>
  </si>
  <si>
    <t>S = semis · P = plantation/plants · R = récolte · T = travaux (taille, paillage, faux-semis) · D = séchage. Adapter selon météo.</t>
  </si>
  <si>
    <t>Jan</t>
  </si>
  <si>
    <t>Fév</t>
  </si>
  <si>
    <t>Mar</t>
  </si>
  <si>
    <t>Mai</t>
  </si>
  <si>
    <t>Juin</t>
  </si>
  <si>
    <t>Juil</t>
  </si>
  <si>
    <t>Août</t>
  </si>
  <si>
    <t>Sept</t>
  </si>
  <si>
    <t>Oct</t>
  </si>
  <si>
    <t>Nov</t>
  </si>
  <si>
    <t>Déc</t>
  </si>
  <si>
    <t>Drainé</t>
  </si>
  <si>
    <t>P</t>
  </si>
  <si>
    <t>P/T</t>
  </si>
  <si>
    <t>R</t>
  </si>
  <si>
    <t>R/D</t>
  </si>
  <si>
    <t>T</t>
  </si>
  <si>
    <t>P*</t>
  </si>
  <si>
    <t>P**</t>
  </si>
  <si>
    <t>Moutarde graine</t>
  </si>
  <si>
    <t>GC</t>
  </si>
  <si>
    <t>S</t>
  </si>
  <si>
    <t>R†</t>
  </si>
  <si>
    <t>R†/D</t>
  </si>
  <si>
    <t>S/R</t>
  </si>
  <si>
    <t>Maraîch.</t>
  </si>
  <si>
    <t>D</t>
  </si>
  <si>
    <t>Chou choucroute</t>
  </si>
  <si>
    <t>S/P</t>
  </si>
  <si>
    <t>Frais</t>
  </si>
  <si>
    <t>R‡</t>
  </si>
  <si>
    <t>R‡/D</t>
  </si>
  <si>
    <t>Piment paprika</t>
  </si>
  <si>
    <t>S°</t>
  </si>
  <si>
    <t>Gingembre/Curcuma</t>
  </si>
  <si>
    <t>Camomille / Souci / Bleuet</t>
  </si>
  <si>
    <t>Faux-semis / BRF / Keyline</t>
  </si>
  <si>
    <t>Légende : S=semis · P=plantation · R=récolte · T=travaux · D=séchage · °=serre semis chauffée · *=An2 · **=An3 · †=récolte An2 (bisannuelle) · ‡=fleurs An2+</t>
  </si>
  <si>
    <t>Pic charge culture : juin–août (récolte + séchage). Pic labo : oct–mars (transformation) → compatible 1 UTH.</t>
  </si>
  <si>
    <t>Produit</t>
  </si>
  <si>
    <t>annee 1</t>
  </si>
  <si>
    <t>annee 2</t>
  </si>
  <si>
    <t>annee 3</t>
  </si>
  <si>
    <t>annee 4</t>
  </si>
  <si>
    <t>annee 5</t>
  </si>
  <si>
    <t>annee 6</t>
  </si>
  <si>
    <t>annee 7</t>
  </si>
  <si>
    <t>annee 8</t>
  </si>
  <si>
    <t>annee 9</t>
  </si>
  <si>
    <t>piments rouge - thunder mountain longhorn</t>
  </si>
  <si>
    <t>piment violet fort - purple delight</t>
  </si>
  <si>
    <t>feuilles de cannelier</t>
  </si>
  <si>
    <t>gaultheria procumbens leaf oil</t>
  </si>
  <si>
    <t>poivre de jamaïque</t>
  </si>
  <si>
    <t>fleure helichrysum</t>
  </si>
  <si>
    <t>oeillet d’inde</t>
  </si>
  <si>
    <t>Nom</t>
  </si>
  <si>
    <t>Bouchon</t>
  </si>
  <si>
    <t>Verre</t>
  </si>
  <si>
    <t>Total</t>
  </si>
  <si>
    <t>Contenance</t>
  </si>
  <si>
    <t>Lien bouchon</t>
  </si>
  <si>
    <t>Lien verre</t>
  </si>
  <si>
    <t>100ml</t>
  </si>
  <si>
    <t>https://www.bouteilles-et-bocaux.com/bouchon-pour-pot-a-epices-distributeur-plastique-pp-rouge-pour-col-gpi-38-400-100000230?referralCode=344f636f14874df59416c60d47218b06&amp;utm_medium=sea&amp;utm_source=google&amp;gad_source=1&amp;gclid=CjwKCAiAopuvBhBCEiwAm8jaMRvkyaCkj4LfwgUmeOXFwEVybp5GM9cMjo6i2XXHdi_SmUDOQN4bRRoCVVAQAvD_BwE</t>
  </si>
  <si>
    <t>https://www.packari.com/fr/Produits/Flacons-en-verre-col-large/Flacons-en-verre-brun-sans-fermeture/Flacon-comprim-s-en-verre-marron-col-large-100-ml-38-400-sans-bouchon.html</t>
  </si>
  <si>
    <t>200ml</t>
  </si>
  <si>
    <t>1000ml</t>
  </si>
  <si>
    <t>Moulin 100ml</t>
  </si>
  <si>
    <t>https://www.bouteilles-et-bocaux.com/bouchon-pour-pot-a-epices-moulin-plastique-pp-noir-pour-col-gpi-38-400-100000220</t>
  </si>
  <si>
    <t>Moutarde Pot en grès</t>
  </si>
  <si>
    <t>270ml</t>
  </si>
  <si>
    <t>https://www.bouteilles-et-bocaux.com/pot-en-gres-270-ml-ceramique-blanc-col-couvercle-cloche-100035660?referralCode=344f636f14874df59416c60d47218b06&amp;utm_medium=sea&amp;utm_source=google&amp;gad_source=1&amp;gclid=CjwKCAiAopuvBhBCEiwAm8jaMYLe7_a0mGr35npPhJKfVuzxK0lpcyfagab4K3pMzvBsxnSqC3GYDhoCgu0QAvD_BwE</t>
  </si>
  <si>
    <t>265ml</t>
  </si>
  <si>
    <t>https://www.bouteilles-et-bocaux.com/bocal-cylindrique-haut-212-ml-col-twist-off-to-53-100012480</t>
  </si>
  <si>
    <t>212ml</t>
  </si>
  <si>
    <t>https://www.bouteilles-et-bocaux.com/bouteille-en-verre-100-ml-tulipano-col-liege-100018170?referralCode=344f636f14874df59416c60d47218b06&amp;utm_medium=sea&amp;utm_source=google&amp;gad_source=1&amp;gclid=CjwKCAiAopuvBhBCEiwAm8jaMTskXVOIzZ5rIxKF0pqFc9jqHsHuFuUd6kJ7IRF1_elI1heMCZJ8WxoCAGwQAvD_BwE</t>
  </si>
  <si>
    <t>250ml</t>
  </si>
  <si>
    <t>https://www.bouteilles-et-bocaux.com/bouteille-de-vinaigre-d-huile-250-ml-oleum-verre-vert-antique-col-dop-100034870?referralCode=344f636f14874df59416c60d47218b06&amp;utm_medium=sea&amp;utm_source=google&amp;gad_source=1&amp;gclid=CjwKCAiAopuvBhBCEiwAm8jaMeaR3q1S8hCLAwRtq5MXdAumMc4tNe8kzahJPqJxkQvjUHB9PdyHrRoCIKIQAvD_BwE</t>
  </si>
  <si>
    <t>https://www.bizay.fr/sacs-en-papier?id=3797240&amp;wv=true&amp;shopptop=1&amp;campaignid=21040153090&amp;adgroupid=&amp;creative=&amp;keyword=&amp;matchtype=&amp;adposition=&amp;network=x&amp;placement=&amp;target=&amp;targetid=&amp;device=c&amp;year=&amp;week=&amp;gad_source=1&amp;gclid=CjwKCAiAopuvBhBCEiwAm8jaMQLoYxZEqGndCNvys5KAnCm0suw9ZL0j9D7sh_t5VTgRlogsrF3lkxoCxQcQAvD_BwE&amp;gclsrc=aw.ds&amp;abandonNC=1</t>
  </si>
  <si>
    <t>Recharge craft 250ml</t>
  </si>
  <si>
    <t>Recharge craft 500ml</t>
  </si>
  <si>
    <t>500ml</t>
  </si>
  <si>
    <t>2500ml</t>
  </si>
  <si>
    <t>https://www.bouteilles-et-bocaux.com/seau-2-5-l-plastique-pp-blanc-100015070?referralCode=344f636f14874df59416c60d47218b06&amp;configurator=%255B%257B%2522productId%2522%253A%25220nolid%2522%252C%2522groupId%2522%253A%25220%2522%257D%252C%257B%2522productId%2522%253A%25221nolid%2522%252C%2522groupId%2522%253A%25221%2522%257D%255D&amp;utm_medium=sea&amp;utm_source=google&amp;galt=Cj0KCQjwlZixBhCoARIsAIC745BA22oQIFzXcivfuWmhgVWGHKmhHv_wy2W8_eDHTHF86yHAjltRI4MaAmbVEALw_wcB&amp;gad_source=1&amp;gclid=Cj0KCQjwlZixBhCoARIsAIC745BA22oQIFzXcivfuWmhgVWGHKmhHv_wy2W8_eDHTHF86yHAjltRI4MaAmbVEALw_wcB</t>
  </si>
  <si>
    <t>https://www.bouteilles-et-bocaux.com/bouteille-pichet-500-ml-verre-col-pp-28-100030600</t>
  </si>
  <si>
    <t>Verrine haute</t>
  </si>
  <si>
    <t>350 ml</t>
  </si>
  <si>
    <t>https://www.bouteilles-et-bocaux.com/verrine-haute-350-ml-col-twist-off-to-82-100036140</t>
  </si>
  <si>
    <t>Verseur inox</t>
  </si>
  <si>
    <t>https://de.aliexpress.com/item/1005005532498174.html1007.40000.327270.0&amp;scm-url=1007.40000.327270.0&amp;pvid=d7f30d2d-9c81-4a76-abd9-d1b5dab0f6ac&amp;_t=gps-id:pcDetailTopMoreOtherSeller,scm-url:1007.40000.327270.0,pvid:d7f30d2d-9c81-4a76-abd9-d1b5dab0f6ac,tpp_buckets:668%232846%238115%232000&amp;pdp_npi=4%40dis%21EUR%215.38%211.88%21%21%2141.12%2114.39%21%402103890117096883118564836e954f%2112000033437633735%21rec%21FR%212461724979%21&amp;utparam-url=scene%3ApcDetailTopMoreOtherSeller%7Cquery_from%3A</t>
  </si>
  <si>
    <t>https://www.berlinpackaging.eu/fr/81/bouteilles-huile-d-olive/11010/bouteille-alex--olio-250-ml-bg-a-vis</t>
  </si>
  <si>
    <t>Cornichon fin</t>
  </si>
  <si>
    <t>262ml</t>
  </si>
  <si>
    <t>https://www.bouteilles-et-bocaux.com/bocal-cylindrique-262-ml-monza-col-deep-twist-off-dto-82-100033050</t>
  </si>
  <si>
    <t>Cornichon doux</t>
  </si>
  <si>
    <t>490ml</t>
  </si>
  <si>
    <t>https://www.bouteilles-et-bocaux.com/bocal-cylindrique-460-ml-monza-bouchage-deep-twist-off-dto-82-100033060</t>
  </si>
  <si>
    <t>Tube kraft 50ml</t>
  </si>
  <si>
    <t>50ml</t>
  </si>
  <si>
    <t>https://esytube.com/fr/products/50-ml-kraft-push-up-paper-deodorant-tube?variant=42952838250665</t>
  </si>
  <si>
    <t>PRODUIT</t>
  </si>
  <si>
    <t>DISTRIBUTION</t>
  </si>
  <si>
    <t>NOM</t>
  </si>
  <si>
    <t>MARQUE</t>
  </si>
  <si>
    <t>GRAMMAGE</t>
  </si>
  <si>
    <t>PRIX</t>
  </si>
  <si>
    <t>PRIX_KG</t>
  </si>
  <si>
    <t>magasin BIO</t>
  </si>
  <si>
    <t>Melange d'epices Advieh Bio</t>
  </si>
  <si>
    <t>Cook</t>
  </si>
  <si>
    <t>50g</t>
  </si>
  <si>
    <t>magasin NON BIO</t>
  </si>
  <si>
    <t>Advieh Persan</t>
  </si>
  <si>
    <t>Silk Road Spices</t>
  </si>
  <si>
    <t>100g</t>
  </si>
  <si>
    <t>artisanale BIO</t>
  </si>
  <si>
    <t>Advieh artisanal bio</t>
  </si>
  <si>
    <t>Les Jardins de Gaïa</t>
  </si>
  <si>
    <t>internet BIO</t>
  </si>
  <si>
    <t>Melange d'epices persan Advieh</t>
  </si>
  <si>
    <t>mesepices</t>
  </si>
  <si>
    <t>Ail des ours en poudre</t>
  </si>
  <si>
    <t>Ethnoscience</t>
  </si>
  <si>
    <t>Ducros</t>
  </si>
  <si>
    <t>38g</t>
  </si>
  <si>
    <t>Ail noir</t>
  </si>
  <si>
    <t>B par Maison Boutarin</t>
  </si>
  <si>
    <t>120g</t>
  </si>
  <si>
    <t>Melange d'epices Baharat Bio</t>
  </si>
  <si>
    <t>Baharat Spice Blend</t>
  </si>
  <si>
    <t>Baharat Artisanal Bio</t>
  </si>
  <si>
    <t>Baharat Turkish Spice Blend</t>
  </si>
  <si>
    <t>Baharat Turc Artisanal Bio</t>
  </si>
  <si>
    <t>Carvi Graine Bio</t>
  </si>
  <si>
    <t>Biocoop</t>
  </si>
  <si>
    <t>Carvi graines</t>
  </si>
  <si>
    <t>28g</t>
  </si>
  <si>
    <t>Carvi Graine</t>
  </si>
  <si>
    <t>Carvi moulu Bio</t>
  </si>
  <si>
    <t>Healing Nature</t>
  </si>
  <si>
    <t>Caraway ground</t>
  </si>
  <si>
    <t>Bulkfoods</t>
  </si>
  <si>
    <t>454g</t>
  </si>
  <si>
    <t>Sonnentor</t>
  </si>
  <si>
    <t>60g</t>
  </si>
  <si>
    <t>Cumin graines</t>
  </si>
  <si>
    <t>500g</t>
  </si>
  <si>
    <t>Cumin graine eco-recharge</t>
  </si>
  <si>
    <t>Arcadie</t>
  </si>
  <si>
    <t>40g</t>
  </si>
  <si>
    <t>35g</t>
  </si>
  <si>
    <t>Curcuma moulu</t>
  </si>
  <si>
    <t>80g</t>
  </si>
  <si>
    <t>Curcuma poudre</t>
  </si>
  <si>
    <t>Le Comptoir Colonial</t>
  </si>
  <si>
    <t>Curry poudre</t>
  </si>
  <si>
    <t>45g</t>
  </si>
  <si>
    <t>Curry Madras fort</t>
  </si>
  <si>
    <t>Curry Madras en poudre</t>
  </si>
  <si>
    <t>epices Tandoori</t>
  </si>
  <si>
    <t>Tandoori</t>
  </si>
  <si>
    <t>39g</t>
  </si>
  <si>
    <t>Tandoori Masala</t>
  </si>
  <si>
    <t>Epices viandes rouges</t>
  </si>
  <si>
    <t>Melange epices viandes rouges</t>
  </si>
  <si>
    <t>Melange d'epices pour viandes rouges</t>
  </si>
  <si>
    <t>Melange epices grillades viandes rouges</t>
  </si>
  <si>
    <t>Gingembre sec</t>
  </si>
  <si>
    <t>Gingembre poudre</t>
  </si>
  <si>
    <t>Gingembre moulu</t>
  </si>
  <si>
    <t>20g</t>
  </si>
  <si>
    <t>25g</t>
  </si>
  <si>
    <t>Le champ de l'air</t>
  </si>
  <si>
    <t>L'Incroyable Ketchup</t>
  </si>
  <si>
    <t>Quintesens</t>
  </si>
  <si>
    <t>280g</t>
  </si>
  <si>
    <t>Ketchup tomate sans sucre ajoute</t>
  </si>
  <si>
    <t>Emilien</t>
  </si>
  <si>
    <t>360g</t>
  </si>
  <si>
    <t>Ketchup sucre canne squeezer bio</t>
  </si>
  <si>
    <t>Secrets du Midi</t>
  </si>
  <si>
    <t>340g</t>
  </si>
  <si>
    <t>Heinz</t>
  </si>
  <si>
    <t>Ketchup artisanal bio</t>
  </si>
  <si>
    <t>Bio Loire Ocean</t>
  </si>
  <si>
    <t>250g</t>
  </si>
  <si>
    <t>Moutarde à l'ancienne aux graines françaises</t>
  </si>
  <si>
    <t>Bioster</t>
  </si>
  <si>
    <t>200g</t>
  </si>
  <si>
    <t>Amora</t>
  </si>
  <si>
    <t>370g</t>
  </si>
  <si>
    <t>Delouis</t>
  </si>
  <si>
    <t>260g</t>
  </si>
  <si>
    <t>Paprika doux en poudre</t>
  </si>
  <si>
    <t>Paprika doux</t>
  </si>
  <si>
    <t>Paprika fume</t>
  </si>
  <si>
    <t>laplantation</t>
  </si>
  <si>
    <t>Aromandise</t>
  </si>
  <si>
    <t>Sirop hibiscus</t>
  </si>
  <si>
    <t>Maison Meneau</t>
  </si>
  <si>
    <t>50cl</t>
  </si>
  <si>
    <t>Sirop de fleur de sureau</t>
  </si>
  <si>
    <t>Teisseire</t>
  </si>
  <si>
    <t>Sirop de violette</t>
  </si>
  <si>
    <t>Kombucha basilic bio</t>
  </si>
  <si>
    <t>Elixia</t>
  </si>
  <si>
    <t>75cl</t>
  </si>
  <si>
    <t>Monin</t>
  </si>
  <si>
    <t>Sirop de basilic bio</t>
  </si>
  <si>
    <t>Meneau</t>
  </si>
  <si>
    <t>Sirop de menthe au sucre de canne</t>
  </si>
  <si>
    <t>1L</t>
  </si>
  <si>
    <t>70cl</t>
  </si>
  <si>
    <t>Les sirops du barbu</t>
  </si>
  <si>
    <t>Sirop de thym bio</t>
  </si>
  <si>
    <t>Sirop d'hibiscus bio</t>
  </si>
  <si>
    <t>Sirop à l'hibiscus bio</t>
  </si>
  <si>
    <t>epicerie de Provence</t>
  </si>
  <si>
    <t>Fleurs d'hibiscus bio</t>
  </si>
  <si>
    <t>Cook - Herbier de France</t>
  </si>
  <si>
    <t>Sucre fleur de Coco complet</t>
  </si>
  <si>
    <t>Biosagesse</t>
  </si>
  <si>
    <t>vrac</t>
  </si>
  <si>
    <t>Sucre de fleur de coco</t>
  </si>
  <si>
    <t>Alter Eco</t>
  </si>
  <si>
    <t>150g</t>
  </si>
  <si>
    <t>Sauce pimentee à base de Cayenne et Ail</t>
  </si>
  <si>
    <t>60ml</t>
  </si>
  <si>
    <t>Tabasco Cayenne Garlic Pepper Sauce</t>
  </si>
  <si>
    <t>Tabasco</t>
  </si>
  <si>
    <t>Sauce pimentee artisanale à base de Cayenne et Ail</t>
  </si>
  <si>
    <t>Le comptoir du piment</t>
  </si>
  <si>
    <t>Sauce Jalapeño verte bio</t>
  </si>
  <si>
    <t>Tabasco Jalapeño Green Pepper Sauce</t>
  </si>
  <si>
    <t>Sauce Jalapeño verte artisanale bio</t>
  </si>
  <si>
    <t>Sauce pimentee rouge bio</t>
  </si>
  <si>
    <t>Tabasco Original Red Sauce</t>
  </si>
  <si>
    <t>Sauce pimentee artisanale rouge bio</t>
  </si>
  <si>
    <t>Sauce pimentee bio</t>
  </si>
  <si>
    <t>Sauce pimentee artisanale bio</t>
  </si>
  <si>
    <t>Le Comptoir du Piment</t>
  </si>
  <si>
    <t>Vinaigre de Cidre Bio</t>
  </si>
  <si>
    <t>Côteaux Nantais</t>
  </si>
  <si>
    <t>Vinaigre de Cidre</t>
  </si>
  <si>
    <t>Jardin Bio</t>
  </si>
  <si>
    <t>Vinaigre de Cidre Artisanal Bio</t>
  </si>
  <si>
    <t>Les Vergers de la Silve</t>
  </si>
  <si>
    <t>Vinaigre Larzamique à la Fleur de Sureau Bio</t>
  </si>
  <si>
    <t>Aromatiques du Larzac</t>
  </si>
  <si>
    <t>25cl</t>
  </si>
  <si>
    <t>Vinaigre de Sureau Bio</t>
  </si>
  <si>
    <t>Baiser Acidule</t>
  </si>
  <si>
    <t>Vinaigre de Sureau Artisanal Bio</t>
  </si>
  <si>
    <t>La Maison du Sureau</t>
  </si>
  <si>
    <t>Melange Zaatar Bio</t>
  </si>
  <si>
    <t>27g</t>
  </si>
  <si>
    <t>Melange Zaatar</t>
  </si>
  <si>
    <t>Zaatar Artisanal Bio</t>
  </si>
  <si>
    <t>Herbes de Provence Bio</t>
  </si>
  <si>
    <t>placedesepices.com</t>
  </si>
  <si>
    <t>Choucroute bio</t>
  </si>
  <si>
    <t>Auchan</t>
  </si>
  <si>
    <t>Choucroute artisanale</t>
  </si>
  <si>
    <t>Local</t>
  </si>
  <si>
    <t>1000g</t>
  </si>
  <si>
    <t>Huile de massage bio</t>
  </si>
  <si>
    <t>Weleda</t>
  </si>
  <si>
    <t>Generic</t>
  </si>
  <si>
    <t>Huile massage artisanale</t>
  </si>
  <si>
    <t>Sucre à la rose bio</t>
  </si>
  <si>
    <t>Sucre parfumé rose</t>
  </si>
  <si>
    <t>Sucre de rose artisanal</t>
  </si>
  <si>
    <t>Sel aux herbes de Provence bio</t>
  </si>
  <si>
    <t>Sel aromatisé herbes</t>
  </si>
  <si>
    <t>70g</t>
  </si>
  <si>
    <t>Sel de garrigue artisanal</t>
  </si>
  <si>
    <t>Infusion hiver bio</t>
  </si>
  <si>
    <t>Tisane thym sureau</t>
  </si>
  <si>
    <t>Elephant</t>
  </si>
  <si>
    <t>30g</t>
  </si>
  <si>
    <t>Tisane d'hiver artisanale</t>
  </si>
  <si>
    <t>Infusion menthe fenouil bio</t>
  </si>
  <si>
    <t>Tisane digestion</t>
  </si>
  <si>
    <t>Infusion menthe-fenouil</t>
  </si>
  <si>
    <t>Objectif en unite</t>
  </si>
  <si>
    <t>poids/unite (g)</t>
  </si>
  <si>
    <t>Total (kg)</t>
  </si>
  <si>
    <t>Revenue brut</t>
  </si>
  <si>
    <t>Packaging</t>
  </si>
  <si>
    <t>Packaging/Unit</t>
  </si>
  <si>
    <t>PV/kg frais</t>
  </si>
  <si>
    <t>Prix/kg (artisant)</t>
  </si>
  <si>
    <t>Colonne2</t>
  </si>
  <si>
    <t>Colonne3</t>
  </si>
  <si>
    <t>Colonne4</t>
  </si>
  <si>
    <t>DEPRECATED — ne plus utiliser (poids migrés vers Produit)</t>
  </si>
  <si>
    <t>Cornichon</t>
  </si>
  <si>
    <t>Kimchi</t>
  </si>
  <si>
    <t>Oigon seche</t>
  </si>
  <si>
    <t>Logs (vidé — debug script)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</si>
</sst>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€&quot;* #,##0.00_-;\-&quot;€&quot;* #,##0.00_-;_-&quot;€&quot;* &quot;-&quot;??_-;_-@_-"/>
    <numFmt numFmtId="164" formatCode="_ * #,##0.00_)\ &quot;€&quot;_ ;_ * \(#,##0.00\)\ &quot;€&quot;_ ;_ * &quot;-&quot;??_)\ &quot;€&quot;_ ;_ @_ "/>
    <numFmt numFmtId="165" formatCode="0.0"/>
    <numFmt numFmtId="166" formatCode="_-* #,##0\ [$€-40C]_-;\-* #,##0\ [$€-40C]_-;_-* &quot;-&quot;??\ [$€-40C]_-;_-@_-"/>
    <numFmt numFmtId="167" formatCode="_-* #,##0.00\ [$€-40C]_-;\-* #,##0.00\ [$€-40C]_-;_-* &quot;-&quot;??\ [$€-40C]_-;_-@_-"/>
    <numFmt numFmtId="168" formatCode="#,##0.00\ &quot;€&quot;_);[Red]\(#,##0.00\ &quot;€&quot;\)"/>
  </numFmts>
  <fonts count="20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1" tint="0.1499984740745262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2"/>
      <name val="Aptos Narrow"/>
      <scheme val="minor"/>
    </font>
    <font>
      <b/>
      <sz val="12"/>
      <color theme="1"/>
      <name val="Aptos Narrow"/>
      <scheme val="minor"/>
    </font>
    <font>
      <sz val="12"/>
      <color rgb="FF010101"/>
      <name val="Aptos Narrow"/>
      <family val="2"/>
      <scheme val="minor"/>
    </font>
    <font>
      <b/>
      <sz val="12"/>
      <color rgb="FF010101"/>
      <name val="Aptos Narrow"/>
      <scheme val="minor"/>
    </font>
    <font>
      <sz val="12"/>
      <color theme="1"/>
      <name val="Aptos Narrow"/>
      <scheme val="minor"/>
    </font>
    <font>
      <sz val="12"/>
      <color theme="0"/>
      <name val="Aptos Narrow"/>
      <scheme val="minor"/>
    </font>
    <font>
      <sz val="12"/>
      <color theme="0"/>
      <name val="Aptos Narrow"/>
      <family val="2"/>
      <scheme val="minor"/>
    </font>
    <font>
      <b/>
      <sz val="14"/>
      <name val="Aptos Narrow"/>
    </font>
    <font>
      <b/>
      <sz val="11"/>
      <color rgb="FFFFFFFF"/>
      <name val="Aptos Narrow"/>
    </font>
    <font>
      <b/>
      <sz val="12"/>
      <name val="Aptos Narrow"/>
    </font>
  </fonts>
  <fills count="131">
    <fill>
      <patternFill patternType="none"/>
    </fill>
    <fill>
      <patternFill patternType="gray125"/>
    </fill>
    <fill>
      <patternFill patternType="solid">
        <fgColor rgb="FFFFFD78"/>
        <bgColor indexed="64"/>
      </patternFill>
    </fill>
    <fill>
      <patternFill patternType="solid">
        <fgColor rgb="FFD5FC79"/>
        <bgColor indexed="64"/>
      </patternFill>
    </fill>
    <fill>
      <patternFill patternType="solid">
        <fgColor rgb="FFD883FF"/>
        <bgColor indexed="64"/>
      </patternFill>
    </fill>
    <fill>
      <patternFill patternType="solid">
        <fgColor rgb="FFFFD579"/>
        <bgColor indexed="64"/>
      </patternFill>
    </fill>
    <fill>
      <patternFill patternType="solid">
        <fgColor rgb="FF76D6FF"/>
        <bgColor indexed="64"/>
      </patternFill>
    </fill>
    <fill>
      <patternFill patternType="solid">
        <fgColor rgb="FF73FDD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  <fill>
      <patternFill patternType="solid">
        <fgColor rgb="FF73FEFF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rgb="FFFCA09B"/>
        <bgColor indexed="64"/>
      </patternFill>
    </fill>
    <fill>
      <patternFill patternType="solid">
        <fgColor rgb="FFD3A3A4"/>
        <bgColor indexed="64"/>
      </patternFill>
    </fill>
    <fill>
      <patternFill patternType="solid">
        <fgColor rgb="FF9CB5FE"/>
        <bgColor indexed="64"/>
      </patternFill>
    </fill>
    <fill>
      <patternFill patternType="solid">
        <fgColor rgb="FFBFD0CF"/>
        <bgColor indexed="64"/>
      </patternFill>
    </fill>
    <fill>
      <patternFill patternType="solid">
        <fgColor rgb="FFAABAFD"/>
        <bgColor indexed="64"/>
      </patternFill>
    </fill>
    <fill>
      <patternFill patternType="solid">
        <fgColor rgb="FF9EA0AF"/>
        <bgColor indexed="64"/>
      </patternFill>
    </fill>
    <fill>
      <patternFill patternType="solid">
        <fgColor rgb="FFA1BDBF"/>
        <bgColor indexed="64"/>
      </patternFill>
    </fill>
    <fill>
      <patternFill patternType="solid">
        <fgColor rgb="FFE7FBB8"/>
        <bgColor indexed="64"/>
      </patternFill>
    </fill>
    <fill>
      <patternFill patternType="solid">
        <fgColor rgb="FFACFDAD"/>
        <bgColor indexed="64"/>
      </patternFill>
    </fill>
    <fill>
      <patternFill patternType="solid">
        <fgColor rgb="FFA9FCAA"/>
        <bgColor indexed="64"/>
      </patternFill>
    </fill>
    <fill>
      <patternFill patternType="solid">
        <fgColor rgb="FFAAFED6"/>
        <bgColor indexed="64"/>
      </patternFill>
    </fill>
    <fill>
      <patternFill patternType="solid">
        <fgColor rgb="FFD9BBB2"/>
        <bgColor indexed="64"/>
      </patternFill>
    </fill>
    <fill>
      <patternFill patternType="solid">
        <fgColor rgb="FFD6BDB6"/>
        <bgColor indexed="64"/>
      </patternFill>
    </fill>
    <fill>
      <patternFill patternType="solid">
        <fgColor rgb="FFB9BAFC"/>
        <bgColor indexed="64"/>
      </patternFill>
    </fill>
    <fill>
      <patternFill patternType="solid">
        <fgColor rgb="FFD8B8BD"/>
        <bgColor indexed="64"/>
      </patternFill>
    </fill>
    <fill>
      <patternFill patternType="solid">
        <fgColor rgb="FFBCB9CC"/>
        <bgColor indexed="64"/>
      </patternFill>
    </fill>
    <fill>
      <patternFill patternType="solid">
        <fgColor rgb="FFFDBDB2"/>
        <bgColor indexed="64"/>
      </patternFill>
    </fill>
    <fill>
      <patternFill patternType="solid">
        <fgColor rgb="FFB9B6A2"/>
        <bgColor indexed="64"/>
      </patternFill>
    </fill>
    <fill>
      <patternFill patternType="solid">
        <fgColor rgb="FFAEA09E"/>
        <bgColor indexed="64"/>
      </patternFill>
    </fill>
    <fill>
      <patternFill patternType="solid">
        <fgColor rgb="FFCCE3CE"/>
        <bgColor indexed="64"/>
      </patternFill>
    </fill>
    <fill>
      <patternFill patternType="solid">
        <fgColor rgb="FF9FAFAE"/>
        <bgColor indexed="64"/>
      </patternFill>
    </fill>
    <fill>
      <patternFill patternType="solid">
        <fgColor rgb="FFCCB7AA"/>
        <bgColor indexed="64"/>
      </patternFill>
    </fill>
    <fill>
      <patternFill patternType="solid">
        <fgColor rgb="FFF1C1BF"/>
        <bgColor indexed="64"/>
      </patternFill>
    </fill>
    <fill>
      <patternFill patternType="solid">
        <fgColor rgb="FFFABD9E"/>
        <bgColor indexed="64"/>
      </patternFill>
    </fill>
    <fill>
      <patternFill patternType="solid">
        <fgColor rgb="FFF1C4FB"/>
        <bgColor indexed="64"/>
      </patternFill>
    </fill>
    <fill>
      <patternFill patternType="solid">
        <fgColor rgb="FFF2C0AC"/>
        <bgColor indexed="64"/>
      </patternFill>
    </fill>
    <fill>
      <patternFill patternType="solid">
        <fgColor rgb="FFFBC79E"/>
        <bgColor indexed="64"/>
      </patternFill>
    </fill>
    <fill>
      <patternFill patternType="solid">
        <fgColor rgb="FF9ECCA2"/>
        <bgColor indexed="64"/>
      </patternFill>
    </fill>
    <fill>
      <patternFill patternType="solid">
        <fgColor rgb="FFC3E4AE"/>
        <bgColor indexed="64"/>
      </patternFill>
    </fill>
    <fill>
      <patternFill patternType="solid">
        <fgColor rgb="FFEEBEA7"/>
        <bgColor indexed="64"/>
      </patternFill>
    </fill>
    <fill>
      <patternFill patternType="solid">
        <fgColor rgb="FFF2BFCD"/>
        <bgColor indexed="64"/>
      </patternFill>
    </fill>
    <fill>
      <patternFill patternType="solid">
        <fgColor rgb="FFD8B9A7"/>
        <bgColor indexed="64"/>
      </patternFill>
    </fill>
    <fill>
      <patternFill patternType="solid">
        <fgColor rgb="FFF4EFCA"/>
        <bgColor indexed="64"/>
      </patternFill>
    </fill>
    <fill>
      <patternFill patternType="solid">
        <fgColor rgb="FFB2D9B6"/>
        <bgColor indexed="64"/>
      </patternFill>
    </fill>
    <fill>
      <patternFill patternType="solid">
        <fgColor rgb="FFD8C3A2"/>
        <bgColor indexed="64"/>
      </patternFill>
    </fill>
    <fill>
      <patternFill patternType="solid">
        <fgColor rgb="FFA4FDAC"/>
        <bgColor indexed="64"/>
      </patternFill>
    </fill>
    <fill>
      <patternFill patternType="solid">
        <fgColor rgb="FF9CC1AA"/>
        <bgColor indexed="64"/>
      </patternFill>
    </fill>
    <fill>
      <patternFill patternType="solid">
        <fgColor rgb="FFA0A2AD"/>
        <bgColor indexed="64"/>
      </patternFill>
    </fill>
    <fill>
      <patternFill patternType="solid">
        <fgColor rgb="FFA9FCFE"/>
        <bgColor indexed="64"/>
      </patternFill>
    </fill>
    <fill>
      <patternFill patternType="solid">
        <fgColor rgb="FFE2C2A7"/>
        <bgColor indexed="64"/>
      </patternFill>
    </fill>
    <fill>
      <patternFill patternType="solid">
        <fgColor rgb="FFA3A9AA"/>
        <bgColor indexed="64"/>
      </patternFill>
    </fill>
    <fill>
      <patternFill patternType="solid">
        <fgColor rgb="FFC4A7B0"/>
        <bgColor indexed="64"/>
      </patternFill>
    </fill>
    <fill>
      <patternFill patternType="solid">
        <fgColor rgb="FFB0AB9E"/>
        <bgColor indexed="64"/>
      </patternFill>
    </fill>
    <fill>
      <patternFill patternType="solid">
        <fgColor rgb="FFA9A6A0"/>
        <bgColor indexed="64"/>
      </patternFill>
    </fill>
    <fill>
      <patternFill patternType="solid">
        <fgColor rgb="FFB6A1A9"/>
        <bgColor indexed="64"/>
      </patternFill>
    </fill>
    <fill>
      <patternFill patternType="solid">
        <fgColor rgb="FFF3DBB8"/>
        <bgColor indexed="64"/>
      </patternFill>
    </fill>
    <fill>
      <patternFill patternType="solid">
        <fgColor rgb="FFB3A8ED"/>
        <bgColor indexed="64"/>
      </patternFill>
    </fill>
    <fill>
      <patternFill patternType="solid">
        <fgColor rgb="FFB4B6ED"/>
        <bgColor indexed="64"/>
      </patternFill>
    </fill>
    <fill>
      <patternFill patternType="solid">
        <fgColor rgb="FFEAC9F0"/>
        <bgColor indexed="64"/>
      </patternFill>
    </fill>
    <fill>
      <patternFill patternType="solid">
        <fgColor rgb="FFF2D3CC"/>
        <bgColor indexed="64"/>
      </patternFill>
    </fill>
    <fill>
      <patternFill patternType="solid">
        <fgColor rgb="FF9BC9C9"/>
        <bgColor indexed="64"/>
      </patternFill>
    </fill>
    <fill>
      <patternFill patternType="solid">
        <fgColor rgb="FFA2DDBB"/>
        <bgColor indexed="64"/>
      </patternFill>
    </fill>
    <fill>
      <patternFill patternType="solid">
        <fgColor rgb="FFBDDECD"/>
        <bgColor indexed="64"/>
      </patternFill>
    </fill>
    <fill>
      <patternFill patternType="solid">
        <fgColor rgb="FFEEBBFD"/>
        <bgColor indexed="64"/>
      </patternFill>
    </fill>
    <fill>
      <patternFill patternType="solid">
        <fgColor rgb="FFB8D8D6"/>
        <bgColor indexed="64"/>
      </patternFill>
    </fill>
    <fill>
      <patternFill patternType="solid">
        <fgColor rgb="FFF5C7B8"/>
        <bgColor indexed="64"/>
      </patternFill>
    </fill>
    <fill>
      <patternFill patternType="solid">
        <fgColor rgb="FF9ED5A7"/>
        <bgColor indexed="64"/>
      </patternFill>
    </fill>
    <fill>
      <patternFill patternType="solid">
        <fgColor rgb="FFF4D9B5"/>
        <bgColor indexed="64"/>
      </patternFill>
    </fill>
    <fill>
      <patternFill patternType="solid">
        <fgColor rgb="FFDEBEAC"/>
        <bgColor indexed="64"/>
      </patternFill>
    </fill>
    <fill>
      <patternFill patternType="solid">
        <fgColor rgb="FFA6B4A9"/>
        <bgColor indexed="64"/>
      </patternFill>
    </fill>
    <fill>
      <patternFill patternType="solid">
        <fgColor rgb="FFC8ADAA"/>
        <bgColor indexed="64"/>
      </patternFill>
    </fill>
    <fill>
      <patternFill patternType="solid">
        <fgColor rgb="FFB8A4D2"/>
        <bgColor indexed="64"/>
      </patternFill>
    </fill>
    <fill>
      <patternFill patternType="solid">
        <fgColor rgb="FFADFCAC"/>
        <bgColor indexed="64"/>
      </patternFill>
    </fill>
    <fill>
      <patternFill patternType="solid">
        <fgColor rgb="FFA7ACA4"/>
        <bgColor indexed="64"/>
      </patternFill>
    </fill>
    <fill>
      <patternFill patternType="solid">
        <fgColor rgb="FFAB9FB0"/>
        <bgColor indexed="64"/>
      </patternFill>
    </fill>
    <fill>
      <patternFill patternType="solid">
        <fgColor rgb="FFD9C7B0"/>
        <bgColor indexed="64"/>
      </patternFill>
    </fill>
    <fill>
      <patternFill patternType="solid">
        <fgColor rgb="FF9BD3A3"/>
        <bgColor indexed="64"/>
      </patternFill>
    </fill>
    <fill>
      <patternFill patternType="solid">
        <fgColor rgb="FFA8A59C"/>
        <bgColor indexed="64"/>
      </patternFill>
    </fill>
    <fill>
      <patternFill patternType="solid">
        <fgColor rgb="FFA7A8BB"/>
        <bgColor indexed="64"/>
      </patternFill>
    </fill>
    <fill>
      <patternFill patternType="solid">
        <fgColor rgb="FFA6A3B4"/>
        <bgColor indexed="64"/>
      </patternFill>
    </fill>
    <fill>
      <patternFill patternType="solid">
        <fgColor rgb="FFECE0CB"/>
        <bgColor indexed="64"/>
      </patternFill>
    </fill>
    <fill>
      <patternFill patternType="solid">
        <fgColor rgb="FF9CFC9B"/>
        <bgColor indexed="64"/>
      </patternFill>
    </fill>
    <fill>
      <patternFill patternType="solid">
        <fgColor rgb="FFC9A9F5"/>
        <bgColor indexed="64"/>
      </patternFill>
    </fill>
    <fill>
      <patternFill patternType="solid">
        <fgColor rgb="FFF5B3A2"/>
        <bgColor indexed="64"/>
      </patternFill>
    </fill>
    <fill>
      <patternFill patternType="solid">
        <fgColor rgb="FFB0C59E"/>
        <bgColor indexed="64"/>
      </patternFill>
    </fill>
    <fill>
      <patternFill patternType="solid">
        <fgColor rgb="FFB0A1B0"/>
        <bgColor indexed="64"/>
      </patternFill>
    </fill>
    <fill>
      <patternFill patternType="solid">
        <fgColor rgb="FFE69EA5"/>
        <bgColor indexed="64"/>
      </patternFill>
    </fill>
    <fill>
      <patternFill patternType="solid">
        <fgColor rgb="FFAFD9DD"/>
        <bgColor indexed="64"/>
      </patternFill>
    </fill>
    <fill>
      <patternFill patternType="solid">
        <fgColor rgb="FFD4CEF2"/>
        <bgColor indexed="64"/>
      </patternFill>
    </fill>
    <fill>
      <patternFill patternType="solid">
        <fgColor rgb="FFA4A09C"/>
        <bgColor indexed="64"/>
      </patternFill>
    </fill>
    <fill>
      <patternFill patternType="solid">
        <fgColor rgb="FFC9D9AF"/>
        <bgColor indexed="64"/>
      </patternFill>
    </fill>
    <fill>
      <patternFill patternType="solid">
        <fgColor rgb="FFC7ABBE"/>
        <bgColor indexed="64"/>
      </patternFill>
    </fill>
    <fill>
      <patternFill patternType="solid">
        <fgColor rgb="FFCEB99B"/>
        <bgColor indexed="64"/>
      </patternFill>
    </fill>
    <fill>
      <patternFill patternType="solid">
        <fgColor rgb="FFD6BCA9"/>
        <bgColor indexed="64"/>
      </patternFill>
    </fill>
    <fill>
      <patternFill patternType="solid">
        <fgColor rgb="FFABA8D0"/>
        <bgColor indexed="64"/>
      </patternFill>
    </fill>
    <fill>
      <patternFill patternType="solid">
        <fgColor rgb="FFDDE3A6"/>
        <bgColor indexed="64"/>
      </patternFill>
    </fill>
    <fill>
      <patternFill patternType="solid">
        <fgColor rgb="FFB8F99D"/>
        <bgColor indexed="64"/>
      </patternFill>
    </fill>
    <fill>
      <patternFill patternType="solid">
        <fgColor rgb="FFAA9C9B"/>
        <bgColor indexed="64"/>
      </patternFill>
    </fill>
    <fill>
      <patternFill patternType="solid">
        <fgColor rgb="FFCDABE2"/>
        <bgColor indexed="64"/>
      </patternFill>
    </fill>
    <fill>
      <patternFill patternType="solid">
        <fgColor rgb="FFBCA0A4"/>
        <bgColor indexed="64"/>
      </patternFill>
    </fill>
    <fill>
      <patternFill patternType="solid">
        <fgColor rgb="FFC5ACE8"/>
        <bgColor indexed="64"/>
      </patternFill>
    </fill>
    <fill>
      <patternFill patternType="solid">
        <fgColor rgb="FFE5D2FE"/>
        <bgColor indexed="64"/>
      </patternFill>
    </fill>
    <fill>
      <patternFill patternType="solid">
        <fgColor rgb="FFA1B4A5"/>
        <bgColor indexed="64"/>
      </patternFill>
    </fill>
    <fill>
      <patternFill patternType="solid">
        <fgColor rgb="FFB6FCAC"/>
        <bgColor indexed="64"/>
      </patternFill>
    </fill>
    <fill>
      <patternFill patternType="solid">
        <fgColor rgb="FFABA9A9"/>
        <bgColor indexed="64"/>
      </patternFill>
    </fill>
    <fill>
      <patternFill patternType="solid">
        <fgColor rgb="FFE0B4BA"/>
        <bgColor indexed="64"/>
      </patternFill>
    </fill>
    <fill>
      <patternFill patternType="solid">
        <fgColor rgb="FFAAA49C"/>
        <bgColor indexed="64"/>
      </patternFill>
    </fill>
    <fill>
      <patternFill patternType="solid">
        <fgColor rgb="FFB6C6A5"/>
        <bgColor indexed="64"/>
      </patternFill>
    </fill>
    <fill>
      <patternFill patternType="solid">
        <fgColor rgb="FFE9D9B2"/>
        <bgColor indexed="64"/>
      </patternFill>
    </fill>
    <fill>
      <patternFill patternType="solid">
        <fgColor rgb="FFD0D0B7"/>
        <bgColor indexed="64"/>
      </patternFill>
    </fill>
    <fill>
      <patternFill patternType="solid">
        <fgColor rgb="FFA9A6AC"/>
        <bgColor indexed="64"/>
      </patternFill>
    </fill>
    <fill>
      <patternFill patternType="solid">
        <fgColor rgb="FFA9A6AA"/>
        <bgColor indexed="64"/>
      </patternFill>
    </fill>
    <fill>
      <patternFill patternType="solid">
        <fgColor rgb="FFD1F1DE"/>
        <bgColor indexed="64"/>
      </patternFill>
    </fill>
    <fill>
      <patternFill patternType="solid">
        <fgColor rgb="FFCBA9AB"/>
        <bgColor indexed="64"/>
      </patternFill>
    </fill>
    <fill>
      <patternFill patternType="solid">
        <fgColor rgb="FFB5AFFC"/>
        <bgColor indexed="64"/>
      </patternFill>
    </fill>
    <fill>
      <patternFill patternType="solid">
        <fgColor rgb="FFA6B2F9"/>
        <bgColor indexed="64"/>
      </patternFill>
    </fill>
    <fill>
      <patternFill patternType="solid">
        <fgColor rgb="FFFBE2D5"/>
        <bgColor rgb="FFFBE2D5"/>
      </patternFill>
    </fill>
    <fill>
      <patternFill patternType="solid">
        <fgColor rgb="FFA0A0A3"/>
        <bgColor indexed="64"/>
      </patternFill>
    </fill>
    <fill>
      <patternFill patternType="solid">
        <fgColor rgb="FFB5A7AE"/>
        <bgColor indexed="64"/>
      </patternFill>
    </fill>
    <fill>
      <patternFill patternType="solid">
        <fgColor rgb="FFA8B6A8"/>
        <bgColor indexed="64"/>
      </patternFill>
    </fill>
    <fill>
      <patternFill patternType="solid">
        <fgColor rgb="FFCDC1C4"/>
        <bgColor indexed="64"/>
      </patternFill>
    </fill>
    <fill>
      <patternFill patternType="solid">
        <fgColor rgb="FF2F5233"/>
      </patternFill>
    </fill>
    <fill>
      <patternFill patternType="solid">
        <fgColor rgb="FFC6EFCE"/>
      </patternFill>
    </fill>
    <fill>
      <patternFill patternType="solid">
        <fgColor rgb="FFF4B183"/>
      </patternFill>
    </fill>
    <fill>
      <patternFill patternType="solid">
        <fgColor rgb="FFFFEB9C"/>
      </patternFill>
    </fill>
    <fill>
      <patternFill patternType="solid">
        <fgColor rgb="FFBDD7EE"/>
      </patternFill>
    </fill>
    <fill>
      <patternFill patternType="solid">
        <fgColor rgb="FFFFC7CE"/>
      </patternFill>
    </fill>
    <fill>
      <patternFill patternType="solid">
        <fgColor rgb="FFD9D9D9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86DCD"/>
      </left>
      <right style="thin">
        <color indexed="64"/>
      </right>
      <top style="thin">
        <color rgb="FFD86DCD"/>
      </top>
      <bottom style="thin">
        <color rgb="FFD86DCD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rgb="FFD86DCD"/>
      </left>
      <right style="thin">
        <color indexed="64"/>
      </right>
      <top style="thin">
        <color rgb="FFD86DCD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4">
    <xf numFmtId="0" fontId="0" fillId="0" borderId="0"/>
    <xf numFmtId="0" fontId="1" fillId="0" borderId="0"/>
    <xf numFmtId="44" fontId="4" fillId="0" borderId="0"/>
    <xf numFmtId="9" fontId="4" fillId="0" borderId="0"/>
  </cellStyleXfs>
  <cellXfs count="511">
    <xf numFmtId="0" fontId="0" fillId="0" borderId="0" xfId="0"/>
    <xf numFmtId="0" fontId="2" fillId="0" borderId="0" xfId="0" applyFont="1"/>
    <xf numFmtId="0" fontId="1" fillId="0" borderId="0" xfId="1"/>
    <xf numFmtId="164" fontId="0" fillId="0" borderId="0" xfId="2" applyNumberFormat="1" applyFont="1"/>
    <xf numFmtId="0" fontId="0" fillId="0" borderId="0" xfId="0" applyAlignment="1">
      <alignment textRotation="45"/>
    </xf>
    <xf numFmtId="0" fontId="0" fillId="0" borderId="0" xfId="0" applyAlignment="1">
      <alignment horizontal="center" vertical="top"/>
    </xf>
    <xf numFmtId="0" fontId="5" fillId="6" borderId="8" xfId="0" applyFont="1" applyFill="1" applyBorder="1"/>
    <xf numFmtId="0" fontId="5" fillId="6" borderId="9" xfId="0" applyFont="1" applyFill="1" applyBorder="1"/>
    <xf numFmtId="0" fontId="5" fillId="6" borderId="6" xfId="0" applyFont="1" applyFill="1" applyBorder="1" applyAlignment="1">
      <alignment horizontal="center" vertical="top" textRotation="45"/>
    </xf>
    <xf numFmtId="0" fontId="5" fillId="6" borderId="12" xfId="0" applyFont="1" applyFill="1" applyBorder="1" applyAlignment="1">
      <alignment horizontal="center" vertical="top" textRotation="45"/>
    </xf>
    <xf numFmtId="0" fontId="0" fillId="8" borderId="1" xfId="0" applyFill="1" applyBorder="1" applyAlignment="1">
      <alignment horizontal="center" vertical="top" textRotation="45"/>
    </xf>
    <xf numFmtId="0" fontId="0" fillId="8" borderId="0" xfId="0" applyFill="1"/>
    <xf numFmtId="0" fontId="0" fillId="8" borderId="1" xfId="0" applyFill="1" applyBorder="1" applyAlignment="1">
      <alignment horizontal="left" vertical="top" textRotation="45"/>
    </xf>
    <xf numFmtId="0" fontId="0" fillId="8" borderId="0" xfId="0" applyFill="1" applyAlignment="1">
      <alignment horizontal="left"/>
    </xf>
    <xf numFmtId="0" fontId="0" fillId="0" borderId="0" xfId="0" applyAlignment="1">
      <alignment horizontal="left" vertical="top" textRotation="45"/>
    </xf>
    <xf numFmtId="0" fontId="0" fillId="0" borderId="0" xfId="0" applyAlignment="1">
      <alignment horizontal="left" vertical="top" textRotation="45" wrapText="1"/>
    </xf>
    <xf numFmtId="164" fontId="1" fillId="0" borderId="0" xfId="1" applyNumberFormat="1"/>
    <xf numFmtId="0" fontId="5" fillId="5" borderId="16" xfId="0" applyFont="1" applyFill="1" applyBorder="1" applyAlignment="1">
      <alignment horizontal="center" vertical="top" textRotation="45"/>
    </xf>
    <xf numFmtId="0" fontId="5" fillId="5" borderId="8" xfId="0" applyFont="1" applyFill="1" applyBorder="1" applyAlignment="1">
      <alignment horizontal="center" vertical="top" textRotation="45"/>
    </xf>
    <xf numFmtId="0" fontId="0" fillId="0" borderId="13" xfId="0" applyBorder="1"/>
    <xf numFmtId="0" fontId="0" fillId="0" borderId="14" xfId="0" applyBorder="1"/>
    <xf numFmtId="0" fontId="0" fillId="2" borderId="14" xfId="0" applyFill="1" applyBorder="1"/>
    <xf numFmtId="0" fontId="0" fillId="0" borderId="15" xfId="0" applyBorder="1"/>
    <xf numFmtId="0" fontId="2" fillId="0" borderId="13" xfId="0" applyFont="1" applyBorder="1"/>
    <xf numFmtId="0" fontId="6" fillId="9" borderId="11" xfId="0" applyFont="1" applyFill="1" applyBorder="1" applyAlignment="1">
      <alignment horizontal="right" vertical="top" textRotation="45"/>
    </xf>
    <xf numFmtId="0" fontId="8" fillId="2" borderId="11" xfId="0" applyFont="1" applyFill="1" applyBorder="1" applyAlignment="1">
      <alignment horizontal="right" vertical="top" textRotation="45"/>
    </xf>
    <xf numFmtId="0" fontId="0" fillId="0" borderId="4" xfId="0" applyBorder="1"/>
    <xf numFmtId="165" fontId="0" fillId="0" borderId="4" xfId="0" applyNumberFormat="1" applyBorder="1"/>
    <xf numFmtId="0" fontId="3" fillId="3" borderId="1" xfId="0" applyFont="1" applyFill="1" applyBorder="1" applyAlignment="1">
      <alignment horizontal="center" vertical="top" textRotation="45" wrapText="1"/>
    </xf>
    <xf numFmtId="166" fontId="10" fillId="3" borderId="7" xfId="0" applyNumberFormat="1" applyFont="1" applyFill="1" applyBorder="1" applyAlignment="1">
      <alignment horizontal="center" vertical="top" textRotation="45" wrapText="1"/>
    </xf>
    <xf numFmtId="0" fontId="10" fillId="3" borderId="11" xfId="0" applyFont="1" applyFill="1" applyBorder="1" applyAlignment="1">
      <alignment horizontal="center" vertical="top" textRotation="45"/>
    </xf>
    <xf numFmtId="0" fontId="10" fillId="7" borderId="10" xfId="0" applyFont="1" applyFill="1" applyBorder="1" applyAlignment="1">
      <alignment horizontal="center" vertical="top" textRotation="45" wrapText="1"/>
    </xf>
    <xf numFmtId="0" fontId="10" fillId="11" borderId="10" xfId="0" applyFont="1" applyFill="1" applyBorder="1" applyAlignment="1">
      <alignment horizontal="center" vertical="top" textRotation="45" wrapText="1"/>
    </xf>
    <xf numFmtId="0" fontId="10" fillId="6" borderId="11" xfId="0" applyFont="1" applyFill="1" applyBorder="1" applyAlignment="1">
      <alignment horizontal="center" vertical="top" textRotation="45"/>
    </xf>
    <xf numFmtId="0" fontId="10" fillId="4" borderId="11" xfId="0" applyFont="1" applyFill="1" applyBorder="1" applyAlignment="1">
      <alignment horizontal="center" vertical="top" textRotation="45"/>
    </xf>
    <xf numFmtId="0" fontId="10" fillId="12" borderId="11" xfId="0" applyFont="1" applyFill="1" applyBorder="1" applyAlignment="1">
      <alignment horizontal="center" vertical="top" textRotation="45"/>
    </xf>
    <xf numFmtId="0" fontId="7" fillId="2" borderId="20" xfId="0" applyFont="1" applyFill="1" applyBorder="1" applyAlignment="1">
      <alignment horizontal="center" vertical="top" textRotation="45"/>
    </xf>
    <xf numFmtId="166" fontId="7" fillId="2" borderId="22" xfId="0" applyNumberFormat="1" applyFont="1" applyFill="1" applyBorder="1" applyAlignment="1">
      <alignment horizontal="center" vertical="top" textRotation="45"/>
    </xf>
    <xf numFmtId="166" fontId="7" fillId="5" borderId="11" xfId="0" applyNumberFormat="1" applyFont="1" applyFill="1" applyBorder="1" applyAlignment="1">
      <alignment horizontal="center" vertical="top" textRotation="45"/>
    </xf>
    <xf numFmtId="166" fontId="10" fillId="7" borderId="7" xfId="0" applyNumberFormat="1" applyFont="1" applyFill="1" applyBorder="1" applyAlignment="1">
      <alignment horizontal="center" vertical="top" textRotation="45" wrapText="1"/>
    </xf>
    <xf numFmtId="166" fontId="10" fillId="11" borderId="7" xfId="0" applyNumberFormat="1" applyFont="1" applyFill="1" applyBorder="1" applyAlignment="1">
      <alignment horizontal="center" vertical="top" textRotation="45" wrapText="1"/>
    </xf>
    <xf numFmtId="166" fontId="10" fillId="6" borderId="11" xfId="0" applyNumberFormat="1" applyFont="1" applyFill="1" applyBorder="1" applyAlignment="1">
      <alignment horizontal="center" vertical="top" textRotation="45"/>
    </xf>
    <xf numFmtId="166" fontId="10" fillId="4" borderId="11" xfId="0" applyNumberFormat="1" applyFont="1" applyFill="1" applyBorder="1" applyAlignment="1">
      <alignment horizontal="center" vertical="top" textRotation="45"/>
    </xf>
    <xf numFmtId="166" fontId="10" fillId="12" borderId="11" xfId="0" applyNumberFormat="1" applyFont="1" applyFill="1" applyBorder="1" applyAlignment="1">
      <alignment horizontal="center" vertical="top" textRotation="45"/>
    </xf>
    <xf numFmtId="166" fontId="10" fillId="3" borderId="18" xfId="0" applyNumberFormat="1" applyFont="1" applyFill="1" applyBorder="1" applyAlignment="1">
      <alignment horizontal="center" vertical="top" textRotation="45"/>
    </xf>
    <xf numFmtId="0" fontId="3" fillId="7" borderId="1" xfId="0" applyFont="1" applyFill="1" applyBorder="1" applyAlignment="1">
      <alignment horizontal="center" vertical="top" textRotation="45" wrapText="1"/>
    </xf>
    <xf numFmtId="0" fontId="3" fillId="11" borderId="1" xfId="0" applyFont="1" applyFill="1" applyBorder="1" applyAlignment="1">
      <alignment horizontal="center" vertical="top" textRotation="45" wrapText="1"/>
    </xf>
    <xf numFmtId="0" fontId="3" fillId="6" borderId="11" xfId="0" applyFont="1" applyFill="1" applyBorder="1" applyAlignment="1">
      <alignment horizontal="center" vertical="top" textRotation="45"/>
    </xf>
    <xf numFmtId="0" fontId="3" fillId="4" borderId="11" xfId="0" applyFont="1" applyFill="1" applyBorder="1" applyAlignment="1">
      <alignment horizontal="center" vertical="top" textRotation="45"/>
    </xf>
    <xf numFmtId="0" fontId="3" fillId="12" borderId="11" xfId="0" applyFont="1" applyFill="1" applyBorder="1" applyAlignment="1">
      <alignment horizontal="center" vertical="top" textRotation="45"/>
    </xf>
    <xf numFmtId="0" fontId="3" fillId="3" borderId="11" xfId="0" applyFont="1" applyFill="1" applyBorder="1" applyAlignment="1">
      <alignment horizontal="center" vertical="top" textRotation="45"/>
    </xf>
    <xf numFmtId="0" fontId="3" fillId="2" borderId="21" xfId="0" applyFont="1" applyFill="1" applyBorder="1" applyAlignment="1">
      <alignment horizontal="center" vertical="top" textRotation="45"/>
    </xf>
    <xf numFmtId="0" fontId="3" fillId="5" borderId="11" xfId="0" applyFont="1" applyFill="1" applyBorder="1" applyAlignment="1">
      <alignment horizontal="center" vertical="top" textRotation="45"/>
    </xf>
    <xf numFmtId="0" fontId="7" fillId="5" borderId="19" xfId="0" applyFont="1" applyFill="1" applyBorder="1" applyAlignment="1">
      <alignment horizontal="center" vertical="top" textRotation="45"/>
    </xf>
    <xf numFmtId="0" fontId="9" fillId="8" borderId="0" xfId="0" applyFont="1" applyFill="1" applyAlignment="1">
      <alignment horizontal="left"/>
    </xf>
    <xf numFmtId="0" fontId="12" fillId="13" borderId="0" xfId="0" applyFont="1" applyFill="1"/>
    <xf numFmtId="0" fontId="12" fillId="14" borderId="0" xfId="0" applyFont="1" applyFill="1"/>
    <xf numFmtId="0" fontId="12" fillId="15" borderId="0" xfId="0" applyFont="1" applyFill="1"/>
    <xf numFmtId="0" fontId="12" fillId="16" borderId="0" xfId="0" applyFont="1" applyFill="1"/>
    <xf numFmtId="0" fontId="12" fillId="17" borderId="0" xfId="0" applyFont="1" applyFill="1"/>
    <xf numFmtId="0" fontId="12" fillId="18" borderId="0" xfId="0" applyFont="1" applyFill="1"/>
    <xf numFmtId="0" fontId="12" fillId="19" borderId="0" xfId="0" applyFont="1" applyFill="1"/>
    <xf numFmtId="0" fontId="12" fillId="20" borderId="0" xfId="0" applyFont="1" applyFill="1"/>
    <xf numFmtId="0" fontId="12" fillId="21" borderId="0" xfId="0" applyFont="1" applyFill="1"/>
    <xf numFmtId="0" fontId="12" fillId="22" borderId="0" xfId="0" applyFont="1" applyFill="1"/>
    <xf numFmtId="0" fontId="12" fillId="23" borderId="0" xfId="0" applyFont="1" applyFill="1"/>
    <xf numFmtId="0" fontId="12" fillId="24" borderId="0" xfId="0" applyFont="1" applyFill="1"/>
    <xf numFmtId="0" fontId="12" fillId="25" borderId="0" xfId="0" applyFont="1" applyFill="1"/>
    <xf numFmtId="0" fontId="12" fillId="26" borderId="0" xfId="0" applyFont="1" applyFill="1"/>
    <xf numFmtId="0" fontId="12" fillId="27" borderId="0" xfId="0" applyFont="1" applyFill="1"/>
    <xf numFmtId="0" fontId="12" fillId="28" borderId="0" xfId="0" applyFont="1" applyFill="1"/>
    <xf numFmtId="0" fontId="12" fillId="29" borderId="0" xfId="0" applyFont="1" applyFill="1"/>
    <xf numFmtId="0" fontId="12" fillId="30" borderId="0" xfId="0" applyFont="1" applyFill="1"/>
    <xf numFmtId="0" fontId="12" fillId="31" borderId="0" xfId="0" applyFont="1" applyFill="1"/>
    <xf numFmtId="0" fontId="12" fillId="32" borderId="0" xfId="0" applyFont="1" applyFill="1"/>
    <xf numFmtId="0" fontId="12" fillId="33" borderId="0" xfId="0" applyFont="1" applyFill="1"/>
    <xf numFmtId="0" fontId="12" fillId="34" borderId="0" xfId="0" applyFont="1" applyFill="1"/>
    <xf numFmtId="0" fontId="12" fillId="35" borderId="0" xfId="0" applyFont="1" applyFill="1"/>
    <xf numFmtId="0" fontId="12" fillId="36" borderId="0" xfId="0" applyFont="1" applyFill="1"/>
    <xf numFmtId="0" fontId="12" fillId="37" borderId="0" xfId="0" applyFont="1" applyFill="1"/>
    <xf numFmtId="0" fontId="12" fillId="38" borderId="0" xfId="0" applyFont="1" applyFill="1"/>
    <xf numFmtId="0" fontId="12" fillId="39" borderId="0" xfId="0" applyFont="1" applyFill="1"/>
    <xf numFmtId="0" fontId="12" fillId="40" borderId="0" xfId="0" applyFont="1" applyFill="1"/>
    <xf numFmtId="0" fontId="12" fillId="41" borderId="0" xfId="0" applyFont="1" applyFill="1"/>
    <xf numFmtId="0" fontId="12" fillId="42" borderId="0" xfId="0" applyFont="1" applyFill="1"/>
    <xf numFmtId="0" fontId="12" fillId="43" borderId="0" xfId="0" applyFont="1" applyFill="1"/>
    <xf numFmtId="0" fontId="12" fillId="44" borderId="0" xfId="0" applyFont="1" applyFill="1"/>
    <xf numFmtId="0" fontId="12" fillId="45" borderId="0" xfId="0" applyFont="1" applyFill="1"/>
    <xf numFmtId="0" fontId="12" fillId="46" borderId="0" xfId="0" applyFont="1" applyFill="1"/>
    <xf numFmtId="0" fontId="12" fillId="47" borderId="0" xfId="0" applyFont="1" applyFill="1"/>
    <xf numFmtId="0" fontId="12" fillId="48" borderId="0" xfId="0" applyFont="1" applyFill="1"/>
    <xf numFmtId="0" fontId="12" fillId="49" borderId="0" xfId="0" applyFont="1" applyFill="1"/>
    <xf numFmtId="0" fontId="12" fillId="50" borderId="0" xfId="0" applyFont="1" applyFill="1"/>
    <xf numFmtId="0" fontId="12" fillId="51" borderId="0" xfId="0" applyFont="1" applyFill="1"/>
    <xf numFmtId="0" fontId="12" fillId="52" borderId="0" xfId="0" applyFont="1" applyFill="1"/>
    <xf numFmtId="0" fontId="12" fillId="53" borderId="0" xfId="0" applyFont="1" applyFill="1"/>
    <xf numFmtId="0" fontId="12" fillId="54" borderId="0" xfId="0" applyFont="1" applyFill="1"/>
    <xf numFmtId="0" fontId="12" fillId="55" borderId="0" xfId="0" applyFont="1" applyFill="1"/>
    <xf numFmtId="0" fontId="12" fillId="56" borderId="0" xfId="0" applyFont="1" applyFill="1"/>
    <xf numFmtId="0" fontId="12" fillId="57" borderId="0" xfId="0" applyFont="1" applyFill="1"/>
    <xf numFmtId="0" fontId="12" fillId="58" borderId="0" xfId="0" applyFont="1" applyFill="1"/>
    <xf numFmtId="0" fontId="12" fillId="59" borderId="0" xfId="0" applyFont="1" applyFill="1"/>
    <xf numFmtId="0" fontId="12" fillId="60" borderId="0" xfId="0" applyFont="1" applyFill="1"/>
    <xf numFmtId="0" fontId="12" fillId="62" borderId="0" xfId="0" applyFont="1" applyFill="1"/>
    <xf numFmtId="0" fontId="12" fillId="63" borderId="0" xfId="0" applyFont="1" applyFill="1"/>
    <xf numFmtId="0" fontId="12" fillId="64" borderId="0" xfId="0" applyFont="1" applyFill="1"/>
    <xf numFmtId="0" fontId="12" fillId="65" borderId="0" xfId="0" applyFont="1" applyFill="1"/>
    <xf numFmtId="0" fontId="12" fillId="66" borderId="0" xfId="0" applyFont="1" applyFill="1"/>
    <xf numFmtId="0" fontId="12" fillId="67" borderId="0" xfId="0" applyFont="1" applyFill="1"/>
    <xf numFmtId="0" fontId="12" fillId="68" borderId="0" xfId="0" applyFont="1" applyFill="1"/>
    <xf numFmtId="0" fontId="12" fillId="69" borderId="0" xfId="0" applyFont="1" applyFill="1"/>
    <xf numFmtId="0" fontId="12" fillId="70" borderId="0" xfId="0" applyFont="1" applyFill="1"/>
    <xf numFmtId="0" fontId="12" fillId="71" borderId="0" xfId="0" applyFont="1" applyFill="1"/>
    <xf numFmtId="0" fontId="12" fillId="72" borderId="0" xfId="0" applyFont="1" applyFill="1"/>
    <xf numFmtId="0" fontId="12" fillId="73" borderId="0" xfId="0" applyFont="1" applyFill="1"/>
    <xf numFmtId="0" fontId="12" fillId="74" borderId="0" xfId="0" applyFont="1" applyFill="1"/>
    <xf numFmtId="0" fontId="12" fillId="75" borderId="0" xfId="0" applyFont="1" applyFill="1"/>
    <xf numFmtId="0" fontId="12" fillId="76" borderId="0" xfId="0" applyFont="1" applyFill="1"/>
    <xf numFmtId="0" fontId="12" fillId="77" borderId="0" xfId="0" applyFont="1" applyFill="1"/>
    <xf numFmtId="0" fontId="12" fillId="78" borderId="0" xfId="0" applyFont="1" applyFill="1"/>
    <xf numFmtId="0" fontId="12" fillId="79" borderId="0" xfId="0" applyFont="1" applyFill="1"/>
    <xf numFmtId="0" fontId="12" fillId="80" borderId="0" xfId="0" applyFont="1" applyFill="1"/>
    <xf numFmtId="0" fontId="12" fillId="81" borderId="0" xfId="0" applyFont="1" applyFill="1"/>
    <xf numFmtId="1" fontId="12" fillId="13" borderId="0" xfId="0" applyNumberFormat="1" applyFont="1" applyFill="1"/>
    <xf numFmtId="1" fontId="12" fillId="14" borderId="0" xfId="0" applyNumberFormat="1" applyFont="1" applyFill="1"/>
    <xf numFmtId="1" fontId="12" fillId="15" borderId="0" xfId="0" applyNumberFormat="1" applyFont="1" applyFill="1"/>
    <xf numFmtId="1" fontId="12" fillId="80" borderId="0" xfId="0" applyNumberFormat="1" applyFont="1" applyFill="1"/>
    <xf numFmtId="1" fontId="12" fillId="16" borderId="0" xfId="0" applyNumberFormat="1" applyFont="1" applyFill="1"/>
    <xf numFmtId="1" fontId="12" fillId="17" borderId="0" xfId="0" applyNumberFormat="1" applyFont="1" applyFill="1"/>
    <xf numFmtId="1" fontId="12" fillId="18" borderId="0" xfId="0" applyNumberFormat="1" applyFont="1" applyFill="1"/>
    <xf numFmtId="1" fontId="12" fillId="19" borderId="0" xfId="0" applyNumberFormat="1" applyFont="1" applyFill="1"/>
    <xf numFmtId="1" fontId="12" fillId="20" borderId="0" xfId="0" applyNumberFormat="1" applyFont="1" applyFill="1"/>
    <xf numFmtId="1" fontId="12" fillId="21" borderId="0" xfId="0" applyNumberFormat="1" applyFont="1" applyFill="1"/>
    <xf numFmtId="1" fontId="12" fillId="22" borderId="0" xfId="0" applyNumberFormat="1" applyFont="1" applyFill="1"/>
    <xf numFmtId="1" fontId="12" fillId="79" borderId="0" xfId="0" applyNumberFormat="1" applyFont="1" applyFill="1"/>
    <xf numFmtId="1" fontId="12" fillId="23" borderId="0" xfId="0" applyNumberFormat="1" applyFont="1" applyFill="1"/>
    <xf numFmtId="1" fontId="12" fillId="24" borderId="0" xfId="0" applyNumberFormat="1" applyFont="1" applyFill="1"/>
    <xf numFmtId="1" fontId="12" fillId="25" borderId="0" xfId="0" applyNumberFormat="1" applyFont="1" applyFill="1"/>
    <xf numFmtId="1" fontId="12" fillId="26" borderId="0" xfId="0" applyNumberFormat="1" applyFont="1" applyFill="1"/>
    <xf numFmtId="1" fontId="12" fillId="27" borderId="0" xfId="0" applyNumberFormat="1" applyFont="1" applyFill="1"/>
    <xf numFmtId="1" fontId="12" fillId="28" borderId="0" xfId="0" applyNumberFormat="1" applyFont="1" applyFill="1"/>
    <xf numFmtId="1" fontId="12" fillId="29" borderId="0" xfId="0" applyNumberFormat="1" applyFont="1" applyFill="1"/>
    <xf numFmtId="1" fontId="12" fillId="30" borderId="0" xfId="0" applyNumberFormat="1" applyFont="1" applyFill="1"/>
    <xf numFmtId="1" fontId="12" fillId="31" borderId="0" xfId="0" applyNumberFormat="1" applyFont="1" applyFill="1"/>
    <xf numFmtId="1" fontId="12" fillId="32" borderId="0" xfId="0" applyNumberFormat="1" applyFont="1" applyFill="1"/>
    <xf numFmtId="1" fontId="12" fillId="33" borderId="0" xfId="0" applyNumberFormat="1" applyFont="1" applyFill="1"/>
    <xf numFmtId="1" fontId="12" fillId="34" borderId="0" xfId="0" applyNumberFormat="1" applyFont="1" applyFill="1"/>
    <xf numFmtId="1" fontId="12" fillId="35" borderId="0" xfId="0" applyNumberFormat="1" applyFont="1" applyFill="1"/>
    <xf numFmtId="1" fontId="12" fillId="36" borderId="0" xfId="0" applyNumberFormat="1" applyFont="1" applyFill="1"/>
    <xf numFmtId="1" fontId="12" fillId="37" borderId="0" xfId="0" applyNumberFormat="1" applyFont="1" applyFill="1"/>
    <xf numFmtId="1" fontId="12" fillId="38" borderId="0" xfId="0" applyNumberFormat="1" applyFont="1" applyFill="1"/>
    <xf numFmtId="1" fontId="12" fillId="39" borderId="0" xfId="0" applyNumberFormat="1" applyFont="1" applyFill="1"/>
    <xf numFmtId="1" fontId="12" fillId="40" borderId="0" xfId="0" applyNumberFormat="1" applyFont="1" applyFill="1"/>
    <xf numFmtId="1" fontId="12" fillId="41" borderId="0" xfId="0" applyNumberFormat="1" applyFont="1" applyFill="1"/>
    <xf numFmtId="1" fontId="12" fillId="42" borderId="0" xfId="0" applyNumberFormat="1" applyFont="1" applyFill="1"/>
    <xf numFmtId="1" fontId="12" fillId="43" borderId="0" xfId="0" applyNumberFormat="1" applyFont="1" applyFill="1"/>
    <xf numFmtId="1" fontId="12" fillId="44" borderId="0" xfId="0" applyNumberFormat="1" applyFont="1" applyFill="1"/>
    <xf numFmtId="1" fontId="12" fillId="45" borderId="0" xfId="0" applyNumberFormat="1" applyFont="1" applyFill="1"/>
    <xf numFmtId="1" fontId="12" fillId="46" borderId="0" xfId="0" applyNumberFormat="1" applyFont="1" applyFill="1"/>
    <xf numFmtId="1" fontId="12" fillId="47" borderId="0" xfId="0" applyNumberFormat="1" applyFont="1" applyFill="1"/>
    <xf numFmtId="1" fontId="12" fillId="48" borderId="0" xfId="0" applyNumberFormat="1" applyFont="1" applyFill="1"/>
    <xf numFmtId="1" fontId="12" fillId="49" borderId="0" xfId="0" applyNumberFormat="1" applyFont="1" applyFill="1"/>
    <xf numFmtId="1" fontId="12" fillId="50" borderId="0" xfId="0" applyNumberFormat="1" applyFont="1" applyFill="1"/>
    <xf numFmtId="1" fontId="12" fillId="51" borderId="0" xfId="0" applyNumberFormat="1" applyFont="1" applyFill="1"/>
    <xf numFmtId="1" fontId="12" fillId="81" borderId="0" xfId="0" applyNumberFormat="1" applyFont="1" applyFill="1"/>
    <xf numFmtId="1" fontId="12" fillId="52" borderId="0" xfId="0" applyNumberFormat="1" applyFont="1" applyFill="1"/>
    <xf numFmtId="1" fontId="12" fillId="53" borderId="0" xfId="0" applyNumberFormat="1" applyFont="1" applyFill="1"/>
    <xf numFmtId="1" fontId="12" fillId="54" borderId="0" xfId="0" applyNumberFormat="1" applyFont="1" applyFill="1"/>
    <xf numFmtId="1" fontId="12" fillId="55" borderId="0" xfId="0" applyNumberFormat="1" applyFont="1" applyFill="1"/>
    <xf numFmtId="1" fontId="12" fillId="56" borderId="0" xfId="0" applyNumberFormat="1" applyFont="1" applyFill="1"/>
    <xf numFmtId="1" fontId="12" fillId="57" borderId="0" xfId="0" applyNumberFormat="1" applyFont="1" applyFill="1"/>
    <xf numFmtId="1" fontId="12" fillId="58" borderId="0" xfId="0" applyNumberFormat="1" applyFont="1" applyFill="1"/>
    <xf numFmtId="1" fontId="12" fillId="59" borderId="0" xfId="0" applyNumberFormat="1" applyFont="1" applyFill="1"/>
    <xf numFmtId="1" fontId="12" fillId="60" borderId="0" xfId="0" applyNumberFormat="1" applyFont="1" applyFill="1"/>
    <xf numFmtId="1" fontId="12" fillId="61" borderId="0" xfId="0" applyNumberFormat="1" applyFont="1" applyFill="1"/>
    <xf numFmtId="1" fontId="12" fillId="62" borderId="0" xfId="0" applyNumberFormat="1" applyFont="1" applyFill="1"/>
    <xf numFmtId="1" fontId="12" fillId="63" borderId="0" xfId="0" applyNumberFormat="1" applyFont="1" applyFill="1"/>
    <xf numFmtId="1" fontId="12" fillId="64" borderId="0" xfId="0" applyNumberFormat="1" applyFont="1" applyFill="1"/>
    <xf numFmtId="1" fontId="12" fillId="65" borderId="0" xfId="0" applyNumberFormat="1" applyFont="1" applyFill="1"/>
    <xf numFmtId="1" fontId="12" fillId="66" borderId="0" xfId="0" applyNumberFormat="1" applyFont="1" applyFill="1"/>
    <xf numFmtId="1" fontId="12" fillId="67" borderId="0" xfId="0" applyNumberFormat="1" applyFont="1" applyFill="1"/>
    <xf numFmtId="1" fontId="12" fillId="68" borderId="0" xfId="0" applyNumberFormat="1" applyFont="1" applyFill="1"/>
    <xf numFmtId="1" fontId="12" fillId="69" borderId="0" xfId="0" applyNumberFormat="1" applyFont="1" applyFill="1"/>
    <xf numFmtId="1" fontId="12" fillId="70" borderId="0" xfId="0" applyNumberFormat="1" applyFont="1" applyFill="1"/>
    <xf numFmtId="1" fontId="12" fillId="71" borderId="0" xfId="0" applyNumberFormat="1" applyFont="1" applyFill="1"/>
    <xf numFmtId="1" fontId="12" fillId="72" borderId="0" xfId="0" applyNumberFormat="1" applyFont="1" applyFill="1"/>
    <xf numFmtId="1" fontId="12" fillId="73" borderId="0" xfId="0" applyNumberFormat="1" applyFont="1" applyFill="1"/>
    <xf numFmtId="1" fontId="12" fillId="74" borderId="0" xfId="0" applyNumberFormat="1" applyFont="1" applyFill="1"/>
    <xf numFmtId="1" fontId="12" fillId="75" borderId="0" xfId="0" applyNumberFormat="1" applyFont="1" applyFill="1"/>
    <xf numFmtId="1" fontId="12" fillId="76" borderId="0" xfId="0" applyNumberFormat="1" applyFont="1" applyFill="1"/>
    <xf numFmtId="1" fontId="12" fillId="77" borderId="0" xfId="0" applyNumberFormat="1" applyFont="1" applyFill="1"/>
    <xf numFmtId="1" fontId="12" fillId="78" borderId="0" xfId="0" applyNumberFormat="1" applyFont="1" applyFill="1"/>
    <xf numFmtId="1" fontId="0" fillId="0" borderId="0" xfId="0" applyNumberFormat="1"/>
    <xf numFmtId="0" fontId="12" fillId="82" borderId="0" xfId="0" applyFont="1" applyFill="1"/>
    <xf numFmtId="1" fontId="12" fillId="82" borderId="0" xfId="0" applyNumberFormat="1" applyFont="1" applyFill="1"/>
    <xf numFmtId="0" fontId="12" fillId="83" borderId="0" xfId="0" applyFont="1" applyFill="1"/>
    <xf numFmtId="1" fontId="12" fillId="83" borderId="0" xfId="0" applyNumberFormat="1" applyFont="1" applyFill="1"/>
    <xf numFmtId="0" fontId="12" fillId="84" borderId="0" xfId="0" applyFont="1" applyFill="1"/>
    <xf numFmtId="1" fontId="12" fillId="84" borderId="0" xfId="0" applyNumberFormat="1" applyFont="1" applyFill="1"/>
    <xf numFmtId="0" fontId="12" fillId="85" borderId="0" xfId="0" applyFont="1" applyFill="1"/>
    <xf numFmtId="1" fontId="12" fillId="85" borderId="0" xfId="0" applyNumberFormat="1" applyFont="1" applyFill="1"/>
    <xf numFmtId="0" fontId="12" fillId="86" borderId="0" xfId="0" applyFont="1" applyFill="1"/>
    <xf numFmtId="1" fontId="12" fillId="86" borderId="0" xfId="0" applyNumberFormat="1" applyFont="1" applyFill="1"/>
    <xf numFmtId="0" fontId="12" fillId="87" borderId="0" xfId="0" applyFont="1" applyFill="1"/>
    <xf numFmtId="1" fontId="12" fillId="87" borderId="0" xfId="0" applyNumberFormat="1" applyFont="1" applyFill="1"/>
    <xf numFmtId="0" fontId="12" fillId="88" borderId="0" xfId="0" applyFont="1" applyFill="1"/>
    <xf numFmtId="1" fontId="12" fillId="88" borderId="0" xfId="0" applyNumberFormat="1" applyFont="1" applyFill="1"/>
    <xf numFmtId="0" fontId="12" fillId="89" borderId="0" xfId="0" applyFont="1" applyFill="1"/>
    <xf numFmtId="1" fontId="12" fillId="89" borderId="0" xfId="0" applyNumberFormat="1" applyFont="1" applyFill="1"/>
    <xf numFmtId="0" fontId="12" fillId="90" borderId="0" xfId="0" applyFont="1" applyFill="1"/>
    <xf numFmtId="1" fontId="12" fillId="90" borderId="0" xfId="0" applyNumberFormat="1" applyFont="1" applyFill="1"/>
    <xf numFmtId="0" fontId="12" fillId="91" borderId="0" xfId="0" applyFont="1" applyFill="1"/>
    <xf numFmtId="1" fontId="12" fillId="91" borderId="0" xfId="0" applyNumberFormat="1" applyFont="1" applyFill="1"/>
    <xf numFmtId="0" fontId="12" fillId="92" borderId="0" xfId="0" applyFont="1" applyFill="1"/>
    <xf numFmtId="1" fontId="12" fillId="92" borderId="0" xfId="0" applyNumberFormat="1" applyFont="1" applyFill="1"/>
    <xf numFmtId="0" fontId="12" fillId="93" borderId="0" xfId="0" applyFont="1" applyFill="1"/>
    <xf numFmtId="1" fontId="12" fillId="93" borderId="0" xfId="0" applyNumberFormat="1" applyFont="1" applyFill="1"/>
    <xf numFmtId="0" fontId="12" fillId="94" borderId="0" xfId="0" applyFont="1" applyFill="1"/>
    <xf numFmtId="1" fontId="12" fillId="94" borderId="0" xfId="0" applyNumberFormat="1" applyFont="1" applyFill="1"/>
    <xf numFmtId="0" fontId="12" fillId="95" borderId="0" xfId="0" applyFont="1" applyFill="1"/>
    <xf numFmtId="1" fontId="12" fillId="95" borderId="0" xfId="0" applyNumberFormat="1" applyFont="1" applyFill="1"/>
    <xf numFmtId="0" fontId="12" fillId="96" borderId="0" xfId="0" applyFont="1" applyFill="1"/>
    <xf numFmtId="1" fontId="12" fillId="96" borderId="0" xfId="0" applyNumberFormat="1" applyFont="1" applyFill="1"/>
    <xf numFmtId="0" fontId="12" fillId="97" borderId="0" xfId="0" applyFont="1" applyFill="1"/>
    <xf numFmtId="1" fontId="12" fillId="97" borderId="0" xfId="0" applyNumberFormat="1" applyFont="1" applyFill="1"/>
    <xf numFmtId="0" fontId="12" fillId="98" borderId="0" xfId="0" applyFont="1" applyFill="1"/>
    <xf numFmtId="1" fontId="12" fillId="98" borderId="0" xfId="0" applyNumberFormat="1" applyFont="1" applyFill="1"/>
    <xf numFmtId="0" fontId="12" fillId="99" borderId="0" xfId="0" applyFont="1" applyFill="1"/>
    <xf numFmtId="1" fontId="12" fillId="99" borderId="0" xfId="0" applyNumberFormat="1" applyFont="1" applyFill="1"/>
    <xf numFmtId="0" fontId="12" fillId="100" borderId="0" xfId="0" applyFont="1" applyFill="1"/>
    <xf numFmtId="1" fontId="12" fillId="100" borderId="0" xfId="0" applyNumberFormat="1" applyFont="1" applyFill="1"/>
    <xf numFmtId="0" fontId="12" fillId="101" borderId="0" xfId="0" applyFont="1" applyFill="1"/>
    <xf numFmtId="1" fontId="12" fillId="101" borderId="0" xfId="0" applyNumberFormat="1" applyFont="1" applyFill="1"/>
    <xf numFmtId="0" fontId="12" fillId="102" borderId="0" xfId="0" applyFont="1" applyFill="1"/>
    <xf numFmtId="1" fontId="12" fillId="102" borderId="0" xfId="0" applyNumberFormat="1" applyFont="1" applyFill="1"/>
    <xf numFmtId="0" fontId="12" fillId="103" borderId="0" xfId="0" applyFont="1" applyFill="1"/>
    <xf numFmtId="1" fontId="12" fillId="103" borderId="0" xfId="0" applyNumberFormat="1" applyFont="1" applyFill="1"/>
    <xf numFmtId="0" fontId="12" fillId="104" borderId="0" xfId="0" applyFont="1" applyFill="1"/>
    <xf numFmtId="1" fontId="12" fillId="104" borderId="0" xfId="0" applyNumberFormat="1" applyFont="1" applyFill="1"/>
    <xf numFmtId="165" fontId="12" fillId="13" borderId="0" xfId="0" applyNumberFormat="1" applyFont="1" applyFill="1"/>
    <xf numFmtId="165" fontId="12" fillId="14" borderId="0" xfId="0" applyNumberFormat="1" applyFont="1" applyFill="1"/>
    <xf numFmtId="165" fontId="12" fillId="15" borderId="0" xfId="0" applyNumberFormat="1" applyFont="1" applyFill="1"/>
    <xf numFmtId="165" fontId="12" fillId="80" borderId="0" xfId="0" applyNumberFormat="1" applyFont="1" applyFill="1"/>
    <xf numFmtId="165" fontId="12" fillId="16" borderId="0" xfId="0" applyNumberFormat="1" applyFont="1" applyFill="1"/>
    <xf numFmtId="165" fontId="12" fillId="17" borderId="0" xfId="0" applyNumberFormat="1" applyFont="1" applyFill="1"/>
    <xf numFmtId="165" fontId="12" fillId="18" borderId="0" xfId="0" applyNumberFormat="1" applyFont="1" applyFill="1"/>
    <xf numFmtId="165" fontId="12" fillId="19" borderId="0" xfId="0" applyNumberFormat="1" applyFont="1" applyFill="1"/>
    <xf numFmtId="165" fontId="12" fillId="20" borderId="0" xfId="0" applyNumberFormat="1" applyFont="1" applyFill="1"/>
    <xf numFmtId="165" fontId="12" fillId="21" borderId="0" xfId="0" applyNumberFormat="1" applyFont="1" applyFill="1"/>
    <xf numFmtId="165" fontId="12" fillId="22" borderId="0" xfId="0" applyNumberFormat="1" applyFont="1" applyFill="1"/>
    <xf numFmtId="165" fontId="12" fillId="82" borderId="0" xfId="0" applyNumberFormat="1" applyFont="1" applyFill="1"/>
    <xf numFmtId="165" fontId="12" fillId="79" borderId="0" xfId="0" applyNumberFormat="1" applyFont="1" applyFill="1"/>
    <xf numFmtId="165" fontId="12" fillId="83" borderId="0" xfId="0" applyNumberFormat="1" applyFont="1" applyFill="1"/>
    <xf numFmtId="165" fontId="12" fillId="23" borderId="0" xfId="0" applyNumberFormat="1" applyFont="1" applyFill="1"/>
    <xf numFmtId="165" fontId="12" fillId="24" borderId="0" xfId="0" applyNumberFormat="1" applyFont="1" applyFill="1"/>
    <xf numFmtId="165" fontId="12" fillId="25" borderId="0" xfId="0" applyNumberFormat="1" applyFont="1" applyFill="1"/>
    <xf numFmtId="165" fontId="12" fillId="26" borderId="0" xfId="0" applyNumberFormat="1" applyFont="1" applyFill="1"/>
    <xf numFmtId="165" fontId="12" fillId="27" borderId="0" xfId="0" applyNumberFormat="1" applyFont="1" applyFill="1"/>
    <xf numFmtId="165" fontId="12" fillId="28" borderId="0" xfId="0" applyNumberFormat="1" applyFont="1" applyFill="1"/>
    <xf numFmtId="165" fontId="12" fillId="29" borderId="0" xfId="0" applyNumberFormat="1" applyFont="1" applyFill="1"/>
    <xf numFmtId="165" fontId="12" fillId="84" borderId="0" xfId="0" applyNumberFormat="1" applyFont="1" applyFill="1"/>
    <xf numFmtId="165" fontId="12" fillId="85" borderId="0" xfId="0" applyNumberFormat="1" applyFont="1" applyFill="1"/>
    <xf numFmtId="165" fontId="12" fillId="86" borderId="0" xfId="0" applyNumberFormat="1" applyFont="1" applyFill="1"/>
    <xf numFmtId="165" fontId="12" fillId="87" borderId="0" xfId="0" applyNumberFormat="1" applyFont="1" applyFill="1"/>
    <xf numFmtId="165" fontId="12" fillId="30" borderId="0" xfId="0" applyNumberFormat="1" applyFont="1" applyFill="1"/>
    <xf numFmtId="165" fontId="12" fillId="31" borderId="0" xfId="0" applyNumberFormat="1" applyFont="1" applyFill="1"/>
    <xf numFmtId="165" fontId="12" fillId="32" borderId="0" xfId="0" applyNumberFormat="1" applyFont="1" applyFill="1"/>
    <xf numFmtId="165" fontId="12" fillId="33" borderId="0" xfId="0" applyNumberFormat="1" applyFont="1" applyFill="1"/>
    <xf numFmtId="165" fontId="12" fillId="34" borderId="0" xfId="0" applyNumberFormat="1" applyFont="1" applyFill="1"/>
    <xf numFmtId="165" fontId="12" fillId="35" borderId="0" xfId="0" applyNumberFormat="1" applyFont="1" applyFill="1"/>
    <xf numFmtId="165" fontId="12" fillId="36" borderId="0" xfId="0" applyNumberFormat="1" applyFont="1" applyFill="1"/>
    <xf numFmtId="165" fontId="12" fillId="37" borderId="0" xfId="0" applyNumberFormat="1" applyFont="1" applyFill="1"/>
    <xf numFmtId="165" fontId="12" fillId="38" borderId="0" xfId="0" applyNumberFormat="1" applyFont="1" applyFill="1"/>
    <xf numFmtId="165" fontId="12" fillId="39" borderId="0" xfId="0" applyNumberFormat="1" applyFont="1" applyFill="1"/>
    <xf numFmtId="165" fontId="12" fillId="40" borderId="0" xfId="0" applyNumberFormat="1" applyFont="1" applyFill="1"/>
    <xf numFmtId="165" fontId="12" fillId="41" borderId="0" xfId="0" applyNumberFormat="1" applyFont="1" applyFill="1"/>
    <xf numFmtId="165" fontId="12" fillId="42" borderId="0" xfId="0" applyNumberFormat="1" applyFont="1" applyFill="1"/>
    <xf numFmtId="165" fontId="12" fillId="43" borderId="0" xfId="0" applyNumberFormat="1" applyFont="1" applyFill="1"/>
    <xf numFmtId="165" fontId="12" fillId="88" borderId="0" xfId="0" applyNumberFormat="1" applyFont="1" applyFill="1"/>
    <xf numFmtId="165" fontId="12" fillId="89" borderId="0" xfId="0" applyNumberFormat="1" applyFont="1" applyFill="1"/>
    <xf numFmtId="165" fontId="12" fillId="44" borderId="0" xfId="0" applyNumberFormat="1" applyFont="1" applyFill="1"/>
    <xf numFmtId="165" fontId="12" fillId="45" borderId="0" xfId="0" applyNumberFormat="1" applyFont="1" applyFill="1"/>
    <xf numFmtId="165" fontId="12" fillId="46" borderId="0" xfId="0" applyNumberFormat="1" applyFont="1" applyFill="1"/>
    <xf numFmtId="165" fontId="12" fillId="90" borderId="0" xfId="0" applyNumberFormat="1" applyFont="1" applyFill="1"/>
    <xf numFmtId="165" fontId="12" fillId="47" borderId="0" xfId="0" applyNumberFormat="1" applyFont="1" applyFill="1"/>
    <xf numFmtId="165" fontId="12" fillId="91" borderId="0" xfId="0" applyNumberFormat="1" applyFont="1" applyFill="1"/>
    <xf numFmtId="165" fontId="12" fillId="48" borderId="0" xfId="0" applyNumberFormat="1" applyFont="1" applyFill="1"/>
    <xf numFmtId="165" fontId="12" fillId="49" borderId="0" xfId="0" applyNumberFormat="1" applyFont="1" applyFill="1"/>
    <xf numFmtId="165" fontId="12" fillId="50" borderId="0" xfId="0" applyNumberFormat="1" applyFont="1" applyFill="1"/>
    <xf numFmtId="165" fontId="12" fillId="51" borderId="0" xfId="0" applyNumberFormat="1" applyFont="1" applyFill="1"/>
    <xf numFmtId="165" fontId="12" fillId="81" borderId="0" xfId="0" applyNumberFormat="1" applyFont="1" applyFill="1"/>
    <xf numFmtId="165" fontId="12" fillId="52" borderId="0" xfId="0" applyNumberFormat="1" applyFont="1" applyFill="1"/>
    <xf numFmtId="165" fontId="12" fillId="92" borderId="0" xfId="0" applyNumberFormat="1" applyFont="1" applyFill="1"/>
    <xf numFmtId="165" fontId="12" fillId="53" borderId="0" xfId="0" applyNumberFormat="1" applyFont="1" applyFill="1"/>
    <xf numFmtId="165" fontId="12" fillId="54" borderId="0" xfId="0" applyNumberFormat="1" applyFont="1" applyFill="1"/>
    <xf numFmtId="165" fontId="12" fillId="93" borderId="0" xfId="0" applyNumberFormat="1" applyFont="1" applyFill="1"/>
    <xf numFmtId="165" fontId="12" fillId="55" borderId="0" xfId="0" applyNumberFormat="1" applyFont="1" applyFill="1"/>
    <xf numFmtId="165" fontId="12" fillId="56" borderId="0" xfId="0" applyNumberFormat="1" applyFont="1" applyFill="1"/>
    <xf numFmtId="165" fontId="12" fillId="57" borderId="0" xfId="0" applyNumberFormat="1" applyFont="1" applyFill="1"/>
    <xf numFmtId="165" fontId="12" fillId="58" borderId="0" xfId="0" applyNumberFormat="1" applyFont="1" applyFill="1"/>
    <xf numFmtId="165" fontId="12" fillId="94" borderId="0" xfId="0" applyNumberFormat="1" applyFont="1" applyFill="1"/>
    <xf numFmtId="165" fontId="12" fillId="59" borderId="0" xfId="0" applyNumberFormat="1" applyFont="1" applyFill="1"/>
    <xf numFmtId="165" fontId="12" fillId="60" borderId="0" xfId="0" applyNumberFormat="1" applyFont="1" applyFill="1"/>
    <xf numFmtId="165" fontId="12" fillId="61" borderId="0" xfId="0" applyNumberFormat="1" applyFont="1" applyFill="1"/>
    <xf numFmtId="165" fontId="12" fillId="62" borderId="0" xfId="0" applyNumberFormat="1" applyFont="1" applyFill="1"/>
    <xf numFmtId="165" fontId="12" fillId="63" borderId="0" xfId="0" applyNumberFormat="1" applyFont="1" applyFill="1"/>
    <xf numFmtId="165" fontId="12" fillId="64" borderId="0" xfId="0" applyNumberFormat="1" applyFont="1" applyFill="1"/>
    <xf numFmtId="165" fontId="12" fillId="95" borderId="0" xfId="0" applyNumberFormat="1" applyFont="1" applyFill="1"/>
    <xf numFmtId="165" fontId="12" fillId="65" borderId="0" xfId="0" applyNumberFormat="1" applyFont="1" applyFill="1"/>
    <xf numFmtId="165" fontId="12" fillId="66" borderId="0" xfId="0" applyNumberFormat="1" applyFont="1" applyFill="1"/>
    <xf numFmtId="165" fontId="12" fillId="67" borderId="0" xfId="0" applyNumberFormat="1" applyFont="1" applyFill="1"/>
    <xf numFmtId="165" fontId="12" fillId="96" borderId="0" xfId="0" applyNumberFormat="1" applyFont="1" applyFill="1"/>
    <xf numFmtId="165" fontId="12" fillId="97" borderId="0" xfId="0" applyNumberFormat="1" applyFont="1" applyFill="1"/>
    <xf numFmtId="165" fontId="12" fillId="68" borderId="0" xfId="0" applyNumberFormat="1" applyFont="1" applyFill="1"/>
    <xf numFmtId="165" fontId="12" fillId="69" borderId="0" xfId="0" applyNumberFormat="1" applyFont="1" applyFill="1"/>
    <xf numFmtId="165" fontId="12" fillId="70" borderId="0" xfId="0" applyNumberFormat="1" applyFont="1" applyFill="1"/>
    <xf numFmtId="165" fontId="12" fillId="71" borderId="0" xfId="0" applyNumberFormat="1" applyFont="1" applyFill="1"/>
    <xf numFmtId="165" fontId="12" fillId="98" borderId="0" xfId="0" applyNumberFormat="1" applyFont="1" applyFill="1"/>
    <xf numFmtId="165" fontId="12" fillId="72" borderId="0" xfId="0" applyNumberFormat="1" applyFont="1" applyFill="1"/>
    <xf numFmtId="165" fontId="12" fillId="99" borderId="0" xfId="0" applyNumberFormat="1" applyFont="1" applyFill="1"/>
    <xf numFmtId="165" fontId="12" fillId="73" borderId="0" xfId="0" applyNumberFormat="1" applyFont="1" applyFill="1"/>
    <xf numFmtId="165" fontId="12" fillId="74" borderId="0" xfId="0" applyNumberFormat="1" applyFont="1" applyFill="1"/>
    <xf numFmtId="165" fontId="12" fillId="75" borderId="0" xfId="0" applyNumberFormat="1" applyFont="1" applyFill="1"/>
    <xf numFmtId="165" fontId="12" fillId="100" borderId="0" xfId="0" applyNumberFormat="1" applyFont="1" applyFill="1"/>
    <xf numFmtId="165" fontId="12" fillId="101" borderId="0" xfId="0" applyNumberFormat="1" applyFont="1" applyFill="1"/>
    <xf numFmtId="165" fontId="12" fillId="76" borderId="0" xfId="0" applyNumberFormat="1" applyFont="1" applyFill="1"/>
    <xf numFmtId="165" fontId="12" fillId="77" borderId="0" xfId="0" applyNumberFormat="1" applyFont="1" applyFill="1"/>
    <xf numFmtId="165" fontId="12" fillId="102" borderId="0" xfId="0" applyNumberFormat="1" applyFont="1" applyFill="1"/>
    <xf numFmtId="165" fontId="12" fillId="78" borderId="0" xfId="0" applyNumberFormat="1" applyFont="1" applyFill="1"/>
    <xf numFmtId="165" fontId="12" fillId="103" borderId="0" xfId="0" applyNumberFormat="1" applyFont="1" applyFill="1"/>
    <xf numFmtId="165" fontId="12" fillId="104" borderId="0" xfId="0" applyNumberFormat="1" applyFont="1" applyFill="1"/>
    <xf numFmtId="0" fontId="0" fillId="0" borderId="2" xfId="0" applyBorder="1"/>
    <xf numFmtId="0" fontId="14" fillId="0" borderId="25" xfId="0" applyFont="1" applyBorder="1"/>
    <xf numFmtId="165" fontId="10" fillId="3" borderId="4" xfId="0" applyNumberFormat="1" applyFont="1" applyFill="1" applyBorder="1"/>
    <xf numFmtId="165" fontId="10" fillId="7" borderId="1" xfId="0" applyNumberFormat="1" applyFont="1" applyFill="1" applyBorder="1" applyAlignment="1">
      <alignment horizontal="center" vertical="top" textRotation="45" wrapText="1"/>
    </xf>
    <xf numFmtId="165" fontId="10" fillId="7" borderId="4" xfId="0" applyNumberFormat="1" applyFont="1" applyFill="1" applyBorder="1"/>
    <xf numFmtId="165" fontId="10" fillId="7" borderId="8" xfId="0" applyNumberFormat="1" applyFont="1" applyFill="1" applyBorder="1"/>
    <xf numFmtId="165" fontId="7" fillId="3" borderId="1" xfId="0" applyNumberFormat="1" applyFont="1" applyFill="1" applyBorder="1" applyAlignment="1">
      <alignment horizontal="center" vertical="top" textRotation="45" wrapText="1"/>
    </xf>
    <xf numFmtId="165" fontId="10" fillId="11" borderId="1" xfId="0" applyNumberFormat="1" applyFont="1" applyFill="1" applyBorder="1" applyAlignment="1">
      <alignment horizontal="center" vertical="top" textRotation="45" wrapText="1"/>
    </xf>
    <xf numFmtId="165" fontId="10" fillId="11" borderId="4" xfId="0" applyNumberFormat="1" applyFont="1" applyFill="1" applyBorder="1"/>
    <xf numFmtId="165" fontId="10" fillId="6" borderId="11" xfId="0" applyNumberFormat="1" applyFont="1" applyFill="1" applyBorder="1" applyAlignment="1">
      <alignment horizontal="center" vertical="top" textRotation="45"/>
    </xf>
    <xf numFmtId="165" fontId="10" fillId="6" borderId="4" xfId="0" applyNumberFormat="1" applyFont="1" applyFill="1" applyBorder="1"/>
    <xf numFmtId="165" fontId="10" fillId="4" borderId="11" xfId="0" applyNumberFormat="1" applyFont="1" applyFill="1" applyBorder="1" applyAlignment="1">
      <alignment horizontal="center" vertical="top" textRotation="45"/>
    </xf>
    <xf numFmtId="165" fontId="10" fillId="4" borderId="4" xfId="0" applyNumberFormat="1" applyFont="1" applyFill="1" applyBorder="1"/>
    <xf numFmtId="165" fontId="10" fillId="12" borderId="11" xfId="0" applyNumberFormat="1" applyFont="1" applyFill="1" applyBorder="1" applyAlignment="1">
      <alignment horizontal="center" vertical="top" textRotation="45"/>
    </xf>
    <xf numFmtId="165" fontId="10" fillId="12" borderId="4" xfId="0" applyNumberFormat="1" applyFont="1" applyFill="1" applyBorder="1"/>
    <xf numFmtId="165" fontId="10" fillId="3" borderId="11" xfId="0" applyNumberFormat="1" applyFont="1" applyFill="1" applyBorder="1" applyAlignment="1">
      <alignment horizontal="center" vertical="top" textRotation="45"/>
    </xf>
    <xf numFmtId="165" fontId="7" fillId="2" borderId="21" xfId="0" applyNumberFormat="1" applyFont="1" applyFill="1" applyBorder="1" applyAlignment="1">
      <alignment horizontal="center" vertical="top" textRotation="45"/>
    </xf>
    <xf numFmtId="165" fontId="10" fillId="2" borderId="4" xfId="0" applyNumberFormat="1" applyFont="1" applyFill="1" applyBorder="1"/>
    <xf numFmtId="165" fontId="7" fillId="5" borderId="11" xfId="0" applyNumberFormat="1" applyFont="1" applyFill="1" applyBorder="1" applyAlignment="1">
      <alignment horizontal="center" vertical="top" textRotation="45"/>
    </xf>
    <xf numFmtId="165" fontId="10" fillId="5" borderId="4" xfId="0" applyNumberFormat="1" applyFont="1" applyFill="1" applyBorder="1"/>
    <xf numFmtId="0" fontId="13" fillId="61" borderId="0" xfId="0" applyFont="1" applyFill="1"/>
    <xf numFmtId="0" fontId="12" fillId="105" borderId="0" xfId="0" applyFont="1" applyFill="1"/>
    <xf numFmtId="165" fontId="12" fillId="105" borderId="0" xfId="0" applyNumberFormat="1" applyFont="1" applyFill="1"/>
    <xf numFmtId="1" fontId="12" fillId="105" borderId="0" xfId="0" applyNumberFormat="1" applyFont="1" applyFill="1"/>
    <xf numFmtId="0" fontId="12" fillId="106" borderId="0" xfId="0" applyFont="1" applyFill="1"/>
    <xf numFmtId="165" fontId="12" fillId="106" borderId="0" xfId="0" applyNumberFormat="1" applyFont="1" applyFill="1"/>
    <xf numFmtId="1" fontId="12" fillId="106" borderId="0" xfId="0" applyNumberFormat="1" applyFont="1" applyFill="1"/>
    <xf numFmtId="0" fontId="12" fillId="107" borderId="0" xfId="0" applyFont="1" applyFill="1"/>
    <xf numFmtId="165" fontId="12" fillId="107" borderId="0" xfId="0" applyNumberFormat="1" applyFont="1" applyFill="1"/>
    <xf numFmtId="1" fontId="12" fillId="107" borderId="0" xfId="0" applyNumberFormat="1" applyFont="1" applyFill="1"/>
    <xf numFmtId="0" fontId="12" fillId="108" borderId="0" xfId="0" applyFont="1" applyFill="1"/>
    <xf numFmtId="165" fontId="12" fillId="108" borderId="0" xfId="0" applyNumberFormat="1" applyFont="1" applyFill="1"/>
    <xf numFmtId="1" fontId="12" fillId="108" borderId="0" xfId="0" applyNumberFormat="1" applyFont="1" applyFill="1"/>
    <xf numFmtId="0" fontId="12" fillId="109" borderId="0" xfId="0" applyFont="1" applyFill="1"/>
    <xf numFmtId="165" fontId="12" fillId="109" borderId="0" xfId="0" applyNumberFormat="1" applyFont="1" applyFill="1"/>
    <xf numFmtId="1" fontId="12" fillId="109" borderId="0" xfId="0" applyNumberFormat="1" applyFont="1" applyFill="1"/>
    <xf numFmtId="0" fontId="12" fillId="110" borderId="0" xfId="0" applyFont="1" applyFill="1"/>
    <xf numFmtId="165" fontId="12" fillId="110" borderId="0" xfId="0" applyNumberFormat="1" applyFont="1" applyFill="1"/>
    <xf numFmtId="1" fontId="12" fillId="110" borderId="0" xfId="0" applyNumberFormat="1" applyFont="1" applyFill="1"/>
    <xf numFmtId="0" fontId="12" fillId="111" borderId="0" xfId="0" applyFont="1" applyFill="1"/>
    <xf numFmtId="165" fontId="12" fillId="111" borderId="0" xfId="0" applyNumberFormat="1" applyFont="1" applyFill="1"/>
    <xf numFmtId="1" fontId="12" fillId="111" borderId="0" xfId="0" applyNumberFormat="1" applyFont="1" applyFill="1"/>
    <xf numFmtId="0" fontId="12" fillId="112" borderId="0" xfId="0" applyFont="1" applyFill="1"/>
    <xf numFmtId="165" fontId="12" fillId="112" borderId="0" xfId="0" applyNumberFormat="1" applyFont="1" applyFill="1"/>
    <xf numFmtId="1" fontId="12" fillId="112" borderId="0" xfId="0" applyNumberFormat="1" applyFont="1" applyFill="1"/>
    <xf numFmtId="0" fontId="12" fillId="113" borderId="0" xfId="0" applyFont="1" applyFill="1"/>
    <xf numFmtId="165" fontId="12" fillId="113" borderId="0" xfId="0" applyNumberFormat="1" applyFont="1" applyFill="1"/>
    <xf numFmtId="1" fontId="12" fillId="113" borderId="0" xfId="0" applyNumberFormat="1" applyFont="1" applyFill="1"/>
    <xf numFmtId="0" fontId="12" fillId="114" borderId="0" xfId="0" applyFont="1" applyFill="1"/>
    <xf numFmtId="165" fontId="12" fillId="114" borderId="0" xfId="0" applyNumberFormat="1" applyFont="1" applyFill="1"/>
    <xf numFmtId="1" fontId="12" fillId="114" borderId="0" xfId="0" applyNumberFormat="1" applyFont="1" applyFill="1"/>
    <xf numFmtId="0" fontId="12" fillId="115" borderId="0" xfId="0" applyFont="1" applyFill="1"/>
    <xf numFmtId="165" fontId="12" fillId="115" borderId="0" xfId="0" applyNumberFormat="1" applyFont="1" applyFill="1"/>
    <xf numFmtId="1" fontId="12" fillId="115" borderId="0" xfId="0" applyNumberFormat="1" applyFont="1" applyFill="1"/>
    <xf numFmtId="0" fontId="12" fillId="116" borderId="0" xfId="0" applyFont="1" applyFill="1"/>
    <xf numFmtId="165" fontId="12" fillId="116" borderId="0" xfId="0" applyNumberFormat="1" applyFont="1" applyFill="1"/>
    <xf numFmtId="1" fontId="12" fillId="116" borderId="0" xfId="0" applyNumberFormat="1" applyFont="1" applyFill="1"/>
    <xf numFmtId="0" fontId="12" fillId="117" borderId="0" xfId="0" applyFont="1" applyFill="1"/>
    <xf numFmtId="165" fontId="12" fillId="117" borderId="0" xfId="0" applyNumberFormat="1" applyFont="1" applyFill="1"/>
    <xf numFmtId="1" fontId="12" fillId="117" borderId="0" xfId="0" applyNumberFormat="1" applyFont="1" applyFill="1"/>
    <xf numFmtId="0" fontId="12" fillId="118" borderId="0" xfId="0" applyFont="1" applyFill="1"/>
    <xf numFmtId="165" fontId="12" fillId="118" borderId="0" xfId="0" applyNumberFormat="1" applyFont="1" applyFill="1"/>
    <xf numFmtId="1" fontId="12" fillId="118" borderId="0" xfId="0" applyNumberFormat="1" applyFont="1" applyFill="1"/>
    <xf numFmtId="165" fontId="10" fillId="7" borderId="17" xfId="0" applyNumberFormat="1" applyFont="1" applyFill="1" applyBorder="1"/>
    <xf numFmtId="165" fontId="10" fillId="11" borderId="17" xfId="0" applyNumberFormat="1" applyFont="1" applyFill="1" applyBorder="1"/>
    <xf numFmtId="165" fontId="10" fillId="6" borderId="17" xfId="0" applyNumberFormat="1" applyFont="1" applyFill="1" applyBorder="1"/>
    <xf numFmtId="165" fontId="10" fillId="4" borderId="17" xfId="0" applyNumberFormat="1" applyFont="1" applyFill="1" applyBorder="1"/>
    <xf numFmtId="165" fontId="10" fillId="12" borderId="17" xfId="0" applyNumberFormat="1" applyFont="1" applyFill="1" applyBorder="1"/>
    <xf numFmtId="165" fontId="10" fillId="3" borderId="17" xfId="0" applyNumberFormat="1" applyFont="1" applyFill="1" applyBorder="1"/>
    <xf numFmtId="165" fontId="10" fillId="2" borderId="17" xfId="0" applyNumberFormat="1" applyFont="1" applyFill="1" applyBorder="1"/>
    <xf numFmtId="165" fontId="10" fillId="5" borderId="17" xfId="0" applyNumberFormat="1" applyFont="1" applyFill="1" applyBorder="1"/>
    <xf numFmtId="0" fontId="0" fillId="8" borderId="17" xfId="0" applyFill="1" applyBorder="1" applyAlignment="1">
      <alignment horizontal="left"/>
    </xf>
    <xf numFmtId="9" fontId="0" fillId="0" borderId="0" xfId="3" applyFont="1" applyAlignment="1">
      <alignment horizontal="left" vertical="top" textRotation="45"/>
    </xf>
    <xf numFmtId="9" fontId="0" fillId="0" borderId="0" xfId="3" applyFont="1"/>
    <xf numFmtId="0" fontId="2" fillId="119" borderId="26" xfId="0" applyFont="1" applyFill="1" applyBorder="1"/>
    <xf numFmtId="0" fontId="12" fillId="8" borderId="0" xfId="0" applyFont="1" applyFill="1" applyAlignment="1">
      <alignment horizontal="left"/>
    </xf>
    <xf numFmtId="2" fontId="0" fillId="0" borderId="0" xfId="0" applyNumberFormat="1"/>
    <xf numFmtId="2" fontId="5" fillId="2" borderId="3" xfId="0" applyNumberFormat="1" applyFont="1" applyFill="1" applyBorder="1" applyAlignment="1">
      <alignment horizontal="center" vertical="top" textRotation="45"/>
    </xf>
    <xf numFmtId="2" fontId="5" fillId="2" borderId="5" xfId="0" applyNumberFormat="1" applyFont="1" applyFill="1" applyBorder="1" applyAlignment="1">
      <alignment horizontal="center" vertical="top" textRotation="45"/>
    </xf>
    <xf numFmtId="165" fontId="10" fillId="3" borderId="8" xfId="0" applyNumberFormat="1" applyFont="1" applyFill="1" applyBorder="1"/>
    <xf numFmtId="165" fontId="10" fillId="7" borderId="9" xfId="0" applyNumberFormat="1" applyFont="1" applyFill="1" applyBorder="1"/>
    <xf numFmtId="165" fontId="10" fillId="11" borderId="8" xfId="0" applyNumberFormat="1" applyFont="1" applyFill="1" applyBorder="1"/>
    <xf numFmtId="165" fontId="10" fillId="11" borderId="2" xfId="0" applyNumberFormat="1" applyFont="1" applyFill="1" applyBorder="1"/>
    <xf numFmtId="165" fontId="10" fillId="2" borderId="23" xfId="0" applyNumberFormat="1" applyFont="1" applyFill="1" applyBorder="1"/>
    <xf numFmtId="165" fontId="10" fillId="2" borderId="25" xfId="0" applyNumberFormat="1" applyFont="1" applyFill="1" applyBorder="1"/>
    <xf numFmtId="0" fontId="5" fillId="5" borderId="5" xfId="0" applyFont="1" applyFill="1" applyBorder="1" applyAlignment="1">
      <alignment horizontal="center" vertical="top" textRotation="45" wrapText="1"/>
    </xf>
    <xf numFmtId="165" fontId="3" fillId="7" borderId="4" xfId="0" applyNumberFormat="1" applyFont="1" applyFill="1" applyBorder="1"/>
    <xf numFmtId="165" fontId="3" fillId="7" borderId="17" xfId="0" applyNumberFormat="1" applyFont="1" applyFill="1" applyBorder="1"/>
    <xf numFmtId="165" fontId="3" fillId="7" borderId="2" xfId="0" applyNumberFormat="1" applyFont="1" applyFill="1" applyBorder="1"/>
    <xf numFmtId="165" fontId="3" fillId="11" borderId="4" xfId="0" applyNumberFormat="1" applyFont="1" applyFill="1" applyBorder="1"/>
    <xf numFmtId="165" fontId="3" fillId="11" borderId="17" xfId="0" applyNumberFormat="1" applyFont="1" applyFill="1" applyBorder="1"/>
    <xf numFmtId="165" fontId="3" fillId="11" borderId="2" xfId="0" applyNumberFormat="1" applyFont="1" applyFill="1" applyBorder="1"/>
    <xf numFmtId="165" fontId="3" fillId="6" borderId="4" xfId="0" applyNumberFormat="1" applyFont="1" applyFill="1" applyBorder="1"/>
    <xf numFmtId="165" fontId="3" fillId="6" borderId="17" xfId="0" applyNumberFormat="1" applyFont="1" applyFill="1" applyBorder="1"/>
    <xf numFmtId="165" fontId="3" fillId="3" borderId="4" xfId="0" applyNumberFormat="1" applyFont="1" applyFill="1" applyBorder="1"/>
    <xf numFmtId="165" fontId="3" fillId="3" borderId="17" xfId="0" applyNumberFormat="1" applyFont="1" applyFill="1" applyBorder="1"/>
    <xf numFmtId="165" fontId="3" fillId="3" borderId="2" xfId="0" applyNumberFormat="1" applyFont="1" applyFill="1" applyBorder="1"/>
    <xf numFmtId="165" fontId="10" fillId="3" borderId="9" xfId="0" applyNumberFormat="1" applyFont="1" applyFill="1" applyBorder="1"/>
    <xf numFmtId="165" fontId="10" fillId="11" borderId="9" xfId="0" applyNumberFormat="1" applyFont="1" applyFill="1" applyBorder="1"/>
    <xf numFmtId="165" fontId="3" fillId="4" borderId="4" xfId="0" applyNumberFormat="1" applyFont="1" applyFill="1" applyBorder="1"/>
    <xf numFmtId="165" fontId="3" fillId="12" borderId="4" xfId="0" applyNumberFormat="1" applyFont="1" applyFill="1" applyBorder="1"/>
    <xf numFmtId="165" fontId="10" fillId="3" borderId="2" xfId="0" applyNumberFormat="1" applyFont="1" applyFill="1" applyBorder="1"/>
    <xf numFmtId="165" fontId="3" fillId="2" borderId="4" xfId="0" applyNumberFormat="1" applyFont="1" applyFill="1" applyBorder="1"/>
    <xf numFmtId="165" fontId="10" fillId="2" borderId="24" xfId="0" applyNumberFormat="1" applyFont="1" applyFill="1" applyBorder="1"/>
    <xf numFmtId="165" fontId="3" fillId="5" borderId="4" xfId="0" applyNumberFormat="1" applyFont="1" applyFill="1" applyBorder="1"/>
    <xf numFmtId="165" fontId="3" fillId="6" borderId="2" xfId="0" applyNumberFormat="1" applyFont="1" applyFill="1" applyBorder="1"/>
    <xf numFmtId="165" fontId="10" fillId="6" borderId="2" xfId="0" applyNumberFormat="1" applyFont="1" applyFill="1" applyBorder="1"/>
    <xf numFmtId="165" fontId="3" fillId="4" borderId="17" xfId="0" applyNumberFormat="1" applyFont="1" applyFill="1" applyBorder="1"/>
    <xf numFmtId="165" fontId="3" fillId="4" borderId="2" xfId="0" applyNumberFormat="1" applyFont="1" applyFill="1" applyBorder="1"/>
    <xf numFmtId="165" fontId="10" fillId="4" borderId="2" xfId="0" applyNumberFormat="1" applyFont="1" applyFill="1" applyBorder="1"/>
    <xf numFmtId="165" fontId="3" fillId="12" borderId="17" xfId="0" applyNumberFormat="1" applyFont="1" applyFill="1" applyBorder="1"/>
    <xf numFmtId="165" fontId="3" fillId="12" borderId="2" xfId="0" applyNumberFormat="1" applyFont="1" applyFill="1" applyBorder="1"/>
    <xf numFmtId="165" fontId="10" fillId="12" borderId="2" xfId="0" applyNumberFormat="1" applyFont="1" applyFill="1" applyBorder="1"/>
    <xf numFmtId="165" fontId="3" fillId="2" borderId="17" xfId="0" applyNumberFormat="1" applyFont="1" applyFill="1" applyBorder="1"/>
    <xf numFmtId="165" fontId="3" fillId="2" borderId="2" xfId="0" applyNumberFormat="1" applyFont="1" applyFill="1" applyBorder="1"/>
    <xf numFmtId="165" fontId="10" fillId="2" borderId="2" xfId="0" applyNumberFormat="1" applyFont="1" applyFill="1" applyBorder="1"/>
    <xf numFmtId="165" fontId="3" fillId="5" borderId="17" xfId="0" applyNumberFormat="1" applyFont="1" applyFill="1" applyBorder="1"/>
    <xf numFmtId="165" fontId="3" fillId="5" borderId="2" xfId="0" applyNumberFormat="1" applyFont="1" applyFill="1" applyBorder="1"/>
    <xf numFmtId="2" fontId="11" fillId="10" borderId="9" xfId="0" applyNumberFormat="1" applyFont="1" applyFill="1" applyBorder="1"/>
    <xf numFmtId="167" fontId="8" fillId="10" borderId="7" xfId="0" applyNumberFormat="1" applyFont="1" applyFill="1" applyBorder="1" applyAlignment="1">
      <alignment horizontal="center" vertical="top" textRotation="45" wrapText="1"/>
    </xf>
    <xf numFmtId="168" fontId="0" fillId="0" borderId="0" xfId="0" applyNumberFormat="1"/>
    <xf numFmtId="165" fontId="10" fillId="3" borderId="24" xfId="0" applyNumberFormat="1" applyFont="1" applyFill="1" applyBorder="1"/>
    <xf numFmtId="165" fontId="10" fillId="3" borderId="0" xfId="0" applyNumberFormat="1" applyFont="1" applyFill="1"/>
    <xf numFmtId="165" fontId="10" fillId="7" borderId="0" xfId="0" applyNumberFormat="1" applyFont="1" applyFill="1"/>
    <xf numFmtId="165" fontId="10" fillId="11" borderId="0" xfId="0" applyNumberFormat="1" applyFont="1" applyFill="1"/>
    <xf numFmtId="165" fontId="10" fillId="6" borderId="0" xfId="0" applyNumberFormat="1" applyFont="1" applyFill="1"/>
    <xf numFmtId="165" fontId="10" fillId="4" borderId="0" xfId="0" applyNumberFormat="1" applyFont="1" applyFill="1"/>
    <xf numFmtId="165" fontId="10" fillId="12" borderId="0" xfId="0" applyNumberFormat="1" applyFont="1" applyFill="1"/>
    <xf numFmtId="165" fontId="10" fillId="2" borderId="0" xfId="0" applyNumberFormat="1" applyFont="1" applyFill="1"/>
    <xf numFmtId="165" fontId="10" fillId="5" borderId="0" xfId="0" applyNumberFormat="1" applyFont="1" applyFill="1"/>
    <xf numFmtId="0" fontId="0" fillId="8" borderId="29" xfId="0" applyFill="1" applyBorder="1" applyAlignment="1">
      <alignment horizontal="left"/>
    </xf>
    <xf numFmtId="0" fontId="0" fillId="8" borderId="27" xfId="0" applyFill="1" applyBorder="1" applyAlignment="1">
      <alignment horizontal="left"/>
    </xf>
    <xf numFmtId="165" fontId="11" fillId="10" borderId="9" xfId="0" applyNumberFormat="1" applyFont="1" applyFill="1" applyBorder="1"/>
    <xf numFmtId="165" fontId="5" fillId="2" borderId="0" xfId="0" applyNumberFormat="1" applyFont="1" applyFill="1"/>
    <xf numFmtId="165" fontId="5" fillId="10" borderId="17" xfId="0" applyNumberFormat="1" applyFont="1" applyFill="1" applyBorder="1"/>
    <xf numFmtId="165" fontId="5" fillId="5" borderId="8" xfId="0" applyNumberFormat="1" applyFont="1" applyFill="1" applyBorder="1"/>
    <xf numFmtId="165" fontId="5" fillId="5" borderId="17" xfId="0" applyNumberFormat="1" applyFont="1" applyFill="1" applyBorder="1"/>
    <xf numFmtId="165" fontId="5" fillId="5" borderId="4" xfId="0" applyNumberFormat="1" applyFont="1" applyFill="1" applyBorder="1"/>
    <xf numFmtId="165" fontId="5" fillId="2" borderId="8" xfId="0" applyNumberFormat="1" applyFont="1" applyFill="1" applyBorder="1"/>
    <xf numFmtId="165" fontId="0" fillId="2" borderId="0" xfId="0" applyNumberFormat="1" applyFill="1"/>
    <xf numFmtId="165" fontId="11" fillId="10" borderId="0" xfId="0" applyNumberFormat="1" applyFont="1" applyFill="1"/>
    <xf numFmtId="165" fontId="5" fillId="5" borderId="0" xfId="0" applyNumberFormat="1" applyFont="1" applyFill="1"/>
    <xf numFmtId="165" fontId="5" fillId="5" borderId="28" xfId="0" applyNumberFormat="1" applyFont="1" applyFill="1" applyBorder="1"/>
    <xf numFmtId="0" fontId="7" fillId="3" borderId="10" xfId="0" applyFont="1" applyFill="1" applyBorder="1" applyAlignment="1">
      <alignment horizontal="center" vertical="top" textRotation="45" wrapText="1"/>
    </xf>
    <xf numFmtId="2" fontId="0" fillId="0" borderId="0" xfId="2" applyNumberFormat="1" applyFont="1"/>
    <xf numFmtId="0" fontId="12" fillId="120" borderId="0" xfId="0" applyFont="1" applyFill="1"/>
    <xf numFmtId="165" fontId="12" fillId="120" borderId="0" xfId="0" applyNumberFormat="1" applyFont="1" applyFill="1"/>
    <xf numFmtId="1" fontId="12" fillId="120" borderId="0" xfId="0" applyNumberFormat="1" applyFont="1" applyFill="1"/>
    <xf numFmtId="0" fontId="12" fillId="121" borderId="0" xfId="0" applyFont="1" applyFill="1"/>
    <xf numFmtId="165" fontId="12" fillId="121" borderId="0" xfId="0" applyNumberFormat="1" applyFont="1" applyFill="1"/>
    <xf numFmtId="1" fontId="12" fillId="121" borderId="0" xfId="0" applyNumberFormat="1" applyFont="1" applyFill="1"/>
    <xf numFmtId="0" fontId="12" fillId="122" borderId="0" xfId="0" applyFont="1" applyFill="1"/>
    <xf numFmtId="165" fontId="12" fillId="122" borderId="0" xfId="0" applyNumberFormat="1" applyFont="1" applyFill="1"/>
    <xf numFmtId="1" fontId="12" fillId="122" borderId="0" xfId="0" applyNumberFormat="1" applyFont="1" applyFill="1"/>
    <xf numFmtId="0" fontId="12" fillId="123" borderId="0" xfId="0" applyFont="1" applyFill="1"/>
    <xf numFmtId="165" fontId="12" fillId="123" borderId="0" xfId="0" applyNumberFormat="1" applyFont="1" applyFill="1"/>
    <xf numFmtId="1" fontId="12" fillId="123" borderId="0" xfId="0" applyNumberFormat="1" applyFont="1" applyFill="1"/>
    <xf numFmtId="0" fontId="5" fillId="6" borderId="30" xfId="0" applyFont="1" applyFill="1" applyBorder="1"/>
    <xf numFmtId="0" fontId="15" fillId="0" borderId="4" xfId="0" applyFont="1" applyBorder="1" applyAlignment="1">
      <alignment horizontal="center" vertical="top" textRotation="45"/>
    </xf>
    <xf numFmtId="165" fontId="15" fillId="0" borderId="4" xfId="0" applyNumberFormat="1" applyFont="1" applyBorder="1" applyAlignment="1">
      <alignment horizontal="center" vertical="top" textRotation="45"/>
    </xf>
    <xf numFmtId="0" fontId="15" fillId="0" borderId="4" xfId="0" applyFont="1" applyBorder="1" applyAlignment="1">
      <alignment horizontal="center" vertical="top" textRotation="45" wrapText="1"/>
    </xf>
    <xf numFmtId="0" fontId="16" fillId="0" borderId="4" xfId="0" applyFont="1" applyBorder="1" applyAlignment="1">
      <alignment horizontal="center" vertical="top" textRotation="45"/>
    </xf>
    <xf numFmtId="0" fontId="15" fillId="0" borderId="2" xfId="0" applyFont="1" applyBorder="1" applyAlignment="1">
      <alignment horizontal="center" vertical="top" textRotation="45"/>
    </xf>
    <xf numFmtId="0" fontId="14" fillId="0" borderId="23" xfId="0" applyFont="1" applyBorder="1" applyAlignment="1">
      <alignment horizontal="center" vertical="top" textRotation="45"/>
    </xf>
    <xf numFmtId="0" fontId="18" fillId="124" borderId="0" xfId="0" applyFont="1" applyFill="1" applyAlignment="1">
      <alignment horizontal="center" vertical="center" wrapText="1"/>
    </xf>
    <xf numFmtId="0" fontId="0" fillId="125" borderId="31" xfId="0" applyFill="1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0" fillId="126" borderId="31" xfId="0" applyFill="1" applyBorder="1" applyAlignment="1">
      <alignment vertical="center" wrapText="1"/>
    </xf>
    <xf numFmtId="0" fontId="0" fillId="127" borderId="31" xfId="0" applyFill="1" applyBorder="1" applyAlignment="1">
      <alignment vertical="center" wrapText="1"/>
    </xf>
    <xf numFmtId="0" fontId="0" fillId="128" borderId="31" xfId="0" applyFill="1" applyBorder="1" applyAlignment="1">
      <alignment vertical="center" wrapText="1"/>
    </xf>
    <xf numFmtId="0" fontId="19" fillId="0" borderId="0" xfId="0" applyFont="1"/>
    <xf numFmtId="0" fontId="0" fillId="0" borderId="31" xfId="0" applyBorder="1"/>
    <xf numFmtId="0" fontId="0" fillId="128" borderId="31" xfId="0" applyFill="1" applyBorder="1" applyAlignment="1">
      <alignment horizontal="center"/>
    </xf>
    <xf numFmtId="0" fontId="0" fillId="129" borderId="31" xfId="0" applyFill="1" applyBorder="1" applyAlignment="1">
      <alignment horizontal="center"/>
    </xf>
    <xf numFmtId="0" fontId="0" fillId="127" borderId="31" xfId="0" applyFill="1" applyBorder="1" applyAlignment="1">
      <alignment horizontal="center"/>
    </xf>
    <xf numFmtId="0" fontId="0" fillId="125" borderId="31" xfId="0" applyFill="1" applyBorder="1" applyAlignment="1">
      <alignment horizontal="center"/>
    </xf>
    <xf numFmtId="0" fontId="0" fillId="130" borderId="31" xfId="0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/>
    <xf numFmtId="0" fontId="17" fillId="0" borderId="0" xfId="0" applyFont="1"/>
  </cellXfs>
  <cellStyles count="4">
    <cellStyle name="Currency" xfId="2" builtinId="4"/>
    <cellStyle name="Hyperlink" xfId="1" builtinId="8"/>
    <cellStyle name="Normal" xfId="0" builtinId="0"/>
    <cellStyle name="Percent" xfId="3" builtinId="5"/>
  </cellStyles>
  <dxfs count="130">
    <dxf>
      <font>
        <strike val="0"/>
        <condense val="0"/>
        <extend val="0"/>
        <outline val="0"/>
        <shadow val="0"/>
        <vertAlign val="baseline"/>
        <sz val="8"/>
        <color auto="1"/>
        <name val="Aptos Narrow"/>
        <family val="2"/>
        <scheme val="minor"/>
      </font>
      <numFmt numFmtId="165" formatCode="0.0"/>
      <fill>
        <patternFill patternType="solid">
          <fgColor indexed="64"/>
          <bgColor rgb="FFD5FC79"/>
        </patternFill>
      </fill>
      <border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2"/>
        <color rgb="FF010101"/>
        <name val="Aptos Narrow"/>
        <family val="2"/>
        <scheme val="minor"/>
      </font>
      <numFmt numFmtId="0" formatCode="General"/>
      <fill>
        <patternFill patternType="solid">
          <fgColor indexed="64"/>
          <bgColor rgb="FFE19CAD"/>
        </patternFill>
      </fill>
      <border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0000"/>
        </patternFill>
      </fill>
    </dxf>
    <dxf>
      <fill>
        <patternFill>
          <bgColor rgb="FFFFFD78"/>
        </patternFill>
      </fill>
    </dxf>
    <dxf>
      <fill>
        <patternFill>
          <bgColor theme="6" tint="0.39994506668294322"/>
        </patternFill>
      </fill>
    </dxf>
    <dxf>
      <font>
        <b/>
        <color theme="9" tint="-0.24994659260841701"/>
      </font>
    </dxf>
    <dxf>
      <font>
        <b/>
        <color rgb="FFC00000"/>
      </font>
    </dxf>
    <dxf>
      <border>
        <left/>
        <right/>
        <top style="thin">
          <color theme="9"/>
        </top>
        <bottom/>
        <vertical/>
        <horizontal/>
      </border>
    </dxf>
    <dxf>
      <border>
        <left/>
        <right style="thin">
          <color theme="9"/>
        </right>
        <top style="thin">
          <color theme="9"/>
        </top>
        <bottom/>
        <vertical/>
        <horizontal/>
      </border>
    </dxf>
    <dxf>
      <border>
        <left/>
        <right/>
        <top style="thin">
          <color theme="9"/>
        </top>
        <bottom/>
        <vertical/>
        <horizontal/>
      </border>
    </dxf>
    <dxf>
      <border>
        <left/>
        <right/>
        <top style="thin">
          <color theme="9"/>
        </top>
        <bottom/>
        <vertical/>
        <horizontal/>
      </border>
    </dxf>
    <dxf>
      <border>
        <left/>
        <right/>
        <top style="thin">
          <color theme="9"/>
        </top>
        <bottom/>
        <vertical/>
        <horizontal/>
      </border>
    </dxf>
    <dxf>
      <border>
        <left/>
        <right/>
        <top style="thin">
          <color theme="9"/>
        </top>
        <bottom/>
        <vertical/>
        <horizontal/>
      </border>
    </dxf>
    <dxf>
      <border>
        <left/>
        <right/>
        <top style="thin">
          <color theme="9"/>
        </top>
        <bottom/>
        <vertical/>
        <horizontal/>
      </border>
    </dxf>
    <dxf>
      <border>
        <left/>
        <right/>
        <top style="thin">
          <color theme="9"/>
        </top>
        <bottom/>
        <vertical/>
        <horizontal/>
      </border>
    </dxf>
    <dxf>
      <border>
        <left/>
        <right/>
        <top style="thin">
          <color theme="9"/>
        </top>
        <bottom/>
        <vertical/>
        <horizontal/>
      </border>
    </dxf>
    <dxf>
      <fill>
        <patternFill patternType="solid">
          <fgColor indexed="64"/>
          <bgColor rgb="FFFFFD78"/>
        </patternFill>
      </fill>
      <border>
        <left/>
        <right/>
        <top style="thin">
          <color theme="9"/>
        </top>
        <bottom/>
        <vertical/>
        <horizontal/>
      </border>
    </dxf>
    <dxf>
      <border>
        <left/>
        <right/>
        <top style="thin">
          <color theme="9"/>
        </top>
        <bottom/>
        <vertical/>
        <horizontal/>
      </border>
    </dxf>
    <dxf>
      <border>
        <left/>
        <right/>
        <top style="thin">
          <color theme="9"/>
        </top>
        <bottom/>
        <vertical/>
        <horizontal/>
      </border>
    </dxf>
    <dxf>
      <border>
        <left/>
        <right/>
        <top style="thin">
          <color theme="9"/>
        </top>
        <bottom/>
        <vertical/>
        <horizontal/>
      </border>
    </dxf>
    <dxf>
      <border>
        <left/>
        <right/>
        <top style="thin">
          <color theme="9"/>
        </top>
        <bottom/>
        <vertical/>
        <horizontal/>
      </border>
    </dxf>
    <dxf>
      <border>
        <left style="thin">
          <color theme="9"/>
        </left>
        <right/>
        <top style="thin">
          <color theme="9"/>
        </top>
        <bottom/>
        <vertical/>
        <horizontal/>
      </border>
    </dxf>
    <dxf>
      <border outline="0">
        <top style="thin">
          <color theme="9"/>
        </top>
      </border>
    </dxf>
    <dxf>
      <border outline="0">
        <top style="thin">
          <color indexed="64"/>
        </top>
        <bottom style="thin">
          <color theme="9"/>
        </bottom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  <alignment horizontal="right" vertical="top" textRotation="45"/>
      <border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</dxf>
    <dxf>
      <font>
        <color rgb="FF010101"/>
      </font>
      <numFmt numFmtId="1" formatCode="0"/>
      <fill>
        <patternFill patternType="solid">
          <fgColor indexed="64"/>
          <bgColor rgb="FF9ECCA2"/>
        </patternFill>
      </fill>
    </dxf>
    <dxf>
      <font>
        <color rgb="FF010101"/>
      </font>
      <numFmt numFmtId="1" formatCode="0"/>
      <fill>
        <patternFill patternType="solid">
          <fgColor indexed="64"/>
          <bgColor rgb="FF9ECCA2"/>
        </patternFill>
      </fill>
    </dxf>
    <dxf>
      <font>
        <color rgb="FF010101"/>
      </font>
      <numFmt numFmtId="1" formatCode="0"/>
      <fill>
        <patternFill patternType="solid">
          <fgColor indexed="64"/>
          <bgColor rgb="FF9ECCA2"/>
        </patternFill>
      </fill>
    </dxf>
    <dxf>
      <font>
        <color rgb="FF010101"/>
      </font>
      <numFmt numFmtId="1" formatCode="0"/>
      <fill>
        <patternFill patternType="solid">
          <fgColor indexed="64"/>
          <bgColor rgb="FF9ECCA2"/>
        </patternFill>
      </fill>
    </dxf>
    <dxf>
      <font>
        <color rgb="FF010101"/>
      </font>
      <numFmt numFmtId="1" formatCode="0"/>
      <fill>
        <patternFill patternType="solid">
          <fgColor indexed="64"/>
          <bgColor rgb="FF9ECCA2"/>
        </patternFill>
      </fill>
    </dxf>
    <dxf>
      <font>
        <color rgb="FF010101"/>
      </font>
      <numFmt numFmtId="1" formatCode="0"/>
      <fill>
        <patternFill patternType="solid">
          <fgColor indexed="64"/>
          <bgColor rgb="FF9ECCA2"/>
        </patternFill>
      </fill>
    </dxf>
    <dxf>
      <font>
        <color rgb="FF010101"/>
      </font>
      <numFmt numFmtId="1" formatCode="0"/>
      <fill>
        <patternFill patternType="solid">
          <fgColor indexed="64"/>
          <bgColor rgb="FF9ECCA2"/>
        </patternFill>
      </fill>
    </dxf>
    <dxf>
      <font>
        <color rgb="FF010101"/>
      </font>
      <numFmt numFmtId="1" formatCode="0"/>
      <fill>
        <patternFill patternType="solid">
          <fgColor indexed="64"/>
          <bgColor rgb="FF9ECCA2"/>
        </patternFill>
      </fill>
    </dxf>
    <dxf>
      <font>
        <color rgb="FF010101"/>
      </font>
      <numFmt numFmtId="165" formatCode="0.0"/>
      <fill>
        <patternFill patternType="solid">
          <fgColor indexed="64"/>
          <bgColor rgb="FF9ECCA2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010101"/>
        <name val="Aptos Narrow"/>
        <family val="2"/>
        <scheme val="minor"/>
      </font>
      <fill>
        <patternFill patternType="solid">
          <fgColor indexed="64"/>
          <bgColor rgb="FF9ECCA2"/>
        </patternFill>
      </fill>
    </dxf>
    <dxf>
      <font>
        <color rgb="FF010101"/>
      </font>
      <fill>
        <patternFill patternType="solid">
          <fgColor indexed="64"/>
          <bgColor rgb="FF9ECCA2"/>
        </patternFill>
      </fill>
    </dxf>
    <dxf>
      <alignment horizontal="general" vertical="bottom" textRotation="45"/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</dxf>
    <dxf>
      <font>
        <strike val="0"/>
        <outline val="0"/>
        <shadow val="0"/>
        <vertAlign val="baseline"/>
        <sz val="12"/>
        <color rgb="FF010101"/>
        <name val="Aptos Narrow"/>
        <scheme val="minor"/>
      </font>
      <numFmt numFmtId="2" formatCode="0.00"/>
      <fill>
        <patternFill patternType="solid">
          <fgColor indexed="64"/>
          <bgColor rgb="FFE19CAD"/>
        </patternFill>
      </fill>
      <border outline="0">
        <left style="medium">
          <color indexed="64"/>
        </left>
        <right/>
        <top/>
        <bottom/>
      </border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  <border outline="0">
        <left style="thin">
          <color indexed="64"/>
        </left>
        <right style="medium">
          <color indexed="64"/>
        </right>
        <top/>
        <bottom/>
      </border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010101"/>
      </font>
      <fill>
        <patternFill patternType="solid">
          <fgColor indexed="64"/>
          <bgColor rgb="FFE19CAD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010101"/>
      </font>
      <fill>
        <patternFill patternType="solid">
          <fgColor indexed="64"/>
          <bgColor rgb="FFE19CAD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2"/>
        <color rgb="FF010101"/>
        <name val="Aptos Narrow"/>
        <family val="2"/>
        <scheme val="minor"/>
      </font>
      <fill>
        <patternFill patternType="solid">
          <fgColor indexed="64"/>
          <bgColor rgb="FFE19CAD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010101"/>
      </font>
      <fill>
        <patternFill patternType="solid">
          <fgColor indexed="64"/>
          <bgColor rgb="FFE19CAD"/>
        </patternFill>
      </fill>
      <border outline="0">
        <left/>
        <right style="thin">
          <color indexed="64"/>
        </right>
        <top/>
        <bottom/>
      </border>
    </dxf>
    <dxf>
      <font>
        <color rgb="FF010101"/>
      </font>
      <fill>
        <patternFill patternType="solid">
          <fgColor indexed="64"/>
          <bgColor rgb="FFE19CAD"/>
        </patternFill>
      </fill>
    </dxf>
    <dxf>
      <font>
        <strike val="0"/>
        <outline val="0"/>
        <shadow val="0"/>
        <vertAlign val="baseline"/>
        <sz val="12"/>
        <color theme="0"/>
        <name val="Aptos Narrow"/>
        <scheme val="minor"/>
      </font>
      <alignment horizontal="center" vertical="center" textRotation="45"/>
      <border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</dxf>
    <dxf>
      <font>
        <strike val="0"/>
        <condense val="0"/>
        <extend val="0"/>
        <outline val="0"/>
        <shadow val="0"/>
        <vertAlign val="baseline"/>
        <sz val="12"/>
        <color rgb="FF000000"/>
        <name val="Aptos Narrow"/>
        <family val="2"/>
        <scheme val="minor"/>
      </font>
    </dxf>
    <dxf>
      <alignment horizontal="left" vertical="top" textRotation="45"/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Aptos Narrow"/>
        <scheme val="minor"/>
      </font>
      <numFmt numFmtId="165" formatCode="0.0"/>
      <fill>
        <patternFill patternType="solid">
          <fgColor indexed="64"/>
          <bgColor rgb="FFFFD579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Aptos Narrow"/>
        <family val="2"/>
        <scheme val="minor"/>
      </font>
      <numFmt numFmtId="165" formatCode="0.0"/>
      <fill>
        <patternFill patternType="solid">
          <fgColor indexed="64"/>
          <bgColor rgb="FFFFD579"/>
        </patternFill>
      </fill>
      <border outline="0">
        <left style="thin">
          <color indexed="64"/>
        </left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Aptos Narrow"/>
        <family val="2"/>
        <scheme val="minor"/>
      </font>
      <numFmt numFmtId="165" formatCode="0.0"/>
      <fill>
        <patternFill patternType="solid">
          <fgColor indexed="64"/>
          <bgColor rgb="FFFFD579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Aptos Narrow"/>
        <family val="2"/>
        <scheme val="minor"/>
      </font>
      <numFmt numFmtId="165" formatCode="0.0"/>
      <fill>
        <patternFill patternType="solid">
          <fgColor indexed="64"/>
          <bgColor rgb="FFFFD579"/>
        </patternFill>
      </fill>
      <border outline="0">
        <left/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Aptos Narrow"/>
        <scheme val="minor"/>
      </font>
      <numFmt numFmtId="165" formatCode="0.0"/>
      <fill>
        <patternFill patternType="solid">
          <fgColor indexed="64"/>
          <bgColor rgb="FFFFD579"/>
        </patternFill>
      </fill>
      <border outline="0">
        <left/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Aptos Narrow"/>
        <scheme val="minor"/>
      </font>
      <numFmt numFmtId="165" formatCode="0.0"/>
      <fill>
        <patternFill patternType="solid">
          <fgColor indexed="64"/>
          <bgColor rgb="FFFFD579"/>
        </patternFill>
      </fill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Aptos Narrow"/>
        <scheme val="minor"/>
      </font>
      <numFmt numFmtId="165" formatCode="0.0"/>
      <fill>
        <patternFill patternType="solid">
          <fgColor indexed="64"/>
          <bgColor rgb="FFFFFD78"/>
        </patternFill>
      </fill>
      <border outline="0">
        <left style="thin">
          <color indexed="64"/>
        </left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Aptos Narrow"/>
        <family val="2"/>
        <scheme val="minor"/>
      </font>
      <numFmt numFmtId="165" formatCode="0.0"/>
      <fill>
        <patternFill patternType="solid">
          <fgColor indexed="64"/>
          <bgColor rgb="FFFFFD78"/>
        </patternFill>
      </fill>
      <border outline="0">
        <left style="thin">
          <color indexed="64"/>
        </left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Aptos Narrow"/>
        <family val="2"/>
        <scheme val="minor"/>
      </font>
      <numFmt numFmtId="165" formatCode="0.0"/>
      <fill>
        <patternFill patternType="solid">
          <fgColor indexed="64"/>
          <bgColor rgb="FFFFFD78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Aptos Narrow"/>
        <family val="2"/>
        <scheme val="minor"/>
      </font>
      <numFmt numFmtId="165" formatCode="0.0"/>
      <fill>
        <patternFill patternType="solid">
          <fgColor indexed="64"/>
          <bgColor rgb="FFFFFD78"/>
        </patternFill>
      </fill>
      <border outline="0">
        <left/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Aptos Narrow"/>
        <scheme val="minor"/>
      </font>
      <numFmt numFmtId="165" formatCode="0.0"/>
      <fill>
        <patternFill patternType="solid">
          <fgColor indexed="64"/>
          <bgColor rgb="FFFFFD78"/>
        </patternFill>
      </fill>
      <border outline="0">
        <left/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Aptos Narrow"/>
        <scheme val="minor"/>
      </font>
      <numFmt numFmtId="165" formatCode="0.0"/>
      <fill>
        <patternFill patternType="solid">
          <fgColor indexed="64"/>
          <bgColor rgb="FFFFFD78"/>
        </patternFill>
      </fill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Aptos Narrow"/>
        <scheme val="minor"/>
      </font>
      <numFmt numFmtId="165" formatCode="0.0"/>
      <fill>
        <patternFill patternType="solid">
          <fgColor indexed="64"/>
          <bgColor rgb="FFD5FC79"/>
        </patternFill>
      </fill>
      <border outline="0">
        <left style="thin">
          <color indexed="64"/>
        </left>
        <right style="medium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Aptos Narrow"/>
        <family val="2"/>
        <scheme val="minor"/>
      </font>
      <numFmt numFmtId="165" formatCode="0.0"/>
      <fill>
        <patternFill patternType="solid">
          <fgColor indexed="64"/>
          <bgColor rgb="FFD5FC79"/>
        </patternFill>
      </fill>
      <border outline="0">
        <left style="thin">
          <color indexed="64"/>
        </left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Aptos Narrow"/>
        <family val="2"/>
        <scheme val="minor"/>
      </font>
      <numFmt numFmtId="165" formatCode="0.0"/>
      <fill>
        <patternFill patternType="solid">
          <fgColor indexed="64"/>
          <bgColor rgb="FFD5FC79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Aptos Narrow"/>
        <family val="2"/>
        <scheme val="minor"/>
      </font>
      <numFmt numFmtId="165" formatCode="0.0"/>
      <fill>
        <patternFill patternType="solid">
          <fgColor indexed="64"/>
          <bgColor rgb="FFD5FC79"/>
        </patternFill>
      </fill>
      <border outline="0">
        <left/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Aptos Narrow"/>
        <scheme val="minor"/>
      </font>
      <numFmt numFmtId="165" formatCode="0.0"/>
      <fill>
        <patternFill patternType="solid">
          <fgColor indexed="64"/>
          <bgColor rgb="FFD5FC79"/>
        </patternFill>
      </fill>
      <border outline="0">
        <left/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Aptos Narrow"/>
        <scheme val="minor"/>
      </font>
      <numFmt numFmtId="165" formatCode="0.0"/>
      <fill>
        <patternFill patternType="solid">
          <fgColor indexed="64"/>
          <bgColor rgb="FFD5FC79"/>
        </patternFill>
      </fill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Aptos Narrow"/>
        <scheme val="minor"/>
      </font>
      <numFmt numFmtId="165" formatCode="0.0"/>
      <fill>
        <patternFill patternType="solid">
          <fgColor indexed="64"/>
          <bgColor rgb="FFFF8AD8"/>
        </patternFill>
      </fill>
      <border outline="0">
        <left style="thin">
          <color indexed="64"/>
        </left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Aptos Narrow"/>
        <family val="2"/>
        <scheme val="minor"/>
      </font>
      <numFmt numFmtId="165" formatCode="0.0"/>
      <fill>
        <patternFill patternType="solid">
          <fgColor indexed="64"/>
          <bgColor rgb="FFFF8AD8"/>
        </patternFill>
      </fill>
      <border outline="0">
        <left style="thin">
          <color indexed="64"/>
        </left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Aptos Narrow"/>
        <family val="2"/>
        <scheme val="minor"/>
      </font>
      <numFmt numFmtId="165" formatCode="0.0"/>
      <fill>
        <patternFill patternType="solid">
          <fgColor indexed="64"/>
          <bgColor rgb="FFFF8AD8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Aptos Narrow"/>
        <family val="2"/>
        <scheme val="minor"/>
      </font>
      <numFmt numFmtId="165" formatCode="0.0"/>
      <fill>
        <patternFill patternType="solid">
          <fgColor indexed="64"/>
          <bgColor rgb="FFFF8AD8"/>
        </patternFill>
      </fill>
      <border outline="0">
        <left/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Aptos Narrow"/>
        <scheme val="minor"/>
      </font>
      <numFmt numFmtId="165" formatCode="0.0"/>
      <fill>
        <patternFill patternType="solid">
          <fgColor indexed="64"/>
          <bgColor rgb="FFFF8AD8"/>
        </patternFill>
      </fill>
      <border outline="0">
        <left/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Aptos Narrow"/>
        <scheme val="minor"/>
      </font>
      <numFmt numFmtId="165" formatCode="0.0"/>
      <fill>
        <patternFill patternType="solid">
          <fgColor indexed="64"/>
          <bgColor rgb="FFFF8AD8"/>
        </patternFill>
      </fill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Aptos Narrow"/>
        <scheme val="minor"/>
      </font>
      <numFmt numFmtId="165" formatCode="0.0"/>
      <fill>
        <patternFill patternType="solid">
          <fgColor indexed="64"/>
          <bgColor rgb="FFD883FF"/>
        </patternFill>
      </fill>
      <border outline="0">
        <left style="thin">
          <color indexed="64"/>
        </left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Aptos Narrow"/>
        <family val="2"/>
        <scheme val="minor"/>
      </font>
      <numFmt numFmtId="165" formatCode="0.0"/>
      <fill>
        <patternFill patternType="solid">
          <fgColor indexed="64"/>
          <bgColor rgb="FFD883FF"/>
        </patternFill>
      </fill>
      <border outline="0">
        <left style="thin">
          <color indexed="64"/>
        </left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Aptos Narrow"/>
        <family val="2"/>
        <scheme val="minor"/>
      </font>
      <numFmt numFmtId="165" formatCode="0.0"/>
      <fill>
        <patternFill patternType="solid">
          <fgColor indexed="64"/>
          <bgColor rgb="FFD883FF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Aptos Narrow"/>
        <family val="2"/>
        <scheme val="minor"/>
      </font>
      <numFmt numFmtId="165" formatCode="0.0"/>
      <fill>
        <patternFill patternType="solid">
          <fgColor indexed="64"/>
          <bgColor rgb="FFD883FF"/>
        </patternFill>
      </fill>
      <border outline="0">
        <left/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Aptos Narrow"/>
        <scheme val="minor"/>
      </font>
      <numFmt numFmtId="165" formatCode="0.0"/>
      <fill>
        <patternFill patternType="solid">
          <fgColor indexed="64"/>
          <bgColor rgb="FFD883FF"/>
        </patternFill>
      </fill>
      <border outline="0">
        <left/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Aptos Narrow"/>
        <scheme val="minor"/>
      </font>
      <numFmt numFmtId="165" formatCode="0.0"/>
      <fill>
        <patternFill patternType="solid">
          <fgColor indexed="64"/>
          <bgColor rgb="FFD883FF"/>
        </patternFill>
      </fill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Aptos Narrow"/>
        <scheme val="minor"/>
      </font>
      <numFmt numFmtId="165" formatCode="0.0"/>
      <fill>
        <patternFill patternType="solid">
          <fgColor indexed="64"/>
          <bgColor rgb="FF76D6FF"/>
        </patternFill>
      </fill>
      <border outline="0">
        <left style="thin">
          <color indexed="64"/>
        </left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Aptos Narrow"/>
        <family val="2"/>
        <scheme val="minor"/>
      </font>
      <numFmt numFmtId="165" formatCode="0.0"/>
      <fill>
        <patternFill patternType="solid">
          <fgColor indexed="64"/>
          <bgColor rgb="FF76D6FF"/>
        </patternFill>
      </fill>
      <border outline="0">
        <left style="thin">
          <color indexed="64"/>
        </left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Aptos Narrow"/>
        <family val="2"/>
        <scheme val="minor"/>
      </font>
      <numFmt numFmtId="165" formatCode="0.0"/>
      <fill>
        <patternFill patternType="solid">
          <fgColor indexed="64"/>
          <bgColor rgb="FF76D6FF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Aptos Narrow"/>
        <family val="2"/>
        <scheme val="minor"/>
      </font>
      <numFmt numFmtId="165" formatCode="0.0"/>
      <fill>
        <patternFill patternType="solid">
          <fgColor indexed="64"/>
          <bgColor rgb="FF76D6FF"/>
        </patternFill>
      </fill>
      <border outline="0">
        <left/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Aptos Narrow"/>
        <scheme val="minor"/>
      </font>
      <numFmt numFmtId="165" formatCode="0.0"/>
      <fill>
        <patternFill patternType="solid">
          <fgColor indexed="64"/>
          <bgColor rgb="FF76D6FF"/>
        </patternFill>
      </fill>
      <border outline="0">
        <left/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Aptos Narrow"/>
        <scheme val="minor"/>
      </font>
      <numFmt numFmtId="165" formatCode="0.0"/>
      <fill>
        <patternFill patternType="solid">
          <fgColor indexed="64"/>
          <bgColor rgb="FF76D6FF"/>
        </patternFill>
      </fill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Aptos Narrow"/>
        <scheme val="minor"/>
      </font>
      <numFmt numFmtId="165" formatCode="0.0"/>
      <fill>
        <patternFill patternType="solid">
          <fgColor indexed="64"/>
          <bgColor rgb="FF73FEFF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Aptos Narrow"/>
        <family val="2"/>
        <scheme val="minor"/>
      </font>
      <numFmt numFmtId="165" formatCode="0.0"/>
      <fill>
        <patternFill patternType="solid">
          <fgColor indexed="64"/>
          <bgColor rgb="FF73FEFF"/>
        </patternFill>
      </fill>
      <border outline="0">
        <left style="thin">
          <color indexed="64"/>
        </left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Aptos Narrow"/>
        <family val="2"/>
        <scheme val="minor"/>
      </font>
      <numFmt numFmtId="165" formatCode="0.0"/>
      <fill>
        <patternFill patternType="solid">
          <fgColor indexed="64"/>
          <bgColor rgb="FF73FEFF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Aptos Narrow"/>
        <family val="2"/>
        <scheme val="minor"/>
      </font>
      <numFmt numFmtId="165" formatCode="0.0"/>
      <fill>
        <patternFill patternType="solid">
          <fgColor indexed="64"/>
          <bgColor rgb="FF73FEFF"/>
        </patternFill>
      </fill>
      <border outline="0">
        <left/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Aptos Narrow"/>
        <scheme val="minor"/>
      </font>
      <numFmt numFmtId="165" formatCode="0.0"/>
      <fill>
        <patternFill patternType="solid">
          <fgColor indexed="64"/>
          <bgColor rgb="FF73FEFF"/>
        </patternFill>
      </fill>
      <border outline="0">
        <left/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Aptos Narrow"/>
        <scheme val="minor"/>
      </font>
      <numFmt numFmtId="165" formatCode="0.0"/>
      <fill>
        <patternFill patternType="solid">
          <fgColor indexed="64"/>
          <bgColor rgb="FF73FEFF"/>
        </patternFill>
      </fill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Aptos Narrow"/>
        <scheme val="minor"/>
      </font>
      <numFmt numFmtId="165" formatCode="0.0"/>
      <fill>
        <patternFill patternType="solid">
          <fgColor indexed="64"/>
          <bgColor rgb="FF73FDD6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Aptos Narrow"/>
        <family val="2"/>
        <scheme val="minor"/>
      </font>
      <numFmt numFmtId="165" formatCode="0.0"/>
      <fill>
        <patternFill patternType="solid">
          <fgColor indexed="64"/>
          <bgColor rgb="FF73FDD6"/>
        </patternFill>
      </fill>
      <border outline="0">
        <left style="thin">
          <color indexed="64"/>
        </left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Aptos Narrow"/>
        <family val="2"/>
        <scheme val="minor"/>
      </font>
      <numFmt numFmtId="165" formatCode="0.0"/>
      <fill>
        <patternFill patternType="solid">
          <fgColor indexed="64"/>
          <bgColor rgb="FF73FDD6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Aptos Narrow"/>
        <family val="2"/>
        <scheme val="minor"/>
      </font>
      <numFmt numFmtId="165" formatCode="0.0"/>
      <fill>
        <patternFill patternType="solid">
          <fgColor indexed="64"/>
          <bgColor rgb="FF73FDD6"/>
        </patternFill>
      </fill>
      <border outline="0">
        <left/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Aptos Narrow"/>
        <scheme val="minor"/>
      </font>
      <numFmt numFmtId="165" formatCode="0.0"/>
      <fill>
        <patternFill patternType="solid">
          <fgColor indexed="64"/>
          <bgColor rgb="FF73FDD6"/>
        </patternFill>
      </fill>
      <border outline="0">
        <left/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Aptos Narrow"/>
        <scheme val="minor"/>
      </font>
      <numFmt numFmtId="165" formatCode="0.0"/>
      <fill>
        <patternFill patternType="solid">
          <fgColor indexed="64"/>
          <bgColor rgb="FF73FDD6"/>
        </patternFill>
      </fill>
    </dxf>
    <dxf>
      <font>
        <b/>
        <strike val="0"/>
        <outline val="0"/>
        <shadow val="0"/>
        <vertAlign val="baseline"/>
        <sz val="12"/>
        <name val="Aptos Narrow"/>
        <scheme val="minor"/>
      </font>
      <numFmt numFmtId="165" formatCode="0.0"/>
      <border outline="0">
        <left style="thin">
          <color indexed="64"/>
        </left>
        <right/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Aptos Narrow"/>
        <family val="2"/>
        <scheme val="minor"/>
      </font>
      <numFmt numFmtId="165" formatCode="0.0"/>
      <fill>
        <patternFill patternType="solid">
          <fgColor indexed="64"/>
          <bgColor rgb="FFD5FC79"/>
        </patternFill>
      </fill>
      <border outline="0">
        <left style="thin">
          <color indexed="64"/>
        </left>
        <right/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Aptos Narrow"/>
        <family val="2"/>
        <scheme val="minor"/>
      </font>
      <numFmt numFmtId="165" formatCode="0.0"/>
      <fill>
        <patternFill patternType="solid">
          <fgColor indexed="64"/>
          <bgColor rgb="FFD5FC79"/>
        </patternFill>
      </fill>
      <border outline="0">
        <left/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Aptos Narrow"/>
        <scheme val="minor"/>
      </font>
      <numFmt numFmtId="165" formatCode="0.0"/>
      <fill>
        <patternFill patternType="solid">
          <fgColor indexed="64"/>
          <bgColor rgb="FFD5FC79"/>
        </patternFill>
      </fill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Aptos Narrow"/>
        <scheme val="minor"/>
      </font>
      <numFmt numFmtId="165" formatCode="0.0"/>
      <fill>
        <patternFill patternType="solid">
          <fgColor indexed="64"/>
          <bgColor rgb="FFD5FC79"/>
        </patternFill>
      </fill>
    </dxf>
    <dxf>
      <numFmt numFmtId="165" formatCode="0.0"/>
      <fill>
        <patternFill patternType="solid">
          <fgColor indexed="64"/>
          <bgColor rgb="FFFFD579"/>
        </patternFill>
      </fill>
      <border outline="0">
        <left style="thin">
          <color indexed="64"/>
        </left>
        <right style="thick">
          <color indexed="64"/>
        </right>
      </border>
    </dxf>
    <dxf>
      <numFmt numFmtId="165" formatCode="0.0"/>
      <fill>
        <patternFill patternType="solid">
          <fgColor indexed="64"/>
          <bgColor rgb="FFFFD579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auto="1"/>
        <name val="Aptos Narrow"/>
        <family val="2"/>
        <scheme val="minor"/>
      </font>
      <numFmt numFmtId="165" formatCode="0.0"/>
      <fill>
        <patternFill patternType="solid">
          <fgColor indexed="64"/>
          <bgColor rgb="FFFFD579"/>
        </patternFill>
      </fill>
      <border outline="0">
        <left style="thick">
          <color auto="1"/>
        </left>
        <right/>
        <top/>
        <bottom/>
      </border>
    </dxf>
    <dxf>
      <font>
        <strike val="0"/>
        <outline val="0"/>
        <shadow val="0"/>
        <vertAlign val="baseline"/>
        <sz val="12"/>
        <color auto="1"/>
        <name val="Aptos Narrow"/>
        <family val="2"/>
        <scheme val="minor"/>
      </font>
      <numFmt numFmtId="165" formatCode="0.0"/>
      <fill>
        <patternFill patternType="solid">
          <fgColor indexed="64"/>
          <bgColor theme="0"/>
        </patternFill>
      </fill>
      <border outline="0">
        <left/>
        <right style="thin">
          <color indexed="64"/>
        </right>
        <top/>
        <bottom/>
      </border>
    </dxf>
    <dxf>
      <numFmt numFmtId="165" formatCode="0.0"/>
      <fill>
        <patternFill>
          <fgColor indexed="64"/>
          <bgColor rgb="FFFFFD78"/>
        </patternFill>
      </fill>
      <border outline="0">
        <left style="thick">
          <color indexed="64"/>
        </left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scheme val="minor"/>
      </font>
      <numFmt numFmtId="165" formatCode="0.0"/>
      <fill>
        <patternFill patternType="solid">
          <fgColor indexed="64"/>
          <bgColor theme="0"/>
        </patternFill>
      </fill>
      <border outline="0">
        <left style="thick">
          <color indexed="64"/>
        </left>
      </border>
    </dxf>
    <dxf>
      <numFmt numFmtId="0" formatCode="General"/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ont>
        <strike val="0"/>
        <outline val="0"/>
        <shadow val="0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rgb="FF92D050"/>
        </patternFill>
      </fill>
      <alignment horizontal="left" vertical="bottom"/>
    </dxf>
    <dxf>
      <fill>
        <patternFill patternType="solid">
          <fgColor indexed="64"/>
          <bgColor rgb="FF92D050"/>
        </patternFill>
      </fill>
      <alignment horizontal="left"/>
    </dxf>
    <dxf>
      <border>
        <bottom style="thin">
          <color indexed="64"/>
        </bottom>
      </border>
    </dxf>
    <dxf>
      <alignment horizontal="center" vertical="top" textRotation="45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38</xdr:row>
      <xdr:rowOff>0</xdr:rowOff>
    </xdr:from>
    <xdr:to>
      <xdr:col>6</xdr:col>
      <xdr:colOff>406400</xdr:colOff>
      <xdr:row>39</xdr:row>
      <xdr:rowOff>127000</xdr:rowOff>
    </xdr:to>
    <xdr:pic>
      <xdr:nvPicPr>
        <xdr:cNvPr id="2" name="Image 1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88100" y="8572500"/>
          <a:ext cx="406400" cy="3302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Produit" displayName="TableauProduit" ref="A1:BN72" totalsRowShown="0" headerRowDxfId="129" headerRowBorderDxfId="128">
  <autoFilter ref="A1:BN72" xr:uid="{00000000-0009-0000-0100-000001000000}"/>
  <sortState xmlns:xlrd2="http://schemas.microsoft.com/office/spreadsheetml/2017/richdata2" ref="A2:BN71">
    <sortCondition descending="1" ref="M1:M71"/>
  </sortState>
  <tableColumns count="66">
    <tableColumn id="1" xr3:uid="{00000000-0010-0000-0000-000001000000}" name="Recette" dataDxfId="127"/>
    <tableColumn id="14" xr3:uid="{00000000-0010-0000-0000-00000E000000}" name="ID" dataDxfId="126">
      <calculatedColumnFormula>TableauProduit[[#This Row],[Recette]]&amp;TableauProduit[[#This Row],[Conditionnement]]</calculatedColumnFormula>
    </tableColumn>
    <tableColumn id="27" xr3:uid="{00000000-0010-0000-0000-00001B000000}" name="Ratio travail" dataDxfId="125"/>
    <tableColumn id="3" xr3:uid="{00000000-0010-0000-0000-000003000000}" name="Poids (g) / unite" dataDxfId="124">
      <calculatedColumnFormula>VLOOKUP(TableauProduit[[#This Row],[Recette]],Temporaire!A$1:B$25,2)</calculatedColumnFormula>
    </tableColumn>
    <tableColumn id="8" xr3:uid="{00000000-0010-0000-0000-000008000000}" name="Conditionnement"/>
    <tableColumn id="9" xr3:uid="{00000000-0010-0000-0000-000009000000}" name="Packaging / unite" dataDxfId="123">
      <calculatedColumnFormula>IFERROR(VLOOKUP(TableauProduit[[#This Row],[Conditionnement]],TableauConditionnement[[Nom]:[Contenance]],4,TRUE),"")</calculatedColumnFormula>
    </tableColumn>
    <tableColumn id="13" xr3:uid="{00000000-0010-0000-0000-00000D000000}" name="Prix Achat de plante par kg" dataDxfId="122">
      <calculatedColumnFormula>SUMIFS(TableauRecette[Prix d''achat / kg],TableauRecette[Recette],TableauProduit[[#This Row],[Recette]],TableauRecette[Conditionnement],TableauProduit[[#This Row],[Conditionnement]])</calculatedColumnFormula>
    </tableColumn>
    <tableColumn id="5" xr3:uid="{00000000-0010-0000-0000-000005000000}" name="Prix de vente/U" dataDxfId="121"/>
    <tableColumn id="6" xr3:uid="{00000000-0010-0000-0000-000006000000}" name="Prix de vente/kg" dataDxfId="120">
      <calculatedColumnFormula>TableauProduit[[#This Row],[Prix de vente/U]]/TableauProduit[[#This Row],[Poids (g) / unite]]*1000</calculatedColumnFormula>
    </tableColumn>
    <tableColumn id="2" xr3:uid="{00000000-0010-0000-0000-000002000000}" name="Prix/kg (no BIO)" dataDxfId="119">
      <calculatedColumnFormula>SUMIFS(TableauConcurence[PRIX_KG],TableauConcurence[PRODUIT],TableauProduit[[#This Row],[Recette]],TableauConcurence[DISTRIBUTION],"magasin NON BIO")</calculatedColumnFormula>
    </tableColumn>
    <tableColumn id="11" xr3:uid="{00000000-0010-0000-0000-00000B000000}" name="Prix/kg (cook)" dataDxfId="118">
      <calculatedColumnFormula>SUMIFS(TableauConcurence[PRIX_KG],TableauConcurence[PRODUIT],TableauProduit[[#This Row],[Recette]],TableauConcurence[DISTRIBUTION],"magasin BIO")</calculatedColumnFormula>
    </tableColumn>
    <tableColumn id="12" xr3:uid="{00000000-0010-0000-0000-00000C000000}" name="Prix/kg (artisant)" dataDxfId="117">
      <calculatedColumnFormula>SUMIFS(TableauConcurence[PRIX_KG],TableauConcurence[PRODUIT],TableauProduit[[#This Row],[Recette]],TableauConcurence[DISTRIBUTION],"artisanale BIO")</calculatedColumnFormula>
    </tableColumn>
    <tableColumn id="17" xr3:uid="{00000000-0010-0000-0000-000011000000}" name="Objectif de vente en unite N1" dataDxfId="116"/>
    <tableColumn id="4" xr3:uid="{00000000-0010-0000-0000-000004000000}" name="Total (kg) N1" dataDxfId="115">
      <calculatedColumnFormula>TableauProduit[[#This Row],[Objectif de vente en unite N1]]*TableauProduit[[#This Row],[Poids (g) / unite]]/1000</calculatedColumnFormula>
    </tableColumn>
    <tableColumn id="15" xr3:uid="{00000000-0010-0000-0000-00000F000000}" name="Conditionnement N1" dataDxfId="114">
      <calculatedColumnFormula>TableauProduit[[#This Row],[Packaging / unite]]*TableauProduit[[#This Row],[Objectif de vente en unite N1]]</calculatedColumnFormula>
    </tableColumn>
    <tableColumn id="29" xr3:uid="{00000000-0010-0000-0000-00001D000000}" name="Achat par kg N1" dataDxfId="0">
      <calculatedColumnFormula>SUMIF(TableauRecette[[#This Row],[Recette]],TableauProduit[[#This Row],[Recette]],TableauRecette[[#This Row],[Prix pour kg/ de melange]])</calculatedColumnFormula>
    </tableColumn>
    <tableColumn id="16" xr3:uid="{00000000-0010-0000-0000-000010000000}" name="Revenue brut N1" dataDxfId="113">
      <calculatedColumnFormula>TableauProduit[[#This Row],[Prix de vente/kg]]*TableauProduit[[#This Row],[Total (kg) N1]]-TableauProduit[[#This Row],[Achat par kg N1]]</calculatedColumnFormula>
    </tableColumn>
    <tableColumn id="7" xr3:uid="{00000000-0010-0000-0000-000007000000}" name="Revenue net N1" dataDxfId="112">
      <calculatedColumnFormula>TableauProduit[[#This Row],[Revenue brut N1]]-TableauProduit[[#This Row],[Conditionnement N1]]</calculatedColumnFormula>
    </tableColumn>
    <tableColumn id="18" xr3:uid="{00000000-0010-0000-0000-000012000000}" name="Objectif de vente en unite N2" dataDxfId="111"/>
    <tableColumn id="10" xr3:uid="{00000000-0010-0000-0000-00000A000000}" name="Total (kg) N2" dataDxfId="110">
      <calculatedColumnFormula>TableauProduit[[#This Row],[Poids (g) / unite]]*TableauProduit[[#This Row],[Objectif de vente en unite N1]]/1000</calculatedColumnFormula>
    </tableColumn>
    <tableColumn id="19" xr3:uid="{00000000-0010-0000-0000-000013000000}" name="Conditionnement N2" dataDxfId="109">
      <calculatedColumnFormula>TableauProduit[[#This Row],[Objectif de vente en unite N1]]*TableauProduit[[#This Row],[Packaging / unite]]</calculatedColumnFormula>
    </tableColumn>
    <tableColumn id="30" xr3:uid="{00000000-0010-0000-0000-00001E000000}" name="Achat plante / kg de melange N2" dataDxfId="108">
      <calculatedColumnFormula>TableauProduit[[#This Row],[Prix Achat de plante par kg]]*TableauProduit[[#This Row],[Total (kg) N1]]</calculatedColumnFormula>
    </tableColumn>
    <tableColumn id="21" xr3:uid="{00000000-0010-0000-0000-000015000000}" name="Revenue brut N2" dataDxfId="107">
      <calculatedColumnFormula>TableauProduit[[#This Row],[Prix de vente/kg]]*TableauProduit[[#This Row],[Total (kg) N1]]</calculatedColumnFormula>
    </tableColumn>
    <tableColumn id="31" xr3:uid="{00000000-0010-0000-0000-00001F000000}" name="Revenue net N2" dataDxfId="106">
      <calculatedColumnFormula>TableauProduit[[#This Row],[Revenue brut N1]]-TableauProduit[[#This Row],[Achat par kg N1]]-TableauProduit[[#This Row],[Conditionnement N1]]</calculatedColumnFormula>
    </tableColumn>
    <tableColumn id="22" xr3:uid="{00000000-0010-0000-0000-000016000000}" name="Objectif de vente en unite N3" dataDxfId="105"/>
    <tableColumn id="23" xr3:uid="{00000000-0010-0000-0000-000017000000}" name="Total (kg) N3" dataDxfId="104">
      <calculatedColumnFormula>TableauProduit[[#This Row],[Poids (g) / unite]]*TableauProduit[[#This Row],[Objectif de vente en unite N1]]/1000</calculatedColumnFormula>
    </tableColumn>
    <tableColumn id="24" xr3:uid="{00000000-0010-0000-0000-000018000000}" name="Conditionnement N3" dataDxfId="103">
      <calculatedColumnFormula>TableauProduit[[#This Row],[Objectif de vente en unite N1]]*TableauProduit[[#This Row],[Packaging / unite]]</calculatedColumnFormula>
    </tableColumn>
    <tableColumn id="32" xr3:uid="{00000000-0010-0000-0000-000020000000}" name="Achat plante / kg de melange N3" dataDxfId="102">
      <calculatedColumnFormula>TableauProduit[[#This Row],[Prix Achat de plante par kg]]*TableauProduit[[#This Row],[Total (kg) N1]]</calculatedColumnFormula>
    </tableColumn>
    <tableColumn id="25" xr3:uid="{00000000-0010-0000-0000-000019000000}" name="Revenue brut N3" dataDxfId="101">
      <calculatedColumnFormula>TableauProduit[[#This Row],[Prix de vente/kg]]*TableauProduit[[#This Row],[Total (kg) N1]]</calculatedColumnFormula>
    </tableColumn>
    <tableColumn id="26" xr3:uid="{00000000-0010-0000-0000-00001A000000}" name="Revenue net N3" dataDxfId="100">
      <calculatedColumnFormula>TableauProduit[[#This Row],[Revenue brut N1]]-TableauProduit[[#This Row],[Achat par kg N1]]-TableauProduit[[#This Row],[Conditionnement N1]]</calculatedColumnFormula>
    </tableColumn>
    <tableColumn id="20" xr3:uid="{00000000-0010-0000-0000-000014000000}" name="Objectif de vente en unite N4" dataDxfId="99"/>
    <tableColumn id="28" xr3:uid="{00000000-0010-0000-0000-00001C000000}" name="Total (kg) N4" dataDxfId="98">
      <calculatedColumnFormula>TableauProduit[[#This Row],[Poids (g) / unite]]*TableauProduit[[#This Row],[Objectif de vente en unite N1]]/1000</calculatedColumnFormula>
    </tableColumn>
    <tableColumn id="33" xr3:uid="{00000000-0010-0000-0000-000021000000}" name="Conditionnement N4" dataDxfId="97">
      <calculatedColumnFormula>TableauProduit[[#This Row],[Objectif de vente en unite N1]]*TableauProduit[[#This Row],[Packaging / unite]]</calculatedColumnFormula>
    </tableColumn>
    <tableColumn id="34" xr3:uid="{00000000-0010-0000-0000-000022000000}" name="Achat plante / kg de melange N4" dataDxfId="96">
      <calculatedColumnFormula>TableauProduit[[#This Row],[Prix Achat de plante par kg]]*TableauProduit[[#This Row],[Total (kg) N1]]</calculatedColumnFormula>
    </tableColumn>
    <tableColumn id="35" xr3:uid="{00000000-0010-0000-0000-000023000000}" name="Revenue brut N4" dataDxfId="95">
      <calculatedColumnFormula>TableauProduit[[#This Row],[Prix de vente/kg]]*TableauProduit[[#This Row],[Total (kg) N1]]</calculatedColumnFormula>
    </tableColumn>
    <tableColumn id="36" xr3:uid="{00000000-0010-0000-0000-000024000000}" name="Revenue net N4" dataDxfId="94">
      <calculatedColumnFormula>TableauProduit[[#This Row],[Revenue brut N1]]-TableauProduit[[#This Row],[Achat par kg N1]]-TableauProduit[[#This Row],[Conditionnement N1]]</calculatedColumnFormula>
    </tableColumn>
    <tableColumn id="37" xr3:uid="{00000000-0010-0000-0000-000025000000}" name="Objectif de vente en unite N5" dataDxfId="93"/>
    <tableColumn id="38" xr3:uid="{00000000-0010-0000-0000-000026000000}" name="Total (kg) N5" dataDxfId="92">
      <calculatedColumnFormula>TableauProduit[[#This Row],[Poids (g) / unite]]*TableauProduit[[#This Row],[Objectif de vente en unite N1]]/1000</calculatedColumnFormula>
    </tableColumn>
    <tableColumn id="39" xr3:uid="{00000000-0010-0000-0000-000027000000}" name="Conditionnement N5" dataDxfId="91">
      <calculatedColumnFormula>TableauProduit[[#This Row],[Objectif de vente en unite N1]]*TableauProduit[[#This Row],[Packaging / unite]]</calculatedColumnFormula>
    </tableColumn>
    <tableColumn id="40" xr3:uid="{00000000-0010-0000-0000-000028000000}" name="Achat plante / kg de melange N5" dataDxfId="90">
      <calculatedColumnFormula>TableauProduit[[#This Row],[Prix Achat de plante par kg]]*TableauProduit[[#This Row],[Total (kg) N1]]</calculatedColumnFormula>
    </tableColumn>
    <tableColumn id="41" xr3:uid="{00000000-0010-0000-0000-000029000000}" name="Revenue brut N5" dataDxfId="89">
      <calculatedColumnFormula>TableauProduit[[#This Row],[Prix de vente/kg]]*TableauProduit[[#This Row],[Total (kg) N1]]</calculatedColumnFormula>
    </tableColumn>
    <tableColumn id="42" xr3:uid="{00000000-0010-0000-0000-00002A000000}" name="Revenue net N5" dataDxfId="88">
      <calculatedColumnFormula>TableauProduit[[#This Row],[Revenue brut N1]]-TableauProduit[[#This Row],[Achat par kg N1]]-TableauProduit[[#This Row],[Conditionnement N1]]</calculatedColumnFormula>
    </tableColumn>
    <tableColumn id="43" xr3:uid="{00000000-0010-0000-0000-00002B000000}" name="Objectif de vente en unite N6" dataDxfId="87"/>
    <tableColumn id="44" xr3:uid="{00000000-0010-0000-0000-00002C000000}" name="Total (kg) N6" dataDxfId="86">
      <calculatedColumnFormula>TableauProduit[[#This Row],[Poids (g) / unite]]*TableauProduit[[#This Row],[Objectif de vente en unite N1]]/1000</calculatedColumnFormula>
    </tableColumn>
    <tableColumn id="45" xr3:uid="{00000000-0010-0000-0000-00002D000000}" name="Conditionnement N6" dataDxfId="85">
      <calculatedColumnFormula>TableauProduit[[#This Row],[Objectif de vente en unite N1]]*TableauProduit[[#This Row],[Packaging / unite]]</calculatedColumnFormula>
    </tableColumn>
    <tableColumn id="46" xr3:uid="{00000000-0010-0000-0000-00002E000000}" name="Achat plante / kg de melange N6" dataDxfId="84">
      <calculatedColumnFormula>TableauProduit[[#This Row],[Prix Achat de plante par kg]]*TableauProduit[[#This Row],[Total (kg) N1]]</calculatedColumnFormula>
    </tableColumn>
    <tableColumn id="47" xr3:uid="{00000000-0010-0000-0000-00002F000000}" name="Revenue brut N6" dataDxfId="83">
      <calculatedColumnFormula>TableauProduit[[#This Row],[Prix de vente/kg]]*TableauProduit[[#This Row],[Total (kg) N1]]</calculatedColumnFormula>
    </tableColumn>
    <tableColumn id="48" xr3:uid="{00000000-0010-0000-0000-000030000000}" name="Revenue net N6" dataDxfId="82">
      <calculatedColumnFormula>TableauProduit[[#This Row],[Revenue brut N1]]-TableauProduit[[#This Row],[Achat par kg N1]]-TableauProduit[[#This Row],[Conditionnement N1]]</calculatedColumnFormula>
    </tableColumn>
    <tableColumn id="49" xr3:uid="{00000000-0010-0000-0000-000031000000}" name="Objectif de vente en unite N7" dataDxfId="81"/>
    <tableColumn id="50" xr3:uid="{00000000-0010-0000-0000-000032000000}" name="Total (kg) N7" dataDxfId="80">
      <calculatedColumnFormula>TableauProduit[[#This Row],[Poids (g) / unite]]*TableauProduit[[#This Row],[Objectif de vente en unite N1]]/1000</calculatedColumnFormula>
    </tableColumn>
    <tableColumn id="51" xr3:uid="{00000000-0010-0000-0000-000033000000}" name="Conditionnement N7" dataDxfId="79">
      <calculatedColumnFormula>TableauProduit[[#This Row],[Objectif de vente en unite N1]]*TableauProduit[[#This Row],[Packaging / unite]]</calculatedColumnFormula>
    </tableColumn>
    <tableColumn id="52" xr3:uid="{00000000-0010-0000-0000-000034000000}" name="Achat plante / kg de melange N7" dataDxfId="78">
      <calculatedColumnFormula>TableauProduit[[#This Row],[Prix Achat de plante par kg]]*TableauProduit[[#This Row],[Total (kg) N1]]</calculatedColumnFormula>
    </tableColumn>
    <tableColumn id="53" xr3:uid="{00000000-0010-0000-0000-000035000000}" name="Revenue brut N7" dataDxfId="77">
      <calculatedColumnFormula>TableauProduit[[#This Row],[Prix de vente/kg]]*TableauProduit[[#This Row],[Total (kg) N1]]</calculatedColumnFormula>
    </tableColumn>
    <tableColumn id="54" xr3:uid="{00000000-0010-0000-0000-000036000000}" name="Revenue net N7" dataDxfId="76">
      <calculatedColumnFormula>TableauProduit[[#This Row],[Revenue brut N1]]-TableauProduit[[#This Row],[Achat par kg N1]]-TableauProduit[[#This Row],[Conditionnement N1]]</calculatedColumnFormula>
    </tableColumn>
    <tableColumn id="55" xr3:uid="{00000000-0010-0000-0000-000037000000}" name="Objectif de vente en unite N8" dataDxfId="75"/>
    <tableColumn id="56" xr3:uid="{00000000-0010-0000-0000-000038000000}" name="Total (kg) N8" dataDxfId="74">
      <calculatedColumnFormula>TableauProduit[[#This Row],[Poids (g) / unite]]*TableauProduit[[#This Row],[Objectif de vente en unite N1]]/1000</calculatedColumnFormula>
    </tableColumn>
    <tableColumn id="57" xr3:uid="{00000000-0010-0000-0000-000039000000}" name="Conditionnement N8" dataDxfId="73">
      <calculatedColumnFormula>TableauProduit[[#This Row],[Objectif de vente en unite N1]]*TableauProduit[[#This Row],[Packaging / unite]]</calculatedColumnFormula>
    </tableColumn>
    <tableColumn id="58" xr3:uid="{00000000-0010-0000-0000-00003A000000}" name="Achat plante / kg de melange N8" dataDxfId="72">
      <calculatedColumnFormula>TableauProduit[[#This Row],[Prix Achat de plante par kg]]*TableauProduit[[#This Row],[Total (kg) N1]]</calculatedColumnFormula>
    </tableColumn>
    <tableColumn id="59" xr3:uid="{00000000-0010-0000-0000-00003B000000}" name="Revenue brut N8" dataDxfId="71">
      <calculatedColumnFormula>TableauProduit[[#This Row],[Prix de vente/kg]]*TableauProduit[[#This Row],[Total (kg) N1]]</calculatedColumnFormula>
    </tableColumn>
    <tableColumn id="60" xr3:uid="{00000000-0010-0000-0000-00003C000000}" name="Revenue net N8" dataDxfId="70">
      <calculatedColumnFormula>TableauProduit[[#This Row],[Revenue brut N1]]-TableauProduit[[#This Row],[Achat par kg N1]]-TableauProduit[[#This Row],[Conditionnement N1]]</calculatedColumnFormula>
    </tableColumn>
    <tableColumn id="61" xr3:uid="{00000000-0010-0000-0000-00003D000000}" name="Objectif de vente en unite N9" dataDxfId="69"/>
    <tableColumn id="62" xr3:uid="{00000000-0010-0000-0000-00003E000000}" name="Total (kg) N9" dataDxfId="68">
      <calculatedColumnFormula>TableauProduit[[#This Row],[Poids (g) / unite]]*TableauProduit[[#This Row],[Objectif de vente en unite N1]]/1000</calculatedColumnFormula>
    </tableColumn>
    <tableColumn id="63" xr3:uid="{00000000-0010-0000-0000-00003F000000}" name="Conditionnement N9" dataDxfId="67">
      <calculatedColumnFormula>TableauProduit[[#This Row],[Objectif de vente en unite N1]]*TableauProduit[[#This Row],[Packaging / unite]]</calculatedColumnFormula>
    </tableColumn>
    <tableColumn id="64" xr3:uid="{00000000-0010-0000-0000-000040000000}" name="Achat plante / kg de melange N9" dataDxfId="66">
      <calculatedColumnFormula>TableauProduit[[#This Row],[Prix Achat de plante par kg]]*TableauProduit[[#This Row],[Total (kg) N1]]</calculatedColumnFormula>
    </tableColumn>
    <tableColumn id="65" xr3:uid="{00000000-0010-0000-0000-000041000000}" name="Revenue brut N9" dataDxfId="65">
      <calculatedColumnFormula>TableauProduit[[#This Row],[Prix de vente/kg]]*TableauProduit[[#This Row],[Total (kg) N1]]</calculatedColumnFormula>
    </tableColumn>
    <tableColumn id="66" xr3:uid="{00000000-0010-0000-0000-000042000000}" name="Revenue net N9" dataDxfId="64">
      <calculatedColumnFormula>TableauProduit[[#This Row],[Revenue brut N1]]-TableauProduit[[#This Row],[Achat par kg N1]]-TableauProduit[[#This Row],[Conditionnement N1]]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Ingredients" displayName="TableauIngredients" ref="A1:G172" totalsRowShown="0" headerRowDxfId="63">
  <autoFilter ref="A1:G172" xr:uid="{00000000-0009-0000-0100-000002000000}"/>
  <sortState xmlns:xlrd2="http://schemas.microsoft.com/office/spreadsheetml/2017/richdata2" ref="A2:G160">
    <sortCondition ref="A1:A160"/>
  </sortState>
  <tableColumns count="7">
    <tableColumn id="1" xr3:uid="{00000000-0010-0000-0100-000001000000}" name="Ingredients" dataDxfId="62">
      <calculatedColumnFormula>PROPER(TableauIngredients[[#This Row],[Ingredients]])</calculatedColumnFormula>
    </tableColumn>
    <tableColumn id="3" xr3:uid="{00000000-0010-0000-0100-000003000000}" name="ratio sechage">
      <calculatedColumnFormula>IF(IFERROR((100-TableauIngredients[[#This Row],[% eau]])/100, 1) &lt; 20,0.2)</calculatedColumnFormula>
    </tableColumn>
    <tableColumn id="4" xr3:uid="{00000000-0010-0000-0100-000004000000}" name="% eau"/>
    <tableColumn id="7" xr3:uid="{00000000-0010-0000-0100-000007000000}" name="Nom de la Production"/>
    <tableColumn id="2" xr3:uid="{00000000-0010-0000-0100-000002000000}" name="Prix de vente"/>
    <tableColumn id="5" xr3:uid="{00000000-0010-0000-0100-000005000000}" name="Prix d'achat (kg)" dataDxfId="61"/>
    <tableColumn id="6" xr3:uid="{00000000-0010-0000-0100-000006000000}" name="Lien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auRecette" displayName="TableauRecette" ref="A1:T458" totalsRowShown="0" headerRowDxfId="60" dataDxfId="59">
  <autoFilter ref="A1:T458" xr:uid="{00000000-0009-0000-0100-000003000000}"/>
  <sortState xmlns:xlrd2="http://schemas.microsoft.com/office/spreadsheetml/2017/richdata2" ref="A2:T462">
    <sortCondition ref="A1:A462"/>
  </sortState>
  <tableColumns count="20">
    <tableColumn id="1" xr3:uid="{00000000-0010-0000-0200-000001000000}" name="Recette" dataDxfId="58"/>
    <tableColumn id="12" xr3:uid="{00000000-0010-0000-0200-00000C000000}" name="ID" dataDxfId="57">
      <calculatedColumnFormula>TableauRecette[[#This Row],[Recette]]&amp;TableauRecette[[#This Row],[Conditionnement]]</calculatedColumnFormula>
    </tableColumn>
    <tableColumn id="2" xr3:uid="{00000000-0010-0000-0200-000002000000}" name="Ingredients" dataDxfId="56"/>
    <tableColumn id="3" xr3:uid="{00000000-0010-0000-0200-000003000000}" name="Proportion" dataDxfId="55"/>
    <tableColumn id="4" xr3:uid="{00000000-0010-0000-0200-000004000000}" name="Conditionnement" dataDxfId="54"/>
    <tableColumn id="5" xr3:uid="{00000000-0010-0000-0200-000005000000}" name="poids / unite" dataDxfId="53">
      <calculatedColumnFormula>D2/SUMIFS(TableauRecette[Proportion],TableauRecette[Recette],TableauRecette[[#This Row],[Recette]],TableauRecette[Conditionnement],TableauRecette[[#This Row],[Conditionnement]])</calculatedColumnFormula>
    </tableColumn>
    <tableColumn id="6" xr3:uid="{00000000-0010-0000-0200-000006000000}" name="Prix d'achat / kg" dataDxfId="52">
      <calculatedColumnFormula>_xlfn.XLOOKUP(TableauRecette[[#This Row],[Ingredients]],TableauIngredients[Ingredients],TableauIngredients[Prix d''achat (kg)],0)*TableauRecette[[#This Row],[poids / unite]]</calculatedColumnFormula>
    </tableColumn>
    <tableColumn id="10" xr3:uid="{00000000-0010-0000-0200-00000A000000}" name="Total Proportion" dataDxfId="51">
      <calculatedColumnFormula>SUMIFS(TableauRecette[Proportion],TableauRecette[Recette],TableauRecette[[#This Row],[Recette]],TableauRecette[Conditionnement],TableauRecette[[#This Row],[Conditionnement]])</calculatedColumnFormula>
    </tableColumn>
    <tableColumn id="11" xr3:uid="{00000000-0010-0000-0200-00000B000000}" name="Prix pour kg/ de melange" dataDxfId="1">
      <calculatedColumnFormula>_xlfn.XLOOKUP(TableauRecette[[#This Row],[Ingredients]],TableauIngredients[Ingredients],TableauIngredients[Prix d''achat (kg)],0,0,1)*TableauRecette[[#This Row],[Proportion]]/TableauRecette[[#This Row],[Total Proportion]]</calculatedColumnFormula>
    </tableColumn>
    <tableColumn id="7" xr3:uid="{00000000-0010-0000-0200-000007000000}" name="Pays" dataDxfId="50"/>
    <tableColumn id="8" xr3:uid="{00000000-0010-0000-0200-000008000000}" name="Type" dataDxfId="49"/>
    <tableColumn id="9" xr3:uid="{00000000-0010-0000-0200-000009000000}" name="kg / annee 1" dataDxfId="48">
      <calculatedColumnFormula>_xlfn.XLOOKUP(TableauRecette[[#This Row],[ID]],TableauProduit[ID],TableauProduit[Total (kg) N1],0,0,1)*_xlfn.XLOOKUP(TableauRecette[[#This Row],[ID]],TableauProduit[ID],TableauProduit[Total (kg) N1],0,0,1)</calculatedColumnFormula>
    </tableColumn>
    <tableColumn id="28" xr3:uid="{00000000-0010-0000-0200-00001C000000}" name="kg / annee 2" dataDxfId="47">
      <calculatedColumnFormula>_xlfn.XLOOKUP(TableauRecette[[#This Row],[ID]],TableauProduit[ID],TableauProduit[Total (kg) N1],0,0,1)*_xlfn.XLOOKUP(TableauRecette[[#This Row],[ID]],TableauProduit[ID],TableauProduit[Total (kg) N2],0,0,1)</calculatedColumnFormula>
    </tableColumn>
    <tableColumn id="29" xr3:uid="{00000000-0010-0000-0200-00001D000000}" name="kg / annee 3" dataDxfId="46">
      <calculatedColumnFormula>_xlfn.XLOOKUP(TableauRecette[[#This Row],[ID]],TableauProduit[ID],TableauProduit[Total (kg) N3],0,0,1)*TableauRecette[[#This Row],[poids / unite]]</calculatedColumnFormula>
    </tableColumn>
    <tableColumn id="30" xr3:uid="{00000000-0010-0000-0200-00001E000000}" name="kg / annee 4" dataDxfId="45">
      <calculatedColumnFormula>_xlfn.XLOOKUP(TableauRecette[[#This Row],[ID]],TableauProduit[ID],TableauProduit[Total (kg) N4],0,0,1)*TableauRecette[[#This Row],[poids / unite]]</calculatedColumnFormula>
    </tableColumn>
    <tableColumn id="31" xr3:uid="{00000000-0010-0000-0200-00001F000000}" name="kg / annee 5" dataDxfId="44">
      <calculatedColumnFormula>_xlfn.XLOOKUP(TableauRecette[[#This Row],[ID]],TableauProduit[ID],TableauProduit[Total (kg) N5],0,0,1)*TableauRecette[[#This Row],[poids / unite]]</calculatedColumnFormula>
    </tableColumn>
    <tableColumn id="32" xr3:uid="{00000000-0010-0000-0200-000020000000}" name="kg / annee 6" dataDxfId="43">
      <calculatedColumnFormula>_xlfn.XLOOKUP(TableauRecette[[#This Row],[ID]],TableauProduit[ID],TableauProduit[Total (kg) N6],0,0,1)*TableauRecette[[#This Row],[poids / unite]]</calculatedColumnFormula>
    </tableColumn>
    <tableColumn id="33" xr3:uid="{00000000-0010-0000-0200-000021000000}" name="kg / annee 7" dataDxfId="42">
      <calculatedColumnFormula>_xlfn.XLOOKUP(TableauRecette[[#This Row],[ID]],TableauProduit[ID],TableauProduit[Total (kg) N7],0,0,1)*TableauRecette[[#This Row],[poids / unite]]</calculatedColumnFormula>
    </tableColumn>
    <tableColumn id="34" xr3:uid="{00000000-0010-0000-0200-000022000000}" name="kg / annee 8" dataDxfId="41">
      <calculatedColumnFormula>_xlfn.XLOOKUP(TableauRecette[[#This Row],[ID]],TableauProduit[ID],TableauProduit[Total (kg) N8],0,0,1)*TableauRecette[[#This Row],[poids / unite]]</calculatedColumnFormula>
    </tableColumn>
    <tableColumn id="35" xr3:uid="{00000000-0010-0000-0200-000023000000}" name="kg / annee 9" dataDxfId="40">
      <calculatedColumnFormula>_xlfn.XLOOKUP(TableauRecette[[#This Row],[ID]],TableauProduit[ID],TableauProduit[Total (kg) N9],0,0,1)*TableauRecette[[#This Row],[poids / unite]]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auProduction" displayName="TableauProduction" ref="A1:J112" totalsRowShown="0" headerRowDxfId="39" dataDxfId="38">
  <autoFilter ref="A1:J112" xr:uid="{00000000-0009-0000-0100-000004000000}"/>
  <sortState xmlns:xlrd2="http://schemas.microsoft.com/office/spreadsheetml/2017/richdata2" ref="A2:J112">
    <sortCondition descending="1" ref="B1:B112"/>
  </sortState>
  <tableColumns count="10">
    <tableColumn id="1" xr3:uid="{00000000-0010-0000-0300-000001000000}" name="Produit" dataDxfId="37"/>
    <tableColumn id="3" xr3:uid="{00000000-0010-0000-0300-000003000000}" name="annee 1" dataDxfId="36"/>
    <tableColumn id="7" xr3:uid="{00000000-0010-0000-0300-000007000000}" name="annee 2" dataDxfId="35"/>
    <tableColumn id="8" xr3:uid="{00000000-0010-0000-0300-000008000000}" name="annee 3" dataDxfId="34"/>
    <tableColumn id="9" xr3:uid="{00000000-0010-0000-0300-000009000000}" name="annee 4" dataDxfId="33"/>
    <tableColumn id="10" xr3:uid="{00000000-0010-0000-0300-00000A000000}" name="poids / unite" dataDxfId="32"/>
    <tableColumn id="11" xr3:uid="{00000000-0010-0000-0300-00000B000000}" name="annee 6" dataDxfId="31"/>
    <tableColumn id="12" xr3:uid="{00000000-0010-0000-0300-00000C000000}" name="annee 7" dataDxfId="30"/>
    <tableColumn id="13" xr3:uid="{00000000-0010-0000-0300-00000D000000}" name="annee 8" dataDxfId="29"/>
    <tableColumn id="14" xr3:uid="{00000000-0010-0000-0300-00000E000000}" name="annee 9" dataDxfId="28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auConditionnement" displayName="TableauConditionnement" ref="A1:G21" totalsRowShown="0">
  <autoFilter ref="A1:G21" xr:uid="{00000000-0009-0000-0100-000005000000}"/>
  <sortState xmlns:xlrd2="http://schemas.microsoft.com/office/spreadsheetml/2017/richdata2" ref="A2:G18">
    <sortCondition ref="A1:A19"/>
  </sortState>
  <tableColumns count="7">
    <tableColumn id="1" xr3:uid="{00000000-0010-0000-0400-000001000000}" name="Nom"/>
    <tableColumn id="2" xr3:uid="{00000000-0010-0000-0400-000002000000}" name="Bouchon"/>
    <tableColumn id="3" xr3:uid="{00000000-0010-0000-0400-000003000000}" name="Verre"/>
    <tableColumn id="4" xr3:uid="{00000000-0010-0000-0400-000004000000}" name="Total" dataDxfId="27"/>
    <tableColumn id="5" xr3:uid="{00000000-0010-0000-0400-000005000000}" name="Contenance"/>
    <tableColumn id="6" xr3:uid="{00000000-0010-0000-0400-000006000000}" name="Lien bouchon"/>
    <tableColumn id="7" xr3:uid="{00000000-0010-0000-0400-000007000000}" name="Lien verre"/>
  </tableColumns>
  <tableStyleInfo name="TableStyleMedium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auConcurence" displayName="TableauConcurence" ref="A1:G186" totalsRowShown="0">
  <sortState xmlns:xlrd2="http://schemas.microsoft.com/office/spreadsheetml/2017/richdata2" ref="A2:G103">
    <sortCondition ref="A1:A103"/>
  </sortState>
  <tableColumns count="7">
    <tableColumn id="1" xr3:uid="{00000000-0010-0000-0500-000001000000}" name="PRODUIT"/>
    <tableColumn id="2" xr3:uid="{00000000-0010-0000-0500-000002000000}" name="DISTRIBUTION"/>
    <tableColumn id="3" xr3:uid="{00000000-0010-0000-0500-000003000000}" name="NOM"/>
    <tableColumn id="4" xr3:uid="{00000000-0010-0000-0500-000004000000}" name="MARQUE"/>
    <tableColumn id="5" xr3:uid="{00000000-0010-0000-0500-000005000000}" name="GRAMMAGE"/>
    <tableColumn id="6" xr3:uid="{00000000-0010-0000-0500-000006000000}" name="PRIX"/>
    <tableColumn id="7" xr3:uid="{00000000-0010-0000-0500-000007000000}" name="PRIX_K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Old" displayName="Old" ref="A1:O39" totalsRowShown="0" headerRowDxfId="26" headerRowBorderDxfId="25" tableBorderDxfId="24" totalsRowBorderDxfId="23">
  <autoFilter ref="A1:O39" xr:uid="{00000000-0009-0000-0100-000007000000}"/>
  <tableColumns count="15">
    <tableColumn id="1" xr3:uid="{00000000-0010-0000-0600-000001000000}" name="Recette" dataDxfId="22"/>
    <tableColumn id="2" xr3:uid="{00000000-0010-0000-0600-000002000000}" name="Objectif en unite" dataDxfId="21"/>
    <tableColumn id="3" xr3:uid="{00000000-0010-0000-0600-000003000000}" name="poids/unite (g)" dataDxfId="20"/>
    <tableColumn id="4" xr3:uid="{00000000-0010-0000-0600-000004000000}" name="Total (kg)" dataDxfId="19"/>
    <tableColumn id="5" xr3:uid="{00000000-0010-0000-0600-000005000000}" name="Prix de vente/U" dataDxfId="18"/>
    <tableColumn id="6" xr3:uid="{00000000-0010-0000-0600-000006000000}" name="Prix de vente/kg" dataDxfId="17"/>
    <tableColumn id="7" xr3:uid="{00000000-0010-0000-0600-000007000000}" name="Revenue brut" dataDxfId="16"/>
    <tableColumn id="8" xr3:uid="{00000000-0010-0000-0600-000008000000}" name="Packaging" dataDxfId="15"/>
    <tableColumn id="9" xr3:uid="{00000000-0010-0000-0600-000009000000}" name="Packaging/Unit" dataDxfId="14"/>
    <tableColumn id="10" xr3:uid="{00000000-0010-0000-0600-00000A000000}" name="PV/kg frais" dataDxfId="13"/>
    <tableColumn id="11" xr3:uid="{00000000-0010-0000-0600-00000B000000}" name="Prix/kg (cook)" dataDxfId="12"/>
    <tableColumn id="12" xr3:uid="{00000000-0010-0000-0600-00000C000000}" name="Prix/kg (artisant)" dataDxfId="11"/>
    <tableColumn id="13" xr3:uid="{00000000-0010-0000-0600-00000D000000}" name="Colonne2" dataDxfId="10"/>
    <tableColumn id="14" xr3:uid="{00000000-0010-0000-0600-00000E000000}" name="Colonne3" dataDxfId="9"/>
    <tableColumn id="15" xr3:uid="{00000000-0010-0000-0600-00000F000000}" name="Colonne4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pharma5avenue.com/blog/mode-de-production-du-curcuma-longa-n63" TargetMode="External"/><Relationship Id="rId18" Type="http://schemas.openxmlformats.org/officeDocument/2006/relationships/hyperlink" Target="https://thesdirect.com/products/cardamome-fruit-entier-bio?_pos=1&amp;_sid=0d54a836c&amp;_ss=r" TargetMode="External"/><Relationship Id="rId26" Type="http://schemas.openxmlformats.org/officeDocument/2006/relationships/hyperlink" Target="https://thesdirect.com/products/harpagophytum-racine-coupee-bio?variant=46723154116950&amp;utm_medium=paidsearch&amp;utm_source=google&amp;utm_campaign=FR-PMC-Global&amp;utm_term=&amp;utm_content=&amp;gad_source=1" TargetMode="External"/><Relationship Id="rId39" Type="http://schemas.openxmlformats.org/officeDocument/2006/relationships/table" Target="../tables/table2.xml"/><Relationship Id="rId21" Type="http://schemas.openxmlformats.org/officeDocument/2006/relationships/hyperlink" Target="https://thesdirect.com/products/graine-de-fenugrec-bio-en-vrac?_pos=1&amp;_sid=e3b571ae1&amp;_ss=r" TargetMode="External"/><Relationship Id="rId34" Type="http://schemas.openxmlformats.org/officeDocument/2006/relationships/hyperlink" Target="https://occitanie.chambre-agriculture.fr/fileadmin/user_upload/Occitanie/076_Inst-Occitanie/Documents/Productions_techniques/Agriculture_biologique/Espace_ressource_bio/Maraichage_bio/ITK-LR-PoivronVenteDirecte.pdf" TargetMode="External"/><Relationship Id="rId7" Type="http://schemas.openxmlformats.org/officeDocument/2006/relationships/hyperlink" Target="https://www.googleadservices.com/pagead/aclk?sa=L&amp;ai=DChcSEwjImt71kvSEAxX4qGgJHfm2DMsYABAOGgJ3Zg&amp;ase=2&amp;gclid=Cj0KCQjwwMqvBhCtARIsAIXsZpZzuxlLYPk3jEbz2sSJyN4bocZn-7fGZ1l02xJ2SChDI7pgp8LAST8aAnq9EALw_wcB&amp;ohost=www.google.com&amp;cid=CAESV-D2Uxx-XLqYE_XjwL-kVovH9HTLCB4KlP7kJAwkGppGskGIF94N5JykIfKxIhGF_WNbbGhZMrxjSTAQ4FwvjJubk8RCtjodMYrRsrubTeHFyJdngqwO-Q&amp;sig=AOD64_24hJKAn2HpOv8TAFHuCr4695zSpw&amp;ctype=5&amp;q=&amp;nis=4&amp;ved=2ahUKEwjbttj1kvSEAxXWSKQEHcVUBosQ9aACKAB6BAgBEBM&amp;adurl=" TargetMode="External"/><Relationship Id="rId12" Type="http://schemas.openxmlformats.org/officeDocument/2006/relationships/hyperlink" Target="https://www.pharma5avenue.com/blog/mode-de-production-du-curcuma-longa-n63" TargetMode="External"/><Relationship Id="rId17" Type="http://schemas.openxmlformats.org/officeDocument/2006/relationships/hyperlink" Target="https://thesdirect.com/products/gingembre-rhizome-poudre-bio?_pos=7&amp;_sid=90d482203&amp;_ss=r" TargetMode="External"/><Relationship Id="rId25" Type="http://schemas.openxmlformats.org/officeDocument/2006/relationships/hyperlink" Target="https://thesdirect.com/products/ortie-piquante-partie-aerienne-poudre-bio-origine-france?_pos=3&amp;_sid=da77c7ad6&amp;_ss=r" TargetMode="External"/><Relationship Id="rId33" Type="http://schemas.openxmlformats.org/officeDocument/2006/relationships/hyperlink" Target="https://occitanie.chambre-agriculture.fr/fileadmin/user_upload/Occitanie/076_Inst-Occitanie/Documents/Productions_techniques/Agriculture_biologique/Espace_ressource_bio/Maraichage_bio/ITK-LR-PoivronVenteDirecte.pdf" TargetMode="External"/><Relationship Id="rId38" Type="http://schemas.openxmlformats.org/officeDocument/2006/relationships/drawing" Target="../drawings/drawing1.xml"/><Relationship Id="rId2" Type="http://schemas.openxmlformats.org/officeDocument/2006/relationships/hyperlink" Target="https://www.etsy.com/fr/listing/538432371/poudre-de-mangue-biologique-poudre?gpla=1&amp;gao=1&amp;" TargetMode="External"/><Relationship Id="rId16" Type="http://schemas.openxmlformats.org/officeDocument/2006/relationships/hyperlink" Target="https://thesdirect.com/products/laurier-feuille-coupee-bio?_pos=1&amp;_sid=01cd0a848&amp;_ss=r" TargetMode="External"/><Relationship Id="rId20" Type="http://schemas.openxmlformats.org/officeDocument/2006/relationships/hyperlink" Target="https://thesdirect.com/products/grosssite-cumin-graine-poudre-bio-vente-en-gros?_pos=2&amp;_sid=3c51b5f81&amp;_ss=r" TargetMode="External"/><Relationship Id="rId29" Type="http://schemas.openxmlformats.org/officeDocument/2006/relationships/hyperlink" Target="https://thesdirect.com/products/lavandin-fleur-entiere-bio-origine-france?variant=46723154575702" TargetMode="External"/><Relationship Id="rId1" Type="http://schemas.openxmlformats.org/officeDocument/2006/relationships/hyperlink" Target="https://parisbelleville01.lecodrive.com/boutique/amande-douce-decortiquee-bio-espagne/" TargetMode="External"/><Relationship Id="rId6" Type="http://schemas.openxmlformats.org/officeDocument/2006/relationships/hyperlink" Target="https://www.etsy.com/fr/listing/1671728644/zeste-de-mandarine-sechee-biologique?gpla=1&amp;gao=1&amp;" TargetMode="External"/><Relationship Id="rId11" Type="http://schemas.openxmlformats.org/officeDocument/2006/relationships/hyperlink" Target="https://thesdirect.com/products/cumin-noir-nigelle-graine-entiere-bio?_pos=1&amp;_sid=3c51b5f81&amp;_ss=r" TargetMode="External"/><Relationship Id="rId24" Type="http://schemas.openxmlformats.org/officeDocument/2006/relationships/hyperlink" Target="https://thesdirect.com/products/cumin-noir-nigelle-graine-entiere-bio?_pos=1&amp;_sid=952bb7c98&amp;_ss=r" TargetMode="External"/><Relationship Id="rId32" Type="http://schemas.openxmlformats.org/officeDocument/2006/relationships/hyperlink" Target="https://www.capsicums.fr/piments/piment-mexicain-ancho-entier/" TargetMode="External"/><Relationship Id="rId37" Type="http://schemas.openxmlformats.org/officeDocument/2006/relationships/hyperlink" Target="https://www.apiculture.net/sirop/7606-palette-sucre-de-canne-biologique-1080kg-alimentaire-54x20kg.html?kk=a4c626f-18e411b23ef-a3fee&amp;kgclid=CjwKCAjw48-vBhBbEiwAzqrZVI_0Pn7Eoe7X5_JvZvbTWxkK5E4ji2yIrkTdaQkY6n_lq79bD6I5HBoCb08QAvD_BwE&amp;utm_source=kelkoofr&amp;utm_medium=cpc&amp;utm_campaign=kelkooclick&amp;utm_term=Apiculture.net+-+Mat%C3%A9riel+apicole+fran%C3%A7a" TargetMode="External"/><Relationship Id="rId5" Type="http://schemas.openxmlformats.org/officeDocument/2006/relationships/hyperlink" Target="https://www.googleadservices.com/pagead/aclk?sa=L&amp;ai=DChcSEwichuSekfSEAxVyQUECHat2BNwYABAMGgJ3cw&amp;ase=2&amp;gclid=Cj0KCQjwwMqvBhCtARIsAIXsZpZmpmc8fHRm_JGzy1Gmr0JI0grkfyuAV2XraPO2cYJ_I7mDJZoaepwaAlFBEALw_wcB&amp;ohost=www.google.com&amp;cid=CAESV-D2fcXVl2hyBhRmKKHyR9Mar6Ywa7Gxq7dChedDWqueLOlHIrSO08ZTbW6I8tjACgEP8JedobbYSxK8ul5eMEPhhJEPba-FfAwg293CrvZFTOWQMeyZvg&amp;sig=AOD64_00twfFYjSyymtiLPJAcag4fPwi1w&amp;ctype=5&amp;q=&amp;nis=4&amp;ved=2ahUKEwjQud6ekfSEAxVXU6QEHZs-CdUQ9aACKAB6BAgEEBM&amp;adurl=" TargetMode="External"/><Relationship Id="rId15" Type="http://schemas.openxmlformats.org/officeDocument/2006/relationships/hyperlink" Target="https://www.pharma5avenue.com/blog/mode-de-production-du-curcuma-longa-n63" TargetMode="External"/><Relationship Id="rId23" Type="http://schemas.openxmlformats.org/officeDocument/2006/relationships/hyperlink" Target="https://thesdirect.com/products/graine-de-moutarde-noir-bio-en-vrac?_pos=1&amp;_sid=ed731c47b&amp;_ss=r" TargetMode="External"/><Relationship Id="rId28" Type="http://schemas.openxmlformats.org/officeDocument/2006/relationships/hyperlink" Target="https://www.googleadservices.com/pagead/aclk?sa=L&amp;ai=DChcSEwjImt71kvSEAxX4qGgJHfm2DMsYABAOGgJ3Zg&amp;ase=2&amp;gclid=Cj0KCQjwwMqvBhCtARIsAIXsZpZzuxlLYPk3jEbz2sSJyN4bocZn-7fGZ1l02xJ2SChDI7pgp8LAST8aAnq9EALw_wcB&amp;ohost=www.google.com&amp;cid=CAESV-D2Uxx-XLqYE_XjwL-kVovH9HTLCB4KlP7kJAwkGppGskGIF94N5JykIfKxIhGF_WNbbGhZMrxjSTAQ4FwvjJubk8RCtjodMYrRsrubTeHFyJdngqwO-Q&amp;sig=AOD64_24hJKAn2HpOv8TAFHuCr4695zSpw&amp;ctype=5&amp;q=&amp;nis=4&amp;ved=2ahUKEwjbttj1kvSEAxXWSKQEHcVUBosQ9aACKAB6BAgBEBM&amp;adurl=" TargetMode="External"/><Relationship Id="rId36" Type="http://schemas.openxmlformats.org/officeDocument/2006/relationships/hyperlink" Target="https://www.autourduriz.com/sauces-asiatiques-vrac/332-shoyu-sauce-soja-5-l-3760275573025.html" TargetMode="External"/><Relationship Id="rId10" Type="http://schemas.openxmlformats.org/officeDocument/2006/relationships/hyperlink" Target="https://thesdirect.com/products/grosssite-cumin-graine-poudre-bio-vente-en-gros?_pos=2&amp;_sid=3c51b5f81&amp;_ss=r" TargetMode="External"/><Relationship Id="rId19" Type="http://schemas.openxmlformats.org/officeDocument/2006/relationships/hyperlink" Target="https://thesdirect.com/products/carvi-graine-entiere-bio?_pos=1&amp;_sid=0340e6674&amp;_ss=r" TargetMode="External"/><Relationship Id="rId31" Type="http://schemas.openxmlformats.org/officeDocument/2006/relationships/hyperlink" Target="https://thesdirect.com/products/origan-vert-feuille-entiere-bio-origine-france?_pos=1&amp;_sid=92a128b15&amp;_ss=r" TargetMode="External"/><Relationship Id="rId4" Type="http://schemas.openxmlformats.org/officeDocument/2006/relationships/hyperlink" Target="https://www.googleadservices.com/pagead/aclk?sa=L&amp;ai=DChcSEwi8_L7IkfSEAxWWtWgJHdrGBpYYABAFGgJ3Zg&amp;ase=2&amp;gclid=Cj0KCQjwwMqvBhCtARIsAIXsZpYLT1VmI5Kq1BaXTkjkzxCxD3tRu3FW4QihyZ5AVHNacB5EEIP-EacaAtVBEALw_wcB&amp;ohost=www.google.com&amp;cid=CAESV-D25s4w_xgCt61JSCPtz_-6MB53MwZOqMSR3C53fMpAlGsUxYYNIVZyeD-U7TQmjoP8BSO5N0eb6P53Wc_pyXFm3Td7A7f5dhB2yVtf84Fpc8W6xGvNkg&amp;sig=AOD64_1j_v1y63lx74Qe3EwzAJMUknrPPQ&amp;ctype=5&amp;q=&amp;nis=4&amp;ved=2ahUKEwii3bjIkfSEAxUTUKQEHfKUBKUQ9aACKAB6BAgBECM&amp;adurl=" TargetMode="External"/><Relationship Id="rId9" Type="http://schemas.openxmlformats.org/officeDocument/2006/relationships/hyperlink" Target="https://thesdirect.com/products/coriandre-graine-entiere-bio-origine-france?variant=46717581754710" TargetMode="External"/><Relationship Id="rId14" Type="http://schemas.openxmlformats.org/officeDocument/2006/relationships/hyperlink" Target="https://www.pharma5avenue.com/blog/mode-de-production-du-curcuma-longa-n63" TargetMode="External"/><Relationship Id="rId22" Type="http://schemas.openxmlformats.org/officeDocument/2006/relationships/hyperlink" Target="https://thesdirect.com/products/graine-de-moutarde-jaune-bio-en-vrac?_pos=2&amp;_sid=ed731c47b&amp;_ss=r" TargetMode="External"/><Relationship Id="rId27" Type="http://schemas.openxmlformats.org/officeDocument/2006/relationships/hyperlink" Target="https://www.etsy.com/fr/listing/897347569/tisane-en-vrac-helichrysum-immortelle" TargetMode="External"/><Relationship Id="rId30" Type="http://schemas.openxmlformats.org/officeDocument/2006/relationships/hyperlink" Target="https://www.autourduriz.com/sauces-asiatiques-bio/423-sauce-nuoc-mam-bio-veggie-3760275575203.html" TargetMode="External"/><Relationship Id="rId35" Type="http://schemas.openxmlformats.org/officeDocument/2006/relationships/hyperlink" Target="https://occitanie.chambre-agriculture.fr/fileadmin/user_upload/Occitanie/076_Inst-Occitanie/Documents/Productions_techniques/Agriculture_biologique/Espace_ressource_bio/Maraichage_bio/ITK-LR-PoivronVenteDirecte.pdf" TargetMode="External"/><Relationship Id="rId8" Type="http://schemas.openxmlformats.org/officeDocument/2006/relationships/hyperlink" Target="https://thesdirect.com/products/girofle-clou-entier-bio?variant=42278504759535&amp;utm_medium=paidsearch&amp;utm_source=google&amp;utm_campaign=FR-PMC-Global&amp;utm_term=&amp;utm_content=&amp;gad_source=1&amp;gclid=Cj0KCQjwwMqvBhCtARIsAIXsZpYMcYHxWw4LzdPFYu1RLdfNCwEEgQ89WYbpA_kBagvr-9lOLjM_5DwaAt_uEALw_wcB" TargetMode="External"/><Relationship Id="rId3" Type="http://schemas.openxmlformats.org/officeDocument/2006/relationships/hyperlink" Target="https://vracbio.com/products/badiane-anis-etoile-bio-en-vrac?variant=31584511361139&amp;currency=EUR&amp;utm_medium=product_sync&amp;utm_source=google&amp;utm_content=sag_organic&amp;utm_campaign=sag_organic&amp;utm_campaign=gs-2020-05-12&amp;utm_source=google&amp;utm_medium=smart_campaign&amp;gad_source=1&amp;gclid=Cj0KCQjwwMqvBhCtARIsAIXsZpbzhzDINtZH-k_NigcEf1sWrPuGZLuWxNXCpnF2Jb13CK9238FySTMaAgwfEALw_wcB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uteilles-et-bocaux.com/bouteille-en-verre-100-ml-tulipano-col-liege-100018170?referralCode=344f636f14874df59416c60d47218b06&amp;utm_medium=sea&amp;utm_source=google&amp;gad_source=1&amp;gclid=CjwKCAiAopuvBhBCEiwAm8jaMTskXVOIzZ5rIxKF0pqFc9jqHsHuFuUd6kJ7IRF1_elI1heMCZJ8WxoCAGwQAvD_BwE" TargetMode="External"/><Relationship Id="rId13" Type="http://schemas.openxmlformats.org/officeDocument/2006/relationships/hyperlink" Target="https://www.berlinpackaging.eu/fr/81/bouteilles-huile-d-olive/11010/bouteille-alex--olio-250-ml-bg-a-vis" TargetMode="External"/><Relationship Id="rId3" Type="http://schemas.openxmlformats.org/officeDocument/2006/relationships/hyperlink" Target="https://www.bouteilles-et-bocaux.com/bouchon-pour-pot-a-epices-moulin-plastique-pp-noir-pour-col-gpi-38-400-100000220" TargetMode="External"/><Relationship Id="rId7" Type="http://schemas.openxmlformats.org/officeDocument/2006/relationships/hyperlink" Target="https://www.bouteilles-et-bocaux.com/bocal-cylindrique-haut-212-ml-col-twist-off-to-53-100012480" TargetMode="External"/><Relationship Id="rId12" Type="http://schemas.openxmlformats.org/officeDocument/2006/relationships/hyperlink" Target="https://de.aliexpress.com/item/1005005532498174.html1007.40000.327270.0&amp;scm-url=1007.40000.327270.0&amp;pvid=d7f30d2d-9c81-4a76-abd9-d1b5dab0f6ac&amp;_t=gps-id:pcDetailTopMoreOtherSeller,scm-url:1007.40000.327270.0,pvid:d7f30d2d-9c81-4a76-abd9-d1b5dab0f6ac,tpp_buckets:668%232846%238115%232000&amp;pdp_npi=4%40dis%21EUR%215.38%211.88%21%21%2141.12%2114.39%21%402103890117096883118564836e954f%2112000033437633735%21rec%21FR%212461724979%21&amp;utparam-url=scene%3ApcDetailTopMoreOtherSeller%7Cquery_from%3A" TargetMode="External"/><Relationship Id="rId2" Type="http://schemas.openxmlformats.org/officeDocument/2006/relationships/hyperlink" Target="https://www.packari.com/fr/Produits/Flacons-en-verre-col-large/Flacons-en-verre-brun-sans-fermeture/Flacon-comprim-s-en-verre-marron-col-large-100-ml-38-400-sans-bouchon.html" TargetMode="External"/><Relationship Id="rId1" Type="http://schemas.openxmlformats.org/officeDocument/2006/relationships/hyperlink" Target="https://www.bouteilles-et-bocaux.com/bouchon-pour-pot-a-epices-distributeur-plastique-pp-rouge-pour-col-gpi-38-400-100000230?referralCode=344f636f14874df59416c60d47218b06&amp;utm_medium=sea&amp;utm_source=google&amp;gad_source=1&amp;gclid=CjwKCAiAopuvBhBCEiwAm8jaMRvkyaCkj4LfwgUmeOXFwEVybp5GM9cMjo6i2XXHdi_SmUDOQN4bRRoCVVAQAvD_BwE" TargetMode="External"/><Relationship Id="rId6" Type="http://schemas.openxmlformats.org/officeDocument/2006/relationships/hyperlink" Target="https://www.bouteilles-et-bocaux.com/bocal-cylindrique-haut-212-ml-col-twist-off-to-53-100012480" TargetMode="External"/><Relationship Id="rId11" Type="http://schemas.openxmlformats.org/officeDocument/2006/relationships/hyperlink" Target="https://www.bouteilles-et-bocaux.com/verrine-haute-350-ml-col-twist-off-to-82-100036140" TargetMode="External"/><Relationship Id="rId5" Type="http://schemas.openxmlformats.org/officeDocument/2006/relationships/hyperlink" Target="https://www.bouteilles-et-bocaux.com/pot-en-gres-270-ml-ceramique-blanc-col-couvercle-cloche-100035660?referralCode=344f636f14874df59416c60d47218b06&amp;utm_medium=sea&amp;utm_source=google&amp;gad_source=1&amp;gclid=CjwKCAiAopuvBhBCEiwAm8jaMYLe7_a0mGr35npPhJKfVuzxK0lpcyfagab4K3pMzvBsxnSqC3GYDhoCgu0QAvD_BwE" TargetMode="External"/><Relationship Id="rId15" Type="http://schemas.openxmlformats.org/officeDocument/2006/relationships/table" Target="../tables/table5.xml"/><Relationship Id="rId10" Type="http://schemas.openxmlformats.org/officeDocument/2006/relationships/hyperlink" Target="https://www.bouteilles-et-bocaux.com/seau-2-5-l-plastique-pp-blanc-100015070?referralCode=344f636f14874df59416c60d47218b06&amp;configurator=%255B%257B%2522productId%2522%253A%25220nolid%2522%252C%2522groupId%2522%253A%25220%2522%257D%252C%257B%2522productId%2522%253A%25221nolid%2522%252C%2522groupId%2522%253A%25221%2522%257D%255D&amp;utm_medium=sea&amp;utm_source=google&amp;galt=Cj0KCQjwlZixBhCoARIsAIC745BA22oQIFzXcivfuWmhgVWGHKmhHv_wy2W8_eDHTHF86yHAjltRI4MaAmbVEALw_wcB&amp;gad_source=1&amp;gclid=Cj0KCQjwlZixBhCoARIsAIC745BA22oQIFzXcivfuWmhgVWGHKmhHv_wy2W8_eDHTHF86yHAjltRI4MaAmbVEALw_wcB" TargetMode="External"/><Relationship Id="rId4" Type="http://schemas.openxmlformats.org/officeDocument/2006/relationships/hyperlink" Target="https://www.packari.com/fr/Produits/Flacons-en-verre-col-large/Flacons-en-verre-brun-sans-fermeture/Flacon-comprim-s-en-verre-marron-col-large-100-ml-38-400-sans-bouchon.html" TargetMode="External"/><Relationship Id="rId9" Type="http://schemas.openxmlformats.org/officeDocument/2006/relationships/hyperlink" Target="https://www.bouteilles-et-bocaux.com/bouteille-de-vinaigre-d-huile-250-ml-oleum-verre-vert-antique-col-dop-100034870?referralCode=344f636f14874df59416c60d47218b06&amp;utm_medium=sea&amp;utm_source=google&amp;gad_source=1&amp;gclid=CjwKCAiAopuvBhBCEiwAm8jaMeaR3q1S8hCLAwRtq5MXdAumMc4tNe8kzahJPqJxkQvjUHB9PdyHrRoCIKIQAvD_BwE" TargetMode="External"/><Relationship Id="rId14" Type="http://schemas.openxmlformats.org/officeDocument/2006/relationships/hyperlink" Target="https://www.bouteilles-et-bocaux.com/bocal-cylindrique-262-ml-monza-col-deep-twist-off-dto-82-100033050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BN72"/>
  <sheetViews>
    <sheetView tabSelected="1" zoomScale="144" workbookViewId="0">
      <pane ySplit="1" topLeftCell="A16" activePane="bottomLeft" state="frozen"/>
      <selection pane="bottomLeft" activeCell="P7" sqref="P7"/>
    </sheetView>
  </sheetViews>
  <sheetFormatPr baseColWidth="10" defaultColWidth="11" defaultRowHeight="16" x14ac:dyDescent="0.2"/>
  <cols>
    <col min="1" max="1" width="26.6640625" bestFit="1" customWidth="1"/>
    <col min="2" max="2" width="24.83203125" bestFit="1" customWidth="1"/>
    <col min="3" max="3" width="10" bestFit="1" customWidth="1"/>
    <col min="4" max="4" width="5.33203125" customWidth="1"/>
    <col min="5" max="5" width="19.83203125" customWidth="1"/>
    <col min="6" max="6" width="5.6640625" customWidth="1"/>
    <col min="7" max="7" width="10.5" customWidth="1"/>
    <col min="9" max="10" width="7.6640625" customWidth="1"/>
    <col min="11" max="11" width="6" customWidth="1"/>
    <col min="12" max="12" width="6.33203125" customWidth="1"/>
    <col min="13" max="13" width="8.5" customWidth="1"/>
    <col min="14" max="14" width="7" customWidth="1"/>
    <col min="15" max="15" width="4.1640625" customWidth="1"/>
    <col min="16" max="16" width="4.5" customWidth="1"/>
    <col min="17" max="17" width="5.6640625" customWidth="1"/>
    <col min="18" max="18" width="11.5" customWidth="1"/>
    <col min="19" max="19" width="8.1640625" customWidth="1"/>
    <col min="20" max="20" width="7" customWidth="1"/>
    <col min="21" max="22" width="4" customWidth="1"/>
    <col min="23" max="23" width="4.5" customWidth="1"/>
    <col min="24" max="24" width="8.83203125" customWidth="1"/>
    <col min="25" max="26" width="7" customWidth="1"/>
    <col min="27" max="28" width="4" customWidth="1"/>
    <col min="29" max="29" width="4.5" customWidth="1"/>
    <col min="30" max="30" width="8.83203125" customWidth="1"/>
    <col min="31" max="32" width="7" customWidth="1"/>
    <col min="33" max="34" width="4" customWidth="1"/>
    <col min="35" max="35" width="4.5" customWidth="1"/>
    <col min="36" max="36" width="8.83203125" customWidth="1"/>
    <col min="37" max="38" width="7" customWidth="1"/>
    <col min="39" max="40" width="4" customWidth="1"/>
    <col min="41" max="41" width="4.5" customWidth="1"/>
    <col min="42" max="42" width="8.83203125" customWidth="1"/>
    <col min="43" max="44" width="7" customWidth="1"/>
    <col min="45" max="46" width="4" customWidth="1"/>
    <col min="47" max="47" width="4.5" customWidth="1"/>
    <col min="48" max="48" width="8.83203125" customWidth="1"/>
    <col min="49" max="50" width="7" customWidth="1"/>
    <col min="51" max="52" width="4" customWidth="1"/>
    <col min="53" max="53" width="4.5" customWidth="1"/>
    <col min="54" max="54" width="8.83203125" customWidth="1"/>
    <col min="55" max="56" width="7" customWidth="1"/>
    <col min="57" max="58" width="4" customWidth="1"/>
    <col min="59" max="59" width="4.5" customWidth="1"/>
    <col min="60" max="60" width="8.83203125" customWidth="1"/>
    <col min="61" max="62" width="7" customWidth="1"/>
    <col min="63" max="64" width="4" customWidth="1"/>
    <col min="65" max="65" width="4.5" customWidth="1"/>
    <col min="66" max="66" width="8.83203125" customWidth="1"/>
  </cols>
  <sheetData>
    <row r="1" spans="1:66" s="5" customFormat="1" ht="142" customHeight="1" x14ac:dyDescent="0.2">
      <c r="A1" s="12" t="s">
        <v>0</v>
      </c>
      <c r="B1" s="12" t="s">
        <v>1</v>
      </c>
      <c r="C1" s="10" t="s">
        <v>2</v>
      </c>
      <c r="D1" s="10" t="s">
        <v>3</v>
      </c>
      <c r="E1" s="8" t="s">
        <v>4</v>
      </c>
      <c r="F1" s="9" t="s">
        <v>5</v>
      </c>
      <c r="G1" s="450" t="s">
        <v>6</v>
      </c>
      <c r="H1" s="409" t="s">
        <v>7</v>
      </c>
      <c r="I1" s="408" t="s">
        <v>8</v>
      </c>
      <c r="J1" s="18" t="s">
        <v>9</v>
      </c>
      <c r="K1" s="17" t="s">
        <v>10</v>
      </c>
      <c r="L1" s="416" t="s">
        <v>11</v>
      </c>
      <c r="M1" s="474" t="s">
        <v>12</v>
      </c>
      <c r="N1" s="337" t="s">
        <v>13</v>
      </c>
      <c r="O1" s="28" t="s">
        <v>14</v>
      </c>
      <c r="P1" s="28" t="s">
        <v>15</v>
      </c>
      <c r="Q1" s="28" t="s">
        <v>16</v>
      </c>
      <c r="R1" s="29" t="s">
        <v>17</v>
      </c>
      <c r="S1" s="31" t="s">
        <v>18</v>
      </c>
      <c r="T1" s="334" t="s">
        <v>19</v>
      </c>
      <c r="U1" s="45" t="s">
        <v>20</v>
      </c>
      <c r="V1" s="45" t="s">
        <v>21</v>
      </c>
      <c r="W1" s="45" t="s">
        <v>22</v>
      </c>
      <c r="X1" s="39" t="s">
        <v>23</v>
      </c>
      <c r="Y1" s="32" t="s">
        <v>24</v>
      </c>
      <c r="Z1" s="338" t="s">
        <v>25</v>
      </c>
      <c r="AA1" s="46" t="s">
        <v>26</v>
      </c>
      <c r="AB1" s="46" t="s">
        <v>27</v>
      </c>
      <c r="AC1" s="46" t="s">
        <v>28</v>
      </c>
      <c r="AD1" s="40" t="s">
        <v>29</v>
      </c>
      <c r="AE1" s="33" t="s">
        <v>30</v>
      </c>
      <c r="AF1" s="340" t="s">
        <v>31</v>
      </c>
      <c r="AG1" s="47" t="s">
        <v>32</v>
      </c>
      <c r="AH1" s="47" t="s">
        <v>33</v>
      </c>
      <c r="AI1" s="47" t="s">
        <v>34</v>
      </c>
      <c r="AJ1" s="41" t="s">
        <v>35</v>
      </c>
      <c r="AK1" s="34" t="s">
        <v>36</v>
      </c>
      <c r="AL1" s="342" t="s">
        <v>37</v>
      </c>
      <c r="AM1" s="48" t="s">
        <v>38</v>
      </c>
      <c r="AN1" s="48" t="s">
        <v>39</v>
      </c>
      <c r="AO1" s="48" t="s">
        <v>40</v>
      </c>
      <c r="AP1" s="42" t="s">
        <v>41</v>
      </c>
      <c r="AQ1" s="35" t="s">
        <v>42</v>
      </c>
      <c r="AR1" s="344" t="s">
        <v>43</v>
      </c>
      <c r="AS1" s="49" t="s">
        <v>44</v>
      </c>
      <c r="AT1" s="49" t="s">
        <v>45</v>
      </c>
      <c r="AU1" s="49" t="s">
        <v>46</v>
      </c>
      <c r="AV1" s="43" t="s">
        <v>47</v>
      </c>
      <c r="AW1" s="30" t="s">
        <v>48</v>
      </c>
      <c r="AX1" s="346" t="s">
        <v>49</v>
      </c>
      <c r="AY1" s="50" t="s">
        <v>50</v>
      </c>
      <c r="AZ1" s="50" t="s">
        <v>51</v>
      </c>
      <c r="BA1" s="50" t="s">
        <v>52</v>
      </c>
      <c r="BB1" s="44" t="s">
        <v>53</v>
      </c>
      <c r="BC1" s="36" t="s">
        <v>54</v>
      </c>
      <c r="BD1" s="347" t="s">
        <v>55</v>
      </c>
      <c r="BE1" s="51" t="s">
        <v>56</v>
      </c>
      <c r="BF1" s="51" t="s">
        <v>57</v>
      </c>
      <c r="BG1" s="51" t="s">
        <v>58</v>
      </c>
      <c r="BH1" s="37" t="s">
        <v>59</v>
      </c>
      <c r="BI1" s="53" t="s">
        <v>60</v>
      </c>
      <c r="BJ1" s="349" t="s">
        <v>61</v>
      </c>
      <c r="BK1" s="52" t="s">
        <v>62</v>
      </c>
      <c r="BL1" s="52" t="s">
        <v>63</v>
      </c>
      <c r="BM1" s="52" t="s">
        <v>64</v>
      </c>
      <c r="BN1" s="38" t="s">
        <v>65</v>
      </c>
    </row>
    <row r="2" spans="1:66" x14ac:dyDescent="0.2">
      <c r="A2" s="13" t="s">
        <v>66</v>
      </c>
      <c r="B2" s="54" t="str">
        <f>TableauProduit[[#This Row],[Recette]]&amp;TableauProduit[[#This Row],[Conditionnement]]</f>
        <v>Herbes de ProvenceEpice 200ml</v>
      </c>
      <c r="C2" s="11">
        <v>1</v>
      </c>
      <c r="D2" s="11">
        <v>80</v>
      </c>
      <c r="E2" s="6" t="s">
        <v>67</v>
      </c>
      <c r="F2" s="7">
        <f>IFERROR(VLOOKUP(TableauProduit[[#This Row],[Conditionnement]],TableauConditionnement[[Nom]:[Contenance]],4,FALSE),"")</f>
        <v>0.66</v>
      </c>
      <c r="G2" s="463">
        <f>IFERROR(SUMIFS(TableauRecette[Prix d''achat / kg],TableauRecette[Recette],TableauProduit[[#This Row],[Recette]],TableauRecette[Conditionnement],TableauProduit[[#This Row],[Conditionnement]]),0)</f>
        <v>0</v>
      </c>
      <c r="H2" s="464">
        <v>7.5</v>
      </c>
      <c r="I2" s="465">
        <f>TableauProduit[[#This Row],[Prix de vente/U]]/TableauProduit[[#This Row],[Poids (g) / unite]]*1000</f>
        <v>93.75</v>
      </c>
      <c r="J2" s="466">
        <f>SUMIFS(TableauConcurence[PRIX_KG],TableauConcurence[PRODUIT],TableauProduit[[#This Row],[Recette]],TableauConcurence[DISTRIBUTION],"magasin NON BIO")</f>
        <v>75.599999999999994</v>
      </c>
      <c r="K2" s="467">
        <f>SUMIFS(TableauConcurence[PRIX_KG],TableauConcurence[PRODUIT],TableauProduit[[#This Row],[Recette]],TableauConcurence[DISTRIBUTION],"magasin BIO")</f>
        <v>139.5</v>
      </c>
      <c r="L2" s="468">
        <f>SUMIFS(TableauConcurence[PRIX_KG],TableauConcurence[PRODUIT],TableauProduit[[#This Row],[Recette]],TableauConcurence[DISTRIBUTION],"artisanale BIO")</f>
        <v>168</v>
      </c>
      <c r="M2" s="410">
        <v>650</v>
      </c>
      <c r="N2" s="333">
        <f>TableauProduit[[#This Row],[Objectif de vente en unite N1]]*TableauProduit[[#This Row],[Poids (g) / unite]]/1000</f>
        <v>52</v>
      </c>
      <c r="O2" s="425">
        <f>TableauProduit[[#This Row],[Packaging / unite]]*TableauProduit[[#This Row],[Objectif de vente en unite N1]]</f>
        <v>429</v>
      </c>
      <c r="P2" s="425">
        <f>SUMIF(TableauRecette[[#This Row],[Recette]],TableauProduit[[#This Row],[Recette]],TableauRecette[[#This Row],[Prix pour kg/ de melange]])</f>
        <v>0</v>
      </c>
      <c r="Q2" s="425">
        <f>TableauProduit[[#This Row],[Prix de vente/kg]]*TableauProduit[[#This Row],[Total (kg) N1]]</f>
        <v>4875</v>
      </c>
      <c r="R2" s="428" t="e">
        <f>#REF!-#REF!-TableauProduit[[#This Row],[Conditionnement N1]]</f>
        <v>#REF!</v>
      </c>
      <c r="S2" s="336">
        <v>975</v>
      </c>
      <c r="T2" s="335" t="e">
        <f>#REF!*#REF!/1000</f>
        <v>#REF!</v>
      </c>
      <c r="U2" s="417" t="e">
        <f>#REF!*#REF!</f>
        <v>#REF!</v>
      </c>
      <c r="V2" s="417" t="e">
        <f>#REF!*TableauProduit[[#This Row],[Total (kg) N2]]</f>
        <v>#REF!</v>
      </c>
      <c r="W2" s="417" t="e">
        <f>TableauProduit[[#This Row],[Prix de vente/kg]]*TableauProduit[[#This Row],[Total (kg) N2]]</f>
        <v>#REF!</v>
      </c>
      <c r="X2" s="411" t="e">
        <f>#REF!-#REF!-TableauProduit[[#This Row],[Conditionnement N2]]</f>
        <v>#REF!</v>
      </c>
      <c r="Y2" s="412">
        <v>1138</v>
      </c>
      <c r="Z2" s="339" t="e">
        <f>#REF!*#REF!/1000</f>
        <v>#REF!</v>
      </c>
      <c r="AA2" s="420" t="e">
        <f>#REF!*#REF!</f>
        <v>#REF!</v>
      </c>
      <c r="AB2" s="420" t="e">
        <f>#REF!*TableauProduit[[#This Row],[Total (kg) N3]]</f>
        <v>#REF!</v>
      </c>
      <c r="AC2" s="420" t="e">
        <f>TableauProduit[[#This Row],[Prix de vente/kg]]*TableauProduit[[#This Row],[Total (kg) N3]]</f>
        <v>#REF!</v>
      </c>
      <c r="AD2" s="429" t="e">
        <f>#REF!-#REF!-TableauProduit[[#This Row],[Conditionnement N3]]</f>
        <v>#REF!</v>
      </c>
      <c r="AE2" s="341">
        <v>1235</v>
      </c>
      <c r="AF2" s="341" t="e">
        <f>#REF!*#REF!/1000</f>
        <v>#REF!</v>
      </c>
      <c r="AG2" s="423" t="e">
        <f>#REF!*#REF!</f>
        <v>#REF!</v>
      </c>
      <c r="AH2" s="423" t="e">
        <f>#REF!*TableauProduit[[#This Row],[Total (kg) N4]]</f>
        <v>#REF!</v>
      </c>
      <c r="AI2" s="423" t="e">
        <f>TableauProduit[[#This Row],[Prix de vente/kg]]*TableauProduit[[#This Row],[Total (kg) N4]]</f>
        <v>#REF!</v>
      </c>
      <c r="AJ2" s="341" t="e">
        <f>#REF!-#REF!-TableauProduit[[#This Row],[Conditionnement N4]]</f>
        <v>#REF!</v>
      </c>
      <c r="AK2" s="343">
        <v>1300</v>
      </c>
      <c r="AL2" s="343" t="e">
        <f>#REF!*#REF!/1000</f>
        <v>#REF!</v>
      </c>
      <c r="AM2" s="430" t="e">
        <f>#REF!*#REF!</f>
        <v>#REF!</v>
      </c>
      <c r="AN2" s="430" t="e">
        <f>#REF!*TableauProduit[[#This Row],[Total (kg) N5]]</f>
        <v>#REF!</v>
      </c>
      <c r="AO2" s="430" t="e">
        <f>TableauProduit[[#This Row],[Prix de vente/kg]]*TableauProduit[[#This Row],[Total (kg) N5]]</f>
        <v>#REF!</v>
      </c>
      <c r="AP2" s="343" t="e">
        <f>#REF!-#REF!-TableauProduit[[#This Row],[Conditionnement N5]]</f>
        <v>#REF!</v>
      </c>
      <c r="AQ2" s="345">
        <v>1300</v>
      </c>
      <c r="AR2" s="345" t="e">
        <f>#REF!*#REF!/1000</f>
        <v>#REF!</v>
      </c>
      <c r="AS2" s="431" t="e">
        <f>#REF!*#REF!</f>
        <v>#REF!</v>
      </c>
      <c r="AT2" s="431" t="e">
        <f>#REF!*TableauProduit[[#This Row],[Total (kg) N6]]</f>
        <v>#REF!</v>
      </c>
      <c r="AU2" s="431" t="e">
        <f>TableauProduit[[#This Row],[Prix de vente/kg]]*TableauProduit[[#This Row],[Total (kg) N6]]</f>
        <v>#REF!</v>
      </c>
      <c r="AV2" s="345" t="e">
        <f>#REF!-#REF!-TableauProduit[[#This Row],[Conditionnement N6]]</f>
        <v>#REF!</v>
      </c>
      <c r="AW2" s="333">
        <v>1300</v>
      </c>
      <c r="AX2" s="333" t="e">
        <f>#REF!*#REF!/1000</f>
        <v>#REF!</v>
      </c>
      <c r="AY2" s="425" t="e">
        <f>#REF!*#REF!</f>
        <v>#REF!</v>
      </c>
      <c r="AZ2" s="425" t="e">
        <f>#REF!*TableauProduit[[#This Row],[Total (kg) N7]]</f>
        <v>#REF!</v>
      </c>
      <c r="BA2" s="425" t="e">
        <f>TableauProduit[[#This Row],[Prix de vente/kg]]*TableauProduit[[#This Row],[Total (kg) N7]]</f>
        <v>#REF!</v>
      </c>
      <c r="BB2" s="432" t="e">
        <f>#REF!-#REF!-TableauProduit[[#This Row],[Conditionnement N7]]</f>
        <v>#REF!</v>
      </c>
      <c r="BC2" s="414">
        <v>1300</v>
      </c>
      <c r="BD2" s="348" t="e">
        <f>#REF!*#REF!/1000</f>
        <v>#REF!</v>
      </c>
      <c r="BE2" s="433" t="e">
        <f>#REF!*#REF!</f>
        <v>#REF!</v>
      </c>
      <c r="BF2" s="433" t="e">
        <f>#REF!*TableauProduit[[#This Row],[Total (kg) N8]]</f>
        <v>#REF!</v>
      </c>
      <c r="BG2" s="433" t="e">
        <f>TableauProduit[[#This Row],[Prix de vente/kg]]*TableauProduit[[#This Row],[Total (kg) N8]]</f>
        <v>#REF!</v>
      </c>
      <c r="BH2" s="434" t="e">
        <f>#REF!-#REF!-TableauProduit[[#This Row],[Conditionnement N8]]</f>
        <v>#REF!</v>
      </c>
      <c r="BI2" s="401">
        <v>1300</v>
      </c>
      <c r="BJ2" s="350" t="e">
        <f>#REF!*#REF!/1000</f>
        <v>#REF!</v>
      </c>
      <c r="BK2" s="435" t="e">
        <f>#REF!*#REF!</f>
        <v>#REF!</v>
      </c>
      <c r="BL2" s="435" t="e">
        <f>#REF!*TableauProduit[[#This Row],[Total (kg) N9]]</f>
        <v>#REF!</v>
      </c>
      <c r="BM2" s="435" t="e">
        <f>TableauProduit[[#This Row],[Prix de vente/kg]]*TableauProduit[[#This Row],[Total (kg) N9]]</f>
        <v>#REF!</v>
      </c>
      <c r="BN2" s="350" t="e">
        <f>#REF!-#REF!-TableauProduit[[#This Row],[Conditionnement N9]]</f>
        <v>#REF!</v>
      </c>
    </row>
    <row r="3" spans="1:66" x14ac:dyDescent="0.2">
      <c r="A3" s="13" t="s">
        <v>68</v>
      </c>
      <c r="B3" s="54" t="str">
        <f>TableauProduit[[#This Row],[Recette]]&amp;TableauProduit[[#This Row],[Conditionnement]]</f>
        <v>Moutarde à l'ancienneMoutarde verre 265 ml</v>
      </c>
      <c r="C3" s="11">
        <v>1</v>
      </c>
      <c r="D3" s="11">
        <v>250</v>
      </c>
      <c r="E3" s="6" t="s">
        <v>69</v>
      </c>
      <c r="F3" s="7">
        <f>IFERROR(VLOOKUP(TableauProduit[[#This Row],[Conditionnement]],TableauConditionnement[[Nom]:[Contenance]],4,FALSE),"")</f>
        <v>0.79</v>
      </c>
      <c r="G3" s="463">
        <f>IFERROR(SUMIFS(TableauRecette[Prix d''achat / kg],TableauRecette[Recette],TableauProduit[[#This Row],[Recette]],TableauRecette[Conditionnement],TableauProduit[[#This Row],[Conditionnement]]),0)</f>
        <v>0</v>
      </c>
      <c r="H3" s="469">
        <v>5</v>
      </c>
      <c r="I3" s="465">
        <f>TableauProduit[[#This Row],[Prix de vente/U]]/TableauProduit[[#This Row],[Poids (g) / unite]]*1000</f>
        <v>20</v>
      </c>
      <c r="J3" s="466">
        <f>SUMIFS(TableauConcurence[PRIX_KG],TableauConcurence[PRODUIT],TableauProduit[[#This Row],[Recette]],TableauConcurence[DISTRIBUTION],"magasin NON BIO")</f>
        <v>5.81</v>
      </c>
      <c r="K3" s="467">
        <f>SUMIFS(TableauConcurence[PRIX_KG],TableauConcurence[PRODUIT],TableauProduit[[#This Row],[Recette]],TableauConcurence[DISTRIBUTION],"magasin BIO")</f>
        <v>18.25</v>
      </c>
      <c r="L3" s="468">
        <f>SUMIFS(TableauConcurence[PRIX_KG],TableauConcurence[PRODUIT],TableauProduit[[#This Row],[Recette]],TableauConcurence[DISTRIBUTION],"artisanale BIO")</f>
        <v>29.500000000000004</v>
      </c>
      <c r="M3" s="410">
        <v>750</v>
      </c>
      <c r="N3" s="333">
        <f>TableauProduit[[#This Row],[Objectif de vente en unite N1]]*TableauProduit[[#This Row],[Poids (g) / unite]]/1000</f>
        <v>187.5</v>
      </c>
      <c r="O3" s="425">
        <f>TableauProduit[[#This Row],[Packaging / unite]]*TableauProduit[[#This Row],[Objectif de vente en unite N1]]</f>
        <v>592.5</v>
      </c>
      <c r="P3" s="425">
        <f>SUMIF(TableauRecette[[#This Row],[Recette]],TableauProduit[[#This Row],[Recette]],TableauRecette[[#This Row],[Prix pour kg/ de melange]])</f>
        <v>0</v>
      </c>
      <c r="Q3" s="425">
        <f>TableauProduit[[#This Row],[Prix de vente/kg]]*TableauProduit[[#This Row],[Total (kg) N1]]</f>
        <v>3750</v>
      </c>
      <c r="R3" s="428" t="e">
        <f>#REF!-#REF!-TableauProduit[[#This Row],[Conditionnement N1]]</f>
        <v>#REF!</v>
      </c>
      <c r="S3" s="336">
        <v>1125</v>
      </c>
      <c r="T3" s="394" t="e">
        <f>#REF!*#REF!/1000</f>
        <v>#REF!</v>
      </c>
      <c r="U3" s="418" t="e">
        <f>#REF!*#REF!</f>
        <v>#REF!</v>
      </c>
      <c r="V3" s="417" t="e">
        <f>#REF!*TableauProduit[[#This Row],[Total (kg) N2]]</f>
        <v>#REF!</v>
      </c>
      <c r="W3" s="419" t="e">
        <f>TableauProduit[[#This Row],[Prix de vente/kg]]*TableauProduit[[#This Row],[Total (kg) N2]]</f>
        <v>#REF!</v>
      </c>
      <c r="X3" s="411" t="e">
        <f>#REF!-#REF!-TableauProduit[[#This Row],[Conditionnement N2]]</f>
        <v>#REF!</v>
      </c>
      <c r="Y3" s="412">
        <v>1312</v>
      </c>
      <c r="Z3" s="395" t="e">
        <f>#REF!*#REF!/1000</f>
        <v>#REF!</v>
      </c>
      <c r="AA3" s="421" t="e">
        <f>#REF!*#REF!</f>
        <v>#REF!</v>
      </c>
      <c r="AB3" s="420" t="e">
        <f>#REF!*TableauProduit[[#This Row],[Total (kg) N3]]</f>
        <v>#REF!</v>
      </c>
      <c r="AC3" s="422" t="e">
        <f>TableauProduit[[#This Row],[Prix de vente/kg]]*TableauProduit[[#This Row],[Total (kg) N3]]</f>
        <v>#REF!</v>
      </c>
      <c r="AD3" s="429" t="e">
        <f>#REF!-#REF!-TableauProduit[[#This Row],[Conditionnement N3]]</f>
        <v>#REF!</v>
      </c>
      <c r="AE3" s="341">
        <v>1425</v>
      </c>
      <c r="AF3" s="396" t="e">
        <f>#REF!*#REF!/1000</f>
        <v>#REF!</v>
      </c>
      <c r="AG3" s="424" t="e">
        <f>#REF!*#REF!</f>
        <v>#REF!</v>
      </c>
      <c r="AH3" s="423" t="e">
        <f>#REF!*TableauProduit[[#This Row],[Total (kg) N4]]</f>
        <v>#REF!</v>
      </c>
      <c r="AI3" s="436" t="e">
        <f>TableauProduit[[#This Row],[Prix de vente/kg]]*TableauProduit[[#This Row],[Total (kg) N4]]</f>
        <v>#REF!</v>
      </c>
      <c r="AJ3" s="437" t="e">
        <f>#REF!-#REF!-TableauProduit[[#This Row],[Conditionnement N4]]</f>
        <v>#REF!</v>
      </c>
      <c r="AK3" s="343">
        <v>1500</v>
      </c>
      <c r="AL3" s="397" t="e">
        <f>#REF!*#REF!/1000</f>
        <v>#REF!</v>
      </c>
      <c r="AM3" s="438" t="e">
        <f>#REF!*#REF!</f>
        <v>#REF!</v>
      </c>
      <c r="AN3" s="430" t="e">
        <f>#REF!*TableauProduit[[#This Row],[Total (kg) N5]]</f>
        <v>#REF!</v>
      </c>
      <c r="AO3" s="439" t="e">
        <f>TableauProduit[[#This Row],[Prix de vente/kg]]*TableauProduit[[#This Row],[Total (kg) N5]]</f>
        <v>#REF!</v>
      </c>
      <c r="AP3" s="440" t="e">
        <f>#REF!-#REF!-TableauProduit[[#This Row],[Conditionnement N5]]</f>
        <v>#REF!</v>
      </c>
      <c r="AQ3" s="345">
        <v>1500</v>
      </c>
      <c r="AR3" s="398" t="e">
        <f>#REF!*#REF!/1000</f>
        <v>#REF!</v>
      </c>
      <c r="AS3" s="441" t="e">
        <f>#REF!*#REF!</f>
        <v>#REF!</v>
      </c>
      <c r="AT3" s="431" t="e">
        <f>#REF!*TableauProduit[[#This Row],[Total (kg) N6]]</f>
        <v>#REF!</v>
      </c>
      <c r="AU3" s="442" t="e">
        <f>TableauProduit[[#This Row],[Prix de vente/kg]]*TableauProduit[[#This Row],[Total (kg) N6]]</f>
        <v>#REF!</v>
      </c>
      <c r="AV3" s="443" t="e">
        <f>#REF!-#REF!-TableauProduit[[#This Row],[Conditionnement N6]]</f>
        <v>#REF!</v>
      </c>
      <c r="AW3" s="333">
        <v>1500</v>
      </c>
      <c r="AX3" s="399" t="e">
        <f>#REF!*#REF!/1000</f>
        <v>#REF!</v>
      </c>
      <c r="AY3" s="426" t="e">
        <f>#REF!*#REF!</f>
        <v>#REF!</v>
      </c>
      <c r="AZ3" s="425" t="e">
        <f>#REF!*TableauProduit[[#This Row],[Total (kg) N7]]</f>
        <v>#REF!</v>
      </c>
      <c r="BA3" s="427" t="e">
        <f>TableauProduit[[#This Row],[Prix de vente/kg]]*TableauProduit[[#This Row],[Total (kg) N7]]</f>
        <v>#REF!</v>
      </c>
      <c r="BB3" s="432" t="e">
        <f>#REF!-#REF!-TableauProduit[[#This Row],[Conditionnement N7]]</f>
        <v>#REF!</v>
      </c>
      <c r="BC3" s="414">
        <v>1500</v>
      </c>
      <c r="BD3" s="400" t="e">
        <f>#REF!*#REF!/1000</f>
        <v>#REF!</v>
      </c>
      <c r="BE3" s="444" t="e">
        <f>#REF!*#REF!</f>
        <v>#REF!</v>
      </c>
      <c r="BF3" s="433" t="e">
        <f>#REF!*TableauProduit[[#This Row],[Total (kg) N8]]</f>
        <v>#REF!</v>
      </c>
      <c r="BG3" s="445" t="e">
        <f>TableauProduit[[#This Row],[Prix de vente/kg]]*TableauProduit[[#This Row],[Total (kg) N8]]</f>
        <v>#REF!</v>
      </c>
      <c r="BH3" s="446" t="e">
        <f>#REF!-#REF!-TableauProduit[[#This Row],[Conditionnement N8]]</f>
        <v>#REF!</v>
      </c>
      <c r="BI3" s="401">
        <v>1500</v>
      </c>
      <c r="BJ3" s="401" t="e">
        <f>#REF!*#REF!/1000</f>
        <v>#REF!</v>
      </c>
      <c r="BK3" s="447" t="e">
        <f>#REF!*#REF!</f>
        <v>#REF!</v>
      </c>
      <c r="BL3" s="435" t="e">
        <f>#REF!*TableauProduit[[#This Row],[Total (kg) N9]]</f>
        <v>#REF!</v>
      </c>
      <c r="BM3" s="448" t="e">
        <f>TableauProduit[[#This Row],[Prix de vente/kg]]*TableauProduit[[#This Row],[Total (kg) N9]]</f>
        <v>#REF!</v>
      </c>
      <c r="BN3" s="350" t="e">
        <f>#REF!-#REF!-TableauProduit[[#This Row],[Conditionnement N9]]</f>
        <v>#REF!</v>
      </c>
    </row>
    <row r="4" spans="1:66" x14ac:dyDescent="0.2">
      <c r="A4" s="13" t="s">
        <v>70</v>
      </c>
      <c r="B4" s="54" t="str">
        <f>TableauProduit[[#This Row],[Recette]]&amp;TableauProduit[[#This Row],[Conditionnement]]</f>
        <v>ChoucrouteSeau 2,5 l, plastique</v>
      </c>
      <c r="C4" s="11">
        <v>1</v>
      </c>
      <c r="D4" s="11">
        <v>1000</v>
      </c>
      <c r="E4" s="6" t="s">
        <v>71</v>
      </c>
      <c r="F4" s="7">
        <f>IFERROR(VLOOKUP(TableauProduit[[#This Row],[Conditionnement]],TableauConditionnement[[Nom]:[Contenance]],4,FALSE),"")</f>
        <v>0.97</v>
      </c>
      <c r="G4" s="463">
        <f>IFERROR(SUMIFS(TableauRecette[Prix d''achat / kg],TableauRecette[Recette],TableauProduit[[#This Row],[Recette]],TableauRecette[Conditionnement],TableauProduit[[#This Row],[Conditionnement]]),0)</f>
        <v>0</v>
      </c>
      <c r="H4" s="464">
        <v>4</v>
      </c>
      <c r="I4" s="465">
        <f>TableauProduit[[#This Row],[Prix de vente/U]]/TableauProduit[[#This Row],[Poids (g) / unite]]*1000</f>
        <v>4</v>
      </c>
      <c r="J4" s="466">
        <f>SUMIFS(TableauConcurence[PRIX_KG],TableauConcurence[PRODUIT],TableauProduit[[#This Row],[Recette]],TableauConcurence[DISTRIBUTION],"magasin NON BIO")</f>
        <v>4.4000000000000004</v>
      </c>
      <c r="K4" s="467">
        <f>SUMIFS(TableauConcurence[PRIX_KG],TableauConcurence[PRODUIT],TableauProduit[[#This Row],[Recette]],TableauConcurence[DISTRIBUTION],"magasin BIO")</f>
        <v>7</v>
      </c>
      <c r="L4" s="468">
        <f>SUMIFS(TableauConcurence[PRIX_KG],TableauConcurence[PRODUIT],TableauProduit[[#This Row],[Recette]],TableauConcurence[DISTRIBUTION],"artisanale BIO")</f>
        <v>6</v>
      </c>
      <c r="M4" s="410">
        <v>450</v>
      </c>
      <c r="N4" s="333">
        <f>TableauProduit[[#This Row],[Objectif de vente en unite N1]]*TableauProduit[[#This Row],[Poids (g) / unite]]/1000</f>
        <v>450</v>
      </c>
      <c r="O4" s="425">
        <f>TableauProduit[[#This Row],[Packaging / unite]]*TableauProduit[[#This Row],[Objectif de vente en unite N1]]</f>
        <v>436.5</v>
      </c>
      <c r="P4" s="425">
        <f>SUMIF(TableauRecette[[#This Row],[Recette]],TableauProduit[[#This Row],[Recette]],TableauRecette[[#This Row],[Prix pour kg/ de melange]])</f>
        <v>0</v>
      </c>
      <c r="Q4" s="425">
        <f>TableauProduit[[#This Row],[Prix de vente/kg]]*TableauProduit[[#This Row],[Total (kg) N1]]</f>
        <v>1800</v>
      </c>
      <c r="R4" s="428" t="e">
        <f>#REF!-#REF!-TableauProduit[[#This Row],[Conditionnement N1]]</f>
        <v>#REF!</v>
      </c>
      <c r="S4" s="336">
        <v>675</v>
      </c>
      <c r="T4" s="335" t="e">
        <f>#REF!*#REF!/1000</f>
        <v>#REF!</v>
      </c>
      <c r="U4" s="417" t="e">
        <f>#REF!*#REF!</f>
        <v>#REF!</v>
      </c>
      <c r="V4" s="417" t="e">
        <f>#REF!*TableauProduit[[#This Row],[Total (kg) N2]]</f>
        <v>#REF!</v>
      </c>
      <c r="W4" s="417" t="e">
        <f>TableauProduit[[#This Row],[Prix de vente/kg]]*TableauProduit[[#This Row],[Total (kg) N2]]</f>
        <v>#REF!</v>
      </c>
      <c r="X4" s="411" t="e">
        <f>#REF!-#REF!-TableauProduit[[#This Row],[Conditionnement N2]]</f>
        <v>#REF!</v>
      </c>
      <c r="Y4" s="412">
        <v>788</v>
      </c>
      <c r="Z4" s="339" t="e">
        <f>#REF!*#REF!/1000</f>
        <v>#REF!</v>
      </c>
      <c r="AA4" s="420" t="e">
        <f>#REF!*#REF!</f>
        <v>#REF!</v>
      </c>
      <c r="AB4" s="420" t="e">
        <f>#REF!*TableauProduit[[#This Row],[Total (kg) N3]]</f>
        <v>#REF!</v>
      </c>
      <c r="AC4" s="420" t="e">
        <f>TableauProduit[[#This Row],[Prix de vente/kg]]*TableauProduit[[#This Row],[Total (kg) N3]]</f>
        <v>#REF!</v>
      </c>
      <c r="AD4" s="429" t="e">
        <f>#REF!-#REF!-TableauProduit[[#This Row],[Conditionnement N3]]</f>
        <v>#REF!</v>
      </c>
      <c r="AE4" s="341">
        <v>855</v>
      </c>
      <c r="AF4" s="341" t="e">
        <f>#REF!*#REF!/1000</f>
        <v>#REF!</v>
      </c>
      <c r="AG4" s="423" t="e">
        <f>#REF!*#REF!</f>
        <v>#REF!</v>
      </c>
      <c r="AH4" s="423" t="e">
        <f>#REF!*TableauProduit[[#This Row],[Total (kg) N4]]</f>
        <v>#REF!</v>
      </c>
      <c r="AI4" s="423" t="e">
        <f>TableauProduit[[#This Row],[Prix de vente/kg]]*TableauProduit[[#This Row],[Total (kg) N4]]</f>
        <v>#REF!</v>
      </c>
      <c r="AJ4" s="341" t="e">
        <f>#REF!-#REF!-TableauProduit[[#This Row],[Conditionnement N4]]</f>
        <v>#REF!</v>
      </c>
      <c r="AK4" s="343">
        <v>900</v>
      </c>
      <c r="AL4" s="343" t="e">
        <f>#REF!*#REF!/1000</f>
        <v>#REF!</v>
      </c>
      <c r="AM4" s="430" t="e">
        <f>#REF!*#REF!</f>
        <v>#REF!</v>
      </c>
      <c r="AN4" s="430" t="e">
        <f>#REF!*TableauProduit[[#This Row],[Total (kg) N5]]</f>
        <v>#REF!</v>
      </c>
      <c r="AO4" s="430" t="e">
        <f>TableauProduit[[#This Row],[Prix de vente/kg]]*TableauProduit[[#This Row],[Total (kg) N5]]</f>
        <v>#REF!</v>
      </c>
      <c r="AP4" s="343" t="e">
        <f>#REF!-#REF!-TableauProduit[[#This Row],[Conditionnement N5]]</f>
        <v>#REF!</v>
      </c>
      <c r="AQ4" s="345">
        <v>900</v>
      </c>
      <c r="AR4" s="345" t="e">
        <f>#REF!*#REF!/1000</f>
        <v>#REF!</v>
      </c>
      <c r="AS4" s="431" t="e">
        <f>#REF!*#REF!</f>
        <v>#REF!</v>
      </c>
      <c r="AT4" s="431" t="e">
        <f>#REF!*TableauProduit[[#This Row],[Total (kg) N6]]</f>
        <v>#REF!</v>
      </c>
      <c r="AU4" s="431" t="e">
        <f>TableauProduit[[#This Row],[Prix de vente/kg]]*TableauProduit[[#This Row],[Total (kg) N6]]</f>
        <v>#REF!</v>
      </c>
      <c r="AV4" s="345" t="e">
        <f>#REF!-#REF!-TableauProduit[[#This Row],[Conditionnement N6]]</f>
        <v>#REF!</v>
      </c>
      <c r="AW4" s="333">
        <v>900</v>
      </c>
      <c r="AX4" s="333" t="e">
        <f>#REF!*#REF!/1000</f>
        <v>#REF!</v>
      </c>
      <c r="AY4" s="425" t="e">
        <f>#REF!*#REF!</f>
        <v>#REF!</v>
      </c>
      <c r="AZ4" s="425" t="e">
        <f>#REF!*TableauProduit[[#This Row],[Total (kg) N7]]</f>
        <v>#REF!</v>
      </c>
      <c r="BA4" s="425" t="e">
        <f>TableauProduit[[#This Row],[Prix de vente/kg]]*TableauProduit[[#This Row],[Total (kg) N7]]</f>
        <v>#REF!</v>
      </c>
      <c r="BB4" s="432" t="e">
        <f>#REF!-#REF!-TableauProduit[[#This Row],[Conditionnement N7]]</f>
        <v>#REF!</v>
      </c>
      <c r="BC4" s="414">
        <v>900</v>
      </c>
      <c r="BD4" s="348" t="e">
        <f>#REF!*#REF!/1000</f>
        <v>#REF!</v>
      </c>
      <c r="BE4" s="433" t="e">
        <f>#REF!*#REF!</f>
        <v>#REF!</v>
      </c>
      <c r="BF4" s="433" t="e">
        <f>#REF!*TableauProduit[[#This Row],[Total (kg) N8]]</f>
        <v>#REF!</v>
      </c>
      <c r="BG4" s="433" t="e">
        <f>TableauProduit[[#This Row],[Prix de vente/kg]]*TableauProduit[[#This Row],[Total (kg) N8]]</f>
        <v>#REF!</v>
      </c>
      <c r="BH4" s="434" t="e">
        <f>#REF!-#REF!-TableauProduit[[#This Row],[Conditionnement N8]]</f>
        <v>#REF!</v>
      </c>
      <c r="BI4" s="401">
        <v>900</v>
      </c>
      <c r="BJ4" s="350" t="e">
        <f>#REF!*#REF!/1000</f>
        <v>#REF!</v>
      </c>
      <c r="BK4" s="435" t="e">
        <f>#REF!*#REF!</f>
        <v>#REF!</v>
      </c>
      <c r="BL4" s="435" t="e">
        <f>#REF!*TableauProduit[[#This Row],[Total (kg) N9]]</f>
        <v>#REF!</v>
      </c>
      <c r="BM4" s="435" t="e">
        <f>TableauProduit[[#This Row],[Prix de vente/kg]]*TableauProduit[[#This Row],[Total (kg) N9]]</f>
        <v>#REF!</v>
      </c>
      <c r="BN4" s="350" t="e">
        <f>#REF!-#REF!-TableauProduit[[#This Row],[Conditionnement N9]]</f>
        <v>#REF!</v>
      </c>
    </row>
    <row r="5" spans="1:66" x14ac:dyDescent="0.2">
      <c r="A5" s="13" t="s">
        <v>72</v>
      </c>
      <c r="B5" s="54" t="str">
        <f>TableauProduit[[#This Row],[Recette]]&amp;TableauProduit[[#This Row],[Conditionnement]]</f>
        <v>Cumin graineEpice 100ml</v>
      </c>
      <c r="C5" s="11">
        <v>1</v>
      </c>
      <c r="D5" s="11">
        <v>40</v>
      </c>
      <c r="E5" s="6" t="s">
        <v>73</v>
      </c>
      <c r="F5" s="7">
        <f>IFERROR(VLOOKUP(TableauProduit[[#This Row],[Conditionnement]],TableauConditionnement[[Nom]:[Contenance]],4,FALSE),"")</f>
        <v>0.64</v>
      </c>
      <c r="G5" s="463">
        <f>IFERROR(SUMIFS(TableauRecette[Prix d''achat / kg],TableauRecette[Recette],TableauProduit[[#This Row],[Recette]],TableauRecette[Conditionnement],TableauProduit[[#This Row],[Conditionnement]]),0)</f>
        <v>0</v>
      </c>
      <c r="H5" s="464">
        <v>2.5</v>
      </c>
      <c r="I5" s="465">
        <f>TableauProduit[[#This Row],[Prix de vente/U]]/TableauProduit[[#This Row],[Poids (g) / unite]]*1000</f>
        <v>62.5</v>
      </c>
      <c r="J5" s="466">
        <f>SUMIFS(TableauConcurence[PRIX_KG],TableauConcurence[PRODUIT],TableauProduit[[#This Row],[Recette]],TableauConcurence[DISTRIBUTION],"magasin NON BIO")</f>
        <v>46</v>
      </c>
      <c r="K5" s="467">
        <f>SUMIFS(TableauConcurence[PRIX_KG],TableauConcurence[PRODUIT],TableauProduit[[#This Row],[Recette]],TableauConcurence[DISTRIBUTION],"magasin BIO")</f>
        <v>19.98</v>
      </c>
      <c r="L5" s="468">
        <f>SUMIFS(TableauConcurence[PRIX_KG],TableauConcurence[PRODUIT],TableauProduit[[#This Row],[Recette]],TableauConcurence[DISTRIBUTION],"artisanale BIO")</f>
        <v>65</v>
      </c>
      <c r="M5" s="410">
        <v>550</v>
      </c>
      <c r="N5" s="333">
        <f>TableauProduit[[#This Row],[Objectif de vente en unite N1]]*TableauProduit[[#This Row],[Poids (g) / unite]]/1000</f>
        <v>22</v>
      </c>
      <c r="O5" s="425">
        <f>TableauProduit[[#This Row],[Packaging / unite]]*TableauProduit[[#This Row],[Objectif de vente en unite N1]]</f>
        <v>352</v>
      </c>
      <c r="P5" s="425">
        <f>SUMIF(TableauRecette[[#This Row],[Recette]],TableauProduit[[#This Row],[Recette]],TableauRecette[[#This Row],[Prix pour kg/ de melange]])</f>
        <v>0</v>
      </c>
      <c r="Q5" s="425">
        <f>TableauProduit[[#This Row],[Prix de vente/kg]]*TableauProduit[[#This Row],[Total (kg) N1]]</f>
        <v>1375</v>
      </c>
      <c r="R5" s="428" t="e">
        <f>#REF!-#REF!-TableauProduit[[#This Row],[Conditionnement N1]]</f>
        <v>#REF!</v>
      </c>
      <c r="S5" s="336">
        <v>825</v>
      </c>
      <c r="T5" s="335" t="e">
        <f>#REF!*#REF!/1000</f>
        <v>#REF!</v>
      </c>
      <c r="U5" s="417" t="e">
        <f>#REF!*#REF!</f>
        <v>#REF!</v>
      </c>
      <c r="V5" s="417" t="e">
        <f>#REF!*TableauProduit[[#This Row],[Total (kg) N2]]</f>
        <v>#REF!</v>
      </c>
      <c r="W5" s="417" t="e">
        <f>TableauProduit[[#This Row],[Prix de vente/kg]]*TableauProduit[[#This Row],[Total (kg) N2]]</f>
        <v>#REF!</v>
      </c>
      <c r="X5" s="411" t="e">
        <f>#REF!-#REF!-TableauProduit[[#This Row],[Conditionnement N2]]</f>
        <v>#REF!</v>
      </c>
      <c r="Y5" s="412">
        <v>962</v>
      </c>
      <c r="Z5" s="339" t="e">
        <f>#REF!*#REF!/1000</f>
        <v>#REF!</v>
      </c>
      <c r="AA5" s="420" t="e">
        <f>#REF!*#REF!</f>
        <v>#REF!</v>
      </c>
      <c r="AB5" s="420" t="e">
        <f>#REF!*TableauProduit[[#This Row],[Total (kg) N3]]</f>
        <v>#REF!</v>
      </c>
      <c r="AC5" s="420" t="e">
        <f>TableauProduit[[#This Row],[Prix de vente/kg]]*TableauProduit[[#This Row],[Total (kg) N3]]</f>
        <v>#REF!</v>
      </c>
      <c r="AD5" s="429" t="e">
        <f>#REF!-#REF!-TableauProduit[[#This Row],[Conditionnement N3]]</f>
        <v>#REF!</v>
      </c>
      <c r="AE5" s="341">
        <v>1045</v>
      </c>
      <c r="AF5" s="341" t="e">
        <f>#REF!*#REF!/1000</f>
        <v>#REF!</v>
      </c>
      <c r="AG5" s="423" t="e">
        <f>#REF!*#REF!</f>
        <v>#REF!</v>
      </c>
      <c r="AH5" s="423" t="e">
        <f>#REF!*TableauProduit[[#This Row],[Total (kg) N4]]</f>
        <v>#REF!</v>
      </c>
      <c r="AI5" s="423" t="e">
        <f>TableauProduit[[#This Row],[Prix de vente/kg]]*TableauProduit[[#This Row],[Total (kg) N4]]</f>
        <v>#REF!</v>
      </c>
      <c r="AJ5" s="341" t="e">
        <f>#REF!-#REF!-TableauProduit[[#This Row],[Conditionnement N4]]</f>
        <v>#REF!</v>
      </c>
      <c r="AK5" s="343">
        <v>1100</v>
      </c>
      <c r="AL5" s="343" t="e">
        <f>#REF!*#REF!/1000</f>
        <v>#REF!</v>
      </c>
      <c r="AM5" s="430" t="e">
        <f>#REF!*#REF!</f>
        <v>#REF!</v>
      </c>
      <c r="AN5" s="430" t="e">
        <f>#REF!*TableauProduit[[#This Row],[Total (kg) N5]]</f>
        <v>#REF!</v>
      </c>
      <c r="AO5" s="430" t="e">
        <f>TableauProduit[[#This Row],[Prix de vente/kg]]*TableauProduit[[#This Row],[Total (kg) N5]]</f>
        <v>#REF!</v>
      </c>
      <c r="AP5" s="343" t="e">
        <f>#REF!-#REF!-TableauProduit[[#This Row],[Conditionnement N5]]</f>
        <v>#REF!</v>
      </c>
      <c r="AQ5" s="345">
        <v>1100</v>
      </c>
      <c r="AR5" s="345" t="e">
        <f>#REF!*#REF!/1000</f>
        <v>#REF!</v>
      </c>
      <c r="AS5" s="431" t="e">
        <f>#REF!*#REF!</f>
        <v>#REF!</v>
      </c>
      <c r="AT5" s="431" t="e">
        <f>#REF!*TableauProduit[[#This Row],[Total (kg) N6]]</f>
        <v>#REF!</v>
      </c>
      <c r="AU5" s="431" t="e">
        <f>TableauProduit[[#This Row],[Prix de vente/kg]]*TableauProduit[[#This Row],[Total (kg) N6]]</f>
        <v>#REF!</v>
      </c>
      <c r="AV5" s="345" t="e">
        <f>#REF!-#REF!-TableauProduit[[#This Row],[Conditionnement N6]]</f>
        <v>#REF!</v>
      </c>
      <c r="AW5" s="333">
        <v>1100</v>
      </c>
      <c r="AX5" s="333" t="e">
        <f>#REF!*#REF!/1000</f>
        <v>#REF!</v>
      </c>
      <c r="AY5" s="425" t="e">
        <f>#REF!*#REF!</f>
        <v>#REF!</v>
      </c>
      <c r="AZ5" s="425" t="e">
        <f>#REF!*TableauProduit[[#This Row],[Total (kg) N7]]</f>
        <v>#REF!</v>
      </c>
      <c r="BA5" s="425" t="e">
        <f>TableauProduit[[#This Row],[Prix de vente/kg]]*TableauProduit[[#This Row],[Total (kg) N7]]</f>
        <v>#REF!</v>
      </c>
      <c r="BB5" s="432" t="e">
        <f>#REF!-#REF!-TableauProduit[[#This Row],[Conditionnement N7]]</f>
        <v>#REF!</v>
      </c>
      <c r="BC5" s="414">
        <v>1100</v>
      </c>
      <c r="BD5" s="348" t="e">
        <f>#REF!*#REF!/1000</f>
        <v>#REF!</v>
      </c>
      <c r="BE5" s="433" t="e">
        <f>#REF!*#REF!</f>
        <v>#REF!</v>
      </c>
      <c r="BF5" s="433" t="e">
        <f>#REF!*TableauProduit[[#This Row],[Total (kg) N8]]</f>
        <v>#REF!</v>
      </c>
      <c r="BG5" s="433" t="e">
        <f>TableauProduit[[#This Row],[Prix de vente/kg]]*TableauProduit[[#This Row],[Total (kg) N8]]</f>
        <v>#REF!</v>
      </c>
      <c r="BH5" s="434" t="e">
        <f>#REF!-#REF!-TableauProduit[[#This Row],[Conditionnement N8]]</f>
        <v>#REF!</v>
      </c>
      <c r="BI5" s="401">
        <v>1100</v>
      </c>
      <c r="BJ5" s="350" t="e">
        <f>#REF!*#REF!/1000</f>
        <v>#REF!</v>
      </c>
      <c r="BK5" s="435" t="e">
        <f>#REF!*#REF!</f>
        <v>#REF!</v>
      </c>
      <c r="BL5" s="435" t="e">
        <f>#REF!*TableauProduit[[#This Row],[Total (kg) N9]]</f>
        <v>#REF!</v>
      </c>
      <c r="BM5" s="435" t="e">
        <f>TableauProduit[[#This Row],[Prix de vente/kg]]*TableauProduit[[#This Row],[Total (kg) N9]]</f>
        <v>#REF!</v>
      </c>
      <c r="BN5" s="350" t="e">
        <f>#REF!-#REF!-TableauProduit[[#This Row],[Conditionnement N9]]</f>
        <v>#REF!</v>
      </c>
    </row>
    <row r="6" spans="1:66" x14ac:dyDescent="0.2">
      <c r="A6" s="13" t="s">
        <v>74</v>
      </c>
      <c r="B6" s="54" t="str">
        <f>TableauProduit[[#This Row],[Recette]]&amp;TableauProduit[[#This Row],[Conditionnement]]</f>
        <v>Cumin mouluEpice 100ml</v>
      </c>
      <c r="C6" s="11">
        <v>1</v>
      </c>
      <c r="D6" s="11">
        <v>50</v>
      </c>
      <c r="E6" s="6" t="s">
        <v>73</v>
      </c>
      <c r="F6" s="7">
        <f>IFERROR(VLOOKUP(TableauProduit[[#This Row],[Conditionnement]],TableauConditionnement[[Nom]:[Contenance]],4,FALSE),"")</f>
        <v>0.64</v>
      </c>
      <c r="G6" s="463">
        <f>IFERROR(SUMIFS(TableauRecette[Prix d''achat / kg],TableauRecette[Recette],TableauProduit[[#This Row],[Recette]],TableauRecette[Conditionnement],TableauProduit[[#This Row],[Conditionnement]]),0)</f>
        <v>0</v>
      </c>
      <c r="H6" s="464">
        <v>3.5</v>
      </c>
      <c r="I6" s="465">
        <f>TableauProduit[[#This Row],[Prix de vente/U]]/TableauProduit[[#This Row],[Poids (g) / unite]]*1000</f>
        <v>70</v>
      </c>
      <c r="J6" s="466">
        <f>SUMIFS(TableauConcurence[PRIX_KG],TableauConcurence[PRODUIT],TableauProduit[[#This Row],[Recette]],TableauConcurence[DISTRIBUTION],"magasin NON BIO")</f>
        <v>54</v>
      </c>
      <c r="K6" s="467">
        <f>SUMIFS(TableauConcurence[PRIX_KG],TableauConcurence[PRODUIT],TableauProduit[[#This Row],[Recette]],TableauConcurence[DISTRIBUTION],"magasin BIO")</f>
        <v>39</v>
      </c>
      <c r="L6" s="468">
        <f>SUMIFS(TableauConcurence[PRIX_KG],TableauConcurence[PRODUIT],TableauProduit[[#This Row],[Recette]],TableauConcurence[DISTRIBUTION],"artisanale BIO")</f>
        <v>55</v>
      </c>
      <c r="M6" s="410">
        <v>500</v>
      </c>
      <c r="N6" s="333">
        <f>TableauProduit[[#This Row],[Objectif de vente en unite N1]]*TableauProduit[[#This Row],[Poids (g) / unite]]/1000</f>
        <v>25</v>
      </c>
      <c r="O6" s="425">
        <f>TableauProduit[[#This Row],[Packaging / unite]]*TableauProduit[[#This Row],[Objectif de vente en unite N1]]</f>
        <v>320</v>
      </c>
      <c r="P6" s="425">
        <f>SUMIF(TableauRecette[[#This Row],[Recette]],TableauProduit[[#This Row],[Recette]],TableauRecette[[#This Row],[Prix pour kg/ de melange]])</f>
        <v>0</v>
      </c>
      <c r="Q6" s="425">
        <f>TableauProduit[[#This Row],[Prix de vente/kg]]*TableauProduit[[#This Row],[Total (kg) N1]]</f>
        <v>1750</v>
      </c>
      <c r="R6" s="428" t="e">
        <f>#REF!-#REF!-TableauProduit[[#This Row],[Conditionnement N1]]</f>
        <v>#REF!</v>
      </c>
      <c r="S6" s="336">
        <v>750</v>
      </c>
      <c r="T6" s="335" t="e">
        <f>#REF!*#REF!/1000</f>
        <v>#REF!</v>
      </c>
      <c r="U6" s="417" t="e">
        <f>#REF!*#REF!</f>
        <v>#REF!</v>
      </c>
      <c r="V6" s="417" t="e">
        <f>#REF!*TableauProduit[[#This Row],[Total (kg) N2]]</f>
        <v>#REF!</v>
      </c>
      <c r="W6" s="417" t="e">
        <f>TableauProduit[[#This Row],[Prix de vente/kg]]*TableauProduit[[#This Row],[Total (kg) N2]]</f>
        <v>#REF!</v>
      </c>
      <c r="X6" s="411" t="e">
        <f>#REF!-#REF!-TableauProduit[[#This Row],[Conditionnement N2]]</f>
        <v>#REF!</v>
      </c>
      <c r="Y6" s="412">
        <v>875</v>
      </c>
      <c r="Z6" s="339" t="e">
        <f>#REF!*#REF!/1000</f>
        <v>#REF!</v>
      </c>
      <c r="AA6" s="420" t="e">
        <f>#REF!*#REF!</f>
        <v>#REF!</v>
      </c>
      <c r="AB6" s="420" t="e">
        <f>#REF!*TableauProduit[[#This Row],[Total (kg) N3]]</f>
        <v>#REF!</v>
      </c>
      <c r="AC6" s="420" t="e">
        <f>TableauProduit[[#This Row],[Prix de vente/kg]]*TableauProduit[[#This Row],[Total (kg) N3]]</f>
        <v>#REF!</v>
      </c>
      <c r="AD6" s="429" t="e">
        <f>#REF!-#REF!-TableauProduit[[#This Row],[Conditionnement N3]]</f>
        <v>#REF!</v>
      </c>
      <c r="AE6" s="341">
        <v>950</v>
      </c>
      <c r="AF6" s="341" t="e">
        <f>#REF!*#REF!/1000</f>
        <v>#REF!</v>
      </c>
      <c r="AG6" s="423" t="e">
        <f>#REF!*#REF!</f>
        <v>#REF!</v>
      </c>
      <c r="AH6" s="423" t="e">
        <f>#REF!*TableauProduit[[#This Row],[Total (kg) N4]]</f>
        <v>#REF!</v>
      </c>
      <c r="AI6" s="423" t="e">
        <f>TableauProduit[[#This Row],[Prix de vente/kg]]*TableauProduit[[#This Row],[Total (kg) N4]]</f>
        <v>#REF!</v>
      </c>
      <c r="AJ6" s="341" t="e">
        <f>#REF!-#REF!-TableauProduit[[#This Row],[Conditionnement N4]]</f>
        <v>#REF!</v>
      </c>
      <c r="AK6" s="343">
        <v>1000</v>
      </c>
      <c r="AL6" s="343" t="e">
        <f>#REF!*#REF!/1000</f>
        <v>#REF!</v>
      </c>
      <c r="AM6" s="430" t="e">
        <f>#REF!*#REF!</f>
        <v>#REF!</v>
      </c>
      <c r="AN6" s="430" t="e">
        <f>#REF!*TableauProduit[[#This Row],[Total (kg) N5]]</f>
        <v>#REF!</v>
      </c>
      <c r="AO6" s="430" t="e">
        <f>TableauProduit[[#This Row],[Prix de vente/kg]]*TableauProduit[[#This Row],[Total (kg) N5]]</f>
        <v>#REF!</v>
      </c>
      <c r="AP6" s="343" t="e">
        <f>#REF!-#REF!-TableauProduit[[#This Row],[Conditionnement N5]]</f>
        <v>#REF!</v>
      </c>
      <c r="AQ6" s="345">
        <v>1000</v>
      </c>
      <c r="AR6" s="345" t="e">
        <f>#REF!*#REF!/1000</f>
        <v>#REF!</v>
      </c>
      <c r="AS6" s="431" t="e">
        <f>#REF!*#REF!</f>
        <v>#REF!</v>
      </c>
      <c r="AT6" s="431" t="e">
        <f>#REF!*TableauProduit[[#This Row],[Total (kg) N6]]</f>
        <v>#REF!</v>
      </c>
      <c r="AU6" s="431" t="e">
        <f>TableauProduit[[#This Row],[Prix de vente/kg]]*TableauProduit[[#This Row],[Total (kg) N6]]</f>
        <v>#REF!</v>
      </c>
      <c r="AV6" s="345" t="e">
        <f>#REF!-#REF!-TableauProduit[[#This Row],[Conditionnement N6]]</f>
        <v>#REF!</v>
      </c>
      <c r="AW6" s="333">
        <v>1000</v>
      </c>
      <c r="AX6" s="333" t="e">
        <f>#REF!*#REF!/1000</f>
        <v>#REF!</v>
      </c>
      <c r="AY6" s="425" t="e">
        <f>#REF!*#REF!</f>
        <v>#REF!</v>
      </c>
      <c r="AZ6" s="425" t="e">
        <f>#REF!*TableauProduit[[#This Row],[Total (kg) N7]]</f>
        <v>#REF!</v>
      </c>
      <c r="BA6" s="425" t="e">
        <f>TableauProduit[[#This Row],[Prix de vente/kg]]*TableauProduit[[#This Row],[Total (kg) N7]]</f>
        <v>#REF!</v>
      </c>
      <c r="BB6" s="432" t="e">
        <f>#REF!-#REF!-TableauProduit[[#This Row],[Conditionnement N7]]</f>
        <v>#REF!</v>
      </c>
      <c r="BC6" s="414">
        <v>1000</v>
      </c>
      <c r="BD6" s="348" t="e">
        <f>#REF!*#REF!/1000</f>
        <v>#REF!</v>
      </c>
      <c r="BE6" s="433" t="e">
        <f>#REF!*#REF!</f>
        <v>#REF!</v>
      </c>
      <c r="BF6" s="433" t="e">
        <f>#REF!*TableauProduit[[#This Row],[Total (kg) N8]]</f>
        <v>#REF!</v>
      </c>
      <c r="BG6" s="433" t="e">
        <f>TableauProduit[[#This Row],[Prix de vente/kg]]*TableauProduit[[#This Row],[Total (kg) N8]]</f>
        <v>#REF!</v>
      </c>
      <c r="BH6" s="434" t="e">
        <f>#REF!-#REF!-TableauProduit[[#This Row],[Conditionnement N8]]</f>
        <v>#REF!</v>
      </c>
      <c r="BI6" s="401">
        <v>1000</v>
      </c>
      <c r="BJ6" s="350" t="e">
        <f>#REF!*#REF!/1000</f>
        <v>#REF!</v>
      </c>
      <c r="BK6" s="435" t="e">
        <f>#REF!*#REF!</f>
        <v>#REF!</v>
      </c>
      <c r="BL6" s="435" t="e">
        <f>#REF!*TableauProduit[[#This Row],[Total (kg) N9]]</f>
        <v>#REF!</v>
      </c>
      <c r="BM6" s="435" t="e">
        <f>TableauProduit[[#This Row],[Prix de vente/kg]]*TableauProduit[[#This Row],[Total (kg) N9]]</f>
        <v>#REF!</v>
      </c>
      <c r="BN6" s="350" t="e">
        <f>#REF!-#REF!-TableauProduit[[#This Row],[Conditionnement N9]]</f>
        <v>#REF!</v>
      </c>
    </row>
    <row r="7" spans="1:66" x14ac:dyDescent="0.2">
      <c r="A7" s="13" t="s">
        <v>75</v>
      </c>
      <c r="B7" s="54" t="str">
        <f>TableauProduit[[#This Row],[Recette]]&amp;TableauProduit[[#This Row],[Conditionnement]]</f>
        <v>Épices viandes rougesEpice 100ml</v>
      </c>
      <c r="C7" s="11">
        <v>1</v>
      </c>
      <c r="D7" s="11">
        <v>50</v>
      </c>
      <c r="E7" s="6" t="s">
        <v>73</v>
      </c>
      <c r="F7" s="7">
        <f>IFERROR(VLOOKUP(TableauProduit[[#This Row],[Conditionnement]],TableauConditionnement[[Nom]:[Contenance]],4,FALSE),"")</f>
        <v>0.64</v>
      </c>
      <c r="G7" s="463">
        <f>IFERROR(SUMIFS(TableauRecette[Prix d''achat / kg],TableauRecette[Recette],TableauProduit[[#This Row],[Recette]],TableauRecette[Conditionnement],TableauProduit[[#This Row],[Conditionnement]]),0)</f>
        <v>0</v>
      </c>
      <c r="H7" s="464">
        <v>5.5</v>
      </c>
      <c r="I7" s="465">
        <f>TableauProduit[[#This Row],[Prix de vente/U]]/TableauProduit[[#This Row],[Poids (g) / unite]]*1000</f>
        <v>110</v>
      </c>
      <c r="J7" s="466">
        <f>SUMIFS(TableauConcurence[PRIX_KG],TableauConcurence[PRODUIT],TableauProduit[[#This Row],[Recette]],TableauConcurence[DISTRIBUTION],"magasin NON BIO")</f>
        <v>0</v>
      </c>
      <c r="K7" s="467">
        <f>SUMIFS(TableauConcurence[PRIX_KG],TableauConcurence[PRODUIT],TableauProduit[[#This Row],[Recette]],TableauConcurence[DISTRIBUTION],"magasin BIO")</f>
        <v>0</v>
      </c>
      <c r="L7" s="468">
        <f>SUMIFS(TableauConcurence[PRIX_KG],TableauConcurence[PRODUIT],TableauProduit[[#This Row],[Recette]],TableauConcurence[DISTRIBUTION],"artisanale BIO")</f>
        <v>0</v>
      </c>
      <c r="M7" s="410">
        <v>450</v>
      </c>
      <c r="N7" s="333">
        <f>TableauProduit[[#This Row],[Objectif de vente en unite N1]]*TableauProduit[[#This Row],[Poids (g) / unite]]/1000</f>
        <v>22.5</v>
      </c>
      <c r="O7" s="425">
        <f>TableauProduit[[#This Row],[Packaging / unite]]*TableauProduit[[#This Row],[Objectif de vente en unite N1]]</f>
        <v>288</v>
      </c>
      <c r="P7" s="425">
        <f>SUMIF(TableauRecette[[#This Row],[Recette]],TableauProduit[[#This Row],[Recette]],TableauRecette[[#This Row],[Prix pour kg/ de melange]])</f>
        <v>0</v>
      </c>
      <c r="Q7" s="425">
        <f>TableauProduit[[#This Row],[Prix de vente/kg]]*TableauProduit[[#This Row],[Total (kg) N1]]</f>
        <v>2475</v>
      </c>
      <c r="R7" s="428" t="e">
        <f>#REF!-#REF!-TableauProduit[[#This Row],[Conditionnement N1]]</f>
        <v>#REF!</v>
      </c>
      <c r="S7" s="336">
        <v>675</v>
      </c>
      <c r="T7" s="335" t="e">
        <f>#REF!*#REF!/1000</f>
        <v>#REF!</v>
      </c>
      <c r="U7" s="417" t="e">
        <f>#REF!*#REF!</f>
        <v>#REF!</v>
      </c>
      <c r="V7" s="417" t="e">
        <f>#REF!*TableauProduit[[#This Row],[Total (kg) N2]]</f>
        <v>#REF!</v>
      </c>
      <c r="W7" s="417" t="e">
        <f>TableauProduit[[#This Row],[Prix de vente/kg]]*TableauProduit[[#This Row],[Total (kg) N2]]</f>
        <v>#REF!</v>
      </c>
      <c r="X7" s="411" t="e">
        <f>#REF!-#REF!-TableauProduit[[#This Row],[Conditionnement N2]]</f>
        <v>#REF!</v>
      </c>
      <c r="Y7" s="412">
        <v>788</v>
      </c>
      <c r="Z7" s="339" t="e">
        <f>#REF!*#REF!/1000</f>
        <v>#REF!</v>
      </c>
      <c r="AA7" s="420" t="e">
        <f>#REF!*#REF!</f>
        <v>#REF!</v>
      </c>
      <c r="AB7" s="420" t="e">
        <f>#REF!*TableauProduit[[#This Row],[Total (kg) N3]]</f>
        <v>#REF!</v>
      </c>
      <c r="AC7" s="420" t="e">
        <f>TableauProduit[[#This Row],[Prix de vente/kg]]*TableauProduit[[#This Row],[Total (kg) N3]]</f>
        <v>#REF!</v>
      </c>
      <c r="AD7" s="429" t="e">
        <f>#REF!-#REF!-TableauProduit[[#This Row],[Conditionnement N3]]</f>
        <v>#REF!</v>
      </c>
      <c r="AE7" s="341">
        <v>855</v>
      </c>
      <c r="AF7" s="341" t="e">
        <f>#REF!*#REF!/1000</f>
        <v>#REF!</v>
      </c>
      <c r="AG7" s="423" t="e">
        <f>#REF!*#REF!</f>
        <v>#REF!</v>
      </c>
      <c r="AH7" s="423" t="e">
        <f>#REF!*TableauProduit[[#This Row],[Total (kg) N4]]</f>
        <v>#REF!</v>
      </c>
      <c r="AI7" s="423" t="e">
        <f>TableauProduit[[#This Row],[Prix de vente/kg]]*TableauProduit[[#This Row],[Total (kg) N4]]</f>
        <v>#REF!</v>
      </c>
      <c r="AJ7" s="341" t="e">
        <f>#REF!-#REF!-TableauProduit[[#This Row],[Conditionnement N4]]</f>
        <v>#REF!</v>
      </c>
      <c r="AK7" s="343">
        <v>900</v>
      </c>
      <c r="AL7" s="343" t="e">
        <f>#REF!*#REF!/1000</f>
        <v>#REF!</v>
      </c>
      <c r="AM7" s="430" t="e">
        <f>#REF!*#REF!</f>
        <v>#REF!</v>
      </c>
      <c r="AN7" s="430" t="e">
        <f>#REF!*TableauProduit[[#This Row],[Total (kg) N5]]</f>
        <v>#REF!</v>
      </c>
      <c r="AO7" s="430" t="e">
        <f>TableauProduit[[#This Row],[Prix de vente/kg]]*TableauProduit[[#This Row],[Total (kg) N5]]</f>
        <v>#REF!</v>
      </c>
      <c r="AP7" s="343" t="e">
        <f>#REF!-#REF!-TableauProduit[[#This Row],[Conditionnement N5]]</f>
        <v>#REF!</v>
      </c>
      <c r="AQ7" s="345">
        <v>900</v>
      </c>
      <c r="AR7" s="345" t="e">
        <f>#REF!*#REF!/1000</f>
        <v>#REF!</v>
      </c>
      <c r="AS7" s="431" t="e">
        <f>#REF!*#REF!</f>
        <v>#REF!</v>
      </c>
      <c r="AT7" s="431" t="e">
        <f>#REF!*TableauProduit[[#This Row],[Total (kg) N6]]</f>
        <v>#REF!</v>
      </c>
      <c r="AU7" s="431" t="e">
        <f>TableauProduit[[#This Row],[Prix de vente/kg]]*TableauProduit[[#This Row],[Total (kg) N6]]</f>
        <v>#REF!</v>
      </c>
      <c r="AV7" s="345" t="e">
        <f>#REF!-#REF!-TableauProduit[[#This Row],[Conditionnement N6]]</f>
        <v>#REF!</v>
      </c>
      <c r="AW7" s="333">
        <v>900</v>
      </c>
      <c r="AX7" s="333" t="e">
        <f>#REF!*#REF!/1000</f>
        <v>#REF!</v>
      </c>
      <c r="AY7" s="425" t="e">
        <f>#REF!*#REF!</f>
        <v>#REF!</v>
      </c>
      <c r="AZ7" s="425" t="e">
        <f>#REF!*TableauProduit[[#This Row],[Total (kg) N7]]</f>
        <v>#REF!</v>
      </c>
      <c r="BA7" s="425" t="e">
        <f>TableauProduit[[#This Row],[Prix de vente/kg]]*TableauProduit[[#This Row],[Total (kg) N7]]</f>
        <v>#REF!</v>
      </c>
      <c r="BB7" s="432" t="e">
        <f>#REF!-#REF!-TableauProduit[[#This Row],[Conditionnement N7]]</f>
        <v>#REF!</v>
      </c>
      <c r="BC7" s="414">
        <v>900</v>
      </c>
      <c r="BD7" s="348" t="e">
        <f>#REF!*#REF!/1000</f>
        <v>#REF!</v>
      </c>
      <c r="BE7" s="433" t="e">
        <f>#REF!*#REF!</f>
        <v>#REF!</v>
      </c>
      <c r="BF7" s="433" t="e">
        <f>#REF!*TableauProduit[[#This Row],[Total (kg) N8]]</f>
        <v>#REF!</v>
      </c>
      <c r="BG7" s="433" t="e">
        <f>TableauProduit[[#This Row],[Prix de vente/kg]]*TableauProduit[[#This Row],[Total (kg) N8]]</f>
        <v>#REF!</v>
      </c>
      <c r="BH7" s="434" t="e">
        <f>#REF!-#REF!-TableauProduit[[#This Row],[Conditionnement N8]]</f>
        <v>#REF!</v>
      </c>
      <c r="BI7" s="401">
        <v>900</v>
      </c>
      <c r="BJ7" s="350" t="e">
        <f>#REF!*#REF!/1000</f>
        <v>#REF!</v>
      </c>
      <c r="BK7" s="435" t="e">
        <f>#REF!*#REF!</f>
        <v>#REF!</v>
      </c>
      <c r="BL7" s="435" t="e">
        <f>#REF!*TableauProduit[[#This Row],[Total (kg) N9]]</f>
        <v>#REF!</v>
      </c>
      <c r="BM7" s="435" t="e">
        <f>TableauProduit[[#This Row],[Prix de vente/kg]]*TableauProduit[[#This Row],[Total (kg) N9]]</f>
        <v>#REF!</v>
      </c>
      <c r="BN7" s="350" t="e">
        <f>#REF!-#REF!-TableauProduit[[#This Row],[Conditionnement N9]]</f>
        <v>#REF!</v>
      </c>
    </row>
    <row r="8" spans="1:66" x14ac:dyDescent="0.2">
      <c r="A8" s="13" t="s">
        <v>76</v>
      </c>
      <c r="B8" s="54" t="str">
        <f>TableauProduit[[#This Row],[Recette]]&amp;TableauProduit[[#This Row],[Conditionnement]]</f>
        <v>GingembreEpice 100ml</v>
      </c>
      <c r="C8" s="11">
        <v>1</v>
      </c>
      <c r="D8" s="11">
        <v>60</v>
      </c>
      <c r="E8" s="6" t="s">
        <v>73</v>
      </c>
      <c r="F8" s="7">
        <f>IFERROR(VLOOKUP(TableauProduit[[#This Row],[Conditionnement]],TableauConditionnement[[Nom]:[Contenance]],4,FALSE),"")</f>
        <v>0.64</v>
      </c>
      <c r="G8" s="463">
        <f>IFERROR(SUMIFS(TableauRecette[Prix d''achat / kg],TableauRecette[Recette],TableauProduit[[#This Row],[Recette]],TableauRecette[Conditionnement],TableauProduit[[#This Row],[Conditionnement]]),0)</f>
        <v>0</v>
      </c>
      <c r="H8" s="464">
        <v>4.2</v>
      </c>
      <c r="I8" s="465">
        <f>TableauProduit[[#This Row],[Prix de vente/U]]/TableauProduit[[#This Row],[Poids (g) / unite]]*1000</f>
        <v>70</v>
      </c>
      <c r="J8" s="466">
        <f>SUMIFS(TableauConcurence[PRIX_KG],TableauConcurence[PRODUIT],TableauProduit[[#This Row],[Recette]],TableauConcurence[DISTRIBUTION],"magasin NON BIO")</f>
        <v>0</v>
      </c>
      <c r="K8" s="467">
        <f>SUMIFS(TableauConcurence[PRIX_KG],TableauConcurence[PRODUIT],TableauProduit[[#This Row],[Recette]],TableauConcurence[DISTRIBUTION],"magasin BIO")</f>
        <v>0</v>
      </c>
      <c r="L8" s="468">
        <f>SUMIFS(TableauConcurence[PRIX_KG],TableauConcurence[PRODUIT],TableauProduit[[#This Row],[Recette]],TableauConcurence[DISTRIBUTION],"artisanale BIO")</f>
        <v>0</v>
      </c>
      <c r="M8" s="410">
        <v>0</v>
      </c>
      <c r="N8" s="333">
        <f>TableauProduit[[#This Row],[Objectif de vente en unite N1]]*TableauProduit[[#This Row],[Poids (g) / unite]]/1000</f>
        <v>0</v>
      </c>
      <c r="O8" s="425">
        <f>TableauProduit[[#This Row],[Packaging / unite]]*TableauProduit[[#This Row],[Objectif de vente en unite N1]]</f>
        <v>0</v>
      </c>
      <c r="P8" s="425">
        <f>SUMIF(TableauRecette[[#This Row],[Recette]],TableauProduit[[#This Row],[Recette]],TableauRecette[[#This Row],[Prix pour kg/ de melange]])</f>
        <v>0</v>
      </c>
      <c r="Q8" s="425">
        <f>TableauProduit[[#This Row],[Prix de vente/kg]]*TableauProduit[[#This Row],[Total (kg) N1]]</f>
        <v>0</v>
      </c>
      <c r="R8" s="428" t="e">
        <f>#REF!-#REF!-TableauProduit[[#This Row],[Conditionnement N1]]</f>
        <v>#REF!</v>
      </c>
      <c r="S8" s="336">
        <v>160</v>
      </c>
      <c r="T8" s="335" t="e">
        <f>#REF!*#REF!/1000</f>
        <v>#REF!</v>
      </c>
      <c r="U8" s="417" t="e">
        <f>#REF!*#REF!</f>
        <v>#REF!</v>
      </c>
      <c r="V8" s="417" t="e">
        <f>#REF!*TableauProduit[[#This Row],[Total (kg) N2]]</f>
        <v>#REF!</v>
      </c>
      <c r="W8" s="417" t="e">
        <f>TableauProduit[[#This Row],[Prix de vente/kg]]*TableauProduit[[#This Row],[Total (kg) N2]]</f>
        <v>#REF!</v>
      </c>
      <c r="X8" s="411" t="e">
        <f>#REF!-#REF!-TableauProduit[[#This Row],[Conditionnement N2]]</f>
        <v>#REF!</v>
      </c>
      <c r="Y8" s="412">
        <v>208</v>
      </c>
      <c r="Z8" s="339" t="e">
        <f>#REF!*#REF!/1000</f>
        <v>#REF!</v>
      </c>
      <c r="AA8" s="420" t="e">
        <f>#REF!*#REF!</f>
        <v>#REF!</v>
      </c>
      <c r="AB8" s="420" t="e">
        <f>#REF!*TableauProduit[[#This Row],[Total (kg) N3]]</f>
        <v>#REF!</v>
      </c>
      <c r="AC8" s="420" t="e">
        <f>TableauProduit[[#This Row],[Prix de vente/kg]]*TableauProduit[[#This Row],[Total (kg) N3]]</f>
        <v>#REF!</v>
      </c>
      <c r="AD8" s="429" t="e">
        <f>#REF!-#REF!-TableauProduit[[#This Row],[Conditionnement N3]]</f>
        <v>#REF!</v>
      </c>
      <c r="AE8" s="341">
        <v>232</v>
      </c>
      <c r="AF8" s="341" t="e">
        <f>#REF!*#REF!/1000</f>
        <v>#REF!</v>
      </c>
      <c r="AG8" s="423" t="e">
        <f>#REF!*#REF!</f>
        <v>#REF!</v>
      </c>
      <c r="AH8" s="423" t="e">
        <f>#REF!*TableauProduit[[#This Row],[Total (kg) N4]]</f>
        <v>#REF!</v>
      </c>
      <c r="AI8" s="423" t="e">
        <f>TableauProduit[[#This Row],[Prix de vente/kg]]*TableauProduit[[#This Row],[Total (kg) N4]]</f>
        <v>#REF!</v>
      </c>
      <c r="AJ8" s="341" t="e">
        <f>#REF!-#REF!-TableauProduit[[#This Row],[Conditionnement N4]]</f>
        <v>#REF!</v>
      </c>
      <c r="AK8" s="343">
        <v>240</v>
      </c>
      <c r="AL8" s="343" t="e">
        <f>#REF!*#REF!/1000</f>
        <v>#REF!</v>
      </c>
      <c r="AM8" s="430" t="e">
        <f>#REF!*#REF!</f>
        <v>#REF!</v>
      </c>
      <c r="AN8" s="430" t="e">
        <f>#REF!*TableauProduit[[#This Row],[Total (kg) N5]]</f>
        <v>#REF!</v>
      </c>
      <c r="AO8" s="430" t="e">
        <f>TableauProduit[[#This Row],[Prix de vente/kg]]*TableauProduit[[#This Row],[Total (kg) N5]]</f>
        <v>#REF!</v>
      </c>
      <c r="AP8" s="343" t="e">
        <f>#REF!-#REF!-TableauProduit[[#This Row],[Conditionnement N5]]</f>
        <v>#REF!</v>
      </c>
      <c r="AQ8" s="345">
        <v>240</v>
      </c>
      <c r="AR8" s="345" t="e">
        <f>#REF!*#REF!/1000</f>
        <v>#REF!</v>
      </c>
      <c r="AS8" s="431" t="e">
        <f>#REF!*#REF!</f>
        <v>#REF!</v>
      </c>
      <c r="AT8" s="431" t="e">
        <f>#REF!*TableauProduit[[#This Row],[Total (kg) N6]]</f>
        <v>#REF!</v>
      </c>
      <c r="AU8" s="431" t="e">
        <f>TableauProduit[[#This Row],[Prix de vente/kg]]*TableauProduit[[#This Row],[Total (kg) N6]]</f>
        <v>#REF!</v>
      </c>
      <c r="AV8" s="345" t="e">
        <f>#REF!-#REF!-TableauProduit[[#This Row],[Conditionnement N6]]</f>
        <v>#REF!</v>
      </c>
      <c r="AW8" s="333">
        <v>240</v>
      </c>
      <c r="AX8" s="333" t="e">
        <f>#REF!*#REF!/1000</f>
        <v>#REF!</v>
      </c>
      <c r="AY8" s="425" t="e">
        <f>#REF!*#REF!</f>
        <v>#REF!</v>
      </c>
      <c r="AZ8" s="425" t="e">
        <f>#REF!*TableauProduit[[#This Row],[Total (kg) N7]]</f>
        <v>#REF!</v>
      </c>
      <c r="BA8" s="425" t="e">
        <f>TableauProduit[[#This Row],[Prix de vente/kg]]*TableauProduit[[#This Row],[Total (kg) N7]]</f>
        <v>#REF!</v>
      </c>
      <c r="BB8" s="432" t="e">
        <f>#REF!-#REF!-TableauProduit[[#This Row],[Conditionnement N7]]</f>
        <v>#REF!</v>
      </c>
      <c r="BC8" s="414">
        <v>240</v>
      </c>
      <c r="BD8" s="348" t="e">
        <f>#REF!*#REF!/1000</f>
        <v>#REF!</v>
      </c>
      <c r="BE8" s="433" t="e">
        <f>#REF!*#REF!</f>
        <v>#REF!</v>
      </c>
      <c r="BF8" s="433" t="e">
        <f>#REF!*TableauProduit[[#This Row],[Total (kg) N8]]</f>
        <v>#REF!</v>
      </c>
      <c r="BG8" s="433" t="e">
        <f>TableauProduit[[#This Row],[Prix de vente/kg]]*TableauProduit[[#This Row],[Total (kg) N8]]</f>
        <v>#REF!</v>
      </c>
      <c r="BH8" s="434" t="e">
        <f>#REF!-#REF!-TableauProduit[[#This Row],[Conditionnement N8]]</f>
        <v>#REF!</v>
      </c>
      <c r="BI8" s="401">
        <v>240</v>
      </c>
      <c r="BJ8" s="350" t="e">
        <f>#REF!*#REF!/1000</f>
        <v>#REF!</v>
      </c>
      <c r="BK8" s="435" t="e">
        <f>#REF!*#REF!</f>
        <v>#REF!</v>
      </c>
      <c r="BL8" s="435" t="e">
        <f>#REF!*TableauProduit[[#This Row],[Total (kg) N9]]</f>
        <v>#REF!</v>
      </c>
      <c r="BM8" s="435" t="e">
        <f>TableauProduit[[#This Row],[Prix de vente/kg]]*TableauProduit[[#This Row],[Total (kg) N9]]</f>
        <v>#REF!</v>
      </c>
      <c r="BN8" s="350" t="e">
        <f>#REF!-#REF!-TableauProduit[[#This Row],[Conditionnement N9]]</f>
        <v>#REF!</v>
      </c>
    </row>
    <row r="9" spans="1:66" x14ac:dyDescent="0.2">
      <c r="A9" s="13" t="s">
        <v>77</v>
      </c>
      <c r="B9" s="54" t="str">
        <f>TableauProduit[[#This Row],[Recette]]&amp;TableauProduit[[#This Row],[Conditionnement]]</f>
        <v>Moutarde à l'estragonMoutarde verre 212 ml</v>
      </c>
      <c r="C9" s="11">
        <v>1.5</v>
      </c>
      <c r="D9" s="11">
        <v>210</v>
      </c>
      <c r="E9" s="6" t="s">
        <v>78</v>
      </c>
      <c r="F9" s="7">
        <f>IFERROR(VLOOKUP(TableauProduit[[#This Row],[Conditionnement]],TableauConditionnement[[Nom]:[Contenance]],4,FALSE),"")</f>
        <v>0.74</v>
      </c>
      <c r="G9" s="463">
        <f>IFERROR(SUMIFS(TableauRecette[Prix d''achat / kg],TableauRecette[Recette],TableauProduit[[#This Row],[Recette]],TableauRecette[Conditionnement],TableauProduit[[#This Row],[Conditionnement]]),0)</f>
        <v>0</v>
      </c>
      <c r="H9" s="464">
        <v>4.5</v>
      </c>
      <c r="I9" s="465">
        <f>TableauProduit[[#This Row],[Prix de vente/U]]/TableauProduit[[#This Row],[Poids (g) / unite]]*1000</f>
        <v>21.428571428571427</v>
      </c>
      <c r="J9" s="466">
        <f>SUMIFS(TableauConcurence[PRIX_KG],TableauConcurence[PRODUIT],TableauProduit[[#This Row],[Recette]],TableauConcurence[DISTRIBUTION],"magasin NON BIO")</f>
        <v>7.27</v>
      </c>
      <c r="K9" s="467">
        <f>SUMIFS(TableauConcurence[PRIX_KG],TableauConcurence[PRODUIT],TableauProduit[[#This Row],[Recette]],TableauConcurence[DISTRIBUTION],"magasin BIO")</f>
        <v>18.25</v>
      </c>
      <c r="L9" s="468">
        <f>SUMIFS(TableauConcurence[PRIX_KG],TableauConcurence[PRODUIT],TableauProduit[[#This Row],[Recette]],TableauConcurence[DISTRIBUTION],"artisanale BIO")</f>
        <v>21</v>
      </c>
      <c r="M9" s="410">
        <v>550</v>
      </c>
      <c r="N9" s="333">
        <f>TableauProduit[[#This Row],[Objectif de vente en unite N1]]*TableauProduit[[#This Row],[Poids (g) / unite]]/1000</f>
        <v>115.5</v>
      </c>
      <c r="O9" s="425">
        <f>TableauProduit[[#This Row],[Packaging / unite]]*TableauProduit[[#This Row],[Objectif de vente en unite N1]]</f>
        <v>407</v>
      </c>
      <c r="P9" s="425">
        <f>SUMIF(TableauRecette[[#This Row],[Recette]],TableauProduit[[#This Row],[Recette]],TableauRecette[[#This Row],[Prix pour kg/ de melange]])</f>
        <v>0</v>
      </c>
      <c r="Q9" s="425">
        <f>TableauProduit[[#This Row],[Prix de vente/kg]]*TableauProduit[[#This Row],[Total (kg) N1]]</f>
        <v>2475</v>
      </c>
      <c r="R9" s="428" t="e">
        <f>#REF!-#REF!-TableauProduit[[#This Row],[Conditionnement N1]]</f>
        <v>#REF!</v>
      </c>
      <c r="S9" s="336">
        <v>825</v>
      </c>
      <c r="T9" s="335" t="e">
        <f>#REF!*#REF!/1000</f>
        <v>#REF!</v>
      </c>
      <c r="U9" s="417" t="e">
        <f>#REF!*#REF!</f>
        <v>#REF!</v>
      </c>
      <c r="V9" s="417" t="e">
        <f>#REF!*TableauProduit[[#This Row],[Total (kg) N2]]</f>
        <v>#REF!</v>
      </c>
      <c r="W9" s="417" t="e">
        <f>TableauProduit[[#This Row],[Prix de vente/kg]]*TableauProduit[[#This Row],[Total (kg) N2]]</f>
        <v>#REF!</v>
      </c>
      <c r="X9" s="411" t="e">
        <f>#REF!-#REF!-TableauProduit[[#This Row],[Conditionnement N2]]</f>
        <v>#REF!</v>
      </c>
      <c r="Y9" s="412">
        <v>962</v>
      </c>
      <c r="Z9" s="339" t="e">
        <f>#REF!*#REF!/1000</f>
        <v>#REF!</v>
      </c>
      <c r="AA9" s="420" t="e">
        <f>#REF!*#REF!</f>
        <v>#REF!</v>
      </c>
      <c r="AB9" s="420" t="e">
        <f>#REF!*TableauProduit[[#This Row],[Total (kg) N3]]</f>
        <v>#REF!</v>
      </c>
      <c r="AC9" s="420" t="e">
        <f>TableauProduit[[#This Row],[Prix de vente/kg]]*TableauProduit[[#This Row],[Total (kg) N3]]</f>
        <v>#REF!</v>
      </c>
      <c r="AD9" s="429" t="e">
        <f>#REF!-#REF!-TableauProduit[[#This Row],[Conditionnement N3]]</f>
        <v>#REF!</v>
      </c>
      <c r="AE9" s="341">
        <v>1045</v>
      </c>
      <c r="AF9" s="341" t="e">
        <f>#REF!*#REF!/1000</f>
        <v>#REF!</v>
      </c>
      <c r="AG9" s="423" t="e">
        <f>#REF!*#REF!</f>
        <v>#REF!</v>
      </c>
      <c r="AH9" s="423" t="e">
        <f>#REF!*TableauProduit[[#This Row],[Total (kg) N4]]</f>
        <v>#REF!</v>
      </c>
      <c r="AI9" s="423" t="e">
        <f>TableauProduit[[#This Row],[Prix de vente/kg]]*TableauProduit[[#This Row],[Total (kg) N4]]</f>
        <v>#REF!</v>
      </c>
      <c r="AJ9" s="341" t="e">
        <f>#REF!-#REF!-TableauProduit[[#This Row],[Conditionnement N4]]</f>
        <v>#REF!</v>
      </c>
      <c r="AK9" s="343">
        <v>1100</v>
      </c>
      <c r="AL9" s="343" t="e">
        <f>#REF!*#REF!/1000</f>
        <v>#REF!</v>
      </c>
      <c r="AM9" s="430" t="e">
        <f>#REF!*#REF!</f>
        <v>#REF!</v>
      </c>
      <c r="AN9" s="430" t="e">
        <f>#REF!*TableauProduit[[#This Row],[Total (kg) N5]]</f>
        <v>#REF!</v>
      </c>
      <c r="AO9" s="430" t="e">
        <f>TableauProduit[[#This Row],[Prix de vente/kg]]*TableauProduit[[#This Row],[Total (kg) N5]]</f>
        <v>#REF!</v>
      </c>
      <c r="AP9" s="343" t="e">
        <f>#REF!-#REF!-TableauProduit[[#This Row],[Conditionnement N5]]</f>
        <v>#REF!</v>
      </c>
      <c r="AQ9" s="345">
        <v>1100</v>
      </c>
      <c r="AR9" s="345" t="e">
        <f>#REF!*#REF!/1000</f>
        <v>#REF!</v>
      </c>
      <c r="AS9" s="431" t="e">
        <f>#REF!*#REF!</f>
        <v>#REF!</v>
      </c>
      <c r="AT9" s="431" t="e">
        <f>#REF!*TableauProduit[[#This Row],[Total (kg) N6]]</f>
        <v>#REF!</v>
      </c>
      <c r="AU9" s="431" t="e">
        <f>TableauProduit[[#This Row],[Prix de vente/kg]]*TableauProduit[[#This Row],[Total (kg) N6]]</f>
        <v>#REF!</v>
      </c>
      <c r="AV9" s="345" t="e">
        <f>#REF!-#REF!-TableauProduit[[#This Row],[Conditionnement N6]]</f>
        <v>#REF!</v>
      </c>
      <c r="AW9" s="333">
        <v>1100</v>
      </c>
      <c r="AX9" s="333" t="e">
        <f>#REF!*#REF!/1000</f>
        <v>#REF!</v>
      </c>
      <c r="AY9" s="425" t="e">
        <f>#REF!*#REF!</f>
        <v>#REF!</v>
      </c>
      <c r="AZ9" s="425" t="e">
        <f>#REF!*TableauProduit[[#This Row],[Total (kg) N7]]</f>
        <v>#REF!</v>
      </c>
      <c r="BA9" s="425" t="e">
        <f>TableauProduit[[#This Row],[Prix de vente/kg]]*TableauProduit[[#This Row],[Total (kg) N7]]</f>
        <v>#REF!</v>
      </c>
      <c r="BB9" s="432" t="e">
        <f>#REF!-#REF!-TableauProduit[[#This Row],[Conditionnement N7]]</f>
        <v>#REF!</v>
      </c>
      <c r="BC9" s="414">
        <v>1100</v>
      </c>
      <c r="BD9" s="348" t="e">
        <f>#REF!*#REF!/1000</f>
        <v>#REF!</v>
      </c>
      <c r="BE9" s="433" t="e">
        <f>#REF!*#REF!</f>
        <v>#REF!</v>
      </c>
      <c r="BF9" s="433" t="e">
        <f>#REF!*TableauProduit[[#This Row],[Total (kg) N8]]</f>
        <v>#REF!</v>
      </c>
      <c r="BG9" s="433" t="e">
        <f>TableauProduit[[#This Row],[Prix de vente/kg]]*TableauProduit[[#This Row],[Total (kg) N8]]</f>
        <v>#REF!</v>
      </c>
      <c r="BH9" s="434" t="e">
        <f>#REF!-#REF!-TableauProduit[[#This Row],[Conditionnement N8]]</f>
        <v>#REF!</v>
      </c>
      <c r="BI9" s="401">
        <v>1100</v>
      </c>
      <c r="BJ9" s="350" t="e">
        <f>#REF!*#REF!/1000</f>
        <v>#REF!</v>
      </c>
      <c r="BK9" s="435" t="e">
        <f>#REF!*#REF!</f>
        <v>#REF!</v>
      </c>
      <c r="BL9" s="435" t="e">
        <f>#REF!*TableauProduit[[#This Row],[Total (kg) N9]]</f>
        <v>#REF!</v>
      </c>
      <c r="BM9" s="435" t="e">
        <f>TableauProduit[[#This Row],[Prix de vente/kg]]*TableauProduit[[#This Row],[Total (kg) N9]]</f>
        <v>#REF!</v>
      </c>
      <c r="BN9" s="350" t="e">
        <f>#REF!-#REF!-TableauProduit[[#This Row],[Conditionnement N9]]</f>
        <v>#REF!</v>
      </c>
    </row>
    <row r="10" spans="1:66" x14ac:dyDescent="0.2">
      <c r="A10" s="13" t="s">
        <v>79</v>
      </c>
      <c r="B10" s="54" t="str">
        <f>TableauProduit[[#This Row],[Recette]]&amp;TableauProduit[[#This Row],[Conditionnement]]</f>
        <v>Paprika fuméEpice 100ml</v>
      </c>
      <c r="C10" s="11">
        <v>1</v>
      </c>
      <c r="D10" s="11">
        <v>60</v>
      </c>
      <c r="E10" s="6" t="s">
        <v>73</v>
      </c>
      <c r="F10" s="7">
        <f>IFERROR(VLOOKUP(TableauProduit[[#This Row],[Conditionnement]],TableauConditionnement[[Nom]:[Contenance]],4,FALSE),"")</f>
        <v>0.64</v>
      </c>
      <c r="G10" s="463">
        <f>IFERROR(SUMIFS(TableauRecette[Prix d''achat / kg],TableauRecette[Recette],TableauProduit[[#This Row],[Recette]],TableauRecette[Conditionnement],TableauProduit[[#This Row],[Conditionnement]]),0)</f>
        <v>0</v>
      </c>
      <c r="H10" s="464">
        <v>4.5</v>
      </c>
      <c r="I10" s="465">
        <f>TableauProduit[[#This Row],[Prix de vente/U]]/TableauProduit[[#This Row],[Poids (g) / unite]]*1000</f>
        <v>75</v>
      </c>
      <c r="J10" s="466">
        <f>SUMIFS(TableauConcurence[PRIX_KG],TableauConcurence[PRODUIT],TableauProduit[[#This Row],[Recette]],TableauConcurence[DISTRIBUTION],"magasin NON BIO")</f>
        <v>57.5</v>
      </c>
      <c r="K10" s="467">
        <f>SUMIFS(TableauConcurence[PRIX_KG],TableauConcurence[PRODUIT],TableauProduit[[#This Row],[Recette]],TableauConcurence[DISTRIBUTION],"magasin BIO")</f>
        <v>70</v>
      </c>
      <c r="L10" s="468">
        <f>SUMIFS(TableauConcurence[PRIX_KG],TableauConcurence[PRODUIT],TableauProduit[[#This Row],[Recette]],TableauConcurence[DISTRIBUTION],"artisanale BIO")</f>
        <v>87.5</v>
      </c>
      <c r="M10" s="410">
        <v>450</v>
      </c>
      <c r="N10" s="333">
        <f>TableauProduit[[#This Row],[Objectif de vente en unite N1]]*TableauProduit[[#This Row],[Poids (g) / unite]]/1000</f>
        <v>27</v>
      </c>
      <c r="O10" s="425">
        <f>TableauProduit[[#This Row],[Packaging / unite]]*TableauProduit[[#This Row],[Objectif de vente en unite N1]]</f>
        <v>288</v>
      </c>
      <c r="P10" s="425">
        <f>SUMIF(TableauRecette[[#This Row],[Recette]],TableauProduit[[#This Row],[Recette]],TableauRecette[[#This Row],[Prix pour kg/ de melange]])</f>
        <v>0</v>
      </c>
      <c r="Q10" s="425">
        <f>TableauProduit[[#This Row],[Prix de vente/kg]]*TableauProduit[[#This Row],[Total (kg) N1]]</f>
        <v>2025</v>
      </c>
      <c r="R10" s="428" t="e">
        <f>#REF!-#REF!-TableauProduit[[#This Row],[Conditionnement N1]]</f>
        <v>#REF!</v>
      </c>
      <c r="S10" s="336">
        <v>675</v>
      </c>
      <c r="T10" s="335" t="e">
        <f>#REF!*#REF!/1000</f>
        <v>#REF!</v>
      </c>
      <c r="U10" s="417" t="e">
        <f>#REF!*#REF!</f>
        <v>#REF!</v>
      </c>
      <c r="V10" s="417" t="e">
        <f>#REF!*TableauProduit[[#This Row],[Total (kg) N2]]</f>
        <v>#REF!</v>
      </c>
      <c r="W10" s="417" t="e">
        <f>TableauProduit[[#This Row],[Prix de vente/kg]]*TableauProduit[[#This Row],[Total (kg) N2]]</f>
        <v>#REF!</v>
      </c>
      <c r="X10" s="411" t="e">
        <f>#REF!-#REF!-TableauProduit[[#This Row],[Conditionnement N2]]</f>
        <v>#REF!</v>
      </c>
      <c r="Y10" s="412">
        <v>788</v>
      </c>
      <c r="Z10" s="339" t="e">
        <f>#REF!*#REF!/1000</f>
        <v>#REF!</v>
      </c>
      <c r="AA10" s="420" t="e">
        <f>#REF!*#REF!</f>
        <v>#REF!</v>
      </c>
      <c r="AB10" s="420" t="e">
        <f>#REF!*TableauProduit[[#This Row],[Total (kg) N3]]</f>
        <v>#REF!</v>
      </c>
      <c r="AC10" s="420" t="e">
        <f>TableauProduit[[#This Row],[Prix de vente/kg]]*TableauProduit[[#This Row],[Total (kg) N3]]</f>
        <v>#REF!</v>
      </c>
      <c r="AD10" s="429" t="e">
        <f>#REF!-#REF!-TableauProduit[[#This Row],[Conditionnement N3]]</f>
        <v>#REF!</v>
      </c>
      <c r="AE10" s="341">
        <v>855</v>
      </c>
      <c r="AF10" s="341" t="e">
        <f>#REF!*#REF!/1000</f>
        <v>#REF!</v>
      </c>
      <c r="AG10" s="423" t="e">
        <f>#REF!*#REF!</f>
        <v>#REF!</v>
      </c>
      <c r="AH10" s="423" t="e">
        <f>#REF!*TableauProduit[[#This Row],[Total (kg) N4]]</f>
        <v>#REF!</v>
      </c>
      <c r="AI10" s="423" t="e">
        <f>TableauProduit[[#This Row],[Prix de vente/kg]]*TableauProduit[[#This Row],[Total (kg) N4]]</f>
        <v>#REF!</v>
      </c>
      <c r="AJ10" s="341" t="e">
        <f>#REF!-#REF!-TableauProduit[[#This Row],[Conditionnement N4]]</f>
        <v>#REF!</v>
      </c>
      <c r="AK10" s="343">
        <v>900</v>
      </c>
      <c r="AL10" s="343" t="e">
        <f>#REF!*#REF!/1000</f>
        <v>#REF!</v>
      </c>
      <c r="AM10" s="430" t="e">
        <f>#REF!*#REF!</f>
        <v>#REF!</v>
      </c>
      <c r="AN10" s="430" t="e">
        <f>#REF!*TableauProduit[[#This Row],[Total (kg) N5]]</f>
        <v>#REF!</v>
      </c>
      <c r="AO10" s="430" t="e">
        <f>TableauProduit[[#This Row],[Prix de vente/kg]]*TableauProduit[[#This Row],[Total (kg) N5]]</f>
        <v>#REF!</v>
      </c>
      <c r="AP10" s="343" t="e">
        <f>#REF!-#REF!-TableauProduit[[#This Row],[Conditionnement N5]]</f>
        <v>#REF!</v>
      </c>
      <c r="AQ10" s="345">
        <v>900</v>
      </c>
      <c r="AR10" s="345" t="e">
        <f>#REF!*#REF!/1000</f>
        <v>#REF!</v>
      </c>
      <c r="AS10" s="431" t="e">
        <f>#REF!*#REF!</f>
        <v>#REF!</v>
      </c>
      <c r="AT10" s="431" t="e">
        <f>#REF!*TableauProduit[[#This Row],[Total (kg) N6]]</f>
        <v>#REF!</v>
      </c>
      <c r="AU10" s="431" t="e">
        <f>TableauProduit[[#This Row],[Prix de vente/kg]]*TableauProduit[[#This Row],[Total (kg) N6]]</f>
        <v>#REF!</v>
      </c>
      <c r="AV10" s="345" t="e">
        <f>#REF!-#REF!-TableauProduit[[#This Row],[Conditionnement N6]]</f>
        <v>#REF!</v>
      </c>
      <c r="AW10" s="333">
        <v>900</v>
      </c>
      <c r="AX10" s="333" t="e">
        <f>#REF!*#REF!/1000</f>
        <v>#REF!</v>
      </c>
      <c r="AY10" s="425" t="e">
        <f>#REF!*#REF!</f>
        <v>#REF!</v>
      </c>
      <c r="AZ10" s="425" t="e">
        <f>#REF!*TableauProduit[[#This Row],[Total (kg) N7]]</f>
        <v>#REF!</v>
      </c>
      <c r="BA10" s="425" t="e">
        <f>TableauProduit[[#This Row],[Prix de vente/kg]]*TableauProduit[[#This Row],[Total (kg) N7]]</f>
        <v>#REF!</v>
      </c>
      <c r="BB10" s="432" t="e">
        <f>#REF!-#REF!-TableauProduit[[#This Row],[Conditionnement N7]]</f>
        <v>#REF!</v>
      </c>
      <c r="BC10" s="414">
        <v>900</v>
      </c>
      <c r="BD10" s="348" t="e">
        <f>#REF!*#REF!/1000</f>
        <v>#REF!</v>
      </c>
      <c r="BE10" s="433" t="e">
        <f>#REF!*#REF!</f>
        <v>#REF!</v>
      </c>
      <c r="BF10" s="433" t="e">
        <f>#REF!*TableauProduit[[#This Row],[Total (kg) N8]]</f>
        <v>#REF!</v>
      </c>
      <c r="BG10" s="433" t="e">
        <f>TableauProduit[[#This Row],[Prix de vente/kg]]*TableauProduit[[#This Row],[Total (kg) N8]]</f>
        <v>#REF!</v>
      </c>
      <c r="BH10" s="434" t="e">
        <f>#REF!-#REF!-TableauProduit[[#This Row],[Conditionnement N8]]</f>
        <v>#REF!</v>
      </c>
      <c r="BI10" s="401">
        <v>900</v>
      </c>
      <c r="BJ10" s="350" t="e">
        <f>#REF!*#REF!/1000</f>
        <v>#REF!</v>
      </c>
      <c r="BK10" s="435" t="e">
        <f>#REF!*#REF!</f>
        <v>#REF!</v>
      </c>
      <c r="BL10" s="435" t="e">
        <f>#REF!*TableauProduit[[#This Row],[Total (kg) N9]]</f>
        <v>#REF!</v>
      </c>
      <c r="BM10" s="435" t="e">
        <f>TableauProduit[[#This Row],[Prix de vente/kg]]*TableauProduit[[#This Row],[Total (kg) N9]]</f>
        <v>#REF!</v>
      </c>
      <c r="BN10" s="350" t="e">
        <f>#REF!-#REF!-TableauProduit[[#This Row],[Conditionnement N9]]</f>
        <v>#REF!</v>
      </c>
    </row>
    <row r="11" spans="1:66" x14ac:dyDescent="0.2">
      <c r="A11" s="406" t="s">
        <v>80</v>
      </c>
      <c r="B11" s="54" t="str">
        <f>TableauProduit[[#This Row],[Recette]]&amp;TableauProduit[[#This Row],[Conditionnement]]</f>
        <v>Sirop de mentheSirop 500 ml</v>
      </c>
      <c r="C11" s="11">
        <v>1</v>
      </c>
      <c r="D11" s="11">
        <v>500</v>
      </c>
      <c r="E11" s="6" t="s">
        <v>81</v>
      </c>
      <c r="F11" s="7">
        <f>IFERROR(VLOOKUP(TableauProduit[[#This Row],[Conditionnement]],TableauConditionnement[[Nom]:[Contenance]],4,FALSE),"")</f>
        <v>1.46</v>
      </c>
      <c r="G11" s="463">
        <f>IFERROR(SUMIFS(TableauRecette[Prix d''achat / kg],TableauRecette[Recette],TableauProduit[[#This Row],[Recette]],TableauRecette[Conditionnement],TableauProduit[[#This Row],[Conditionnement]]),0)</f>
        <v>0</v>
      </c>
      <c r="H11" s="470">
        <v>7</v>
      </c>
      <c r="I11" s="465">
        <f>TableauProduit[[#This Row],[Prix de vente/U]]/TableauProduit[[#This Row],[Poids (g) / unite]]*1000</f>
        <v>14</v>
      </c>
      <c r="J11" s="466">
        <f>SUMIFS(TableauConcurence[PRIX_KG],TableauConcurence[PRODUIT],TableauProduit[[#This Row],[Recette]],TableauConcurence[DISTRIBUTION],"magasin NON BIO")</f>
        <v>3.5</v>
      </c>
      <c r="K11" s="467">
        <f>SUMIFS(TableauConcurence[PRIX_KG],TableauConcurence[PRODUIT],TableauProduit[[#This Row],[Recette]],TableauConcurence[DISTRIBUTION],"magasin BIO")</f>
        <v>6.5</v>
      </c>
      <c r="L11" s="468">
        <f>SUMIFS(TableauConcurence[PRIX_KG],TableauConcurence[PRODUIT],TableauProduit[[#This Row],[Recette]],TableauConcurence[DISTRIBUTION],"artisanale BIO")</f>
        <v>8</v>
      </c>
      <c r="M11" s="410">
        <v>400</v>
      </c>
      <c r="N11" s="333">
        <f>TableauProduit[[#This Row],[Objectif de vente en unite N1]]*TableauProduit[[#This Row],[Poids (g) / unite]]/1000</f>
        <v>200</v>
      </c>
      <c r="O11" s="425">
        <f>TableauProduit[[#This Row],[Packaging / unite]]*TableauProduit[[#This Row],[Objectif de vente en unite N1]]</f>
        <v>584</v>
      </c>
      <c r="P11" s="425">
        <f>SUMIF(TableauRecette[[#This Row],[Recette]],TableauProduit[[#This Row],[Recette]],TableauRecette[[#This Row],[Prix pour kg/ de melange]])</f>
        <v>0</v>
      </c>
      <c r="Q11" s="425">
        <f>TableauProduit[[#This Row],[Prix de vente/kg]]*TableauProduit[[#This Row],[Total (kg) N1]]</f>
        <v>2800</v>
      </c>
      <c r="R11" s="428" t="e">
        <f>#REF!-#REF!-TableauProduit[[#This Row],[Conditionnement N1]]</f>
        <v>#REF!</v>
      </c>
      <c r="S11" s="336">
        <v>600</v>
      </c>
      <c r="T11" s="335" t="e">
        <f>#REF!*#REF!/1000</f>
        <v>#REF!</v>
      </c>
      <c r="U11" s="417" t="e">
        <f>#REF!*#REF!</f>
        <v>#REF!</v>
      </c>
      <c r="V11" s="417" t="e">
        <f>#REF!*TableauProduit[[#This Row],[Total (kg) N2]]</f>
        <v>#REF!</v>
      </c>
      <c r="W11" s="417" t="e">
        <f>TableauProduit[[#This Row],[Prix de vente/kg]]*TableauProduit[[#This Row],[Total (kg) N2]]</f>
        <v>#REF!</v>
      </c>
      <c r="X11" s="411" t="e">
        <f>#REF!-#REF!-TableauProduit[[#This Row],[Conditionnement N2]]</f>
        <v>#REF!</v>
      </c>
      <c r="Y11" s="412">
        <v>700</v>
      </c>
      <c r="Z11" s="339" t="e">
        <f>#REF!*#REF!/1000</f>
        <v>#REF!</v>
      </c>
      <c r="AA11" s="420" t="e">
        <f>#REF!*#REF!</f>
        <v>#REF!</v>
      </c>
      <c r="AB11" s="420" t="e">
        <f>#REF!*TableauProduit[[#This Row],[Total (kg) N3]]</f>
        <v>#REF!</v>
      </c>
      <c r="AC11" s="420" t="e">
        <f>TableauProduit[[#This Row],[Prix de vente/kg]]*TableauProduit[[#This Row],[Total (kg) N3]]</f>
        <v>#REF!</v>
      </c>
      <c r="AD11" s="429" t="e">
        <f>#REF!-#REF!-TableauProduit[[#This Row],[Conditionnement N3]]</f>
        <v>#REF!</v>
      </c>
      <c r="AE11" s="341">
        <v>760</v>
      </c>
      <c r="AF11" s="341" t="e">
        <f>#REF!*#REF!/1000</f>
        <v>#REF!</v>
      </c>
      <c r="AG11" s="423" t="e">
        <f>#REF!*#REF!</f>
        <v>#REF!</v>
      </c>
      <c r="AH11" s="423" t="e">
        <f>#REF!*TableauProduit[[#This Row],[Total (kg) N4]]</f>
        <v>#REF!</v>
      </c>
      <c r="AI11" s="423" t="e">
        <f>TableauProduit[[#This Row],[Prix de vente/kg]]*TableauProduit[[#This Row],[Total (kg) N4]]</f>
        <v>#REF!</v>
      </c>
      <c r="AJ11" s="341" t="e">
        <f>#REF!-#REF!-TableauProduit[[#This Row],[Conditionnement N4]]</f>
        <v>#REF!</v>
      </c>
      <c r="AK11" s="343">
        <v>800</v>
      </c>
      <c r="AL11" s="343" t="e">
        <f>#REF!*#REF!/1000</f>
        <v>#REF!</v>
      </c>
      <c r="AM11" s="430" t="e">
        <f>#REF!*#REF!</f>
        <v>#REF!</v>
      </c>
      <c r="AN11" s="430" t="e">
        <f>#REF!*TableauProduit[[#This Row],[Total (kg) N5]]</f>
        <v>#REF!</v>
      </c>
      <c r="AO11" s="430" t="e">
        <f>TableauProduit[[#This Row],[Prix de vente/kg]]*TableauProduit[[#This Row],[Total (kg) N5]]</f>
        <v>#REF!</v>
      </c>
      <c r="AP11" s="343" t="e">
        <f>#REF!-#REF!-TableauProduit[[#This Row],[Conditionnement N5]]</f>
        <v>#REF!</v>
      </c>
      <c r="AQ11" s="345">
        <v>800</v>
      </c>
      <c r="AR11" s="345" t="e">
        <f>#REF!*#REF!/1000</f>
        <v>#REF!</v>
      </c>
      <c r="AS11" s="431" t="e">
        <f>#REF!*#REF!</f>
        <v>#REF!</v>
      </c>
      <c r="AT11" s="431" t="e">
        <f>#REF!*TableauProduit[[#This Row],[Total (kg) N6]]</f>
        <v>#REF!</v>
      </c>
      <c r="AU11" s="431" t="e">
        <f>TableauProduit[[#This Row],[Prix de vente/kg]]*TableauProduit[[#This Row],[Total (kg) N6]]</f>
        <v>#REF!</v>
      </c>
      <c r="AV11" s="345" t="e">
        <f>#REF!-#REF!-TableauProduit[[#This Row],[Conditionnement N6]]</f>
        <v>#REF!</v>
      </c>
      <c r="AW11" s="333">
        <v>800</v>
      </c>
      <c r="AX11" s="333" t="e">
        <f>#REF!*#REF!/1000</f>
        <v>#REF!</v>
      </c>
      <c r="AY11" s="425" t="e">
        <f>#REF!*#REF!</f>
        <v>#REF!</v>
      </c>
      <c r="AZ11" s="425" t="e">
        <f>#REF!*TableauProduit[[#This Row],[Total (kg) N7]]</f>
        <v>#REF!</v>
      </c>
      <c r="BA11" s="425" t="e">
        <f>TableauProduit[[#This Row],[Prix de vente/kg]]*TableauProduit[[#This Row],[Total (kg) N7]]</f>
        <v>#REF!</v>
      </c>
      <c r="BB11" s="432" t="e">
        <f>#REF!-#REF!-TableauProduit[[#This Row],[Conditionnement N7]]</f>
        <v>#REF!</v>
      </c>
      <c r="BC11" s="414">
        <v>800</v>
      </c>
      <c r="BD11" s="348" t="e">
        <f>#REF!*#REF!/1000</f>
        <v>#REF!</v>
      </c>
      <c r="BE11" s="433" t="e">
        <f>#REF!*#REF!</f>
        <v>#REF!</v>
      </c>
      <c r="BF11" s="433" t="e">
        <f>#REF!*TableauProduit[[#This Row],[Total (kg) N8]]</f>
        <v>#REF!</v>
      </c>
      <c r="BG11" s="433" t="e">
        <f>TableauProduit[[#This Row],[Prix de vente/kg]]*TableauProduit[[#This Row],[Total (kg) N8]]</f>
        <v>#REF!</v>
      </c>
      <c r="BH11" s="434" t="e">
        <f>#REF!-#REF!-TableauProduit[[#This Row],[Conditionnement N8]]</f>
        <v>#REF!</v>
      </c>
      <c r="BI11" s="401">
        <v>800</v>
      </c>
      <c r="BJ11" s="350" t="e">
        <f>#REF!*#REF!/1000</f>
        <v>#REF!</v>
      </c>
      <c r="BK11" s="435" t="e">
        <f>#REF!*#REF!</f>
        <v>#REF!</v>
      </c>
      <c r="BL11" s="435" t="e">
        <f>#REF!*TableauProduit[[#This Row],[Total (kg) N9]]</f>
        <v>#REF!</v>
      </c>
      <c r="BM11" s="435" t="e">
        <f>TableauProduit[[#This Row],[Prix de vente/kg]]*TableauProduit[[#This Row],[Total (kg) N9]]</f>
        <v>#REF!</v>
      </c>
      <c r="BN11" s="350" t="e">
        <f>#REF!-#REF!-TableauProduit[[#This Row],[Conditionnement N9]]</f>
        <v>#REF!</v>
      </c>
    </row>
    <row r="12" spans="1:66" x14ac:dyDescent="0.2">
      <c r="A12" s="406" t="s">
        <v>82</v>
      </c>
      <c r="B12" s="54" t="str">
        <f>TableauProduit[[#This Row],[Recette]]&amp;TableauProduit[[#This Row],[Conditionnement]]</f>
        <v>Sucre aux fleursEpice 100ml</v>
      </c>
      <c r="C12" s="11">
        <v>2</v>
      </c>
      <c r="D12" s="11">
        <v>75</v>
      </c>
      <c r="E12" s="6" t="s">
        <v>73</v>
      </c>
      <c r="F12" s="7">
        <f>IFERROR(VLOOKUP(TableauProduit[[#This Row],[Conditionnement]],TableauConditionnement[[Nom]:[Contenance]],4,FALSE),"")</f>
        <v>0.64</v>
      </c>
      <c r="G12" s="463">
        <f>IFERROR(SUMIFS(TableauRecette[Prix d''achat / kg],TableauRecette[Recette],TableauProduit[[#This Row],[Recette]],TableauRecette[Conditionnement],TableauProduit[[#This Row],[Conditionnement]]),0)</f>
        <v>0</v>
      </c>
      <c r="H12" s="470">
        <v>5</v>
      </c>
      <c r="I12" s="465">
        <f>TableauProduit[[#This Row],[Prix de vente/U]]/TableauProduit[[#This Row],[Poids (g) / unite]]*1000</f>
        <v>66.666666666666671</v>
      </c>
      <c r="J12" s="466">
        <f>SUMIFS(TableauConcurence[PRIX_KG],TableauConcurence[PRODUIT],TableauProduit[[#This Row],[Recette]],TableauConcurence[DISTRIBUTION],"magasin NON BIO")</f>
        <v>19.96</v>
      </c>
      <c r="K12" s="467">
        <f>SUMIFS(TableauConcurence[PRIX_KG],TableauConcurence[PRODUIT],TableauProduit[[#This Row],[Recette]],TableauConcurence[DISTRIBUTION],"magasin BIO")</f>
        <v>10.5</v>
      </c>
      <c r="L12" s="468">
        <f>SUMIFS(TableauConcurence[PRIX_KG],TableauConcurence[PRODUIT],TableauProduit[[#This Row],[Recette]],TableauConcurence[DISTRIBUTION],"artisanale BIO")</f>
        <v>40</v>
      </c>
      <c r="M12" s="410">
        <v>450</v>
      </c>
      <c r="N12" s="333">
        <f>TableauProduit[[#This Row],[Objectif de vente en unite N1]]*TableauProduit[[#This Row],[Poids (g) / unite]]/1000</f>
        <v>33.75</v>
      </c>
      <c r="O12" s="425">
        <f>TableauProduit[[#This Row],[Packaging / unite]]*TableauProduit[[#This Row],[Objectif de vente en unite N1]]</f>
        <v>288</v>
      </c>
      <c r="P12" s="425">
        <f>SUMIF(TableauRecette[[#This Row],[Recette]],TableauProduit[[#This Row],[Recette]],TableauRecette[[#This Row],[Prix pour kg/ de melange]])</f>
        <v>0</v>
      </c>
      <c r="Q12" s="425">
        <f>TableauProduit[[#This Row],[Prix de vente/kg]]*TableauProduit[[#This Row],[Total (kg) N1]]</f>
        <v>2250</v>
      </c>
      <c r="R12" s="428" t="e">
        <f>#REF!-#REF!-TableauProduit[[#This Row],[Conditionnement N1]]</f>
        <v>#REF!</v>
      </c>
      <c r="S12" s="336">
        <v>675</v>
      </c>
      <c r="T12" s="335" t="e">
        <f>#REF!*#REF!/1000</f>
        <v>#REF!</v>
      </c>
      <c r="U12" s="417" t="e">
        <f>#REF!*#REF!</f>
        <v>#REF!</v>
      </c>
      <c r="V12" s="417" t="e">
        <f>#REF!*TableauProduit[[#This Row],[Total (kg) N2]]</f>
        <v>#REF!</v>
      </c>
      <c r="W12" s="417" t="e">
        <f>TableauProduit[[#This Row],[Prix de vente/kg]]*TableauProduit[[#This Row],[Total (kg) N2]]</f>
        <v>#REF!</v>
      </c>
      <c r="X12" s="411" t="e">
        <f>#REF!-#REF!-TableauProduit[[#This Row],[Conditionnement N2]]</f>
        <v>#REF!</v>
      </c>
      <c r="Y12" s="412">
        <v>788</v>
      </c>
      <c r="Z12" s="339" t="e">
        <f>#REF!*#REF!/1000</f>
        <v>#REF!</v>
      </c>
      <c r="AA12" s="420" t="e">
        <f>#REF!*#REF!</f>
        <v>#REF!</v>
      </c>
      <c r="AB12" s="420" t="e">
        <f>#REF!*TableauProduit[[#This Row],[Total (kg) N3]]</f>
        <v>#REF!</v>
      </c>
      <c r="AC12" s="420" t="e">
        <f>TableauProduit[[#This Row],[Prix de vente/kg]]*TableauProduit[[#This Row],[Total (kg) N3]]</f>
        <v>#REF!</v>
      </c>
      <c r="AD12" s="429" t="e">
        <f>#REF!-#REF!-TableauProduit[[#This Row],[Conditionnement N3]]</f>
        <v>#REF!</v>
      </c>
      <c r="AE12" s="341">
        <v>855</v>
      </c>
      <c r="AF12" s="341" t="e">
        <f>#REF!*#REF!/1000</f>
        <v>#REF!</v>
      </c>
      <c r="AG12" s="423" t="e">
        <f>#REF!*#REF!</f>
        <v>#REF!</v>
      </c>
      <c r="AH12" s="423" t="e">
        <f>#REF!*TableauProduit[[#This Row],[Total (kg) N4]]</f>
        <v>#REF!</v>
      </c>
      <c r="AI12" s="423" t="e">
        <f>TableauProduit[[#This Row],[Prix de vente/kg]]*TableauProduit[[#This Row],[Total (kg) N4]]</f>
        <v>#REF!</v>
      </c>
      <c r="AJ12" s="341" t="e">
        <f>#REF!-#REF!-TableauProduit[[#This Row],[Conditionnement N4]]</f>
        <v>#REF!</v>
      </c>
      <c r="AK12" s="343">
        <v>900</v>
      </c>
      <c r="AL12" s="343" t="e">
        <f>#REF!*#REF!/1000</f>
        <v>#REF!</v>
      </c>
      <c r="AM12" s="430" t="e">
        <f>#REF!*#REF!</f>
        <v>#REF!</v>
      </c>
      <c r="AN12" s="430" t="e">
        <f>#REF!*TableauProduit[[#This Row],[Total (kg) N5]]</f>
        <v>#REF!</v>
      </c>
      <c r="AO12" s="430" t="e">
        <f>TableauProduit[[#This Row],[Prix de vente/kg]]*TableauProduit[[#This Row],[Total (kg) N5]]</f>
        <v>#REF!</v>
      </c>
      <c r="AP12" s="343" t="e">
        <f>#REF!-#REF!-TableauProduit[[#This Row],[Conditionnement N5]]</f>
        <v>#REF!</v>
      </c>
      <c r="AQ12" s="345">
        <v>900</v>
      </c>
      <c r="AR12" s="345" t="e">
        <f>#REF!*#REF!/1000</f>
        <v>#REF!</v>
      </c>
      <c r="AS12" s="431" t="e">
        <f>#REF!*#REF!</f>
        <v>#REF!</v>
      </c>
      <c r="AT12" s="431" t="e">
        <f>#REF!*TableauProduit[[#This Row],[Total (kg) N6]]</f>
        <v>#REF!</v>
      </c>
      <c r="AU12" s="431" t="e">
        <f>TableauProduit[[#This Row],[Prix de vente/kg]]*TableauProduit[[#This Row],[Total (kg) N6]]</f>
        <v>#REF!</v>
      </c>
      <c r="AV12" s="345" t="e">
        <f>#REF!-#REF!-TableauProduit[[#This Row],[Conditionnement N6]]</f>
        <v>#REF!</v>
      </c>
      <c r="AW12" s="333">
        <v>900</v>
      </c>
      <c r="AX12" s="333" t="e">
        <f>#REF!*#REF!/1000</f>
        <v>#REF!</v>
      </c>
      <c r="AY12" s="425" t="e">
        <f>#REF!*#REF!</f>
        <v>#REF!</v>
      </c>
      <c r="AZ12" s="425" t="e">
        <f>#REF!*TableauProduit[[#This Row],[Total (kg) N7]]</f>
        <v>#REF!</v>
      </c>
      <c r="BA12" s="425" t="e">
        <f>TableauProduit[[#This Row],[Prix de vente/kg]]*TableauProduit[[#This Row],[Total (kg) N7]]</f>
        <v>#REF!</v>
      </c>
      <c r="BB12" s="432" t="e">
        <f>#REF!-#REF!-TableauProduit[[#This Row],[Conditionnement N7]]</f>
        <v>#REF!</v>
      </c>
      <c r="BC12" s="414">
        <v>900</v>
      </c>
      <c r="BD12" s="348" t="e">
        <f>#REF!*#REF!/1000</f>
        <v>#REF!</v>
      </c>
      <c r="BE12" s="433" t="e">
        <f>#REF!*#REF!</f>
        <v>#REF!</v>
      </c>
      <c r="BF12" s="433" t="e">
        <f>#REF!*TableauProduit[[#This Row],[Total (kg) N8]]</f>
        <v>#REF!</v>
      </c>
      <c r="BG12" s="433" t="e">
        <f>TableauProduit[[#This Row],[Prix de vente/kg]]*TableauProduit[[#This Row],[Total (kg) N8]]</f>
        <v>#REF!</v>
      </c>
      <c r="BH12" s="434" t="e">
        <f>#REF!-#REF!-TableauProduit[[#This Row],[Conditionnement N8]]</f>
        <v>#REF!</v>
      </c>
      <c r="BI12" s="401">
        <v>900</v>
      </c>
      <c r="BJ12" s="350" t="e">
        <f>#REF!*#REF!/1000</f>
        <v>#REF!</v>
      </c>
      <c r="BK12" s="435" t="e">
        <f>#REF!*#REF!</f>
        <v>#REF!</v>
      </c>
      <c r="BL12" s="435" t="e">
        <f>#REF!*TableauProduit[[#This Row],[Total (kg) N9]]</f>
        <v>#REF!</v>
      </c>
      <c r="BM12" s="435" t="e">
        <f>TableauProduit[[#This Row],[Prix de vente/kg]]*TableauProduit[[#This Row],[Total (kg) N9]]</f>
        <v>#REF!</v>
      </c>
      <c r="BN12" s="350" t="e">
        <f>#REF!-#REF!-TableauProduit[[#This Row],[Conditionnement N9]]</f>
        <v>#REF!</v>
      </c>
    </row>
    <row r="13" spans="1:66" x14ac:dyDescent="0.2">
      <c r="A13" s="13" t="s">
        <v>83</v>
      </c>
      <c r="B13" s="54" t="str">
        <f>TableauProduit[[#This Row],[Recette]]&amp;TableauProduit[[#This Row],[Conditionnement]]</f>
        <v>CurryEpice 100ml</v>
      </c>
      <c r="C13" s="11">
        <v>1</v>
      </c>
      <c r="D13" s="11">
        <v>65</v>
      </c>
      <c r="E13" s="6" t="s">
        <v>73</v>
      </c>
      <c r="F13" s="7">
        <f>IFERROR(VLOOKUP(TableauProduit[[#This Row],[Conditionnement]],TableauConditionnement[[Nom]:[Contenance]],4,FALSE),"")</f>
        <v>0.64</v>
      </c>
      <c r="G13" s="449">
        <f>IFERROR(SUMIFS(TableauRecette[Prix d''achat / kg],TableauRecette[Recette],TableauProduit[[#This Row],[Recette]],TableauRecette[Conditionnement],TableauProduit[[#This Row],[Conditionnement]]),0)</f>
        <v>0</v>
      </c>
      <c r="H13" s="464">
        <v>5.5</v>
      </c>
      <c r="I13" s="465">
        <f>TableauProduit[[#This Row],[Prix de vente/U]]/TableauProduit[[#This Row],[Poids (g) / unite]]*1000</f>
        <v>84.615384615384613</v>
      </c>
      <c r="J13" s="466">
        <f>SUMIFS(TableauConcurence[PRIX_KG],TableauConcurence[PRODUIT],TableauProduit[[#This Row],[Recette]],TableauConcurence[DISTRIBUTION],"magasin NON BIO")</f>
        <v>46.67</v>
      </c>
      <c r="K13" s="467">
        <f>SUMIFS(TableauConcurence[PRIX_KG],TableauConcurence[PRODUIT],TableauProduit[[#This Row],[Recette]],TableauConcurence[DISTRIBUTION],"magasin BIO")</f>
        <v>45</v>
      </c>
      <c r="L13" s="468">
        <f>SUMIFS(TableauConcurence[PRIX_KG],TableauConcurence[PRODUIT],TableauProduit[[#This Row],[Recette]],TableauConcurence[DISTRIBUTION],"artisanale BIO")</f>
        <v>60</v>
      </c>
      <c r="M13" s="410">
        <v>0</v>
      </c>
      <c r="N13" s="333">
        <f>TableauProduit[[#This Row],[Objectif de vente en unite N1]]*TableauProduit[[#This Row],[Poids (g) / unite]]/1000</f>
        <v>0</v>
      </c>
      <c r="O13" s="425">
        <f>TableauProduit[[#This Row],[Packaging / unite]]*TableauProduit[[#This Row],[Objectif de vente en unite N1]]</f>
        <v>0</v>
      </c>
      <c r="P13" s="425">
        <f>SUMIF(TableauRecette[[#This Row],[Recette]],TableauProduit[[#This Row],[Recette]],TableauRecette[[#This Row],[Prix pour kg/ de melange]])</f>
        <v>0</v>
      </c>
      <c r="Q13" s="425">
        <f>TableauProduit[[#This Row],[Prix de vente/kg]]*TableauProduit[[#This Row],[Total (kg) N1]]</f>
        <v>0</v>
      </c>
      <c r="R13" s="428" t="e">
        <f>#REF!-#REF!-TableauProduit[[#This Row],[Conditionnement N1]]</f>
        <v>#REF!</v>
      </c>
      <c r="S13" s="336">
        <v>140</v>
      </c>
      <c r="T13" s="335" t="e">
        <f>#REF!*#REF!/1000</f>
        <v>#REF!</v>
      </c>
      <c r="U13" s="417" t="e">
        <f>#REF!*#REF!</f>
        <v>#REF!</v>
      </c>
      <c r="V13" s="417" t="e">
        <f>#REF!*TableauProduit[[#This Row],[Total (kg) N2]]</f>
        <v>#REF!</v>
      </c>
      <c r="W13" s="417" t="e">
        <f>TableauProduit[[#This Row],[Prix de vente/kg]]*TableauProduit[[#This Row],[Total (kg) N2]]</f>
        <v>#REF!</v>
      </c>
      <c r="X13" s="411" t="e">
        <f>#REF!-#REF!-TableauProduit[[#This Row],[Conditionnement N2]]</f>
        <v>#REF!</v>
      </c>
      <c r="Y13" s="412">
        <v>175</v>
      </c>
      <c r="Z13" s="339" t="e">
        <f>#REF!*#REF!/1000</f>
        <v>#REF!</v>
      </c>
      <c r="AA13" s="420" t="e">
        <f>#REF!*#REF!</f>
        <v>#REF!</v>
      </c>
      <c r="AB13" s="420" t="e">
        <f>#REF!*TableauProduit[[#This Row],[Total (kg) N3]]</f>
        <v>#REF!</v>
      </c>
      <c r="AC13" s="420" t="e">
        <f>TableauProduit[[#This Row],[Prix de vente/kg]]*TableauProduit[[#This Row],[Total (kg) N3]]</f>
        <v>#REF!</v>
      </c>
      <c r="AD13" s="429" t="e">
        <f>#REF!-#REF!-TableauProduit[[#This Row],[Conditionnement N3]]</f>
        <v>#REF!</v>
      </c>
      <c r="AE13" s="341">
        <v>196</v>
      </c>
      <c r="AF13" s="341" t="e">
        <f>#REF!*#REF!/1000</f>
        <v>#REF!</v>
      </c>
      <c r="AG13" s="423" t="e">
        <f>#REF!*#REF!</f>
        <v>#REF!</v>
      </c>
      <c r="AH13" s="423" t="e">
        <f>#REF!*TableauProduit[[#This Row],[Total (kg) N4]]</f>
        <v>#REF!</v>
      </c>
      <c r="AI13" s="423" t="e">
        <f>TableauProduit[[#This Row],[Prix de vente/kg]]*TableauProduit[[#This Row],[Total (kg) N4]]</f>
        <v>#REF!</v>
      </c>
      <c r="AJ13" s="341" t="e">
        <f>#REF!-#REF!-TableauProduit[[#This Row],[Conditionnement N4]]</f>
        <v>#REF!</v>
      </c>
      <c r="AK13" s="343">
        <v>203</v>
      </c>
      <c r="AL13" s="343" t="e">
        <f>#REF!*#REF!/1000</f>
        <v>#REF!</v>
      </c>
      <c r="AM13" s="430" t="e">
        <f>#REF!*#REF!</f>
        <v>#REF!</v>
      </c>
      <c r="AN13" s="430" t="e">
        <f>#REF!*TableauProduit[[#This Row],[Total (kg) N5]]</f>
        <v>#REF!</v>
      </c>
      <c r="AO13" s="430" t="e">
        <f>TableauProduit[[#This Row],[Prix de vente/kg]]*TableauProduit[[#This Row],[Total (kg) N5]]</f>
        <v>#REF!</v>
      </c>
      <c r="AP13" s="343" t="e">
        <f>#REF!-#REF!-TableauProduit[[#This Row],[Conditionnement N5]]</f>
        <v>#REF!</v>
      </c>
      <c r="AQ13" s="345">
        <v>203</v>
      </c>
      <c r="AR13" s="345" t="e">
        <f>#REF!*#REF!/1000</f>
        <v>#REF!</v>
      </c>
      <c r="AS13" s="431" t="e">
        <f>#REF!*#REF!</f>
        <v>#REF!</v>
      </c>
      <c r="AT13" s="431" t="e">
        <f>#REF!*TableauProduit[[#This Row],[Total (kg) N6]]</f>
        <v>#REF!</v>
      </c>
      <c r="AU13" s="431" t="e">
        <f>TableauProduit[[#This Row],[Prix de vente/kg]]*TableauProduit[[#This Row],[Total (kg) N6]]</f>
        <v>#REF!</v>
      </c>
      <c r="AV13" s="345" t="e">
        <f>#REF!-#REF!-TableauProduit[[#This Row],[Conditionnement N6]]</f>
        <v>#REF!</v>
      </c>
      <c r="AW13" s="333">
        <v>203</v>
      </c>
      <c r="AX13" s="333" t="e">
        <f>#REF!*#REF!/1000</f>
        <v>#REF!</v>
      </c>
      <c r="AY13" s="425" t="e">
        <f>#REF!*#REF!</f>
        <v>#REF!</v>
      </c>
      <c r="AZ13" s="425" t="e">
        <f>#REF!*TableauProduit[[#This Row],[Total (kg) N7]]</f>
        <v>#REF!</v>
      </c>
      <c r="BA13" s="425" t="e">
        <f>TableauProduit[[#This Row],[Prix de vente/kg]]*TableauProduit[[#This Row],[Total (kg) N7]]</f>
        <v>#REF!</v>
      </c>
      <c r="BB13" s="432" t="e">
        <f>#REF!-#REF!-TableauProduit[[#This Row],[Conditionnement N7]]</f>
        <v>#REF!</v>
      </c>
      <c r="BC13" s="414">
        <v>203</v>
      </c>
      <c r="BD13" s="348" t="e">
        <f>#REF!*#REF!/1000</f>
        <v>#REF!</v>
      </c>
      <c r="BE13" s="433" t="e">
        <f>#REF!*#REF!</f>
        <v>#REF!</v>
      </c>
      <c r="BF13" s="433" t="e">
        <f>#REF!*TableauProduit[[#This Row],[Total (kg) N8]]</f>
        <v>#REF!</v>
      </c>
      <c r="BG13" s="433" t="e">
        <f>TableauProduit[[#This Row],[Prix de vente/kg]]*TableauProduit[[#This Row],[Total (kg) N8]]</f>
        <v>#REF!</v>
      </c>
      <c r="BH13" s="434" t="e">
        <f>#REF!-#REF!-TableauProduit[[#This Row],[Conditionnement N8]]</f>
        <v>#REF!</v>
      </c>
      <c r="BI13" s="401">
        <v>203</v>
      </c>
      <c r="BJ13" s="350" t="e">
        <f>#REF!*#REF!/1000</f>
        <v>#REF!</v>
      </c>
      <c r="BK13" s="435" t="e">
        <f>#REF!*#REF!</f>
        <v>#REF!</v>
      </c>
      <c r="BL13" s="435" t="e">
        <f>#REF!*TableauProduit[[#This Row],[Total (kg) N9]]</f>
        <v>#REF!</v>
      </c>
      <c r="BM13" s="435" t="e">
        <f>TableauProduit[[#This Row],[Prix de vente/kg]]*TableauProduit[[#This Row],[Total (kg) N9]]</f>
        <v>#REF!</v>
      </c>
      <c r="BN13" s="350" t="e">
        <f>#REF!-#REF!-TableauProduit[[#This Row],[Conditionnement N9]]</f>
        <v>#REF!</v>
      </c>
    </row>
    <row r="14" spans="1:66" x14ac:dyDescent="0.2">
      <c r="A14" s="13" t="s">
        <v>84</v>
      </c>
      <c r="B14" s="54" t="str">
        <f>TableauProduit[[#This Row],[Recette]]&amp;TableauProduit[[#This Row],[Conditionnement]]</f>
        <v>Ail semouleEpice 100ml</v>
      </c>
      <c r="C14" s="11">
        <v>1</v>
      </c>
      <c r="D14" s="11">
        <v>50</v>
      </c>
      <c r="E14" s="6" t="s">
        <v>73</v>
      </c>
      <c r="F14" s="7">
        <f>IFERROR(VLOOKUP(TableauProduit[[#This Row],[Conditionnement]],TableauConditionnement[[Nom]:[Contenance]],4,FALSE),"")</f>
        <v>0.64</v>
      </c>
      <c r="G14" s="463">
        <f>IFERROR(SUMIFS(TableauRecette[Prix d''achat / kg],TableauRecette[Recette],TableauProduit[[#This Row],[Recette]],TableauRecette[Conditionnement],TableauProduit[[#This Row],[Conditionnement]]),0)</f>
        <v>0</v>
      </c>
      <c r="H14" s="464">
        <v>6</v>
      </c>
      <c r="I14" s="465">
        <f>TableauProduit[[#This Row],[Prix de vente/U]]/TableauProduit[[#This Row],[Poids (g) / unite]]*1000</f>
        <v>120</v>
      </c>
      <c r="J14" s="466">
        <f>SUMIFS(TableauConcurence[PRIX_KG],TableauConcurence[PRODUIT],TableauProduit[[#This Row],[Recette]],TableauConcurence[DISTRIBUTION],"magasin NON BIO")</f>
        <v>41.84</v>
      </c>
      <c r="K14" s="467">
        <f>SUMIFS(TableauConcurence[PRIX_KG],TableauConcurence[PRODUIT],TableauProduit[[#This Row],[Recette]],TableauConcurence[DISTRIBUTION],"magasin BIO")</f>
        <v>98</v>
      </c>
      <c r="L14" s="468">
        <f>SUMIFS(TableauConcurence[PRIX_KG],TableauConcurence[PRODUIT],TableauProduit[[#This Row],[Recette]],TableauConcurence[DISTRIBUTION],"artisanale BIO")</f>
        <v>120.83</v>
      </c>
      <c r="M14" s="410">
        <v>400</v>
      </c>
      <c r="N14" s="333">
        <f>TableauProduit[[#This Row],[Objectif de vente en unite N1]]*TableauProduit[[#This Row],[Poids (g) / unite]]/1000</f>
        <v>20</v>
      </c>
      <c r="O14" s="425">
        <f>TableauProduit[[#This Row],[Packaging / unite]]*TableauProduit[[#This Row],[Objectif de vente en unite N1]]</f>
        <v>256</v>
      </c>
      <c r="P14" s="425">
        <f>SUMIF(TableauRecette[[#This Row],[Recette]],TableauProduit[[#This Row],[Recette]],TableauRecette[[#This Row],[Prix pour kg/ de melange]])</f>
        <v>0</v>
      </c>
      <c r="Q14" s="425">
        <f>TableauProduit[[#This Row],[Prix de vente/kg]]*TableauProduit[[#This Row],[Total (kg) N1]]</f>
        <v>2400</v>
      </c>
      <c r="R14" s="428" t="e">
        <f>#REF!-#REF!-TableauProduit[[#This Row],[Conditionnement N1]]</f>
        <v>#REF!</v>
      </c>
      <c r="S14" s="336">
        <v>600</v>
      </c>
      <c r="T14" s="335" t="e">
        <f>#REF!*#REF!/1000</f>
        <v>#REF!</v>
      </c>
      <c r="U14" s="417" t="e">
        <f>#REF!*#REF!</f>
        <v>#REF!</v>
      </c>
      <c r="V14" s="417" t="e">
        <f>#REF!*TableauProduit[[#This Row],[Total (kg) N2]]</f>
        <v>#REF!</v>
      </c>
      <c r="W14" s="417" t="e">
        <f>TableauProduit[[#This Row],[Prix de vente/kg]]*TableauProduit[[#This Row],[Total (kg) N2]]</f>
        <v>#REF!</v>
      </c>
      <c r="X14" s="411" t="e">
        <f>#REF!-#REF!-TableauProduit[[#This Row],[Conditionnement N2]]</f>
        <v>#REF!</v>
      </c>
      <c r="Y14" s="412">
        <v>700</v>
      </c>
      <c r="Z14" s="339" t="e">
        <f>#REF!*#REF!/1000</f>
        <v>#REF!</v>
      </c>
      <c r="AA14" s="420" t="e">
        <f>#REF!*#REF!</f>
        <v>#REF!</v>
      </c>
      <c r="AB14" s="420" t="e">
        <f>#REF!*TableauProduit[[#This Row],[Total (kg) N3]]</f>
        <v>#REF!</v>
      </c>
      <c r="AC14" s="420" t="e">
        <f>TableauProduit[[#This Row],[Prix de vente/kg]]*TableauProduit[[#This Row],[Total (kg) N3]]</f>
        <v>#REF!</v>
      </c>
      <c r="AD14" s="429" t="e">
        <f>#REF!-#REF!-TableauProduit[[#This Row],[Conditionnement N3]]</f>
        <v>#REF!</v>
      </c>
      <c r="AE14" s="341">
        <v>760</v>
      </c>
      <c r="AF14" s="341" t="e">
        <f>#REF!*#REF!/1000</f>
        <v>#REF!</v>
      </c>
      <c r="AG14" s="423" t="e">
        <f>#REF!*#REF!</f>
        <v>#REF!</v>
      </c>
      <c r="AH14" s="423" t="e">
        <f>#REF!*TableauProduit[[#This Row],[Total (kg) N4]]</f>
        <v>#REF!</v>
      </c>
      <c r="AI14" s="423" t="e">
        <f>TableauProduit[[#This Row],[Prix de vente/kg]]*TableauProduit[[#This Row],[Total (kg) N4]]</f>
        <v>#REF!</v>
      </c>
      <c r="AJ14" s="341" t="e">
        <f>#REF!-#REF!-TableauProduit[[#This Row],[Conditionnement N4]]</f>
        <v>#REF!</v>
      </c>
      <c r="AK14" s="343">
        <v>800</v>
      </c>
      <c r="AL14" s="343" t="e">
        <f>#REF!*#REF!/1000</f>
        <v>#REF!</v>
      </c>
      <c r="AM14" s="430" t="e">
        <f>#REF!*#REF!</f>
        <v>#REF!</v>
      </c>
      <c r="AN14" s="430" t="e">
        <f>#REF!*TableauProduit[[#This Row],[Total (kg) N5]]</f>
        <v>#REF!</v>
      </c>
      <c r="AO14" s="430" t="e">
        <f>TableauProduit[[#This Row],[Prix de vente/kg]]*TableauProduit[[#This Row],[Total (kg) N5]]</f>
        <v>#REF!</v>
      </c>
      <c r="AP14" s="343" t="e">
        <f>#REF!-#REF!-TableauProduit[[#This Row],[Conditionnement N5]]</f>
        <v>#REF!</v>
      </c>
      <c r="AQ14" s="345">
        <v>800</v>
      </c>
      <c r="AR14" s="345" t="e">
        <f>#REF!*#REF!/1000</f>
        <v>#REF!</v>
      </c>
      <c r="AS14" s="431" t="e">
        <f>#REF!*#REF!</f>
        <v>#REF!</v>
      </c>
      <c r="AT14" s="431" t="e">
        <f>#REF!*TableauProduit[[#This Row],[Total (kg) N6]]</f>
        <v>#REF!</v>
      </c>
      <c r="AU14" s="431" t="e">
        <f>TableauProduit[[#This Row],[Prix de vente/kg]]*TableauProduit[[#This Row],[Total (kg) N6]]</f>
        <v>#REF!</v>
      </c>
      <c r="AV14" s="345" t="e">
        <f>#REF!-#REF!-TableauProduit[[#This Row],[Conditionnement N6]]</f>
        <v>#REF!</v>
      </c>
      <c r="AW14" s="333">
        <v>800</v>
      </c>
      <c r="AX14" s="333" t="e">
        <f>#REF!*#REF!/1000</f>
        <v>#REF!</v>
      </c>
      <c r="AY14" s="425" t="e">
        <f>#REF!*#REF!</f>
        <v>#REF!</v>
      </c>
      <c r="AZ14" s="425" t="e">
        <f>#REF!*TableauProduit[[#This Row],[Total (kg) N7]]</f>
        <v>#REF!</v>
      </c>
      <c r="BA14" s="425" t="e">
        <f>TableauProduit[[#This Row],[Prix de vente/kg]]*TableauProduit[[#This Row],[Total (kg) N7]]</f>
        <v>#REF!</v>
      </c>
      <c r="BB14" s="432" t="e">
        <f>#REF!-#REF!-TableauProduit[[#This Row],[Conditionnement N7]]</f>
        <v>#REF!</v>
      </c>
      <c r="BC14" s="414">
        <v>800</v>
      </c>
      <c r="BD14" s="348" t="e">
        <f>#REF!*#REF!/1000</f>
        <v>#REF!</v>
      </c>
      <c r="BE14" s="433" t="e">
        <f>#REF!*#REF!</f>
        <v>#REF!</v>
      </c>
      <c r="BF14" s="433" t="e">
        <f>#REF!*TableauProduit[[#This Row],[Total (kg) N8]]</f>
        <v>#REF!</v>
      </c>
      <c r="BG14" s="433" t="e">
        <f>TableauProduit[[#This Row],[Prix de vente/kg]]*TableauProduit[[#This Row],[Total (kg) N8]]</f>
        <v>#REF!</v>
      </c>
      <c r="BH14" s="434" t="e">
        <f>#REF!-#REF!-TableauProduit[[#This Row],[Conditionnement N8]]</f>
        <v>#REF!</v>
      </c>
      <c r="BI14" s="401">
        <v>800</v>
      </c>
      <c r="BJ14" s="350" t="e">
        <f>#REF!*#REF!/1000</f>
        <v>#REF!</v>
      </c>
      <c r="BK14" s="435" t="e">
        <f>#REF!*#REF!</f>
        <v>#REF!</v>
      </c>
      <c r="BL14" s="435" t="e">
        <f>#REF!*TableauProduit[[#This Row],[Total (kg) N9]]</f>
        <v>#REF!</v>
      </c>
      <c r="BM14" s="435" t="e">
        <f>TableauProduit[[#This Row],[Prix de vente/kg]]*TableauProduit[[#This Row],[Total (kg) N9]]</f>
        <v>#REF!</v>
      </c>
      <c r="BN14" s="350" t="e">
        <f>#REF!-#REF!-TableauProduit[[#This Row],[Conditionnement N9]]</f>
        <v>#REF!</v>
      </c>
    </row>
    <row r="15" spans="1:66" x14ac:dyDescent="0.2">
      <c r="A15" s="13" t="s">
        <v>85</v>
      </c>
      <c r="B15" s="54" t="str">
        <f>TableauProduit[[#This Row],[Recette]]&amp;TableauProduit[[#This Row],[Conditionnement]]</f>
        <v>Carvi graineEpice 100ml</v>
      </c>
      <c r="C15" s="11">
        <v>1</v>
      </c>
      <c r="D15" s="11">
        <v>45</v>
      </c>
      <c r="E15" s="6" t="s">
        <v>73</v>
      </c>
      <c r="F15" s="7">
        <f>IFERROR(VLOOKUP(TableauProduit[[#This Row],[Conditionnement]],TableauConditionnement[[Nom]:[Contenance]],4,FALSE),"")</f>
        <v>0.64</v>
      </c>
      <c r="G15" s="463">
        <f>IFERROR(SUMIFS(TableauRecette[Prix d''achat / kg],TableauRecette[Recette],TableauProduit[[#This Row],[Recette]],TableauRecette[Conditionnement],TableauProduit[[#This Row],[Conditionnement]]),0)</f>
        <v>0</v>
      </c>
      <c r="H15" s="464">
        <v>2.7</v>
      </c>
      <c r="I15" s="465">
        <f>TableauProduit[[#This Row],[Prix de vente/U]]/TableauProduit[[#This Row],[Poids (g) / unite]]*1000</f>
        <v>60.000000000000007</v>
      </c>
      <c r="J15" s="466">
        <f>SUMIFS(TableauConcurence[PRIX_KG],TableauConcurence[PRODUIT],TableauProduit[[#This Row],[Recette]],TableauConcurence[DISTRIBUTION],"magasin NON BIO")</f>
        <v>53.21</v>
      </c>
      <c r="K15" s="467">
        <f>SUMIFS(TableauConcurence[PRIX_KG],TableauConcurence[PRODUIT],TableauProduit[[#This Row],[Recette]],TableauConcurence[DISTRIBUTION],"magasin BIO")</f>
        <v>29.5</v>
      </c>
      <c r="L15" s="468">
        <f>SUMIFS(TableauConcurence[PRIX_KG],TableauConcurence[PRODUIT],TableauProduit[[#This Row],[Recette]],TableauConcurence[DISTRIBUTION],"artisanale BIO")</f>
        <v>64</v>
      </c>
      <c r="M15" s="410">
        <v>350</v>
      </c>
      <c r="N15" s="333">
        <f>TableauProduit[[#This Row],[Objectif de vente en unite N1]]*TableauProduit[[#This Row],[Poids (g) / unite]]/1000</f>
        <v>15.75</v>
      </c>
      <c r="O15" s="425">
        <f>TableauProduit[[#This Row],[Packaging / unite]]*TableauProduit[[#This Row],[Objectif de vente en unite N1]]</f>
        <v>224</v>
      </c>
      <c r="P15" s="425">
        <f>SUMIF(TableauRecette[[#This Row],[Recette]],TableauProduit[[#This Row],[Recette]],TableauRecette[[#This Row],[Prix pour kg/ de melange]])</f>
        <v>0</v>
      </c>
      <c r="Q15" s="425">
        <f>TableauProduit[[#This Row],[Prix de vente/kg]]*TableauProduit[[#This Row],[Total (kg) N1]]</f>
        <v>945.00000000000011</v>
      </c>
      <c r="R15" s="428" t="e">
        <f>#REF!-#REF!-TableauProduit[[#This Row],[Conditionnement N1]]</f>
        <v>#REF!</v>
      </c>
      <c r="S15" s="336">
        <v>525</v>
      </c>
      <c r="T15" s="335" t="e">
        <f>#REF!*#REF!/1000</f>
        <v>#REF!</v>
      </c>
      <c r="U15" s="417" t="e">
        <f>#REF!*#REF!</f>
        <v>#REF!</v>
      </c>
      <c r="V15" s="417" t="e">
        <f>#REF!*TableauProduit[[#This Row],[Total (kg) N2]]</f>
        <v>#REF!</v>
      </c>
      <c r="W15" s="417" t="e">
        <f>TableauProduit[[#This Row],[Prix de vente/kg]]*TableauProduit[[#This Row],[Total (kg) N2]]</f>
        <v>#REF!</v>
      </c>
      <c r="X15" s="411" t="e">
        <f>#REF!-#REF!-TableauProduit[[#This Row],[Conditionnement N2]]</f>
        <v>#REF!</v>
      </c>
      <c r="Y15" s="412">
        <v>612</v>
      </c>
      <c r="Z15" s="339" t="e">
        <f>#REF!*#REF!/1000</f>
        <v>#REF!</v>
      </c>
      <c r="AA15" s="420" t="e">
        <f>#REF!*#REF!</f>
        <v>#REF!</v>
      </c>
      <c r="AB15" s="420" t="e">
        <f>#REF!*TableauProduit[[#This Row],[Total (kg) N3]]</f>
        <v>#REF!</v>
      </c>
      <c r="AC15" s="420" t="e">
        <f>TableauProduit[[#This Row],[Prix de vente/kg]]*TableauProduit[[#This Row],[Total (kg) N3]]</f>
        <v>#REF!</v>
      </c>
      <c r="AD15" s="429" t="e">
        <f>#REF!-#REF!-TableauProduit[[#This Row],[Conditionnement N3]]</f>
        <v>#REF!</v>
      </c>
      <c r="AE15" s="341">
        <v>665</v>
      </c>
      <c r="AF15" s="341" t="e">
        <f>#REF!*#REF!/1000</f>
        <v>#REF!</v>
      </c>
      <c r="AG15" s="423" t="e">
        <f>#REF!*#REF!</f>
        <v>#REF!</v>
      </c>
      <c r="AH15" s="423" t="e">
        <f>#REF!*TableauProduit[[#This Row],[Total (kg) N4]]</f>
        <v>#REF!</v>
      </c>
      <c r="AI15" s="423" t="e">
        <f>TableauProduit[[#This Row],[Prix de vente/kg]]*TableauProduit[[#This Row],[Total (kg) N4]]</f>
        <v>#REF!</v>
      </c>
      <c r="AJ15" s="341" t="e">
        <f>#REF!-#REF!-TableauProduit[[#This Row],[Conditionnement N4]]</f>
        <v>#REF!</v>
      </c>
      <c r="AK15" s="343">
        <v>700</v>
      </c>
      <c r="AL15" s="343" t="e">
        <f>#REF!*#REF!/1000</f>
        <v>#REF!</v>
      </c>
      <c r="AM15" s="430" t="e">
        <f>#REF!*#REF!</f>
        <v>#REF!</v>
      </c>
      <c r="AN15" s="430" t="e">
        <f>#REF!*TableauProduit[[#This Row],[Total (kg) N5]]</f>
        <v>#REF!</v>
      </c>
      <c r="AO15" s="430" t="e">
        <f>TableauProduit[[#This Row],[Prix de vente/kg]]*TableauProduit[[#This Row],[Total (kg) N5]]</f>
        <v>#REF!</v>
      </c>
      <c r="AP15" s="343" t="e">
        <f>#REF!-#REF!-TableauProduit[[#This Row],[Conditionnement N5]]</f>
        <v>#REF!</v>
      </c>
      <c r="AQ15" s="345">
        <v>700</v>
      </c>
      <c r="AR15" s="345" t="e">
        <f>#REF!*#REF!/1000</f>
        <v>#REF!</v>
      </c>
      <c r="AS15" s="431" t="e">
        <f>#REF!*#REF!</f>
        <v>#REF!</v>
      </c>
      <c r="AT15" s="431" t="e">
        <f>#REF!*TableauProduit[[#This Row],[Total (kg) N6]]</f>
        <v>#REF!</v>
      </c>
      <c r="AU15" s="431" t="e">
        <f>TableauProduit[[#This Row],[Prix de vente/kg]]*TableauProduit[[#This Row],[Total (kg) N6]]</f>
        <v>#REF!</v>
      </c>
      <c r="AV15" s="345" t="e">
        <f>#REF!-#REF!-TableauProduit[[#This Row],[Conditionnement N6]]</f>
        <v>#REF!</v>
      </c>
      <c r="AW15" s="333">
        <v>700</v>
      </c>
      <c r="AX15" s="333" t="e">
        <f>#REF!*#REF!/1000</f>
        <v>#REF!</v>
      </c>
      <c r="AY15" s="425" t="e">
        <f>#REF!*#REF!</f>
        <v>#REF!</v>
      </c>
      <c r="AZ15" s="425" t="e">
        <f>#REF!*TableauProduit[[#This Row],[Total (kg) N7]]</f>
        <v>#REF!</v>
      </c>
      <c r="BA15" s="425" t="e">
        <f>TableauProduit[[#This Row],[Prix de vente/kg]]*TableauProduit[[#This Row],[Total (kg) N7]]</f>
        <v>#REF!</v>
      </c>
      <c r="BB15" s="432" t="e">
        <f>#REF!-#REF!-TableauProduit[[#This Row],[Conditionnement N7]]</f>
        <v>#REF!</v>
      </c>
      <c r="BC15" s="414">
        <v>700</v>
      </c>
      <c r="BD15" s="348" t="e">
        <f>#REF!*#REF!/1000</f>
        <v>#REF!</v>
      </c>
      <c r="BE15" s="433" t="e">
        <f>#REF!*#REF!</f>
        <v>#REF!</v>
      </c>
      <c r="BF15" s="433" t="e">
        <f>#REF!*TableauProduit[[#This Row],[Total (kg) N8]]</f>
        <v>#REF!</v>
      </c>
      <c r="BG15" s="433" t="e">
        <f>TableauProduit[[#This Row],[Prix de vente/kg]]*TableauProduit[[#This Row],[Total (kg) N8]]</f>
        <v>#REF!</v>
      </c>
      <c r="BH15" s="434" t="e">
        <f>#REF!-#REF!-TableauProduit[[#This Row],[Conditionnement N8]]</f>
        <v>#REF!</v>
      </c>
      <c r="BI15" s="401">
        <v>700</v>
      </c>
      <c r="BJ15" s="350" t="e">
        <f>#REF!*#REF!/1000</f>
        <v>#REF!</v>
      </c>
      <c r="BK15" s="435" t="e">
        <f>#REF!*#REF!</f>
        <v>#REF!</v>
      </c>
      <c r="BL15" s="435" t="e">
        <f>#REF!*TableauProduit[[#This Row],[Total (kg) N9]]</f>
        <v>#REF!</v>
      </c>
      <c r="BM15" s="435" t="e">
        <f>TableauProduit[[#This Row],[Prix de vente/kg]]*TableauProduit[[#This Row],[Total (kg) N9]]</f>
        <v>#REF!</v>
      </c>
      <c r="BN15" s="350" t="e">
        <f>#REF!-#REF!-TableauProduit[[#This Row],[Conditionnement N9]]</f>
        <v>#REF!</v>
      </c>
    </row>
    <row r="16" spans="1:66" x14ac:dyDescent="0.2">
      <c r="A16" s="13" t="s">
        <v>86</v>
      </c>
      <c r="B16" s="54" t="str">
        <f>TableauProduit[[#This Row],[Recette]]&amp;TableauProduit[[#This Row],[Conditionnement]]</f>
        <v>CurcumaEpice 100ml</v>
      </c>
      <c r="C16" s="11">
        <v>1</v>
      </c>
      <c r="D16" s="11">
        <v>60</v>
      </c>
      <c r="E16" s="6" t="s">
        <v>73</v>
      </c>
      <c r="F16" s="7">
        <f>IFERROR(VLOOKUP(TableauProduit[[#This Row],[Conditionnement]],TableauConditionnement[[Nom]:[Contenance]],4,FALSE),"")</f>
        <v>0.64</v>
      </c>
      <c r="G16" s="463">
        <f>IFERROR(SUMIFS(TableauRecette[Prix d''achat / kg],TableauRecette[Recette],TableauProduit[[#This Row],[Recette]],TableauRecette[Conditionnement],TableauProduit[[#This Row],[Conditionnement]]),0)</f>
        <v>0</v>
      </c>
      <c r="H16" s="464">
        <v>7</v>
      </c>
      <c r="I16" s="465">
        <f>TableauProduit[[#This Row],[Prix de vente/U]]/TableauProduit[[#This Row],[Poids (g) / unite]]*1000</f>
        <v>116.66666666666667</v>
      </c>
      <c r="J16" s="466">
        <f>SUMIFS(TableauConcurence[PRIX_KG],TableauConcurence[PRODUIT],TableauProduit[[#This Row],[Recette]],TableauConcurence[DISTRIBUTION],"magasin NON BIO")</f>
        <v>51.25</v>
      </c>
      <c r="K16" s="467">
        <f>SUMIFS(TableauConcurence[PRIX_KG],TableauConcurence[PRODUIT],TableauProduit[[#This Row],[Recette]],TableauConcurence[DISTRIBUTION],"magasin BIO")</f>
        <v>43.75</v>
      </c>
      <c r="L16" s="468">
        <f>SUMIFS(TableauConcurence[PRIX_KG],TableauConcurence[PRODUIT],TableauProduit[[#This Row],[Recette]],TableauConcurence[DISTRIBUTION],"artisanale BIO")</f>
        <v>80</v>
      </c>
      <c r="M16" s="410">
        <v>0</v>
      </c>
      <c r="N16" s="333">
        <f>TableauProduit[[#This Row],[Objectif de vente en unite N1]]*TableauProduit[[#This Row],[Poids (g) / unite]]/1000</f>
        <v>0</v>
      </c>
      <c r="O16" s="425">
        <f>TableauProduit[[#This Row],[Packaging / unite]]*TableauProduit[[#This Row],[Objectif de vente en unite N1]]</f>
        <v>0</v>
      </c>
      <c r="P16" s="425">
        <f>SUMIF(TableauRecette[[#This Row],[Recette]],TableauProduit[[#This Row],[Recette]],TableauRecette[[#This Row],[Prix pour kg/ de melange]])</f>
        <v>0</v>
      </c>
      <c r="Q16" s="425">
        <f>TableauProduit[[#This Row],[Prix de vente/kg]]*TableauProduit[[#This Row],[Total (kg) N1]]</f>
        <v>0</v>
      </c>
      <c r="R16" s="428" t="e">
        <f>#REF!-#REF!-TableauProduit[[#This Row],[Conditionnement N1]]</f>
        <v>#REF!</v>
      </c>
      <c r="S16" s="336">
        <v>180</v>
      </c>
      <c r="T16" s="335" t="e">
        <f>#REF!*#REF!/1000</f>
        <v>#REF!</v>
      </c>
      <c r="U16" s="417" t="e">
        <f>#REF!*#REF!</f>
        <v>#REF!</v>
      </c>
      <c r="V16" s="417" t="e">
        <f>#REF!*TableauProduit[[#This Row],[Total (kg) N2]]</f>
        <v>#REF!</v>
      </c>
      <c r="W16" s="417" t="e">
        <f>TableauProduit[[#This Row],[Prix de vente/kg]]*TableauProduit[[#This Row],[Total (kg) N2]]</f>
        <v>#REF!</v>
      </c>
      <c r="X16" s="411" t="e">
        <f>#REF!-#REF!-TableauProduit[[#This Row],[Conditionnement N2]]</f>
        <v>#REF!</v>
      </c>
      <c r="Y16" s="412">
        <v>234</v>
      </c>
      <c r="Z16" s="339" t="e">
        <f>#REF!*#REF!/1000</f>
        <v>#REF!</v>
      </c>
      <c r="AA16" s="420" t="e">
        <f>#REF!*#REF!</f>
        <v>#REF!</v>
      </c>
      <c r="AB16" s="420" t="e">
        <f>#REF!*TableauProduit[[#This Row],[Total (kg) N3]]</f>
        <v>#REF!</v>
      </c>
      <c r="AC16" s="420" t="e">
        <f>TableauProduit[[#This Row],[Prix de vente/kg]]*TableauProduit[[#This Row],[Total (kg) N3]]</f>
        <v>#REF!</v>
      </c>
      <c r="AD16" s="429" t="e">
        <f>#REF!-#REF!-TableauProduit[[#This Row],[Conditionnement N3]]</f>
        <v>#REF!</v>
      </c>
      <c r="AE16" s="341">
        <v>261</v>
      </c>
      <c r="AF16" s="341" t="e">
        <f>#REF!*#REF!/1000</f>
        <v>#REF!</v>
      </c>
      <c r="AG16" s="423" t="e">
        <f>#REF!*#REF!</f>
        <v>#REF!</v>
      </c>
      <c r="AH16" s="423" t="e">
        <f>#REF!*TableauProduit[[#This Row],[Total (kg) N4]]</f>
        <v>#REF!</v>
      </c>
      <c r="AI16" s="423" t="e">
        <f>TableauProduit[[#This Row],[Prix de vente/kg]]*TableauProduit[[#This Row],[Total (kg) N4]]</f>
        <v>#REF!</v>
      </c>
      <c r="AJ16" s="341" t="e">
        <f>#REF!-#REF!-TableauProduit[[#This Row],[Conditionnement N4]]</f>
        <v>#REF!</v>
      </c>
      <c r="AK16" s="343">
        <v>270</v>
      </c>
      <c r="AL16" s="343" t="e">
        <f>#REF!*#REF!/1000</f>
        <v>#REF!</v>
      </c>
      <c r="AM16" s="430" t="e">
        <f>#REF!*#REF!</f>
        <v>#REF!</v>
      </c>
      <c r="AN16" s="430" t="e">
        <f>#REF!*TableauProduit[[#This Row],[Total (kg) N5]]</f>
        <v>#REF!</v>
      </c>
      <c r="AO16" s="430" t="e">
        <f>TableauProduit[[#This Row],[Prix de vente/kg]]*TableauProduit[[#This Row],[Total (kg) N5]]</f>
        <v>#REF!</v>
      </c>
      <c r="AP16" s="343" t="e">
        <f>#REF!-#REF!-TableauProduit[[#This Row],[Conditionnement N5]]</f>
        <v>#REF!</v>
      </c>
      <c r="AQ16" s="345">
        <v>270</v>
      </c>
      <c r="AR16" s="345" t="e">
        <f>#REF!*#REF!/1000</f>
        <v>#REF!</v>
      </c>
      <c r="AS16" s="431" t="e">
        <f>#REF!*#REF!</f>
        <v>#REF!</v>
      </c>
      <c r="AT16" s="431" t="e">
        <f>#REF!*TableauProduit[[#This Row],[Total (kg) N6]]</f>
        <v>#REF!</v>
      </c>
      <c r="AU16" s="431" t="e">
        <f>TableauProduit[[#This Row],[Prix de vente/kg]]*TableauProduit[[#This Row],[Total (kg) N6]]</f>
        <v>#REF!</v>
      </c>
      <c r="AV16" s="345" t="e">
        <f>#REF!-#REF!-TableauProduit[[#This Row],[Conditionnement N6]]</f>
        <v>#REF!</v>
      </c>
      <c r="AW16" s="333">
        <v>270</v>
      </c>
      <c r="AX16" s="333" t="e">
        <f>#REF!*#REF!/1000</f>
        <v>#REF!</v>
      </c>
      <c r="AY16" s="425" t="e">
        <f>#REF!*#REF!</f>
        <v>#REF!</v>
      </c>
      <c r="AZ16" s="425" t="e">
        <f>#REF!*TableauProduit[[#This Row],[Total (kg) N7]]</f>
        <v>#REF!</v>
      </c>
      <c r="BA16" s="425" t="e">
        <f>TableauProduit[[#This Row],[Prix de vente/kg]]*TableauProduit[[#This Row],[Total (kg) N7]]</f>
        <v>#REF!</v>
      </c>
      <c r="BB16" s="432" t="e">
        <f>#REF!-#REF!-TableauProduit[[#This Row],[Conditionnement N7]]</f>
        <v>#REF!</v>
      </c>
      <c r="BC16" s="414">
        <v>270</v>
      </c>
      <c r="BD16" s="348" t="e">
        <f>#REF!*#REF!/1000</f>
        <v>#REF!</v>
      </c>
      <c r="BE16" s="433" t="e">
        <f>#REF!*#REF!</f>
        <v>#REF!</v>
      </c>
      <c r="BF16" s="433" t="e">
        <f>#REF!*TableauProduit[[#This Row],[Total (kg) N8]]</f>
        <v>#REF!</v>
      </c>
      <c r="BG16" s="433" t="e">
        <f>TableauProduit[[#This Row],[Prix de vente/kg]]*TableauProduit[[#This Row],[Total (kg) N8]]</f>
        <v>#REF!</v>
      </c>
      <c r="BH16" s="434" t="e">
        <f>#REF!-#REF!-TableauProduit[[#This Row],[Conditionnement N8]]</f>
        <v>#REF!</v>
      </c>
      <c r="BI16" s="401">
        <v>270</v>
      </c>
      <c r="BJ16" s="350" t="e">
        <f>#REF!*#REF!/1000</f>
        <v>#REF!</v>
      </c>
      <c r="BK16" s="435" t="e">
        <f>#REF!*#REF!</f>
        <v>#REF!</v>
      </c>
      <c r="BL16" s="435" t="e">
        <f>#REF!*TableauProduit[[#This Row],[Total (kg) N9]]</f>
        <v>#REF!</v>
      </c>
      <c r="BM16" s="435" t="e">
        <f>TableauProduit[[#This Row],[Prix de vente/kg]]*TableauProduit[[#This Row],[Total (kg) N9]]</f>
        <v>#REF!</v>
      </c>
      <c r="BN16" s="350" t="e">
        <f>#REF!-#REF!-TableauProduit[[#This Row],[Conditionnement N9]]</f>
        <v>#REF!</v>
      </c>
    </row>
    <row r="17" spans="1:66" x14ac:dyDescent="0.2">
      <c r="A17" s="13" t="s">
        <v>87</v>
      </c>
      <c r="B17" s="54" t="str">
        <f>TableauProduit[[#This Row],[Recette]]&amp;TableauProduit[[#This Row],[Conditionnement]]</f>
        <v>PaprikaEpice 100ml</v>
      </c>
      <c r="C17" s="11">
        <v>1</v>
      </c>
      <c r="D17" s="11">
        <v>60</v>
      </c>
      <c r="E17" s="6" t="s">
        <v>73</v>
      </c>
      <c r="F17" s="7">
        <f>IFERROR(VLOOKUP(TableauProduit[[#This Row],[Conditionnement]],TableauConditionnement[[Nom]:[Contenance]],4,FALSE),"")</f>
        <v>0.64</v>
      </c>
      <c r="G17" s="463">
        <f>IFERROR(SUMIFS(TableauRecette[Prix d''achat / kg],TableauRecette[Recette],TableauProduit[[#This Row],[Recette]],TableauRecette[Conditionnement],TableauProduit[[#This Row],[Conditionnement]]),0)</f>
        <v>0</v>
      </c>
      <c r="H17" s="464">
        <v>6.5</v>
      </c>
      <c r="I17" s="465">
        <f>TableauProduit[[#This Row],[Prix de vente/U]]/TableauProduit[[#This Row],[Poids (g) / unite]]*1000</f>
        <v>108.33333333333334</v>
      </c>
      <c r="J17" s="466">
        <f>SUMIFS(TableauConcurence[PRIX_KG],TableauConcurence[PRODUIT],TableauProduit[[#This Row],[Recette]],TableauConcurence[DISTRIBUTION],"magasin NON BIO")</f>
        <v>52.5</v>
      </c>
      <c r="K17" s="467">
        <f>SUMIFS(TableauConcurence[PRIX_KG],TableauConcurence[PRODUIT],TableauProduit[[#This Row],[Recette]],TableauConcurence[DISTRIBUTION],"magasin BIO")</f>
        <v>59.8</v>
      </c>
      <c r="L17" s="468">
        <f>SUMIFS(TableauConcurence[PRIX_KG],TableauConcurence[PRODUIT],TableauProduit[[#This Row],[Recette]],TableauConcurence[DISTRIBUTION],"artisanale BIO")</f>
        <v>206.75</v>
      </c>
      <c r="M17" s="410">
        <v>400</v>
      </c>
      <c r="N17" s="333">
        <f>TableauProduit[[#This Row],[Objectif de vente en unite N1]]*TableauProduit[[#This Row],[Poids (g) / unite]]/1000</f>
        <v>24</v>
      </c>
      <c r="O17" s="425">
        <f>TableauProduit[[#This Row],[Packaging / unite]]*TableauProduit[[#This Row],[Objectif de vente en unite N1]]</f>
        <v>256</v>
      </c>
      <c r="P17" s="425">
        <f>SUMIF(TableauRecette[[#This Row],[Recette]],TableauProduit[[#This Row],[Recette]],TableauRecette[[#This Row],[Prix pour kg/ de melange]])</f>
        <v>0</v>
      </c>
      <c r="Q17" s="425">
        <f>TableauProduit[[#This Row],[Prix de vente/kg]]*TableauProduit[[#This Row],[Total (kg) N1]]</f>
        <v>2600</v>
      </c>
      <c r="R17" s="428" t="e">
        <f>#REF!-#REF!-TableauProduit[[#This Row],[Conditionnement N1]]</f>
        <v>#REF!</v>
      </c>
      <c r="S17" s="336">
        <v>600</v>
      </c>
      <c r="T17" s="335" t="e">
        <f>#REF!*#REF!/1000</f>
        <v>#REF!</v>
      </c>
      <c r="U17" s="417" t="e">
        <f>#REF!*#REF!</f>
        <v>#REF!</v>
      </c>
      <c r="V17" s="417" t="e">
        <f>#REF!*TableauProduit[[#This Row],[Total (kg) N2]]</f>
        <v>#REF!</v>
      </c>
      <c r="W17" s="417" t="e">
        <f>TableauProduit[[#This Row],[Prix de vente/kg]]*TableauProduit[[#This Row],[Total (kg) N2]]</f>
        <v>#REF!</v>
      </c>
      <c r="X17" s="411" t="e">
        <f>#REF!-#REF!-TableauProduit[[#This Row],[Conditionnement N2]]</f>
        <v>#REF!</v>
      </c>
      <c r="Y17" s="412">
        <v>700</v>
      </c>
      <c r="Z17" s="339" t="e">
        <f>#REF!*#REF!/1000</f>
        <v>#REF!</v>
      </c>
      <c r="AA17" s="420" t="e">
        <f>#REF!*#REF!</f>
        <v>#REF!</v>
      </c>
      <c r="AB17" s="420" t="e">
        <f>#REF!*TableauProduit[[#This Row],[Total (kg) N3]]</f>
        <v>#REF!</v>
      </c>
      <c r="AC17" s="420" t="e">
        <f>TableauProduit[[#This Row],[Prix de vente/kg]]*TableauProduit[[#This Row],[Total (kg) N3]]</f>
        <v>#REF!</v>
      </c>
      <c r="AD17" s="429" t="e">
        <f>#REF!-#REF!-TableauProduit[[#This Row],[Conditionnement N3]]</f>
        <v>#REF!</v>
      </c>
      <c r="AE17" s="341">
        <v>760</v>
      </c>
      <c r="AF17" s="341" t="e">
        <f>#REF!*#REF!/1000</f>
        <v>#REF!</v>
      </c>
      <c r="AG17" s="423" t="e">
        <f>#REF!*#REF!</f>
        <v>#REF!</v>
      </c>
      <c r="AH17" s="423" t="e">
        <f>#REF!*TableauProduit[[#This Row],[Total (kg) N4]]</f>
        <v>#REF!</v>
      </c>
      <c r="AI17" s="423" t="e">
        <f>TableauProduit[[#This Row],[Prix de vente/kg]]*TableauProduit[[#This Row],[Total (kg) N4]]</f>
        <v>#REF!</v>
      </c>
      <c r="AJ17" s="341" t="e">
        <f>#REF!-#REF!-TableauProduit[[#This Row],[Conditionnement N4]]</f>
        <v>#REF!</v>
      </c>
      <c r="AK17" s="343">
        <v>800</v>
      </c>
      <c r="AL17" s="343" t="e">
        <f>#REF!*#REF!/1000</f>
        <v>#REF!</v>
      </c>
      <c r="AM17" s="430" t="e">
        <f>#REF!*#REF!</f>
        <v>#REF!</v>
      </c>
      <c r="AN17" s="430" t="e">
        <f>#REF!*TableauProduit[[#This Row],[Total (kg) N5]]</f>
        <v>#REF!</v>
      </c>
      <c r="AO17" s="430" t="e">
        <f>TableauProduit[[#This Row],[Prix de vente/kg]]*TableauProduit[[#This Row],[Total (kg) N5]]</f>
        <v>#REF!</v>
      </c>
      <c r="AP17" s="343" t="e">
        <f>#REF!-#REF!-TableauProduit[[#This Row],[Conditionnement N5]]</f>
        <v>#REF!</v>
      </c>
      <c r="AQ17" s="345">
        <v>800</v>
      </c>
      <c r="AR17" s="345" t="e">
        <f>#REF!*#REF!/1000</f>
        <v>#REF!</v>
      </c>
      <c r="AS17" s="431" t="e">
        <f>#REF!*#REF!</f>
        <v>#REF!</v>
      </c>
      <c r="AT17" s="431" t="e">
        <f>#REF!*TableauProduit[[#This Row],[Total (kg) N6]]</f>
        <v>#REF!</v>
      </c>
      <c r="AU17" s="431" t="e">
        <f>TableauProduit[[#This Row],[Prix de vente/kg]]*TableauProduit[[#This Row],[Total (kg) N6]]</f>
        <v>#REF!</v>
      </c>
      <c r="AV17" s="345" t="e">
        <f>#REF!-#REF!-TableauProduit[[#This Row],[Conditionnement N6]]</f>
        <v>#REF!</v>
      </c>
      <c r="AW17" s="333">
        <v>800</v>
      </c>
      <c r="AX17" s="333" t="e">
        <f>#REF!*#REF!/1000</f>
        <v>#REF!</v>
      </c>
      <c r="AY17" s="425" t="e">
        <f>#REF!*#REF!</f>
        <v>#REF!</v>
      </c>
      <c r="AZ17" s="425" t="e">
        <f>#REF!*TableauProduit[[#This Row],[Total (kg) N7]]</f>
        <v>#REF!</v>
      </c>
      <c r="BA17" s="425" t="e">
        <f>TableauProduit[[#This Row],[Prix de vente/kg]]*TableauProduit[[#This Row],[Total (kg) N7]]</f>
        <v>#REF!</v>
      </c>
      <c r="BB17" s="432" t="e">
        <f>#REF!-#REF!-TableauProduit[[#This Row],[Conditionnement N7]]</f>
        <v>#REF!</v>
      </c>
      <c r="BC17" s="414">
        <v>800</v>
      </c>
      <c r="BD17" s="348" t="e">
        <f>#REF!*#REF!/1000</f>
        <v>#REF!</v>
      </c>
      <c r="BE17" s="433" t="e">
        <f>#REF!*#REF!</f>
        <v>#REF!</v>
      </c>
      <c r="BF17" s="433" t="e">
        <f>#REF!*TableauProduit[[#This Row],[Total (kg) N8]]</f>
        <v>#REF!</v>
      </c>
      <c r="BG17" s="433" t="e">
        <f>TableauProduit[[#This Row],[Prix de vente/kg]]*TableauProduit[[#This Row],[Total (kg) N8]]</f>
        <v>#REF!</v>
      </c>
      <c r="BH17" s="434" t="e">
        <f>#REF!-#REF!-TableauProduit[[#This Row],[Conditionnement N8]]</f>
        <v>#REF!</v>
      </c>
      <c r="BI17" s="401">
        <v>800</v>
      </c>
      <c r="BJ17" s="350" t="e">
        <f>#REF!*#REF!/1000</f>
        <v>#REF!</v>
      </c>
      <c r="BK17" s="435" t="e">
        <f>#REF!*#REF!</f>
        <v>#REF!</v>
      </c>
      <c r="BL17" s="435" t="e">
        <f>#REF!*TableauProduit[[#This Row],[Total (kg) N9]]</f>
        <v>#REF!</v>
      </c>
      <c r="BM17" s="435" t="e">
        <f>TableauProduit[[#This Row],[Prix de vente/kg]]*TableauProduit[[#This Row],[Total (kg) N9]]</f>
        <v>#REF!</v>
      </c>
      <c r="BN17" s="350" t="e">
        <f>#REF!-#REF!-TableauProduit[[#This Row],[Conditionnement N9]]</f>
        <v>#REF!</v>
      </c>
    </row>
    <row r="18" spans="1:66" x14ac:dyDescent="0.2">
      <c r="A18" s="406" t="s">
        <v>88</v>
      </c>
      <c r="B18" s="54" t="str">
        <f>TableauProduit[[#This Row],[Recette]]&amp;TableauProduit[[#This Row],[Conditionnement]]</f>
        <v>Sirop aux fleursSirop 500 ml</v>
      </c>
      <c r="C18" s="11">
        <v>1</v>
      </c>
      <c r="D18" s="11">
        <v>500</v>
      </c>
      <c r="E18" s="6" t="s">
        <v>81</v>
      </c>
      <c r="F18" s="7">
        <f>IFERROR(VLOOKUP(TableauProduit[[#This Row],[Conditionnement]],TableauConditionnement[[Nom]:[Contenance]],4,FALSE),"")</f>
        <v>1.46</v>
      </c>
      <c r="G18" s="463">
        <f>IFERROR(SUMIFS(TableauRecette[Prix d''achat / kg],TableauRecette[Recette],TableauProduit[[#This Row],[Recette]],TableauRecette[Conditionnement],TableauProduit[[#This Row],[Conditionnement]]),0)</f>
        <v>0</v>
      </c>
      <c r="H18" s="470">
        <v>13</v>
      </c>
      <c r="I18" s="465">
        <f>TableauProduit[[#This Row],[Prix de vente/U]]/TableauProduit[[#This Row],[Poids (g) / unite]]*1000</f>
        <v>26</v>
      </c>
      <c r="J18" s="466">
        <f>SUMIFS(TableauConcurence[PRIX_KG],TableauConcurence[PRODUIT],TableauProduit[[#This Row],[Recette]],TableauConcurence[DISTRIBUTION],"magasin NON BIO")</f>
        <v>5.9</v>
      </c>
      <c r="K18" s="467">
        <f>SUMIFS(TableauConcurence[PRIX_KG],TableauConcurence[PRODUIT],TableauProduit[[#This Row],[Recette]],TableauConcurence[DISTRIBUTION],"magasin BIO")</f>
        <v>11.8</v>
      </c>
      <c r="L18" s="468">
        <f>SUMIFS(TableauConcurence[PRIX_KG],TableauConcurence[PRODUIT],TableauProduit[[#This Row],[Recette]],TableauConcurence[DISTRIBUTION],"artisanale BIO")</f>
        <v>13</v>
      </c>
      <c r="M18" s="410">
        <v>0</v>
      </c>
      <c r="N18" s="333">
        <f>TableauProduit[[#This Row],[Objectif de vente en unite N1]]*TableauProduit[[#This Row],[Poids (g) / unite]]/1000</f>
        <v>0</v>
      </c>
      <c r="O18" s="425">
        <f>TableauProduit[[#This Row],[Packaging / unite]]*TableauProduit[[#This Row],[Objectif de vente en unite N1]]</f>
        <v>0</v>
      </c>
      <c r="P18" s="425">
        <f>SUMIF(TableauRecette[[#This Row],[Recette]],TableauProduit[[#This Row],[Recette]],TableauRecette[[#This Row],[Prix pour kg/ de melange]])</f>
        <v>0</v>
      </c>
      <c r="Q18" s="425">
        <f>TableauProduit[[#This Row],[Prix de vente/kg]]*TableauProduit[[#This Row],[Total (kg) N1]]</f>
        <v>0</v>
      </c>
      <c r="R18" s="428" t="e">
        <f>#REF!-#REF!-TableauProduit[[#This Row],[Conditionnement N1]]</f>
        <v>#REF!</v>
      </c>
      <c r="S18" s="336">
        <v>100</v>
      </c>
      <c r="T18" s="335" t="e">
        <f>#REF!*#REF!/1000</f>
        <v>#REF!</v>
      </c>
      <c r="U18" s="417" t="e">
        <f>#REF!*#REF!</f>
        <v>#REF!</v>
      </c>
      <c r="V18" s="417" t="e">
        <f>#REF!*TableauProduit[[#This Row],[Total (kg) N2]]</f>
        <v>#REF!</v>
      </c>
      <c r="W18" s="417" t="e">
        <f>TableauProduit[[#This Row],[Prix de vente/kg]]*TableauProduit[[#This Row],[Total (kg) N2]]</f>
        <v>#REF!</v>
      </c>
      <c r="X18" s="411" t="e">
        <f>#REF!-#REF!-TableauProduit[[#This Row],[Conditionnement N2]]</f>
        <v>#REF!</v>
      </c>
      <c r="Y18" s="412">
        <v>130</v>
      </c>
      <c r="Z18" s="339" t="e">
        <f>#REF!*#REF!/1000</f>
        <v>#REF!</v>
      </c>
      <c r="AA18" s="420" t="e">
        <f>#REF!*#REF!</f>
        <v>#REF!</v>
      </c>
      <c r="AB18" s="420" t="e">
        <f>#REF!*TableauProduit[[#This Row],[Total (kg) N3]]</f>
        <v>#REF!</v>
      </c>
      <c r="AC18" s="420" t="e">
        <f>TableauProduit[[#This Row],[Prix de vente/kg]]*TableauProduit[[#This Row],[Total (kg) N3]]</f>
        <v>#REF!</v>
      </c>
      <c r="AD18" s="429" t="e">
        <f>#REF!-#REF!-TableauProduit[[#This Row],[Conditionnement N3]]</f>
        <v>#REF!</v>
      </c>
      <c r="AE18" s="341">
        <v>145</v>
      </c>
      <c r="AF18" s="341" t="e">
        <f>#REF!*#REF!/1000</f>
        <v>#REF!</v>
      </c>
      <c r="AG18" s="423" t="e">
        <f>#REF!*#REF!</f>
        <v>#REF!</v>
      </c>
      <c r="AH18" s="423" t="e">
        <f>#REF!*TableauProduit[[#This Row],[Total (kg) N4]]</f>
        <v>#REF!</v>
      </c>
      <c r="AI18" s="423" t="e">
        <f>TableauProduit[[#This Row],[Prix de vente/kg]]*TableauProduit[[#This Row],[Total (kg) N4]]</f>
        <v>#REF!</v>
      </c>
      <c r="AJ18" s="341" t="e">
        <f>#REF!-#REF!-TableauProduit[[#This Row],[Conditionnement N4]]</f>
        <v>#REF!</v>
      </c>
      <c r="AK18" s="343">
        <v>150</v>
      </c>
      <c r="AL18" s="343" t="e">
        <f>#REF!*#REF!/1000</f>
        <v>#REF!</v>
      </c>
      <c r="AM18" s="430" t="e">
        <f>#REF!*#REF!</f>
        <v>#REF!</v>
      </c>
      <c r="AN18" s="430" t="e">
        <f>#REF!*TableauProduit[[#This Row],[Total (kg) N5]]</f>
        <v>#REF!</v>
      </c>
      <c r="AO18" s="430" t="e">
        <f>TableauProduit[[#This Row],[Prix de vente/kg]]*TableauProduit[[#This Row],[Total (kg) N5]]</f>
        <v>#REF!</v>
      </c>
      <c r="AP18" s="343" t="e">
        <f>#REF!-#REF!-TableauProduit[[#This Row],[Conditionnement N5]]</f>
        <v>#REF!</v>
      </c>
      <c r="AQ18" s="345">
        <v>150</v>
      </c>
      <c r="AR18" s="345" t="e">
        <f>#REF!*#REF!/1000</f>
        <v>#REF!</v>
      </c>
      <c r="AS18" s="431" t="e">
        <f>#REF!*#REF!</f>
        <v>#REF!</v>
      </c>
      <c r="AT18" s="431" t="e">
        <f>#REF!*TableauProduit[[#This Row],[Total (kg) N6]]</f>
        <v>#REF!</v>
      </c>
      <c r="AU18" s="431" t="e">
        <f>TableauProduit[[#This Row],[Prix de vente/kg]]*TableauProduit[[#This Row],[Total (kg) N6]]</f>
        <v>#REF!</v>
      </c>
      <c r="AV18" s="345" t="e">
        <f>#REF!-#REF!-TableauProduit[[#This Row],[Conditionnement N6]]</f>
        <v>#REF!</v>
      </c>
      <c r="AW18" s="333">
        <v>150</v>
      </c>
      <c r="AX18" s="333" t="e">
        <f>#REF!*#REF!/1000</f>
        <v>#REF!</v>
      </c>
      <c r="AY18" s="425" t="e">
        <f>#REF!*#REF!</f>
        <v>#REF!</v>
      </c>
      <c r="AZ18" s="425" t="e">
        <f>#REF!*TableauProduit[[#This Row],[Total (kg) N7]]</f>
        <v>#REF!</v>
      </c>
      <c r="BA18" s="425" t="e">
        <f>TableauProduit[[#This Row],[Prix de vente/kg]]*TableauProduit[[#This Row],[Total (kg) N7]]</f>
        <v>#REF!</v>
      </c>
      <c r="BB18" s="432" t="e">
        <f>#REF!-#REF!-TableauProduit[[#This Row],[Conditionnement N7]]</f>
        <v>#REF!</v>
      </c>
      <c r="BC18" s="414">
        <v>150</v>
      </c>
      <c r="BD18" s="348" t="e">
        <f>#REF!*#REF!/1000</f>
        <v>#REF!</v>
      </c>
      <c r="BE18" s="433" t="e">
        <f>#REF!*#REF!</f>
        <v>#REF!</v>
      </c>
      <c r="BF18" s="433" t="e">
        <f>#REF!*TableauProduit[[#This Row],[Total (kg) N8]]</f>
        <v>#REF!</v>
      </c>
      <c r="BG18" s="433" t="e">
        <f>TableauProduit[[#This Row],[Prix de vente/kg]]*TableauProduit[[#This Row],[Total (kg) N8]]</f>
        <v>#REF!</v>
      </c>
      <c r="BH18" s="434" t="e">
        <f>#REF!-#REF!-TableauProduit[[#This Row],[Conditionnement N8]]</f>
        <v>#REF!</v>
      </c>
      <c r="BI18" s="401">
        <v>150</v>
      </c>
      <c r="BJ18" s="350" t="e">
        <f>#REF!*#REF!/1000</f>
        <v>#REF!</v>
      </c>
      <c r="BK18" s="435" t="e">
        <f>#REF!*#REF!</f>
        <v>#REF!</v>
      </c>
      <c r="BL18" s="435" t="e">
        <f>#REF!*TableauProduit[[#This Row],[Total (kg) N9]]</f>
        <v>#REF!</v>
      </c>
      <c r="BM18" s="435" t="e">
        <f>TableauProduit[[#This Row],[Prix de vente/kg]]*TableauProduit[[#This Row],[Total (kg) N9]]</f>
        <v>#REF!</v>
      </c>
      <c r="BN18" s="350" t="e">
        <f>#REF!-#REF!-TableauProduit[[#This Row],[Conditionnement N9]]</f>
        <v>#REF!</v>
      </c>
    </row>
    <row r="19" spans="1:66" x14ac:dyDescent="0.2">
      <c r="A19" s="406" t="s">
        <v>89</v>
      </c>
      <c r="B19" s="54" t="str">
        <f>TableauProduit[[#This Row],[Recette]]&amp;TableauProduit[[#This Row],[Conditionnement]]</f>
        <v>Sirop de basilicSirop 500 ml</v>
      </c>
      <c r="C19" s="11">
        <v>1</v>
      </c>
      <c r="D19" s="11">
        <v>500</v>
      </c>
      <c r="E19" s="6" t="s">
        <v>81</v>
      </c>
      <c r="F19" s="7">
        <f>IFERROR(VLOOKUP(TableauProduit[[#This Row],[Conditionnement]],TableauConditionnement[[Nom]:[Contenance]],4,FALSE),"")</f>
        <v>1.46</v>
      </c>
      <c r="G19" s="463">
        <f>IFERROR(SUMIFS(TableauRecette[Prix d''achat / kg],TableauRecette[Recette],TableauProduit[[#This Row],[Recette]],TableauRecette[Conditionnement],TableauProduit[[#This Row],[Conditionnement]]),0)</f>
        <v>0</v>
      </c>
      <c r="H19" s="470">
        <v>8</v>
      </c>
      <c r="I19" s="465">
        <f>TableauProduit[[#This Row],[Prix de vente/U]]/TableauProduit[[#This Row],[Poids (g) / unite]]*1000</f>
        <v>16</v>
      </c>
      <c r="J19" s="466">
        <f>SUMIFS(TableauConcurence[PRIX_KG],TableauConcurence[PRODUIT],TableauProduit[[#This Row],[Recette]],TableauConcurence[DISTRIBUTION],"magasin NON BIO")</f>
        <v>11.9</v>
      </c>
      <c r="K19" s="467">
        <f>SUMIFS(TableauConcurence[PRIX_KG],TableauConcurence[PRODUIT],TableauProduit[[#This Row],[Recette]],TableauConcurence[DISTRIBUTION],"magasin BIO")</f>
        <v>6</v>
      </c>
      <c r="L19" s="468">
        <f>SUMIFS(TableauConcurence[PRIX_KG],TableauConcurence[PRODUIT],TableauProduit[[#This Row],[Recette]],TableauConcurence[DISTRIBUTION],"artisanale BIO")</f>
        <v>12</v>
      </c>
      <c r="M19" s="410">
        <v>0</v>
      </c>
      <c r="N19" s="333">
        <f>TableauProduit[[#This Row],[Objectif de vente en unite N1]]*TableauProduit[[#This Row],[Poids (g) / unite]]/1000</f>
        <v>0</v>
      </c>
      <c r="O19" s="425">
        <f>TableauProduit[[#This Row],[Packaging / unite]]*TableauProduit[[#This Row],[Objectif de vente en unite N1]]</f>
        <v>0</v>
      </c>
      <c r="P19" s="425">
        <f>SUMIF(TableauRecette[[#This Row],[Recette]],TableauProduit[[#This Row],[Recette]],TableauRecette[[#This Row],[Prix pour kg/ de melange]])</f>
        <v>0</v>
      </c>
      <c r="Q19" s="425">
        <f>TableauProduit[[#This Row],[Prix de vente/kg]]*TableauProduit[[#This Row],[Total (kg) N1]]</f>
        <v>0</v>
      </c>
      <c r="R19" s="428" t="e">
        <f>#REF!-#REF!-TableauProduit[[#This Row],[Conditionnement N1]]</f>
        <v>#REF!</v>
      </c>
      <c r="S19" s="336">
        <v>140</v>
      </c>
      <c r="T19" s="335" t="e">
        <f>#REF!*#REF!/1000</f>
        <v>#REF!</v>
      </c>
      <c r="U19" s="417" t="e">
        <f>#REF!*#REF!</f>
        <v>#REF!</v>
      </c>
      <c r="V19" s="417" t="e">
        <f>#REF!*TableauProduit[[#This Row],[Total (kg) N2]]</f>
        <v>#REF!</v>
      </c>
      <c r="W19" s="417" t="e">
        <f>TableauProduit[[#This Row],[Prix de vente/kg]]*TableauProduit[[#This Row],[Total (kg) N2]]</f>
        <v>#REF!</v>
      </c>
      <c r="X19" s="411" t="e">
        <f>#REF!-#REF!-TableauProduit[[#This Row],[Conditionnement N2]]</f>
        <v>#REF!</v>
      </c>
      <c r="Y19" s="412">
        <v>189</v>
      </c>
      <c r="Z19" s="339" t="e">
        <f>#REF!*#REF!/1000</f>
        <v>#REF!</v>
      </c>
      <c r="AA19" s="420" t="e">
        <f>#REF!*#REF!</f>
        <v>#REF!</v>
      </c>
      <c r="AB19" s="420" t="e">
        <f>#REF!*TableauProduit[[#This Row],[Total (kg) N3]]</f>
        <v>#REF!</v>
      </c>
      <c r="AC19" s="420" t="e">
        <f>TableauProduit[[#This Row],[Prix de vente/kg]]*TableauProduit[[#This Row],[Total (kg) N3]]</f>
        <v>#REF!</v>
      </c>
      <c r="AD19" s="429" t="e">
        <f>#REF!-#REF!-TableauProduit[[#This Row],[Conditionnement N3]]</f>
        <v>#REF!</v>
      </c>
      <c r="AE19" s="341">
        <v>210</v>
      </c>
      <c r="AF19" s="341" t="e">
        <f>#REF!*#REF!/1000</f>
        <v>#REF!</v>
      </c>
      <c r="AG19" s="423" t="e">
        <f>#REF!*#REF!</f>
        <v>#REF!</v>
      </c>
      <c r="AH19" s="423" t="e">
        <f>#REF!*TableauProduit[[#This Row],[Total (kg) N4]]</f>
        <v>#REF!</v>
      </c>
      <c r="AI19" s="423" t="e">
        <f>TableauProduit[[#This Row],[Prix de vente/kg]]*TableauProduit[[#This Row],[Total (kg) N4]]</f>
        <v>#REF!</v>
      </c>
      <c r="AJ19" s="341" t="e">
        <f>#REF!-#REF!-TableauProduit[[#This Row],[Conditionnement N4]]</f>
        <v>#REF!</v>
      </c>
      <c r="AK19" s="343">
        <v>224</v>
      </c>
      <c r="AL19" s="343" t="e">
        <f>#REF!*#REF!/1000</f>
        <v>#REF!</v>
      </c>
      <c r="AM19" s="430" t="e">
        <f>#REF!*#REF!</f>
        <v>#REF!</v>
      </c>
      <c r="AN19" s="430" t="e">
        <f>#REF!*TableauProduit[[#This Row],[Total (kg) N5]]</f>
        <v>#REF!</v>
      </c>
      <c r="AO19" s="430" t="e">
        <f>TableauProduit[[#This Row],[Prix de vente/kg]]*TableauProduit[[#This Row],[Total (kg) N5]]</f>
        <v>#REF!</v>
      </c>
      <c r="AP19" s="343" t="e">
        <f>#REF!-#REF!-TableauProduit[[#This Row],[Conditionnement N5]]</f>
        <v>#REF!</v>
      </c>
      <c r="AQ19" s="345">
        <v>224</v>
      </c>
      <c r="AR19" s="345" t="e">
        <f>#REF!*#REF!/1000</f>
        <v>#REF!</v>
      </c>
      <c r="AS19" s="431" t="e">
        <f>#REF!*#REF!</f>
        <v>#REF!</v>
      </c>
      <c r="AT19" s="431" t="e">
        <f>#REF!*TableauProduit[[#This Row],[Total (kg) N6]]</f>
        <v>#REF!</v>
      </c>
      <c r="AU19" s="431" t="e">
        <f>TableauProduit[[#This Row],[Prix de vente/kg]]*TableauProduit[[#This Row],[Total (kg) N6]]</f>
        <v>#REF!</v>
      </c>
      <c r="AV19" s="345" t="e">
        <f>#REF!-#REF!-TableauProduit[[#This Row],[Conditionnement N6]]</f>
        <v>#REF!</v>
      </c>
      <c r="AW19" s="333">
        <v>224</v>
      </c>
      <c r="AX19" s="333" t="e">
        <f>#REF!*#REF!/1000</f>
        <v>#REF!</v>
      </c>
      <c r="AY19" s="425" t="e">
        <f>#REF!*#REF!</f>
        <v>#REF!</v>
      </c>
      <c r="AZ19" s="425" t="e">
        <f>#REF!*TableauProduit[[#This Row],[Total (kg) N7]]</f>
        <v>#REF!</v>
      </c>
      <c r="BA19" s="425" t="e">
        <f>TableauProduit[[#This Row],[Prix de vente/kg]]*TableauProduit[[#This Row],[Total (kg) N7]]</f>
        <v>#REF!</v>
      </c>
      <c r="BB19" s="432" t="e">
        <f>#REF!-#REF!-TableauProduit[[#This Row],[Conditionnement N7]]</f>
        <v>#REF!</v>
      </c>
      <c r="BC19" s="414">
        <v>224</v>
      </c>
      <c r="BD19" s="348" t="e">
        <f>#REF!*#REF!/1000</f>
        <v>#REF!</v>
      </c>
      <c r="BE19" s="433" t="e">
        <f>#REF!*#REF!</f>
        <v>#REF!</v>
      </c>
      <c r="BF19" s="433" t="e">
        <f>#REF!*TableauProduit[[#This Row],[Total (kg) N8]]</f>
        <v>#REF!</v>
      </c>
      <c r="BG19" s="433" t="e">
        <f>TableauProduit[[#This Row],[Prix de vente/kg]]*TableauProduit[[#This Row],[Total (kg) N8]]</f>
        <v>#REF!</v>
      </c>
      <c r="BH19" s="434" t="e">
        <f>#REF!-#REF!-TableauProduit[[#This Row],[Conditionnement N8]]</f>
        <v>#REF!</v>
      </c>
      <c r="BI19" s="401">
        <v>224</v>
      </c>
      <c r="BJ19" s="350" t="e">
        <f>#REF!*#REF!/1000</f>
        <v>#REF!</v>
      </c>
      <c r="BK19" s="435" t="e">
        <f>#REF!*#REF!</f>
        <v>#REF!</v>
      </c>
      <c r="BL19" s="435" t="e">
        <f>#REF!*TableauProduit[[#This Row],[Total (kg) N9]]</f>
        <v>#REF!</v>
      </c>
      <c r="BM19" s="435" t="e">
        <f>TableauProduit[[#This Row],[Prix de vente/kg]]*TableauProduit[[#This Row],[Total (kg) N9]]</f>
        <v>#REF!</v>
      </c>
      <c r="BN19" s="350" t="e">
        <f>#REF!-#REF!-TableauProduit[[#This Row],[Conditionnement N9]]</f>
        <v>#REF!</v>
      </c>
    </row>
    <row r="20" spans="1:66" x14ac:dyDescent="0.2">
      <c r="A20" s="406" t="s">
        <v>90</v>
      </c>
      <c r="B20" s="54" t="str">
        <f>TableauProduit[[#This Row],[Recette]]&amp;TableauProduit[[#This Row],[Conditionnement]]</f>
        <v>Sirop de thymSirop 500 ml</v>
      </c>
      <c r="C20" s="11">
        <v>1</v>
      </c>
      <c r="D20" s="11">
        <v>500</v>
      </c>
      <c r="E20" s="6" t="s">
        <v>81</v>
      </c>
      <c r="F20" s="7">
        <f>IFERROR(VLOOKUP(TableauProduit[[#This Row],[Conditionnement]],TableauConditionnement[[Nom]:[Contenance]],4,FALSE),"")</f>
        <v>1.46</v>
      </c>
      <c r="G20" s="463">
        <f>IFERROR(SUMIFS(TableauRecette[Prix d''achat / kg],TableauRecette[Recette],TableauProduit[[#This Row],[Recette]],TableauRecette[Conditionnement],TableauProduit[[#This Row],[Conditionnement]]),0)</f>
        <v>0</v>
      </c>
      <c r="H20" s="470">
        <v>6</v>
      </c>
      <c r="I20" s="465">
        <f>TableauProduit[[#This Row],[Prix de vente/U]]/TableauProduit[[#This Row],[Poids (g) / unite]]*1000</f>
        <v>12</v>
      </c>
      <c r="J20" s="466">
        <f>SUMIFS(TableauConcurence[PRIX_KG],TableauConcurence[PRODUIT],TableauProduit[[#This Row],[Recette]],TableauConcurence[DISTRIBUTION],"magasin NON BIO")</f>
        <v>5</v>
      </c>
      <c r="K20" s="467">
        <f>SUMIFS(TableauConcurence[PRIX_KG],TableauConcurence[PRODUIT],TableauProduit[[#This Row],[Recette]],TableauConcurence[DISTRIBUTION],"magasin BIO")</f>
        <v>11.8</v>
      </c>
      <c r="L20" s="468">
        <f>SUMIFS(TableauConcurence[PRIX_KG],TableauConcurence[PRODUIT],TableauProduit[[#This Row],[Recette]],TableauConcurence[DISTRIBUTION],"artisanale BIO")</f>
        <v>12</v>
      </c>
      <c r="M20" s="410">
        <v>0</v>
      </c>
      <c r="N20" s="333">
        <f>TableauProduit[[#This Row],[Objectif de vente en unite N1]]*TableauProduit[[#This Row],[Poids (g) / unite]]/1000</f>
        <v>0</v>
      </c>
      <c r="O20" s="425">
        <f>TableauProduit[[#This Row],[Packaging / unite]]*TableauProduit[[#This Row],[Objectif de vente en unite N1]]</f>
        <v>0</v>
      </c>
      <c r="P20" s="425">
        <f>SUMIF(TableauRecette[[#This Row],[Recette]],TableauProduit[[#This Row],[Recette]],TableauRecette[[#This Row],[Prix pour kg/ de melange]])</f>
        <v>0</v>
      </c>
      <c r="Q20" s="425">
        <f>TableauProduit[[#This Row],[Prix de vente/kg]]*TableauProduit[[#This Row],[Total (kg) N1]]</f>
        <v>0</v>
      </c>
      <c r="R20" s="428" t="e">
        <f>#REF!-#REF!-TableauProduit[[#This Row],[Conditionnement N1]]</f>
        <v>#REF!</v>
      </c>
      <c r="S20" s="336">
        <v>180</v>
      </c>
      <c r="T20" s="335" t="e">
        <f>#REF!*#REF!/1000</f>
        <v>#REF!</v>
      </c>
      <c r="U20" s="417" t="e">
        <f>#REF!*#REF!</f>
        <v>#REF!</v>
      </c>
      <c r="V20" s="417" t="e">
        <f>#REF!*TableauProduit[[#This Row],[Total (kg) N2]]</f>
        <v>#REF!</v>
      </c>
      <c r="W20" s="417" t="e">
        <f>TableauProduit[[#This Row],[Prix de vente/kg]]*TableauProduit[[#This Row],[Total (kg) N2]]</f>
        <v>#REF!</v>
      </c>
      <c r="X20" s="411" t="e">
        <f>#REF!-#REF!-TableauProduit[[#This Row],[Conditionnement N2]]</f>
        <v>#REF!</v>
      </c>
      <c r="Y20" s="412">
        <v>243</v>
      </c>
      <c r="Z20" s="339" t="e">
        <f>#REF!*#REF!/1000</f>
        <v>#REF!</v>
      </c>
      <c r="AA20" s="420" t="e">
        <f>#REF!*#REF!</f>
        <v>#REF!</v>
      </c>
      <c r="AB20" s="420" t="e">
        <f>#REF!*TableauProduit[[#This Row],[Total (kg) N3]]</f>
        <v>#REF!</v>
      </c>
      <c r="AC20" s="420" t="e">
        <f>TableauProduit[[#This Row],[Prix de vente/kg]]*TableauProduit[[#This Row],[Total (kg) N3]]</f>
        <v>#REF!</v>
      </c>
      <c r="AD20" s="429" t="e">
        <f>#REF!-#REF!-TableauProduit[[#This Row],[Conditionnement N3]]</f>
        <v>#REF!</v>
      </c>
      <c r="AE20" s="341">
        <v>270</v>
      </c>
      <c r="AF20" s="341" t="e">
        <f>#REF!*#REF!/1000</f>
        <v>#REF!</v>
      </c>
      <c r="AG20" s="423" t="e">
        <f>#REF!*#REF!</f>
        <v>#REF!</v>
      </c>
      <c r="AH20" s="423" t="e">
        <f>#REF!*TableauProduit[[#This Row],[Total (kg) N4]]</f>
        <v>#REF!</v>
      </c>
      <c r="AI20" s="423" t="e">
        <f>TableauProduit[[#This Row],[Prix de vente/kg]]*TableauProduit[[#This Row],[Total (kg) N4]]</f>
        <v>#REF!</v>
      </c>
      <c r="AJ20" s="341" t="e">
        <f>#REF!-#REF!-TableauProduit[[#This Row],[Conditionnement N4]]</f>
        <v>#REF!</v>
      </c>
      <c r="AK20" s="343">
        <v>288</v>
      </c>
      <c r="AL20" s="343" t="e">
        <f>#REF!*#REF!/1000</f>
        <v>#REF!</v>
      </c>
      <c r="AM20" s="430" t="e">
        <f>#REF!*#REF!</f>
        <v>#REF!</v>
      </c>
      <c r="AN20" s="430" t="e">
        <f>#REF!*TableauProduit[[#This Row],[Total (kg) N5]]</f>
        <v>#REF!</v>
      </c>
      <c r="AO20" s="430" t="e">
        <f>TableauProduit[[#This Row],[Prix de vente/kg]]*TableauProduit[[#This Row],[Total (kg) N5]]</f>
        <v>#REF!</v>
      </c>
      <c r="AP20" s="343" t="e">
        <f>#REF!-#REF!-TableauProduit[[#This Row],[Conditionnement N5]]</f>
        <v>#REF!</v>
      </c>
      <c r="AQ20" s="345">
        <v>288</v>
      </c>
      <c r="AR20" s="345" t="e">
        <f>#REF!*#REF!/1000</f>
        <v>#REF!</v>
      </c>
      <c r="AS20" s="431" t="e">
        <f>#REF!*#REF!</f>
        <v>#REF!</v>
      </c>
      <c r="AT20" s="431" t="e">
        <f>#REF!*TableauProduit[[#This Row],[Total (kg) N6]]</f>
        <v>#REF!</v>
      </c>
      <c r="AU20" s="431" t="e">
        <f>TableauProduit[[#This Row],[Prix de vente/kg]]*TableauProduit[[#This Row],[Total (kg) N6]]</f>
        <v>#REF!</v>
      </c>
      <c r="AV20" s="345" t="e">
        <f>#REF!-#REF!-TableauProduit[[#This Row],[Conditionnement N6]]</f>
        <v>#REF!</v>
      </c>
      <c r="AW20" s="333">
        <v>288</v>
      </c>
      <c r="AX20" s="333" t="e">
        <f>#REF!*#REF!/1000</f>
        <v>#REF!</v>
      </c>
      <c r="AY20" s="425" t="e">
        <f>#REF!*#REF!</f>
        <v>#REF!</v>
      </c>
      <c r="AZ20" s="425" t="e">
        <f>#REF!*TableauProduit[[#This Row],[Total (kg) N7]]</f>
        <v>#REF!</v>
      </c>
      <c r="BA20" s="425" t="e">
        <f>TableauProduit[[#This Row],[Prix de vente/kg]]*TableauProduit[[#This Row],[Total (kg) N7]]</f>
        <v>#REF!</v>
      </c>
      <c r="BB20" s="432" t="e">
        <f>#REF!-#REF!-TableauProduit[[#This Row],[Conditionnement N7]]</f>
        <v>#REF!</v>
      </c>
      <c r="BC20" s="414">
        <v>288</v>
      </c>
      <c r="BD20" s="348" t="e">
        <f>#REF!*#REF!/1000</f>
        <v>#REF!</v>
      </c>
      <c r="BE20" s="433" t="e">
        <f>#REF!*#REF!</f>
        <v>#REF!</v>
      </c>
      <c r="BF20" s="433" t="e">
        <f>#REF!*TableauProduit[[#This Row],[Total (kg) N8]]</f>
        <v>#REF!</v>
      </c>
      <c r="BG20" s="433" t="e">
        <f>TableauProduit[[#This Row],[Prix de vente/kg]]*TableauProduit[[#This Row],[Total (kg) N8]]</f>
        <v>#REF!</v>
      </c>
      <c r="BH20" s="434" t="e">
        <f>#REF!-#REF!-TableauProduit[[#This Row],[Conditionnement N8]]</f>
        <v>#REF!</v>
      </c>
      <c r="BI20" s="401">
        <v>288</v>
      </c>
      <c r="BJ20" s="350" t="e">
        <f>#REF!*#REF!/1000</f>
        <v>#REF!</v>
      </c>
      <c r="BK20" s="435" t="e">
        <f>#REF!*#REF!</f>
        <v>#REF!</v>
      </c>
      <c r="BL20" s="435" t="e">
        <f>#REF!*TableauProduit[[#This Row],[Total (kg) N9]]</f>
        <v>#REF!</v>
      </c>
      <c r="BM20" s="435" t="e">
        <f>TableauProduit[[#This Row],[Prix de vente/kg]]*TableauProduit[[#This Row],[Total (kg) N9]]</f>
        <v>#REF!</v>
      </c>
      <c r="BN20" s="350" t="e">
        <f>#REF!-#REF!-TableauProduit[[#This Row],[Conditionnement N9]]</f>
        <v>#REF!</v>
      </c>
    </row>
    <row r="21" spans="1:66" x14ac:dyDescent="0.2">
      <c r="A21" s="406" t="s">
        <v>91</v>
      </c>
      <c r="B21" s="54" t="str">
        <f>TableauProduit[[#This Row],[Recette]]&amp;TableauProduit[[#This Row],[Conditionnement]]</f>
        <v>Sucre à l'hibiscusEpice 200ml</v>
      </c>
      <c r="C21" s="11">
        <v>1</v>
      </c>
      <c r="D21" s="11">
        <v>200</v>
      </c>
      <c r="E21" s="6" t="s">
        <v>67</v>
      </c>
      <c r="F21" s="7">
        <f>IFERROR(VLOOKUP(TableauProduit[[#This Row],[Conditionnement]],TableauConditionnement[[Nom]:[Contenance]],4,FALSE),"")</f>
        <v>0.66</v>
      </c>
      <c r="G21" s="463">
        <f>IFERROR(SUMIFS(TableauRecette[Prix d''achat / kg],TableauRecette[Recette],TableauProduit[[#This Row],[Recette]],TableauRecette[Conditionnement],TableauProduit[[#This Row],[Conditionnement]]),0)</f>
        <v>0</v>
      </c>
      <c r="H21" s="470">
        <v>7.8</v>
      </c>
      <c r="I21" s="465">
        <f>TableauProduit[[#This Row],[Prix de vente/U]]/TableauProduit[[#This Row],[Poids (g) / unite]]*1000</f>
        <v>39</v>
      </c>
      <c r="J21" s="466">
        <f>SUMIFS(TableauConcurence[PRIX_KG],TableauConcurence[PRODUIT],TableauProduit[[#This Row],[Recette]],TableauConcurence[DISTRIBUTION],"magasin NON BIO")</f>
        <v>27.8</v>
      </c>
      <c r="K21" s="467">
        <f>SUMIFS(TableauConcurence[PRIX_KG],TableauConcurence[PRODUIT],TableauProduit[[#This Row],[Recette]],TableauConcurence[DISTRIBUTION],"magasin BIO")</f>
        <v>14.4</v>
      </c>
      <c r="L21" s="468">
        <f>SUMIFS(TableauConcurence[PRIX_KG],TableauConcurence[PRODUIT],TableauProduit[[#This Row],[Recette]],TableauConcurence[DISTRIBUTION],"artisanale BIO")</f>
        <v>38.9</v>
      </c>
      <c r="M21" s="410">
        <v>0</v>
      </c>
      <c r="N21" s="333">
        <f>TableauProduit[[#This Row],[Objectif de vente en unite N1]]*TableauProduit[[#This Row],[Poids (g) / unite]]/1000</f>
        <v>0</v>
      </c>
      <c r="O21" s="425">
        <f>TableauProduit[[#This Row],[Packaging / unite]]*TableauProduit[[#This Row],[Objectif de vente en unite N1]]</f>
        <v>0</v>
      </c>
      <c r="P21" s="425">
        <f>SUMIF(TableauRecette[[#This Row],[Recette]],TableauProduit[[#This Row],[Recette]],TableauRecette[[#This Row],[Prix pour kg/ de melange]])</f>
        <v>0</v>
      </c>
      <c r="Q21" s="425">
        <f>TableauProduit[[#This Row],[Prix de vente/kg]]*TableauProduit[[#This Row],[Total (kg) N1]]</f>
        <v>0</v>
      </c>
      <c r="R21" s="428" t="e">
        <f>#REF!-#REF!-TableauProduit[[#This Row],[Conditionnement N1]]</f>
        <v>#REF!</v>
      </c>
      <c r="S21" s="336">
        <v>140</v>
      </c>
      <c r="T21" s="335" t="e">
        <f>#REF!*#REF!/1000</f>
        <v>#REF!</v>
      </c>
      <c r="U21" s="417" t="e">
        <f>#REF!*#REF!</f>
        <v>#REF!</v>
      </c>
      <c r="V21" s="417" t="e">
        <f>#REF!*TableauProduit[[#This Row],[Total (kg) N2]]</f>
        <v>#REF!</v>
      </c>
      <c r="W21" s="417" t="e">
        <f>TableauProduit[[#This Row],[Prix de vente/kg]]*TableauProduit[[#This Row],[Total (kg) N2]]</f>
        <v>#REF!</v>
      </c>
      <c r="X21" s="411" t="e">
        <f>#REF!-#REF!-TableauProduit[[#This Row],[Conditionnement N2]]</f>
        <v>#REF!</v>
      </c>
      <c r="Y21" s="412">
        <v>189</v>
      </c>
      <c r="Z21" s="339" t="e">
        <f>#REF!*#REF!/1000</f>
        <v>#REF!</v>
      </c>
      <c r="AA21" s="420" t="e">
        <f>#REF!*#REF!</f>
        <v>#REF!</v>
      </c>
      <c r="AB21" s="420" t="e">
        <f>#REF!*TableauProduit[[#This Row],[Total (kg) N3]]</f>
        <v>#REF!</v>
      </c>
      <c r="AC21" s="420" t="e">
        <f>TableauProduit[[#This Row],[Prix de vente/kg]]*TableauProduit[[#This Row],[Total (kg) N3]]</f>
        <v>#REF!</v>
      </c>
      <c r="AD21" s="429" t="e">
        <f>#REF!-#REF!-TableauProduit[[#This Row],[Conditionnement N3]]</f>
        <v>#REF!</v>
      </c>
      <c r="AE21" s="341">
        <v>210</v>
      </c>
      <c r="AF21" s="341" t="e">
        <f>#REF!*#REF!/1000</f>
        <v>#REF!</v>
      </c>
      <c r="AG21" s="423" t="e">
        <f>#REF!*#REF!</f>
        <v>#REF!</v>
      </c>
      <c r="AH21" s="423" t="e">
        <f>#REF!*TableauProduit[[#This Row],[Total (kg) N4]]</f>
        <v>#REF!</v>
      </c>
      <c r="AI21" s="423" t="e">
        <f>TableauProduit[[#This Row],[Prix de vente/kg]]*TableauProduit[[#This Row],[Total (kg) N4]]</f>
        <v>#REF!</v>
      </c>
      <c r="AJ21" s="341" t="e">
        <f>#REF!-#REF!-TableauProduit[[#This Row],[Conditionnement N4]]</f>
        <v>#REF!</v>
      </c>
      <c r="AK21" s="343">
        <v>224</v>
      </c>
      <c r="AL21" s="343" t="e">
        <f>#REF!*#REF!/1000</f>
        <v>#REF!</v>
      </c>
      <c r="AM21" s="430" t="e">
        <f>#REF!*#REF!</f>
        <v>#REF!</v>
      </c>
      <c r="AN21" s="430" t="e">
        <f>#REF!*TableauProduit[[#This Row],[Total (kg) N5]]</f>
        <v>#REF!</v>
      </c>
      <c r="AO21" s="430" t="e">
        <f>TableauProduit[[#This Row],[Prix de vente/kg]]*TableauProduit[[#This Row],[Total (kg) N5]]</f>
        <v>#REF!</v>
      </c>
      <c r="AP21" s="343" t="e">
        <f>#REF!-#REF!-TableauProduit[[#This Row],[Conditionnement N5]]</f>
        <v>#REF!</v>
      </c>
      <c r="AQ21" s="345">
        <v>224</v>
      </c>
      <c r="AR21" s="345" t="e">
        <f>#REF!*#REF!/1000</f>
        <v>#REF!</v>
      </c>
      <c r="AS21" s="431" t="e">
        <f>#REF!*#REF!</f>
        <v>#REF!</v>
      </c>
      <c r="AT21" s="431" t="e">
        <f>#REF!*TableauProduit[[#This Row],[Total (kg) N6]]</f>
        <v>#REF!</v>
      </c>
      <c r="AU21" s="431" t="e">
        <f>TableauProduit[[#This Row],[Prix de vente/kg]]*TableauProduit[[#This Row],[Total (kg) N6]]</f>
        <v>#REF!</v>
      </c>
      <c r="AV21" s="345" t="e">
        <f>#REF!-#REF!-TableauProduit[[#This Row],[Conditionnement N6]]</f>
        <v>#REF!</v>
      </c>
      <c r="AW21" s="333">
        <v>224</v>
      </c>
      <c r="AX21" s="333" t="e">
        <f>#REF!*#REF!/1000</f>
        <v>#REF!</v>
      </c>
      <c r="AY21" s="425" t="e">
        <f>#REF!*#REF!</f>
        <v>#REF!</v>
      </c>
      <c r="AZ21" s="425" t="e">
        <f>#REF!*TableauProduit[[#This Row],[Total (kg) N7]]</f>
        <v>#REF!</v>
      </c>
      <c r="BA21" s="425" t="e">
        <f>TableauProduit[[#This Row],[Prix de vente/kg]]*TableauProduit[[#This Row],[Total (kg) N7]]</f>
        <v>#REF!</v>
      </c>
      <c r="BB21" s="432" t="e">
        <f>#REF!-#REF!-TableauProduit[[#This Row],[Conditionnement N7]]</f>
        <v>#REF!</v>
      </c>
      <c r="BC21" s="414">
        <v>224</v>
      </c>
      <c r="BD21" s="348" t="e">
        <f>#REF!*#REF!/1000</f>
        <v>#REF!</v>
      </c>
      <c r="BE21" s="433" t="e">
        <f>#REF!*#REF!</f>
        <v>#REF!</v>
      </c>
      <c r="BF21" s="433" t="e">
        <f>#REF!*TableauProduit[[#This Row],[Total (kg) N8]]</f>
        <v>#REF!</v>
      </c>
      <c r="BG21" s="433" t="e">
        <f>TableauProduit[[#This Row],[Prix de vente/kg]]*TableauProduit[[#This Row],[Total (kg) N8]]</f>
        <v>#REF!</v>
      </c>
      <c r="BH21" s="434" t="e">
        <f>#REF!-#REF!-TableauProduit[[#This Row],[Conditionnement N8]]</f>
        <v>#REF!</v>
      </c>
      <c r="BI21" s="401">
        <v>224</v>
      </c>
      <c r="BJ21" s="350" t="e">
        <f>#REF!*#REF!/1000</f>
        <v>#REF!</v>
      </c>
      <c r="BK21" s="435" t="e">
        <f>#REF!*#REF!</f>
        <v>#REF!</v>
      </c>
      <c r="BL21" s="435" t="e">
        <f>#REF!*TableauProduit[[#This Row],[Total (kg) N9]]</f>
        <v>#REF!</v>
      </c>
      <c r="BM21" s="435" t="e">
        <f>TableauProduit[[#This Row],[Prix de vente/kg]]*TableauProduit[[#This Row],[Total (kg) N9]]</f>
        <v>#REF!</v>
      </c>
      <c r="BN21" s="350" t="e">
        <f>#REF!-#REF!-TableauProduit[[#This Row],[Conditionnement N9]]</f>
        <v>#REF!</v>
      </c>
    </row>
    <row r="22" spans="1:66" x14ac:dyDescent="0.2">
      <c r="A22" s="406" t="s">
        <v>92</v>
      </c>
      <c r="B22" s="54" t="str">
        <f>TableauProduit[[#This Row],[Recette]]&amp;TableauProduit[[#This Row],[Conditionnement]]</f>
        <v>Vinaigre du soleilVinaigre 250 ml</v>
      </c>
      <c r="C22" s="11">
        <v>1</v>
      </c>
      <c r="D22" s="11">
        <v>250</v>
      </c>
      <c r="E22" s="6" t="s">
        <v>93</v>
      </c>
      <c r="F22" s="7">
        <f>IFERROR(VLOOKUP(TableauProduit[[#This Row],[Conditionnement]],TableauConditionnement[[Nom]:[Contenance]],4,FALSE),"")</f>
        <v>1.68</v>
      </c>
      <c r="G22" s="463">
        <f>IFERROR(SUMIFS(TableauRecette[Prix d''achat / kg],TableauRecette[Recette],TableauProduit[[#This Row],[Recette]],TableauRecette[Conditionnement],TableauProduit[[#This Row],[Conditionnement]]),0)</f>
        <v>0</v>
      </c>
      <c r="H22" s="470">
        <v>8.1</v>
      </c>
      <c r="I22" s="465">
        <f>TableauProduit[[#This Row],[Prix de vente/U]]/TableauProduit[[#This Row],[Poids (g) / unite]]*1000</f>
        <v>32.4</v>
      </c>
      <c r="J22" s="466">
        <f>SUMIFS(TableauConcurence[PRIX_KG],TableauConcurence[PRODUIT],TableauProduit[[#This Row],[Recette]],TableauConcurence[DISTRIBUTION],"magasin NON BIO")</f>
        <v>3.33</v>
      </c>
      <c r="K22" s="467">
        <f>SUMIFS(TableauConcurence[PRIX_KG],TableauConcurence[PRODUIT],TableauProduit[[#This Row],[Recette]],TableauConcurence[DISTRIBUTION],"magasin BIO")</f>
        <v>5.73</v>
      </c>
      <c r="L22" s="468">
        <f>SUMIFS(TableauConcurence[PRIX_KG],TableauConcurence[PRODUIT],TableauProduit[[#This Row],[Recette]],TableauConcurence[DISTRIBUTION],"artisanale BIO")</f>
        <v>11.8</v>
      </c>
      <c r="M22" s="410">
        <v>0</v>
      </c>
      <c r="N22" s="333">
        <f>TableauProduit[[#This Row],[Objectif de vente en unite N1]]*TableauProduit[[#This Row],[Poids (g) / unite]]/1000</f>
        <v>0</v>
      </c>
      <c r="O22" s="425">
        <f>TableauProduit[[#This Row],[Packaging / unite]]*TableauProduit[[#This Row],[Objectif de vente en unite N1]]</f>
        <v>0</v>
      </c>
      <c r="P22" s="425">
        <f>SUMIF(TableauRecette[[#This Row],[Recette]],TableauProduit[[#This Row],[Recette]],TableauRecette[[#This Row],[Prix pour kg/ de melange]])</f>
        <v>0</v>
      </c>
      <c r="Q22" s="425">
        <f>TableauProduit[[#This Row],[Prix de vente/kg]]*TableauProduit[[#This Row],[Total (kg) N1]]</f>
        <v>0</v>
      </c>
      <c r="R22" s="428" t="e">
        <f>#REF!-#REF!-TableauProduit[[#This Row],[Conditionnement N1]]</f>
        <v>#REF!</v>
      </c>
      <c r="S22" s="336">
        <v>120</v>
      </c>
      <c r="T22" s="335" t="e">
        <f>#REF!*#REF!/1000</f>
        <v>#REF!</v>
      </c>
      <c r="U22" s="417" t="e">
        <f>#REF!*#REF!</f>
        <v>#REF!</v>
      </c>
      <c r="V22" s="417" t="e">
        <f>#REF!*TableauProduit[[#This Row],[Total (kg) N2]]</f>
        <v>#REF!</v>
      </c>
      <c r="W22" s="417" t="e">
        <f>TableauProduit[[#This Row],[Prix de vente/kg]]*TableauProduit[[#This Row],[Total (kg) N2]]</f>
        <v>#REF!</v>
      </c>
      <c r="X22" s="411" t="e">
        <f>#REF!-#REF!-TableauProduit[[#This Row],[Conditionnement N2]]</f>
        <v>#REF!</v>
      </c>
      <c r="Y22" s="412">
        <v>168</v>
      </c>
      <c r="Z22" s="339" t="e">
        <f>#REF!*#REF!/1000</f>
        <v>#REF!</v>
      </c>
      <c r="AA22" s="420" t="e">
        <f>#REF!*#REF!</f>
        <v>#REF!</v>
      </c>
      <c r="AB22" s="420" t="e">
        <f>#REF!*TableauProduit[[#This Row],[Total (kg) N3]]</f>
        <v>#REF!</v>
      </c>
      <c r="AC22" s="420" t="e">
        <f>TableauProduit[[#This Row],[Prix de vente/kg]]*TableauProduit[[#This Row],[Total (kg) N3]]</f>
        <v>#REF!</v>
      </c>
      <c r="AD22" s="429" t="e">
        <f>#REF!-#REF!-TableauProduit[[#This Row],[Conditionnement N3]]</f>
        <v>#REF!</v>
      </c>
      <c r="AE22" s="341">
        <v>192</v>
      </c>
      <c r="AF22" s="341" t="e">
        <f>#REF!*#REF!/1000</f>
        <v>#REF!</v>
      </c>
      <c r="AG22" s="423" t="e">
        <f>#REF!*#REF!</f>
        <v>#REF!</v>
      </c>
      <c r="AH22" s="423" t="e">
        <f>#REF!*TableauProduit[[#This Row],[Total (kg) N4]]</f>
        <v>#REF!</v>
      </c>
      <c r="AI22" s="423" t="e">
        <f>TableauProduit[[#This Row],[Prix de vente/kg]]*TableauProduit[[#This Row],[Total (kg) N4]]</f>
        <v>#REF!</v>
      </c>
      <c r="AJ22" s="341" t="e">
        <f>#REF!-#REF!-TableauProduit[[#This Row],[Conditionnement N4]]</f>
        <v>#REF!</v>
      </c>
      <c r="AK22" s="343">
        <v>204</v>
      </c>
      <c r="AL22" s="343" t="e">
        <f>#REF!*#REF!/1000</f>
        <v>#REF!</v>
      </c>
      <c r="AM22" s="430" t="e">
        <f>#REF!*#REF!</f>
        <v>#REF!</v>
      </c>
      <c r="AN22" s="430" t="e">
        <f>#REF!*TableauProduit[[#This Row],[Total (kg) N5]]</f>
        <v>#REF!</v>
      </c>
      <c r="AO22" s="430" t="e">
        <f>TableauProduit[[#This Row],[Prix de vente/kg]]*TableauProduit[[#This Row],[Total (kg) N5]]</f>
        <v>#REF!</v>
      </c>
      <c r="AP22" s="343" t="e">
        <f>#REF!-#REF!-TableauProduit[[#This Row],[Conditionnement N5]]</f>
        <v>#REF!</v>
      </c>
      <c r="AQ22" s="345">
        <v>204</v>
      </c>
      <c r="AR22" s="345" t="e">
        <f>#REF!*#REF!/1000</f>
        <v>#REF!</v>
      </c>
      <c r="AS22" s="431" t="e">
        <f>#REF!*#REF!</f>
        <v>#REF!</v>
      </c>
      <c r="AT22" s="431" t="e">
        <f>#REF!*TableauProduit[[#This Row],[Total (kg) N6]]</f>
        <v>#REF!</v>
      </c>
      <c r="AU22" s="431" t="e">
        <f>TableauProduit[[#This Row],[Prix de vente/kg]]*TableauProduit[[#This Row],[Total (kg) N6]]</f>
        <v>#REF!</v>
      </c>
      <c r="AV22" s="345" t="e">
        <f>#REF!-#REF!-TableauProduit[[#This Row],[Conditionnement N6]]</f>
        <v>#REF!</v>
      </c>
      <c r="AW22" s="333">
        <v>204</v>
      </c>
      <c r="AX22" s="333" t="e">
        <f>#REF!*#REF!/1000</f>
        <v>#REF!</v>
      </c>
      <c r="AY22" s="425" t="e">
        <f>#REF!*#REF!</f>
        <v>#REF!</v>
      </c>
      <c r="AZ22" s="425" t="e">
        <f>#REF!*TableauProduit[[#This Row],[Total (kg) N7]]</f>
        <v>#REF!</v>
      </c>
      <c r="BA22" s="425" t="e">
        <f>TableauProduit[[#This Row],[Prix de vente/kg]]*TableauProduit[[#This Row],[Total (kg) N7]]</f>
        <v>#REF!</v>
      </c>
      <c r="BB22" s="432" t="e">
        <f>#REF!-#REF!-TableauProduit[[#This Row],[Conditionnement N7]]</f>
        <v>#REF!</v>
      </c>
      <c r="BC22" s="414">
        <v>204</v>
      </c>
      <c r="BD22" s="348" t="e">
        <f>#REF!*#REF!/1000</f>
        <v>#REF!</v>
      </c>
      <c r="BE22" s="433" t="e">
        <f>#REF!*#REF!</f>
        <v>#REF!</v>
      </c>
      <c r="BF22" s="433" t="e">
        <f>#REF!*TableauProduit[[#This Row],[Total (kg) N8]]</f>
        <v>#REF!</v>
      </c>
      <c r="BG22" s="433" t="e">
        <f>TableauProduit[[#This Row],[Prix de vente/kg]]*TableauProduit[[#This Row],[Total (kg) N8]]</f>
        <v>#REF!</v>
      </c>
      <c r="BH22" s="434" t="e">
        <f>#REF!-#REF!-TableauProduit[[#This Row],[Conditionnement N8]]</f>
        <v>#REF!</v>
      </c>
      <c r="BI22" s="401">
        <v>204</v>
      </c>
      <c r="BJ22" s="350" t="e">
        <f>#REF!*#REF!/1000</f>
        <v>#REF!</v>
      </c>
      <c r="BK22" s="435" t="e">
        <f>#REF!*#REF!</f>
        <v>#REF!</v>
      </c>
      <c r="BL22" s="435" t="e">
        <f>#REF!*TableauProduit[[#This Row],[Total (kg) N9]]</f>
        <v>#REF!</v>
      </c>
      <c r="BM22" s="435" t="e">
        <f>TableauProduit[[#This Row],[Prix de vente/kg]]*TableauProduit[[#This Row],[Total (kg) N9]]</f>
        <v>#REF!</v>
      </c>
      <c r="BN22" s="350" t="e">
        <f>#REF!-#REF!-TableauProduit[[#This Row],[Conditionnement N9]]</f>
        <v>#REF!</v>
      </c>
    </row>
    <row r="23" spans="1:66" x14ac:dyDescent="0.2">
      <c r="A23" s="406" t="s">
        <v>94</v>
      </c>
      <c r="B23" s="54" t="str">
        <f>TableauProduit[[#This Row],[Recette]]&amp;TableauProduit[[#This Row],[Conditionnement]]</f>
        <v>Vinaigre du sureauVinaigre 250 ml</v>
      </c>
      <c r="C23" s="11">
        <v>1</v>
      </c>
      <c r="D23" s="11">
        <v>250</v>
      </c>
      <c r="E23" s="6" t="s">
        <v>93</v>
      </c>
      <c r="F23" s="7">
        <f>IFERROR(VLOOKUP(TableauProduit[[#This Row],[Conditionnement]],TableauConditionnement[[Nom]:[Contenance]],4,FALSE),"")</f>
        <v>1.68</v>
      </c>
      <c r="G23" s="463">
        <f>IFERROR(SUMIFS(TableauRecette[Prix d''achat / kg],TableauRecette[Recette],TableauProduit[[#This Row],[Recette]],TableauRecette[Conditionnement],TableauProduit[[#This Row],[Conditionnement]]),0)</f>
        <v>0</v>
      </c>
      <c r="H23" s="470">
        <v>8.1</v>
      </c>
      <c r="I23" s="465">
        <f>TableauProduit[[#This Row],[Prix de vente/U]]/TableauProduit[[#This Row],[Poids (g) / unite]]*1000</f>
        <v>32.4</v>
      </c>
      <c r="J23" s="466">
        <f>SUMIFS(TableauConcurence[PRIX_KG],TableauConcurence[PRODUIT],TableauProduit[[#This Row],[Recette]],TableauConcurence[DISTRIBUTION],"magasin NON BIO")</f>
        <v>28.2</v>
      </c>
      <c r="K23" s="467">
        <f>SUMIFS(TableauConcurence[PRIX_KG],TableauConcurence[PRODUIT],TableauProduit[[#This Row],[Recette]],TableauConcurence[DISTRIBUTION],"magasin BIO")</f>
        <v>54</v>
      </c>
      <c r="L23" s="468">
        <f>SUMIFS(TableauConcurence[PRIX_KG],TableauConcurence[PRODUIT],TableauProduit[[#This Row],[Recette]],TableauConcurence[DISTRIBUTION],"artisanale BIO")</f>
        <v>19.8</v>
      </c>
      <c r="M23" s="410">
        <v>0</v>
      </c>
      <c r="N23" s="333">
        <f>TableauProduit[[#This Row],[Objectif de vente en unite N1]]*TableauProduit[[#This Row],[Poids (g) / unite]]/1000</f>
        <v>0</v>
      </c>
      <c r="O23" s="425">
        <f>TableauProduit[[#This Row],[Packaging / unite]]*TableauProduit[[#This Row],[Objectif de vente en unite N1]]</f>
        <v>0</v>
      </c>
      <c r="P23" s="425">
        <f>SUMIF(TableauRecette[[#This Row],[Recette]],TableauProduit[[#This Row],[Recette]],TableauRecette[[#This Row],[Prix pour kg/ de melange]])</f>
        <v>0</v>
      </c>
      <c r="Q23" s="425">
        <f>TableauProduit[[#This Row],[Prix de vente/kg]]*TableauProduit[[#This Row],[Total (kg) N1]]</f>
        <v>0</v>
      </c>
      <c r="R23" s="428" t="e">
        <f>#REF!-#REF!-TableauProduit[[#This Row],[Conditionnement N1]]</f>
        <v>#REF!</v>
      </c>
      <c r="S23" s="336">
        <v>100</v>
      </c>
      <c r="T23" s="335" t="e">
        <f>#REF!*#REF!/1000</f>
        <v>#REF!</v>
      </c>
      <c r="U23" s="417" t="e">
        <f>#REF!*#REF!</f>
        <v>#REF!</v>
      </c>
      <c r="V23" s="417" t="e">
        <f>#REF!*TableauProduit[[#This Row],[Total (kg) N2]]</f>
        <v>#REF!</v>
      </c>
      <c r="W23" s="417" t="e">
        <f>TableauProduit[[#This Row],[Prix de vente/kg]]*TableauProduit[[#This Row],[Total (kg) N2]]</f>
        <v>#REF!</v>
      </c>
      <c r="X23" s="411" t="e">
        <f>#REF!-#REF!-TableauProduit[[#This Row],[Conditionnement N2]]</f>
        <v>#REF!</v>
      </c>
      <c r="Y23" s="412">
        <v>140</v>
      </c>
      <c r="Z23" s="339" t="e">
        <f>#REF!*#REF!/1000</f>
        <v>#REF!</v>
      </c>
      <c r="AA23" s="420" t="e">
        <f>#REF!*#REF!</f>
        <v>#REF!</v>
      </c>
      <c r="AB23" s="420" t="e">
        <f>#REF!*TableauProduit[[#This Row],[Total (kg) N3]]</f>
        <v>#REF!</v>
      </c>
      <c r="AC23" s="420" t="e">
        <f>TableauProduit[[#This Row],[Prix de vente/kg]]*TableauProduit[[#This Row],[Total (kg) N3]]</f>
        <v>#REF!</v>
      </c>
      <c r="AD23" s="429" t="e">
        <f>#REF!-#REF!-TableauProduit[[#This Row],[Conditionnement N3]]</f>
        <v>#REF!</v>
      </c>
      <c r="AE23" s="341">
        <v>160</v>
      </c>
      <c r="AF23" s="341" t="e">
        <f>#REF!*#REF!/1000</f>
        <v>#REF!</v>
      </c>
      <c r="AG23" s="423" t="e">
        <f>#REF!*#REF!</f>
        <v>#REF!</v>
      </c>
      <c r="AH23" s="423" t="e">
        <f>#REF!*TableauProduit[[#This Row],[Total (kg) N4]]</f>
        <v>#REF!</v>
      </c>
      <c r="AI23" s="423" t="e">
        <f>TableauProduit[[#This Row],[Prix de vente/kg]]*TableauProduit[[#This Row],[Total (kg) N4]]</f>
        <v>#REF!</v>
      </c>
      <c r="AJ23" s="341" t="e">
        <f>#REF!-#REF!-TableauProduit[[#This Row],[Conditionnement N4]]</f>
        <v>#REF!</v>
      </c>
      <c r="AK23" s="343">
        <v>170</v>
      </c>
      <c r="AL23" s="343" t="e">
        <f>#REF!*#REF!/1000</f>
        <v>#REF!</v>
      </c>
      <c r="AM23" s="430" t="e">
        <f>#REF!*#REF!</f>
        <v>#REF!</v>
      </c>
      <c r="AN23" s="430" t="e">
        <f>#REF!*TableauProduit[[#This Row],[Total (kg) N5]]</f>
        <v>#REF!</v>
      </c>
      <c r="AO23" s="430" t="e">
        <f>TableauProduit[[#This Row],[Prix de vente/kg]]*TableauProduit[[#This Row],[Total (kg) N5]]</f>
        <v>#REF!</v>
      </c>
      <c r="AP23" s="343" t="e">
        <f>#REF!-#REF!-TableauProduit[[#This Row],[Conditionnement N5]]</f>
        <v>#REF!</v>
      </c>
      <c r="AQ23" s="345">
        <v>170</v>
      </c>
      <c r="AR23" s="345" t="e">
        <f>#REF!*#REF!/1000</f>
        <v>#REF!</v>
      </c>
      <c r="AS23" s="431" t="e">
        <f>#REF!*#REF!</f>
        <v>#REF!</v>
      </c>
      <c r="AT23" s="431" t="e">
        <f>#REF!*TableauProduit[[#This Row],[Total (kg) N6]]</f>
        <v>#REF!</v>
      </c>
      <c r="AU23" s="431" t="e">
        <f>TableauProduit[[#This Row],[Prix de vente/kg]]*TableauProduit[[#This Row],[Total (kg) N6]]</f>
        <v>#REF!</v>
      </c>
      <c r="AV23" s="345" t="e">
        <f>#REF!-#REF!-TableauProduit[[#This Row],[Conditionnement N6]]</f>
        <v>#REF!</v>
      </c>
      <c r="AW23" s="333">
        <v>170</v>
      </c>
      <c r="AX23" s="333" t="e">
        <f>#REF!*#REF!/1000</f>
        <v>#REF!</v>
      </c>
      <c r="AY23" s="425" t="e">
        <f>#REF!*#REF!</f>
        <v>#REF!</v>
      </c>
      <c r="AZ23" s="425" t="e">
        <f>#REF!*TableauProduit[[#This Row],[Total (kg) N7]]</f>
        <v>#REF!</v>
      </c>
      <c r="BA23" s="425" t="e">
        <f>TableauProduit[[#This Row],[Prix de vente/kg]]*TableauProduit[[#This Row],[Total (kg) N7]]</f>
        <v>#REF!</v>
      </c>
      <c r="BB23" s="432" t="e">
        <f>#REF!-#REF!-TableauProduit[[#This Row],[Conditionnement N7]]</f>
        <v>#REF!</v>
      </c>
      <c r="BC23" s="414">
        <v>170</v>
      </c>
      <c r="BD23" s="348" t="e">
        <f>#REF!*#REF!/1000</f>
        <v>#REF!</v>
      </c>
      <c r="BE23" s="433" t="e">
        <f>#REF!*#REF!</f>
        <v>#REF!</v>
      </c>
      <c r="BF23" s="433" t="e">
        <f>#REF!*TableauProduit[[#This Row],[Total (kg) N8]]</f>
        <v>#REF!</v>
      </c>
      <c r="BG23" s="433" t="e">
        <f>TableauProduit[[#This Row],[Prix de vente/kg]]*TableauProduit[[#This Row],[Total (kg) N8]]</f>
        <v>#REF!</v>
      </c>
      <c r="BH23" s="434" t="e">
        <f>#REF!-#REF!-TableauProduit[[#This Row],[Conditionnement N8]]</f>
        <v>#REF!</v>
      </c>
      <c r="BI23" s="401">
        <v>170</v>
      </c>
      <c r="BJ23" s="350" t="e">
        <f>#REF!*#REF!/1000</f>
        <v>#REF!</v>
      </c>
      <c r="BK23" s="435" t="e">
        <f>#REF!*#REF!</f>
        <v>#REF!</v>
      </c>
      <c r="BL23" s="435" t="e">
        <f>#REF!*TableauProduit[[#This Row],[Total (kg) N9]]</f>
        <v>#REF!</v>
      </c>
      <c r="BM23" s="435" t="e">
        <f>TableauProduit[[#This Row],[Prix de vente/kg]]*TableauProduit[[#This Row],[Total (kg) N9]]</f>
        <v>#REF!</v>
      </c>
      <c r="BN23" s="350" t="e">
        <f>#REF!-#REF!-TableauProduit[[#This Row],[Conditionnement N9]]</f>
        <v>#REF!</v>
      </c>
    </row>
    <row r="24" spans="1:66" x14ac:dyDescent="0.2">
      <c r="A24" s="13" t="s">
        <v>95</v>
      </c>
      <c r="B24" s="54" t="str">
        <f>TableauProduit[[#This Row],[Recette]]&amp;TableauProduit[[#This Row],[Conditionnement]]</f>
        <v>ZaatarEpice 100ml</v>
      </c>
      <c r="C24" s="11">
        <v>1</v>
      </c>
      <c r="D24" s="11">
        <v>50</v>
      </c>
      <c r="E24" s="6" t="s">
        <v>73</v>
      </c>
      <c r="F24" s="7">
        <f>IFERROR(VLOOKUP(TableauProduit[[#This Row],[Conditionnement]],TableauConditionnement[[Nom]:[Contenance]],4,FALSE),"")</f>
        <v>0.64</v>
      </c>
      <c r="G24" s="463">
        <f>IFERROR(SUMIFS(TableauRecette[Prix d''achat / kg],TableauRecette[Recette],TableauProduit[[#This Row],[Recette]],TableauRecette[Conditionnement],TableauProduit[[#This Row],[Conditionnement]]),0)</f>
        <v>0</v>
      </c>
      <c r="H24" s="464">
        <v>8.5</v>
      </c>
      <c r="I24" s="465">
        <f>TableauProduit[[#This Row],[Prix de vente/U]]/TableauProduit[[#This Row],[Poids (g) / unite]]*1000</f>
        <v>170</v>
      </c>
      <c r="J24" s="466">
        <f>SUMIFS(TableauConcurence[PRIX_KG],TableauConcurence[PRODUIT],TableauProduit[[#This Row],[Recette]],TableauConcurence[DISTRIBUTION],"magasin NON BIO")</f>
        <v>85.53</v>
      </c>
      <c r="K24" s="467">
        <f>SUMIFS(TableauConcurence[PRIX_KG],TableauConcurence[PRODUIT],TableauProduit[[#This Row],[Recette]],TableauConcurence[DISTRIBUTION],"magasin BIO")</f>
        <v>109.26</v>
      </c>
      <c r="L24" s="468">
        <f>SUMIFS(TableauConcurence[PRIX_KG],TableauConcurence[PRODUIT],TableauProduit[[#This Row],[Recette]],TableauConcurence[DISTRIBUTION],"artisanale BIO")</f>
        <v>75</v>
      </c>
      <c r="M24" s="410">
        <v>350</v>
      </c>
      <c r="N24" s="333">
        <f>TableauProduit[[#This Row],[Objectif de vente en unite N1]]*TableauProduit[[#This Row],[Poids (g) / unite]]/1000</f>
        <v>17.5</v>
      </c>
      <c r="O24" s="425">
        <f>TableauProduit[[#This Row],[Packaging / unite]]*TableauProduit[[#This Row],[Objectif de vente en unite N1]]</f>
        <v>224</v>
      </c>
      <c r="P24" s="425">
        <f>SUMIF(TableauRecette[[#This Row],[Recette]],TableauProduit[[#This Row],[Recette]],TableauRecette[[#This Row],[Prix pour kg/ de melange]])</f>
        <v>0</v>
      </c>
      <c r="Q24" s="425">
        <f>TableauProduit[[#This Row],[Prix de vente/kg]]*TableauProduit[[#This Row],[Total (kg) N1]]</f>
        <v>2975</v>
      </c>
      <c r="R24" s="428" t="e">
        <f>#REF!-#REF!-TableauProduit[[#This Row],[Conditionnement N1]]</f>
        <v>#REF!</v>
      </c>
      <c r="S24" s="336">
        <v>525</v>
      </c>
      <c r="T24" s="335" t="e">
        <f>#REF!*#REF!/1000</f>
        <v>#REF!</v>
      </c>
      <c r="U24" s="417" t="e">
        <f>#REF!*#REF!</f>
        <v>#REF!</v>
      </c>
      <c r="V24" s="417" t="e">
        <f>#REF!*TableauProduit[[#This Row],[Total (kg) N2]]</f>
        <v>#REF!</v>
      </c>
      <c r="W24" s="417" t="e">
        <f>TableauProduit[[#This Row],[Prix de vente/kg]]*TableauProduit[[#This Row],[Total (kg) N2]]</f>
        <v>#REF!</v>
      </c>
      <c r="X24" s="411" t="e">
        <f>#REF!-#REF!-TableauProduit[[#This Row],[Conditionnement N2]]</f>
        <v>#REF!</v>
      </c>
      <c r="Y24" s="412">
        <v>612</v>
      </c>
      <c r="Z24" s="339" t="e">
        <f>#REF!*#REF!/1000</f>
        <v>#REF!</v>
      </c>
      <c r="AA24" s="420" t="e">
        <f>#REF!*#REF!</f>
        <v>#REF!</v>
      </c>
      <c r="AB24" s="420" t="e">
        <f>#REF!*TableauProduit[[#This Row],[Total (kg) N3]]</f>
        <v>#REF!</v>
      </c>
      <c r="AC24" s="420" t="e">
        <f>TableauProduit[[#This Row],[Prix de vente/kg]]*TableauProduit[[#This Row],[Total (kg) N3]]</f>
        <v>#REF!</v>
      </c>
      <c r="AD24" s="429" t="e">
        <f>#REF!-#REF!-TableauProduit[[#This Row],[Conditionnement N3]]</f>
        <v>#REF!</v>
      </c>
      <c r="AE24" s="341">
        <v>665</v>
      </c>
      <c r="AF24" s="341" t="e">
        <f>#REF!*#REF!/1000</f>
        <v>#REF!</v>
      </c>
      <c r="AG24" s="423" t="e">
        <f>#REF!*#REF!</f>
        <v>#REF!</v>
      </c>
      <c r="AH24" s="423" t="e">
        <f>#REF!*TableauProduit[[#This Row],[Total (kg) N4]]</f>
        <v>#REF!</v>
      </c>
      <c r="AI24" s="423" t="e">
        <f>TableauProduit[[#This Row],[Prix de vente/kg]]*TableauProduit[[#This Row],[Total (kg) N4]]</f>
        <v>#REF!</v>
      </c>
      <c r="AJ24" s="341" t="e">
        <f>#REF!-#REF!-TableauProduit[[#This Row],[Conditionnement N4]]</f>
        <v>#REF!</v>
      </c>
      <c r="AK24" s="343">
        <v>700</v>
      </c>
      <c r="AL24" s="343" t="e">
        <f>#REF!*#REF!/1000</f>
        <v>#REF!</v>
      </c>
      <c r="AM24" s="430" t="e">
        <f>#REF!*#REF!</f>
        <v>#REF!</v>
      </c>
      <c r="AN24" s="430" t="e">
        <f>#REF!*TableauProduit[[#This Row],[Total (kg) N5]]</f>
        <v>#REF!</v>
      </c>
      <c r="AO24" s="430" t="e">
        <f>TableauProduit[[#This Row],[Prix de vente/kg]]*TableauProduit[[#This Row],[Total (kg) N5]]</f>
        <v>#REF!</v>
      </c>
      <c r="AP24" s="343" t="e">
        <f>#REF!-#REF!-TableauProduit[[#This Row],[Conditionnement N5]]</f>
        <v>#REF!</v>
      </c>
      <c r="AQ24" s="345">
        <v>700</v>
      </c>
      <c r="AR24" s="345" t="e">
        <f>#REF!*#REF!/1000</f>
        <v>#REF!</v>
      </c>
      <c r="AS24" s="431" t="e">
        <f>#REF!*#REF!</f>
        <v>#REF!</v>
      </c>
      <c r="AT24" s="431" t="e">
        <f>#REF!*TableauProduit[[#This Row],[Total (kg) N6]]</f>
        <v>#REF!</v>
      </c>
      <c r="AU24" s="431" t="e">
        <f>TableauProduit[[#This Row],[Prix de vente/kg]]*TableauProduit[[#This Row],[Total (kg) N6]]</f>
        <v>#REF!</v>
      </c>
      <c r="AV24" s="345" t="e">
        <f>#REF!-#REF!-TableauProduit[[#This Row],[Conditionnement N6]]</f>
        <v>#REF!</v>
      </c>
      <c r="AW24" s="333">
        <v>700</v>
      </c>
      <c r="AX24" s="333" t="e">
        <f>#REF!*#REF!/1000</f>
        <v>#REF!</v>
      </c>
      <c r="AY24" s="425" t="e">
        <f>#REF!*#REF!</f>
        <v>#REF!</v>
      </c>
      <c r="AZ24" s="425" t="e">
        <f>#REF!*TableauProduit[[#This Row],[Total (kg) N7]]</f>
        <v>#REF!</v>
      </c>
      <c r="BA24" s="425" t="e">
        <f>TableauProduit[[#This Row],[Prix de vente/kg]]*TableauProduit[[#This Row],[Total (kg) N7]]</f>
        <v>#REF!</v>
      </c>
      <c r="BB24" s="432" t="e">
        <f>#REF!-#REF!-TableauProduit[[#This Row],[Conditionnement N7]]</f>
        <v>#REF!</v>
      </c>
      <c r="BC24" s="414">
        <v>700</v>
      </c>
      <c r="BD24" s="348" t="e">
        <f>#REF!*#REF!/1000</f>
        <v>#REF!</v>
      </c>
      <c r="BE24" s="433" t="e">
        <f>#REF!*#REF!</f>
        <v>#REF!</v>
      </c>
      <c r="BF24" s="433" t="e">
        <f>#REF!*TableauProduit[[#This Row],[Total (kg) N8]]</f>
        <v>#REF!</v>
      </c>
      <c r="BG24" s="433" t="e">
        <f>TableauProduit[[#This Row],[Prix de vente/kg]]*TableauProduit[[#This Row],[Total (kg) N8]]</f>
        <v>#REF!</v>
      </c>
      <c r="BH24" s="434" t="e">
        <f>#REF!-#REF!-TableauProduit[[#This Row],[Conditionnement N8]]</f>
        <v>#REF!</v>
      </c>
      <c r="BI24" s="401">
        <v>700</v>
      </c>
      <c r="BJ24" s="350" t="e">
        <f>#REF!*#REF!/1000</f>
        <v>#REF!</v>
      </c>
      <c r="BK24" s="435" t="e">
        <f>#REF!*#REF!</f>
        <v>#REF!</v>
      </c>
      <c r="BL24" s="435" t="e">
        <f>#REF!*TableauProduit[[#This Row],[Total (kg) N9]]</f>
        <v>#REF!</v>
      </c>
      <c r="BM24" s="435" t="e">
        <f>TableauProduit[[#This Row],[Prix de vente/kg]]*TableauProduit[[#This Row],[Total (kg) N9]]</f>
        <v>#REF!</v>
      </c>
      <c r="BN24" s="350" t="e">
        <f>#REF!-#REF!-TableauProduit[[#This Row],[Conditionnement N9]]</f>
        <v>#REF!</v>
      </c>
    </row>
    <row r="25" spans="1:66" x14ac:dyDescent="0.2">
      <c r="A25" s="13" t="s">
        <v>96</v>
      </c>
      <c r="B25" s="54" t="str">
        <f>TableauProduit[[#This Row],[Recette]]&amp;TableauProduit[[#This Row],[Conditionnement]]</f>
        <v>Tabasco Rouge moyenPiment liquide 100ml</v>
      </c>
      <c r="C25" s="11">
        <v>1</v>
      </c>
      <c r="D25" s="11">
        <v>100</v>
      </c>
      <c r="E25" s="6" t="s">
        <v>97</v>
      </c>
      <c r="F25" s="7">
        <f>IFERROR(VLOOKUP(TableauProduit[[#This Row],[Conditionnement]],TableauConditionnement[[Nom]:[Contenance]],4,FALSE),"")</f>
        <v>1.69</v>
      </c>
      <c r="G25" s="463">
        <f>IFERROR(SUMIFS(TableauRecette[Prix d''achat / kg],TableauRecette[Recette],TableauProduit[[#This Row],[Recette]],TableauRecette[Conditionnement],TableauProduit[[#This Row],[Conditionnement]]),0)</f>
        <v>0</v>
      </c>
      <c r="H25" s="464">
        <v>2.9</v>
      </c>
      <c r="I25" s="465">
        <f>TableauProduit[[#This Row],[Prix de vente/U]]/TableauProduit[[#This Row],[Poids (g) / unite]]*1000</f>
        <v>28.999999999999996</v>
      </c>
      <c r="J25" s="466">
        <f>SUMIFS(TableauConcurence[PRIX_KG],TableauConcurence[PRODUIT],TableauProduit[[#This Row],[Recette]],TableauConcurence[DISTRIBUTION],"magasin NON BIO")</f>
        <v>71.5</v>
      </c>
      <c r="K25" s="467">
        <f>SUMIFS(TableauConcurence[PRIX_KG],TableauConcurence[PRODUIT],TableauProduit[[#This Row],[Recette]],TableauConcurence[DISTRIBUTION],"magasin BIO")</f>
        <v>66.67</v>
      </c>
      <c r="L25" s="468">
        <f>SUMIFS(TableauConcurence[PRIX_KG],TableauConcurence[PRODUIT],TableauProduit[[#This Row],[Recette]],TableauConcurence[DISTRIBUTION],"artisanale BIO")</f>
        <v>100</v>
      </c>
      <c r="M25" s="410">
        <v>0</v>
      </c>
      <c r="N25" s="333">
        <f>TableauProduit[[#This Row],[Objectif de vente en unite N1]]*TableauProduit[[#This Row],[Poids (g) / unite]]/1000</f>
        <v>0</v>
      </c>
      <c r="O25" s="425">
        <f>TableauProduit[[#This Row],[Packaging / unite]]*TableauProduit[[#This Row],[Objectif de vente en unite N1]]</f>
        <v>0</v>
      </c>
      <c r="P25" s="425">
        <f>SUMIF(TableauRecette[[#This Row],[Recette]],TableauProduit[[#This Row],[Recette]],TableauRecette[[#This Row],[Prix pour kg/ de melange]])</f>
        <v>0</v>
      </c>
      <c r="Q25" s="425">
        <f>TableauProduit[[#This Row],[Prix de vente/kg]]*TableauProduit[[#This Row],[Total (kg) N1]]</f>
        <v>0</v>
      </c>
      <c r="R25" s="428" t="e">
        <f>#REF!-#REF!-TableauProduit[[#This Row],[Conditionnement N1]]</f>
        <v>#REF!</v>
      </c>
      <c r="S25" s="336">
        <v>0</v>
      </c>
      <c r="T25" s="335" t="e">
        <f>#REF!*#REF!/1000</f>
        <v>#REF!</v>
      </c>
      <c r="U25" s="417" t="e">
        <f>#REF!*#REF!</f>
        <v>#REF!</v>
      </c>
      <c r="V25" s="417" t="e">
        <f>#REF!*TableauProduit[[#This Row],[Total (kg) N2]]</f>
        <v>#REF!</v>
      </c>
      <c r="W25" s="417" t="e">
        <f>TableauProduit[[#This Row],[Prix de vente/kg]]*TableauProduit[[#This Row],[Total (kg) N2]]</f>
        <v>#REF!</v>
      </c>
      <c r="X25" s="411" t="e">
        <f>#REF!-#REF!-TableauProduit[[#This Row],[Conditionnement N2]]</f>
        <v>#REF!</v>
      </c>
      <c r="Y25" s="412">
        <v>0</v>
      </c>
      <c r="Z25" s="339" t="e">
        <f>#REF!*#REF!/1000</f>
        <v>#REF!</v>
      </c>
      <c r="AA25" s="420" t="e">
        <f>#REF!*#REF!</f>
        <v>#REF!</v>
      </c>
      <c r="AB25" s="420" t="e">
        <f>#REF!*TableauProduit[[#This Row],[Total (kg) N3]]</f>
        <v>#REF!</v>
      </c>
      <c r="AC25" s="420" t="e">
        <f>TableauProduit[[#This Row],[Prix de vente/kg]]*TableauProduit[[#This Row],[Total (kg) N3]]</f>
        <v>#REF!</v>
      </c>
      <c r="AD25" s="429" t="e">
        <f>#REF!-#REF!-TableauProduit[[#This Row],[Conditionnement N3]]</f>
        <v>#REF!</v>
      </c>
      <c r="AE25" s="341">
        <v>40</v>
      </c>
      <c r="AF25" s="341" t="e">
        <f>#REF!*#REF!/1000</f>
        <v>#REF!</v>
      </c>
      <c r="AG25" s="423" t="e">
        <f>#REF!*#REF!</f>
        <v>#REF!</v>
      </c>
      <c r="AH25" s="423" t="e">
        <f>#REF!*TableauProduit[[#This Row],[Total (kg) N4]]</f>
        <v>#REF!</v>
      </c>
      <c r="AI25" s="423" t="e">
        <f>TableauProduit[[#This Row],[Prix de vente/kg]]*TableauProduit[[#This Row],[Total (kg) N4]]</f>
        <v>#REF!</v>
      </c>
      <c r="AJ25" s="341" t="e">
        <f>#REF!-#REF!-TableauProduit[[#This Row],[Conditionnement N4]]</f>
        <v>#REF!</v>
      </c>
      <c r="AK25" s="343">
        <v>46</v>
      </c>
      <c r="AL25" s="343" t="e">
        <f>#REF!*#REF!/1000</f>
        <v>#REF!</v>
      </c>
      <c r="AM25" s="430" t="e">
        <f>#REF!*#REF!</f>
        <v>#REF!</v>
      </c>
      <c r="AN25" s="430" t="e">
        <f>#REF!*TableauProduit[[#This Row],[Total (kg) N5]]</f>
        <v>#REF!</v>
      </c>
      <c r="AO25" s="430" t="e">
        <f>TableauProduit[[#This Row],[Prix de vente/kg]]*TableauProduit[[#This Row],[Total (kg) N5]]</f>
        <v>#REF!</v>
      </c>
      <c r="AP25" s="343" t="e">
        <f>#REF!-#REF!-TableauProduit[[#This Row],[Conditionnement N5]]</f>
        <v>#REF!</v>
      </c>
      <c r="AQ25" s="345">
        <v>50</v>
      </c>
      <c r="AR25" s="345" t="e">
        <f>#REF!*#REF!/1000</f>
        <v>#REF!</v>
      </c>
      <c r="AS25" s="431" t="e">
        <f>#REF!*#REF!</f>
        <v>#REF!</v>
      </c>
      <c r="AT25" s="431" t="e">
        <f>#REF!*TableauProduit[[#This Row],[Total (kg) N6]]</f>
        <v>#REF!</v>
      </c>
      <c r="AU25" s="431" t="e">
        <f>TableauProduit[[#This Row],[Prix de vente/kg]]*TableauProduit[[#This Row],[Total (kg) N6]]</f>
        <v>#REF!</v>
      </c>
      <c r="AV25" s="345" t="e">
        <f>#REF!-#REF!-TableauProduit[[#This Row],[Conditionnement N6]]</f>
        <v>#REF!</v>
      </c>
      <c r="AW25" s="333">
        <v>50</v>
      </c>
      <c r="AX25" s="333" t="e">
        <f>#REF!*#REF!/1000</f>
        <v>#REF!</v>
      </c>
      <c r="AY25" s="425" t="e">
        <f>#REF!*#REF!</f>
        <v>#REF!</v>
      </c>
      <c r="AZ25" s="425" t="e">
        <f>#REF!*TableauProduit[[#This Row],[Total (kg) N7]]</f>
        <v>#REF!</v>
      </c>
      <c r="BA25" s="425" t="e">
        <f>TableauProduit[[#This Row],[Prix de vente/kg]]*TableauProduit[[#This Row],[Total (kg) N7]]</f>
        <v>#REF!</v>
      </c>
      <c r="BB25" s="432" t="e">
        <f>#REF!-#REF!-TableauProduit[[#This Row],[Conditionnement N7]]</f>
        <v>#REF!</v>
      </c>
      <c r="BC25" s="414">
        <v>50</v>
      </c>
      <c r="BD25" s="348" t="e">
        <f>#REF!*#REF!/1000</f>
        <v>#REF!</v>
      </c>
      <c r="BE25" s="433" t="e">
        <f>#REF!*#REF!</f>
        <v>#REF!</v>
      </c>
      <c r="BF25" s="433" t="e">
        <f>#REF!*TableauProduit[[#This Row],[Total (kg) N8]]</f>
        <v>#REF!</v>
      </c>
      <c r="BG25" s="433" t="e">
        <f>TableauProduit[[#This Row],[Prix de vente/kg]]*TableauProduit[[#This Row],[Total (kg) N8]]</f>
        <v>#REF!</v>
      </c>
      <c r="BH25" s="434" t="e">
        <f>#REF!-#REF!-TableauProduit[[#This Row],[Conditionnement N8]]</f>
        <v>#REF!</v>
      </c>
      <c r="BI25" s="401">
        <v>50</v>
      </c>
      <c r="BJ25" s="350" t="e">
        <f>#REF!*#REF!/1000</f>
        <v>#REF!</v>
      </c>
      <c r="BK25" s="435" t="e">
        <f>#REF!*#REF!</f>
        <v>#REF!</v>
      </c>
      <c r="BL25" s="435" t="e">
        <f>#REF!*TableauProduit[[#This Row],[Total (kg) N9]]</f>
        <v>#REF!</v>
      </c>
      <c r="BM25" s="435" t="e">
        <f>TableauProduit[[#This Row],[Prix de vente/kg]]*TableauProduit[[#This Row],[Total (kg) N9]]</f>
        <v>#REF!</v>
      </c>
      <c r="BN25" s="350" t="e">
        <f>#REF!-#REF!-TableauProduit[[#This Row],[Conditionnement N9]]</f>
        <v>#REF!</v>
      </c>
    </row>
    <row r="26" spans="1:66" x14ac:dyDescent="0.2">
      <c r="A26" s="13" t="s">
        <v>98</v>
      </c>
      <c r="B26" s="54" t="str">
        <f>TableauProduit[[#This Row],[Recette]]&amp;TableauProduit[[#This Row],[Conditionnement]]</f>
        <v>Tabasco jalapenoPiment liquide 100ml</v>
      </c>
      <c r="C26" s="11">
        <v>1</v>
      </c>
      <c r="D26" s="11">
        <v>100</v>
      </c>
      <c r="E26" s="6" t="s">
        <v>97</v>
      </c>
      <c r="F26" s="7">
        <f>IFERROR(VLOOKUP(TableauProduit[[#This Row],[Conditionnement]],TableauConditionnement[[Nom]:[Contenance]],4,FALSE),"")</f>
        <v>1.69</v>
      </c>
      <c r="G26" s="463">
        <f>IFERROR(SUMIFS(TableauRecette[Prix d''achat / kg],TableauRecette[Recette],TableauProduit[[#This Row],[Recette]],TableauRecette[Conditionnement],TableauProduit[[#This Row],[Conditionnement]]),0)</f>
        <v>0</v>
      </c>
      <c r="H26" s="464">
        <v>7</v>
      </c>
      <c r="I26" s="465">
        <f>TableauProduit[[#This Row],[Prix de vente/U]]/TableauProduit[[#This Row],[Poids (g) / unite]]*1000</f>
        <v>70</v>
      </c>
      <c r="J26" s="466">
        <f>SUMIFS(TableauConcurence[PRIX_KG],TableauConcurence[PRODUIT],TableauProduit[[#This Row],[Recette]],TableauConcurence[DISTRIBUTION],"magasin NON BIO")</f>
        <v>71.5</v>
      </c>
      <c r="K26" s="467">
        <f>SUMIFS(TableauConcurence[PRIX_KG],TableauConcurence[PRODUIT],TableauProduit[[#This Row],[Recette]],TableauConcurence[DISTRIBUTION],"magasin BIO")</f>
        <v>75</v>
      </c>
      <c r="L26" s="468">
        <f>SUMIFS(TableauConcurence[PRIX_KG],TableauConcurence[PRODUIT],TableauProduit[[#This Row],[Recette]],TableauConcurence[DISTRIBUTION],"artisanale BIO")</f>
        <v>110</v>
      </c>
      <c r="M26" s="410">
        <v>0</v>
      </c>
      <c r="N26" s="333">
        <f>TableauProduit[[#This Row],[Objectif de vente en unite N1]]*TableauProduit[[#This Row],[Poids (g) / unite]]/1000</f>
        <v>0</v>
      </c>
      <c r="O26" s="425">
        <f>TableauProduit[[#This Row],[Packaging / unite]]*TableauProduit[[#This Row],[Objectif de vente en unite N1]]</f>
        <v>0</v>
      </c>
      <c r="P26" s="425">
        <f>SUMIF(TableauRecette[[#This Row],[Recette]],TableauProduit[[#This Row],[Recette]],TableauRecette[[#This Row],[Prix pour kg/ de melange]])</f>
        <v>0</v>
      </c>
      <c r="Q26" s="425">
        <f>TableauProduit[[#This Row],[Prix de vente/kg]]*TableauProduit[[#This Row],[Total (kg) N1]]</f>
        <v>0</v>
      </c>
      <c r="R26" s="428" t="e">
        <f>#REF!-#REF!-TableauProduit[[#This Row],[Conditionnement N1]]</f>
        <v>#REF!</v>
      </c>
      <c r="S26" s="336">
        <v>0</v>
      </c>
      <c r="T26" s="335" t="e">
        <f>#REF!*#REF!/1000</f>
        <v>#REF!</v>
      </c>
      <c r="U26" s="417" t="e">
        <f>#REF!*#REF!</f>
        <v>#REF!</v>
      </c>
      <c r="V26" s="417" t="e">
        <f>#REF!*TableauProduit[[#This Row],[Total (kg) N2]]</f>
        <v>#REF!</v>
      </c>
      <c r="W26" s="417" t="e">
        <f>TableauProduit[[#This Row],[Prix de vente/kg]]*TableauProduit[[#This Row],[Total (kg) N2]]</f>
        <v>#REF!</v>
      </c>
      <c r="X26" s="411" t="e">
        <f>#REF!-#REF!-TableauProduit[[#This Row],[Conditionnement N2]]</f>
        <v>#REF!</v>
      </c>
      <c r="Y26" s="412">
        <v>0</v>
      </c>
      <c r="Z26" s="339" t="e">
        <f>#REF!*#REF!/1000</f>
        <v>#REF!</v>
      </c>
      <c r="AA26" s="420" t="e">
        <f>#REF!*#REF!</f>
        <v>#REF!</v>
      </c>
      <c r="AB26" s="420" t="e">
        <f>#REF!*TableauProduit[[#This Row],[Total (kg) N3]]</f>
        <v>#REF!</v>
      </c>
      <c r="AC26" s="420" t="e">
        <f>TableauProduit[[#This Row],[Prix de vente/kg]]*TableauProduit[[#This Row],[Total (kg) N3]]</f>
        <v>#REF!</v>
      </c>
      <c r="AD26" s="429" t="e">
        <f>#REF!-#REF!-TableauProduit[[#This Row],[Conditionnement N3]]</f>
        <v>#REF!</v>
      </c>
      <c r="AE26" s="341">
        <v>40</v>
      </c>
      <c r="AF26" s="341" t="e">
        <f>#REF!*#REF!/1000</f>
        <v>#REF!</v>
      </c>
      <c r="AG26" s="423" t="e">
        <f>#REF!*#REF!</f>
        <v>#REF!</v>
      </c>
      <c r="AH26" s="423" t="e">
        <f>#REF!*TableauProduit[[#This Row],[Total (kg) N4]]</f>
        <v>#REF!</v>
      </c>
      <c r="AI26" s="423" t="e">
        <f>TableauProduit[[#This Row],[Prix de vente/kg]]*TableauProduit[[#This Row],[Total (kg) N4]]</f>
        <v>#REF!</v>
      </c>
      <c r="AJ26" s="341" t="e">
        <f>#REF!-#REF!-TableauProduit[[#This Row],[Conditionnement N4]]</f>
        <v>#REF!</v>
      </c>
      <c r="AK26" s="343">
        <v>46</v>
      </c>
      <c r="AL26" s="343" t="e">
        <f>#REF!*#REF!/1000</f>
        <v>#REF!</v>
      </c>
      <c r="AM26" s="430" t="e">
        <f>#REF!*#REF!</f>
        <v>#REF!</v>
      </c>
      <c r="AN26" s="430" t="e">
        <f>#REF!*TableauProduit[[#This Row],[Total (kg) N5]]</f>
        <v>#REF!</v>
      </c>
      <c r="AO26" s="430" t="e">
        <f>TableauProduit[[#This Row],[Prix de vente/kg]]*TableauProduit[[#This Row],[Total (kg) N5]]</f>
        <v>#REF!</v>
      </c>
      <c r="AP26" s="343" t="e">
        <f>#REF!-#REF!-TableauProduit[[#This Row],[Conditionnement N5]]</f>
        <v>#REF!</v>
      </c>
      <c r="AQ26" s="345">
        <v>50</v>
      </c>
      <c r="AR26" s="345" t="e">
        <f>#REF!*#REF!/1000</f>
        <v>#REF!</v>
      </c>
      <c r="AS26" s="431" t="e">
        <f>#REF!*#REF!</f>
        <v>#REF!</v>
      </c>
      <c r="AT26" s="431" t="e">
        <f>#REF!*TableauProduit[[#This Row],[Total (kg) N6]]</f>
        <v>#REF!</v>
      </c>
      <c r="AU26" s="431" t="e">
        <f>TableauProduit[[#This Row],[Prix de vente/kg]]*TableauProduit[[#This Row],[Total (kg) N6]]</f>
        <v>#REF!</v>
      </c>
      <c r="AV26" s="345" t="e">
        <f>#REF!-#REF!-TableauProduit[[#This Row],[Conditionnement N6]]</f>
        <v>#REF!</v>
      </c>
      <c r="AW26" s="333">
        <v>50</v>
      </c>
      <c r="AX26" s="333" t="e">
        <f>#REF!*#REF!/1000</f>
        <v>#REF!</v>
      </c>
      <c r="AY26" s="425" t="e">
        <f>#REF!*#REF!</f>
        <v>#REF!</v>
      </c>
      <c r="AZ26" s="425" t="e">
        <f>#REF!*TableauProduit[[#This Row],[Total (kg) N7]]</f>
        <v>#REF!</v>
      </c>
      <c r="BA26" s="425" t="e">
        <f>TableauProduit[[#This Row],[Prix de vente/kg]]*TableauProduit[[#This Row],[Total (kg) N7]]</f>
        <v>#REF!</v>
      </c>
      <c r="BB26" s="432" t="e">
        <f>#REF!-#REF!-TableauProduit[[#This Row],[Conditionnement N7]]</f>
        <v>#REF!</v>
      </c>
      <c r="BC26" s="414">
        <v>50</v>
      </c>
      <c r="BD26" s="348" t="e">
        <f>#REF!*#REF!/1000</f>
        <v>#REF!</v>
      </c>
      <c r="BE26" s="433" t="e">
        <f>#REF!*#REF!</f>
        <v>#REF!</v>
      </c>
      <c r="BF26" s="433" t="e">
        <f>#REF!*TableauProduit[[#This Row],[Total (kg) N8]]</f>
        <v>#REF!</v>
      </c>
      <c r="BG26" s="433" t="e">
        <f>TableauProduit[[#This Row],[Prix de vente/kg]]*TableauProduit[[#This Row],[Total (kg) N8]]</f>
        <v>#REF!</v>
      </c>
      <c r="BH26" s="434" t="e">
        <f>#REF!-#REF!-TableauProduit[[#This Row],[Conditionnement N8]]</f>
        <v>#REF!</v>
      </c>
      <c r="BI26" s="401">
        <v>50</v>
      </c>
      <c r="BJ26" s="350" t="e">
        <f>#REF!*#REF!/1000</f>
        <v>#REF!</v>
      </c>
      <c r="BK26" s="435" t="e">
        <f>#REF!*#REF!</f>
        <v>#REF!</v>
      </c>
      <c r="BL26" s="435" t="e">
        <f>#REF!*TableauProduit[[#This Row],[Total (kg) N9]]</f>
        <v>#REF!</v>
      </c>
      <c r="BM26" s="435" t="e">
        <f>TableauProduit[[#This Row],[Prix de vente/kg]]*TableauProduit[[#This Row],[Total (kg) N9]]</f>
        <v>#REF!</v>
      </c>
      <c r="BN26" s="350" t="e">
        <f>#REF!-#REF!-TableauProduit[[#This Row],[Conditionnement N9]]</f>
        <v>#REF!</v>
      </c>
    </row>
    <row r="27" spans="1:66" x14ac:dyDescent="0.2">
      <c r="A27" s="13" t="s">
        <v>99</v>
      </c>
      <c r="B27" s="54" t="str">
        <f>TableauProduit[[#This Row],[Recette]]&amp;TableauProduit[[#This Row],[Conditionnement]]</f>
        <v>Tabasco cayenne jaunePiment liquide 100ml</v>
      </c>
      <c r="C27" s="11">
        <v>1</v>
      </c>
      <c r="D27" s="11">
        <v>100</v>
      </c>
      <c r="E27" s="6" t="s">
        <v>97</v>
      </c>
      <c r="F27" s="7">
        <f>IFERROR(VLOOKUP(TableauProduit[[#This Row],[Conditionnement]],TableauConditionnement[[Nom]:[Contenance]],4,FALSE),"")</f>
        <v>1.69</v>
      </c>
      <c r="G27" s="463">
        <f>IFERROR(SUMIFS(TableauRecette[Prix d''achat / kg],TableauRecette[Recette],TableauProduit[[#This Row],[Recette]],TableauRecette[Conditionnement],TableauProduit[[#This Row],[Conditionnement]]),0)</f>
        <v>0</v>
      </c>
      <c r="H27" s="464">
        <v>5</v>
      </c>
      <c r="I27" s="465">
        <f>TableauProduit[[#This Row],[Prix de vente/U]]/TableauProduit[[#This Row],[Poids (g) / unite]]*1000</f>
        <v>50</v>
      </c>
      <c r="J27" s="466">
        <f>SUMIFS(TableauConcurence[PRIX_KG],TableauConcurence[PRODUIT],TableauProduit[[#This Row],[Recette]],TableauConcurence[DISTRIBUTION],"magasin NON BIO")</f>
        <v>41.5</v>
      </c>
      <c r="K27" s="467">
        <f>SUMIFS(TableauConcurence[PRIX_KG],TableauConcurence[PRODUIT],TableauProduit[[#This Row],[Recette]],TableauConcurence[DISTRIBUTION],"magasin BIO")</f>
        <v>83.33</v>
      </c>
      <c r="L27" s="468">
        <f>SUMIFS(TableauConcurence[PRIX_KG],TableauConcurence[PRODUIT],TableauProduit[[#This Row],[Recette]],TableauConcurence[DISTRIBUTION],"artisanale BIO")</f>
        <v>120</v>
      </c>
      <c r="M27" s="410">
        <v>0</v>
      </c>
      <c r="N27" s="333">
        <f>TableauProduit[[#This Row],[Objectif de vente en unite N1]]*TableauProduit[[#This Row],[Poids (g) / unite]]/1000</f>
        <v>0</v>
      </c>
      <c r="O27" s="425">
        <f>TableauProduit[[#This Row],[Packaging / unite]]*TableauProduit[[#This Row],[Objectif de vente en unite N1]]</f>
        <v>0</v>
      </c>
      <c r="P27" s="425">
        <f>SUMIF(TableauRecette[[#This Row],[Recette]],TableauProduit[[#This Row],[Recette]],TableauRecette[[#This Row],[Prix pour kg/ de melange]])</f>
        <v>0</v>
      </c>
      <c r="Q27" s="425">
        <f>TableauProduit[[#This Row],[Prix de vente/kg]]*TableauProduit[[#This Row],[Total (kg) N1]]</f>
        <v>0</v>
      </c>
      <c r="R27" s="428" t="e">
        <f>#REF!-#REF!-TableauProduit[[#This Row],[Conditionnement N1]]</f>
        <v>#REF!</v>
      </c>
      <c r="S27" s="336">
        <v>0</v>
      </c>
      <c r="T27" s="335" t="e">
        <f>#REF!*#REF!/1000</f>
        <v>#REF!</v>
      </c>
      <c r="U27" s="417" t="e">
        <f>#REF!*#REF!</f>
        <v>#REF!</v>
      </c>
      <c r="V27" s="417" t="e">
        <f>#REF!*TableauProduit[[#This Row],[Total (kg) N2]]</f>
        <v>#REF!</v>
      </c>
      <c r="W27" s="417" t="e">
        <f>TableauProduit[[#This Row],[Prix de vente/kg]]*TableauProduit[[#This Row],[Total (kg) N2]]</f>
        <v>#REF!</v>
      </c>
      <c r="X27" s="411" t="e">
        <f>#REF!-#REF!-TableauProduit[[#This Row],[Conditionnement N2]]</f>
        <v>#REF!</v>
      </c>
      <c r="Y27" s="412">
        <v>0</v>
      </c>
      <c r="Z27" s="339" t="e">
        <f>#REF!*#REF!/1000</f>
        <v>#REF!</v>
      </c>
      <c r="AA27" s="420" t="e">
        <f>#REF!*#REF!</f>
        <v>#REF!</v>
      </c>
      <c r="AB27" s="420" t="e">
        <f>#REF!*TableauProduit[[#This Row],[Total (kg) N3]]</f>
        <v>#REF!</v>
      </c>
      <c r="AC27" s="420" t="e">
        <f>TableauProduit[[#This Row],[Prix de vente/kg]]*TableauProduit[[#This Row],[Total (kg) N3]]</f>
        <v>#REF!</v>
      </c>
      <c r="AD27" s="429" t="e">
        <f>#REF!-#REF!-TableauProduit[[#This Row],[Conditionnement N3]]</f>
        <v>#REF!</v>
      </c>
      <c r="AE27" s="341">
        <v>30</v>
      </c>
      <c r="AF27" s="341" t="e">
        <f>#REF!*#REF!/1000</f>
        <v>#REF!</v>
      </c>
      <c r="AG27" s="423" t="e">
        <f>#REF!*#REF!</f>
        <v>#REF!</v>
      </c>
      <c r="AH27" s="423" t="e">
        <f>#REF!*TableauProduit[[#This Row],[Total (kg) N4]]</f>
        <v>#REF!</v>
      </c>
      <c r="AI27" s="423" t="e">
        <f>TableauProduit[[#This Row],[Prix de vente/kg]]*TableauProduit[[#This Row],[Total (kg) N4]]</f>
        <v>#REF!</v>
      </c>
      <c r="AJ27" s="341" t="e">
        <f>#REF!-#REF!-TableauProduit[[#This Row],[Conditionnement N4]]</f>
        <v>#REF!</v>
      </c>
      <c r="AK27" s="343">
        <v>34</v>
      </c>
      <c r="AL27" s="343" t="e">
        <f>#REF!*#REF!/1000</f>
        <v>#REF!</v>
      </c>
      <c r="AM27" s="430" t="e">
        <f>#REF!*#REF!</f>
        <v>#REF!</v>
      </c>
      <c r="AN27" s="430" t="e">
        <f>#REF!*TableauProduit[[#This Row],[Total (kg) N5]]</f>
        <v>#REF!</v>
      </c>
      <c r="AO27" s="430" t="e">
        <f>TableauProduit[[#This Row],[Prix de vente/kg]]*TableauProduit[[#This Row],[Total (kg) N5]]</f>
        <v>#REF!</v>
      </c>
      <c r="AP27" s="343" t="e">
        <f>#REF!-#REF!-TableauProduit[[#This Row],[Conditionnement N5]]</f>
        <v>#REF!</v>
      </c>
      <c r="AQ27" s="345">
        <v>38</v>
      </c>
      <c r="AR27" s="345" t="e">
        <f>#REF!*#REF!/1000</f>
        <v>#REF!</v>
      </c>
      <c r="AS27" s="431" t="e">
        <f>#REF!*#REF!</f>
        <v>#REF!</v>
      </c>
      <c r="AT27" s="431" t="e">
        <f>#REF!*TableauProduit[[#This Row],[Total (kg) N6]]</f>
        <v>#REF!</v>
      </c>
      <c r="AU27" s="431" t="e">
        <f>TableauProduit[[#This Row],[Prix de vente/kg]]*TableauProduit[[#This Row],[Total (kg) N6]]</f>
        <v>#REF!</v>
      </c>
      <c r="AV27" s="345" t="e">
        <f>#REF!-#REF!-TableauProduit[[#This Row],[Conditionnement N6]]</f>
        <v>#REF!</v>
      </c>
      <c r="AW27" s="333">
        <v>38</v>
      </c>
      <c r="AX27" s="333" t="e">
        <f>#REF!*#REF!/1000</f>
        <v>#REF!</v>
      </c>
      <c r="AY27" s="425" t="e">
        <f>#REF!*#REF!</f>
        <v>#REF!</v>
      </c>
      <c r="AZ27" s="425" t="e">
        <f>#REF!*TableauProduit[[#This Row],[Total (kg) N7]]</f>
        <v>#REF!</v>
      </c>
      <c r="BA27" s="425" t="e">
        <f>TableauProduit[[#This Row],[Prix de vente/kg]]*TableauProduit[[#This Row],[Total (kg) N7]]</f>
        <v>#REF!</v>
      </c>
      <c r="BB27" s="432" t="e">
        <f>#REF!-#REF!-TableauProduit[[#This Row],[Conditionnement N7]]</f>
        <v>#REF!</v>
      </c>
      <c r="BC27" s="414">
        <v>38</v>
      </c>
      <c r="BD27" s="348" t="e">
        <f>#REF!*#REF!/1000</f>
        <v>#REF!</v>
      </c>
      <c r="BE27" s="433" t="e">
        <f>#REF!*#REF!</f>
        <v>#REF!</v>
      </c>
      <c r="BF27" s="433" t="e">
        <f>#REF!*TableauProduit[[#This Row],[Total (kg) N8]]</f>
        <v>#REF!</v>
      </c>
      <c r="BG27" s="433" t="e">
        <f>TableauProduit[[#This Row],[Prix de vente/kg]]*TableauProduit[[#This Row],[Total (kg) N8]]</f>
        <v>#REF!</v>
      </c>
      <c r="BH27" s="434" t="e">
        <f>#REF!-#REF!-TableauProduit[[#This Row],[Conditionnement N8]]</f>
        <v>#REF!</v>
      </c>
      <c r="BI27" s="401">
        <v>38</v>
      </c>
      <c r="BJ27" s="350" t="e">
        <f>#REF!*#REF!/1000</f>
        <v>#REF!</v>
      </c>
      <c r="BK27" s="435" t="e">
        <f>#REF!*#REF!</f>
        <v>#REF!</v>
      </c>
      <c r="BL27" s="435" t="e">
        <f>#REF!*TableauProduit[[#This Row],[Total (kg) N9]]</f>
        <v>#REF!</v>
      </c>
      <c r="BM27" s="435" t="e">
        <f>TableauProduit[[#This Row],[Prix de vente/kg]]*TableauProduit[[#This Row],[Total (kg) N9]]</f>
        <v>#REF!</v>
      </c>
      <c r="BN27" s="350" t="e">
        <f>#REF!-#REF!-TableauProduit[[#This Row],[Conditionnement N9]]</f>
        <v>#REF!</v>
      </c>
    </row>
    <row r="28" spans="1:66" x14ac:dyDescent="0.2">
      <c r="A28" s="13" t="s">
        <v>100</v>
      </c>
      <c r="B28" s="54" t="str">
        <f>TableauProduit[[#This Row],[Recette]]&amp;TableauProduit[[#This Row],[Conditionnement]]</f>
        <v>Épices tandooriEpice 100ml</v>
      </c>
      <c r="C28" s="11">
        <v>1</v>
      </c>
      <c r="D28" s="11">
        <v>50</v>
      </c>
      <c r="E28" s="6" t="s">
        <v>73</v>
      </c>
      <c r="F28" s="7">
        <f>IFERROR(VLOOKUP(TableauProduit[[#This Row],[Conditionnement]],TableauConditionnement[[Nom]:[Contenance]],4,FALSE),"")</f>
        <v>0.64</v>
      </c>
      <c r="G28" s="463">
        <f>IFERROR(SUMIFS(TableauRecette[Prix d''achat / kg],TableauRecette[Recette],TableauProduit[[#This Row],[Recette]],TableauRecette[Conditionnement],TableauProduit[[#This Row],[Conditionnement]]),0)</f>
        <v>0</v>
      </c>
      <c r="H28" s="464">
        <v>5</v>
      </c>
      <c r="I28" s="465">
        <f>TableauProduit[[#This Row],[Prix de vente/U]]/TableauProduit[[#This Row],[Poids (g) / unite]]*1000</f>
        <v>100</v>
      </c>
      <c r="J28" s="466">
        <f>SUMIFS(TableauConcurence[PRIX_KG],TableauConcurence[PRODUIT],TableauProduit[[#This Row],[Recette]],TableauConcurence[DISTRIBUTION],"magasin NON BIO")</f>
        <v>0</v>
      </c>
      <c r="K28" s="467">
        <f>SUMIFS(TableauConcurence[PRIX_KG],TableauConcurence[PRODUIT],TableauProduit[[#This Row],[Recette]],TableauConcurence[DISTRIBUTION],"magasin BIO")</f>
        <v>0</v>
      </c>
      <c r="L28" s="468">
        <f>SUMIFS(TableauConcurence[PRIX_KG],TableauConcurence[PRODUIT],TableauProduit[[#This Row],[Recette]],TableauConcurence[DISTRIBUTION],"artisanale BIO")</f>
        <v>0</v>
      </c>
      <c r="M28" s="410">
        <v>0</v>
      </c>
      <c r="N28" s="333">
        <f>TableauProduit[[#This Row],[Objectif de vente en unite N1]]*TableauProduit[[#This Row],[Poids (g) / unite]]/1000</f>
        <v>0</v>
      </c>
      <c r="O28" s="425">
        <f>TableauProduit[[#This Row],[Packaging / unite]]*TableauProduit[[#This Row],[Objectif de vente en unite N1]]</f>
        <v>0</v>
      </c>
      <c r="P28" s="425">
        <f>SUMIF(TableauRecette[[#This Row],[Recette]],TableauProduit[[#This Row],[Recette]],TableauRecette[[#This Row],[Prix pour kg/ de melange]])</f>
        <v>0</v>
      </c>
      <c r="Q28" s="425">
        <f>TableauProduit[[#This Row],[Prix de vente/kg]]*TableauProduit[[#This Row],[Total (kg) N1]]</f>
        <v>0</v>
      </c>
      <c r="R28" s="428" t="e">
        <f>#REF!-#REF!-TableauProduit[[#This Row],[Conditionnement N1]]</f>
        <v>#REF!</v>
      </c>
      <c r="S28" s="336">
        <v>0</v>
      </c>
      <c r="T28" s="335" t="e">
        <f>#REF!*#REF!/1000</f>
        <v>#REF!</v>
      </c>
      <c r="U28" s="417" t="e">
        <f>#REF!*#REF!</f>
        <v>#REF!</v>
      </c>
      <c r="V28" s="417" t="e">
        <f>#REF!*TableauProduit[[#This Row],[Total (kg) N2]]</f>
        <v>#REF!</v>
      </c>
      <c r="W28" s="417" t="e">
        <f>TableauProduit[[#This Row],[Prix de vente/kg]]*TableauProduit[[#This Row],[Total (kg) N2]]</f>
        <v>#REF!</v>
      </c>
      <c r="X28" s="411" t="e">
        <f>#REF!-#REF!-TableauProduit[[#This Row],[Conditionnement N2]]</f>
        <v>#REF!</v>
      </c>
      <c r="Y28" s="412">
        <v>70</v>
      </c>
      <c r="Z28" s="339" t="e">
        <f>#REF!*#REF!/1000</f>
        <v>#REF!</v>
      </c>
      <c r="AA28" s="420" t="e">
        <f>#REF!*#REF!</f>
        <v>#REF!</v>
      </c>
      <c r="AB28" s="420" t="e">
        <f>#REF!*TableauProduit[[#This Row],[Total (kg) N3]]</f>
        <v>#REF!</v>
      </c>
      <c r="AC28" s="420" t="e">
        <f>TableauProduit[[#This Row],[Prix de vente/kg]]*TableauProduit[[#This Row],[Total (kg) N3]]</f>
        <v>#REF!</v>
      </c>
      <c r="AD28" s="429" t="e">
        <f>#REF!-#REF!-TableauProduit[[#This Row],[Conditionnement N3]]</f>
        <v>#REF!</v>
      </c>
      <c r="AE28" s="341">
        <v>88</v>
      </c>
      <c r="AF28" s="341" t="e">
        <f>#REF!*#REF!/1000</f>
        <v>#REF!</v>
      </c>
      <c r="AG28" s="423" t="e">
        <f>#REF!*#REF!</f>
        <v>#REF!</v>
      </c>
      <c r="AH28" s="423" t="e">
        <f>#REF!*TableauProduit[[#This Row],[Total (kg) N4]]</f>
        <v>#REF!</v>
      </c>
      <c r="AI28" s="423" t="e">
        <f>TableauProduit[[#This Row],[Prix de vente/kg]]*TableauProduit[[#This Row],[Total (kg) N4]]</f>
        <v>#REF!</v>
      </c>
      <c r="AJ28" s="341" t="e">
        <f>#REF!-#REF!-TableauProduit[[#This Row],[Conditionnement N4]]</f>
        <v>#REF!</v>
      </c>
      <c r="AK28" s="343">
        <v>98</v>
      </c>
      <c r="AL28" s="343" t="e">
        <f>#REF!*#REF!/1000</f>
        <v>#REF!</v>
      </c>
      <c r="AM28" s="430" t="e">
        <f>#REF!*#REF!</f>
        <v>#REF!</v>
      </c>
      <c r="AN28" s="430" t="e">
        <f>#REF!*TableauProduit[[#This Row],[Total (kg) N5]]</f>
        <v>#REF!</v>
      </c>
      <c r="AO28" s="430" t="e">
        <f>TableauProduit[[#This Row],[Prix de vente/kg]]*TableauProduit[[#This Row],[Total (kg) N5]]</f>
        <v>#REF!</v>
      </c>
      <c r="AP28" s="343" t="e">
        <f>#REF!-#REF!-TableauProduit[[#This Row],[Conditionnement N5]]</f>
        <v>#REF!</v>
      </c>
      <c r="AQ28" s="345">
        <v>102</v>
      </c>
      <c r="AR28" s="345" t="e">
        <f>#REF!*#REF!/1000</f>
        <v>#REF!</v>
      </c>
      <c r="AS28" s="431" t="e">
        <f>#REF!*#REF!</f>
        <v>#REF!</v>
      </c>
      <c r="AT28" s="431" t="e">
        <f>#REF!*TableauProduit[[#This Row],[Total (kg) N6]]</f>
        <v>#REF!</v>
      </c>
      <c r="AU28" s="431" t="e">
        <f>TableauProduit[[#This Row],[Prix de vente/kg]]*TableauProduit[[#This Row],[Total (kg) N6]]</f>
        <v>#REF!</v>
      </c>
      <c r="AV28" s="345" t="e">
        <f>#REF!-#REF!-TableauProduit[[#This Row],[Conditionnement N6]]</f>
        <v>#REF!</v>
      </c>
      <c r="AW28" s="333">
        <v>102</v>
      </c>
      <c r="AX28" s="333" t="e">
        <f>#REF!*#REF!/1000</f>
        <v>#REF!</v>
      </c>
      <c r="AY28" s="425" t="e">
        <f>#REF!*#REF!</f>
        <v>#REF!</v>
      </c>
      <c r="AZ28" s="425" t="e">
        <f>#REF!*TableauProduit[[#This Row],[Total (kg) N7]]</f>
        <v>#REF!</v>
      </c>
      <c r="BA28" s="425" t="e">
        <f>TableauProduit[[#This Row],[Prix de vente/kg]]*TableauProduit[[#This Row],[Total (kg) N7]]</f>
        <v>#REF!</v>
      </c>
      <c r="BB28" s="432" t="e">
        <f>#REF!-#REF!-TableauProduit[[#This Row],[Conditionnement N7]]</f>
        <v>#REF!</v>
      </c>
      <c r="BC28" s="414">
        <v>102</v>
      </c>
      <c r="BD28" s="348" t="e">
        <f>#REF!*#REF!/1000</f>
        <v>#REF!</v>
      </c>
      <c r="BE28" s="433" t="e">
        <f>#REF!*#REF!</f>
        <v>#REF!</v>
      </c>
      <c r="BF28" s="433" t="e">
        <f>#REF!*TableauProduit[[#This Row],[Total (kg) N8]]</f>
        <v>#REF!</v>
      </c>
      <c r="BG28" s="433" t="e">
        <f>TableauProduit[[#This Row],[Prix de vente/kg]]*TableauProduit[[#This Row],[Total (kg) N8]]</f>
        <v>#REF!</v>
      </c>
      <c r="BH28" s="434" t="e">
        <f>#REF!-#REF!-TableauProduit[[#This Row],[Conditionnement N8]]</f>
        <v>#REF!</v>
      </c>
      <c r="BI28" s="401">
        <v>102</v>
      </c>
      <c r="BJ28" s="350" t="e">
        <f>#REF!*#REF!/1000</f>
        <v>#REF!</v>
      </c>
      <c r="BK28" s="435" t="e">
        <f>#REF!*#REF!</f>
        <v>#REF!</v>
      </c>
      <c r="BL28" s="435" t="e">
        <f>#REF!*TableauProduit[[#This Row],[Total (kg) N9]]</f>
        <v>#REF!</v>
      </c>
      <c r="BM28" s="435" t="e">
        <f>TableauProduit[[#This Row],[Prix de vente/kg]]*TableauProduit[[#This Row],[Total (kg) N9]]</f>
        <v>#REF!</v>
      </c>
      <c r="BN28" s="350" t="e">
        <f>#REF!-#REF!-TableauProduit[[#This Row],[Conditionnement N9]]</f>
        <v>#REF!</v>
      </c>
    </row>
    <row r="29" spans="1:66" x14ac:dyDescent="0.2">
      <c r="A29" s="13" t="s">
        <v>101</v>
      </c>
      <c r="B29" s="54" t="str">
        <f>TableauProduit[[#This Row],[Recette]]&amp;TableauProduit[[#This Row],[Conditionnement]]</f>
        <v>Curry MadrasEpice 100ml</v>
      </c>
      <c r="C29" s="11">
        <v>1</v>
      </c>
      <c r="D29" s="11">
        <v>50</v>
      </c>
      <c r="E29" s="6" t="s">
        <v>73</v>
      </c>
      <c r="F29" s="7">
        <f>IFERROR(VLOOKUP(TableauProduit[[#This Row],[Conditionnement]],TableauConditionnement[[Nom]:[Contenance]],4,FALSE),"")</f>
        <v>0.64</v>
      </c>
      <c r="G29" s="463">
        <f>IFERROR(SUMIFS(TableauRecette[Prix d''achat / kg],TableauRecette[Recette],TableauProduit[[#This Row],[Recette]],TableauRecette[Conditionnement],TableauProduit[[#This Row],[Conditionnement]]),0)</f>
        <v>0</v>
      </c>
      <c r="H29" s="464">
        <v>4</v>
      </c>
      <c r="I29" s="465">
        <f>TableauProduit[[#This Row],[Prix de vente/U]]/TableauProduit[[#This Row],[Poids (g) / unite]]*1000</f>
        <v>80</v>
      </c>
      <c r="J29" s="466">
        <f>SUMIFS(TableauConcurence[PRIX_KG],TableauConcurence[PRODUIT],TableauProduit[[#This Row],[Recette]],TableauConcurence[DISTRIBUTION],"magasin NON BIO")</f>
        <v>51.32</v>
      </c>
      <c r="K29" s="467">
        <f>SUMIFS(TableauConcurence[PRIX_KG],TableauConcurence[PRODUIT],TableauProduit[[#This Row],[Recette]],TableauConcurence[DISTRIBUTION],"magasin BIO")</f>
        <v>56</v>
      </c>
      <c r="L29" s="468">
        <f>SUMIFS(TableauConcurence[PRIX_KG],TableauConcurence[PRODUIT],TableauProduit[[#This Row],[Recette]],TableauConcurence[DISTRIBUTION],"artisanale BIO")</f>
        <v>90</v>
      </c>
      <c r="M29" s="410">
        <v>450</v>
      </c>
      <c r="N29" s="333">
        <f>TableauProduit[[#This Row],[Objectif de vente en unite N1]]*TableauProduit[[#This Row],[Poids (g) / unite]]/1000</f>
        <v>22.5</v>
      </c>
      <c r="O29" s="425">
        <f>TableauProduit[[#This Row],[Packaging / unite]]*TableauProduit[[#This Row],[Objectif de vente en unite N1]]</f>
        <v>288</v>
      </c>
      <c r="P29" s="425">
        <f>SUMIF(TableauRecette[[#This Row],[Recette]],TableauProduit[[#This Row],[Recette]],TableauRecette[[#This Row],[Prix pour kg/ de melange]])</f>
        <v>0</v>
      </c>
      <c r="Q29" s="425">
        <f>TableauProduit[[#This Row],[Prix de vente/kg]]*TableauProduit[[#This Row],[Total (kg) N1]]</f>
        <v>1800</v>
      </c>
      <c r="R29" s="428" t="e">
        <f>#REF!-#REF!-TableauProduit[[#This Row],[Conditionnement N1]]</f>
        <v>#REF!</v>
      </c>
      <c r="S29" s="336">
        <v>675</v>
      </c>
      <c r="T29" s="335" t="e">
        <f>#REF!*#REF!/1000</f>
        <v>#REF!</v>
      </c>
      <c r="U29" s="417" t="e">
        <f>#REF!*#REF!</f>
        <v>#REF!</v>
      </c>
      <c r="V29" s="417" t="e">
        <f>#REF!*TableauProduit[[#This Row],[Total (kg) N2]]</f>
        <v>#REF!</v>
      </c>
      <c r="W29" s="417" t="e">
        <f>TableauProduit[[#This Row],[Prix de vente/kg]]*TableauProduit[[#This Row],[Total (kg) N2]]</f>
        <v>#REF!</v>
      </c>
      <c r="X29" s="411" t="e">
        <f>#REF!-#REF!-TableauProduit[[#This Row],[Conditionnement N2]]</f>
        <v>#REF!</v>
      </c>
      <c r="Y29" s="412">
        <v>788</v>
      </c>
      <c r="Z29" s="339" t="e">
        <f>#REF!*#REF!/1000</f>
        <v>#REF!</v>
      </c>
      <c r="AA29" s="420" t="e">
        <f>#REF!*#REF!</f>
        <v>#REF!</v>
      </c>
      <c r="AB29" s="420" t="e">
        <f>#REF!*TableauProduit[[#This Row],[Total (kg) N3]]</f>
        <v>#REF!</v>
      </c>
      <c r="AC29" s="420" t="e">
        <f>TableauProduit[[#This Row],[Prix de vente/kg]]*TableauProduit[[#This Row],[Total (kg) N3]]</f>
        <v>#REF!</v>
      </c>
      <c r="AD29" s="429" t="e">
        <f>#REF!-#REF!-TableauProduit[[#This Row],[Conditionnement N3]]</f>
        <v>#REF!</v>
      </c>
      <c r="AE29" s="341">
        <v>855</v>
      </c>
      <c r="AF29" s="341" t="e">
        <f>#REF!*#REF!/1000</f>
        <v>#REF!</v>
      </c>
      <c r="AG29" s="423" t="e">
        <f>#REF!*#REF!</f>
        <v>#REF!</v>
      </c>
      <c r="AH29" s="423" t="e">
        <f>#REF!*TableauProduit[[#This Row],[Total (kg) N4]]</f>
        <v>#REF!</v>
      </c>
      <c r="AI29" s="423" t="e">
        <f>TableauProduit[[#This Row],[Prix de vente/kg]]*TableauProduit[[#This Row],[Total (kg) N4]]</f>
        <v>#REF!</v>
      </c>
      <c r="AJ29" s="341" t="e">
        <f>#REF!-#REF!-TableauProduit[[#This Row],[Conditionnement N4]]</f>
        <v>#REF!</v>
      </c>
      <c r="AK29" s="343">
        <v>900</v>
      </c>
      <c r="AL29" s="343" t="e">
        <f>#REF!*#REF!/1000</f>
        <v>#REF!</v>
      </c>
      <c r="AM29" s="430" t="e">
        <f>#REF!*#REF!</f>
        <v>#REF!</v>
      </c>
      <c r="AN29" s="430" t="e">
        <f>#REF!*TableauProduit[[#This Row],[Total (kg) N5]]</f>
        <v>#REF!</v>
      </c>
      <c r="AO29" s="430" t="e">
        <f>TableauProduit[[#This Row],[Prix de vente/kg]]*TableauProduit[[#This Row],[Total (kg) N5]]</f>
        <v>#REF!</v>
      </c>
      <c r="AP29" s="343" t="e">
        <f>#REF!-#REF!-TableauProduit[[#This Row],[Conditionnement N5]]</f>
        <v>#REF!</v>
      </c>
      <c r="AQ29" s="345">
        <v>900</v>
      </c>
      <c r="AR29" s="345" t="e">
        <f>#REF!*#REF!/1000</f>
        <v>#REF!</v>
      </c>
      <c r="AS29" s="431" t="e">
        <f>#REF!*#REF!</f>
        <v>#REF!</v>
      </c>
      <c r="AT29" s="431" t="e">
        <f>#REF!*TableauProduit[[#This Row],[Total (kg) N6]]</f>
        <v>#REF!</v>
      </c>
      <c r="AU29" s="431" t="e">
        <f>TableauProduit[[#This Row],[Prix de vente/kg]]*TableauProduit[[#This Row],[Total (kg) N6]]</f>
        <v>#REF!</v>
      </c>
      <c r="AV29" s="345" t="e">
        <f>#REF!-#REF!-TableauProduit[[#This Row],[Conditionnement N6]]</f>
        <v>#REF!</v>
      </c>
      <c r="AW29" s="333">
        <v>900</v>
      </c>
      <c r="AX29" s="333" t="e">
        <f>#REF!*#REF!/1000</f>
        <v>#REF!</v>
      </c>
      <c r="AY29" s="425" t="e">
        <f>#REF!*#REF!</f>
        <v>#REF!</v>
      </c>
      <c r="AZ29" s="425" t="e">
        <f>#REF!*TableauProduit[[#This Row],[Total (kg) N7]]</f>
        <v>#REF!</v>
      </c>
      <c r="BA29" s="425" t="e">
        <f>TableauProduit[[#This Row],[Prix de vente/kg]]*TableauProduit[[#This Row],[Total (kg) N7]]</f>
        <v>#REF!</v>
      </c>
      <c r="BB29" s="432" t="e">
        <f>#REF!-#REF!-TableauProduit[[#This Row],[Conditionnement N7]]</f>
        <v>#REF!</v>
      </c>
      <c r="BC29" s="414">
        <v>900</v>
      </c>
      <c r="BD29" s="348" t="e">
        <f>#REF!*#REF!/1000</f>
        <v>#REF!</v>
      </c>
      <c r="BE29" s="433" t="e">
        <f>#REF!*#REF!</f>
        <v>#REF!</v>
      </c>
      <c r="BF29" s="433" t="e">
        <f>#REF!*TableauProduit[[#This Row],[Total (kg) N8]]</f>
        <v>#REF!</v>
      </c>
      <c r="BG29" s="433" t="e">
        <f>TableauProduit[[#This Row],[Prix de vente/kg]]*TableauProduit[[#This Row],[Total (kg) N8]]</f>
        <v>#REF!</v>
      </c>
      <c r="BH29" s="434" t="e">
        <f>#REF!-#REF!-TableauProduit[[#This Row],[Conditionnement N8]]</f>
        <v>#REF!</v>
      </c>
      <c r="BI29" s="401">
        <v>900</v>
      </c>
      <c r="BJ29" s="350" t="e">
        <f>#REF!*#REF!/1000</f>
        <v>#REF!</v>
      </c>
      <c r="BK29" s="435" t="e">
        <f>#REF!*#REF!</f>
        <v>#REF!</v>
      </c>
      <c r="BL29" s="435" t="e">
        <f>#REF!*TableauProduit[[#This Row],[Total (kg) N9]]</f>
        <v>#REF!</v>
      </c>
      <c r="BM29" s="435" t="e">
        <f>TableauProduit[[#This Row],[Prix de vente/kg]]*TableauProduit[[#This Row],[Total (kg) N9]]</f>
        <v>#REF!</v>
      </c>
      <c r="BN29" s="350" t="e">
        <f>#REF!-#REF!-TableauProduit[[#This Row],[Conditionnement N9]]</f>
        <v>#REF!</v>
      </c>
    </row>
    <row r="30" spans="1:66" x14ac:dyDescent="0.2">
      <c r="A30" s="13" t="s">
        <v>102</v>
      </c>
      <c r="B30" s="54" t="str">
        <f>TableauProduit[[#This Row],[Recette]]&amp;TableauProduit[[#This Row],[Conditionnement]]</f>
        <v>Tabasco violet fortPiment liquide 100ml</v>
      </c>
      <c r="C30" s="11">
        <v>1</v>
      </c>
      <c r="D30" s="11">
        <v>100</v>
      </c>
      <c r="E30" s="6" t="s">
        <v>97</v>
      </c>
      <c r="F30" s="7">
        <f>IFERROR(VLOOKUP(TableauProduit[[#This Row],[Conditionnement]],TableauConditionnement[[Nom]:[Contenance]],4,FALSE),"")</f>
        <v>1.69</v>
      </c>
      <c r="G30" s="463">
        <f>IFERROR(SUMIFS(TableauRecette[Prix d''achat / kg],TableauRecette[Recette],TableauProduit[[#This Row],[Recette]],TableauRecette[Conditionnement],TableauProduit[[#This Row],[Conditionnement]]),0)</f>
        <v>0</v>
      </c>
      <c r="H30" s="464">
        <v>2.9</v>
      </c>
      <c r="I30" s="465">
        <f>TableauProduit[[#This Row],[Prix de vente/U]]/TableauProduit[[#This Row],[Poids (g) / unite]]*1000</f>
        <v>28.999999999999996</v>
      </c>
      <c r="J30" s="466">
        <f>SUMIFS(TableauConcurence[PRIX_KG],TableauConcurence[PRODUIT],TableauProduit[[#This Row],[Recette]],TableauConcurence[DISTRIBUTION],"magasin NON BIO")</f>
        <v>71.5</v>
      </c>
      <c r="K30" s="467">
        <f>SUMIFS(TableauConcurence[PRIX_KG],TableauConcurence[PRODUIT],TableauProduit[[#This Row],[Recette]],TableauConcurence[DISTRIBUTION],"magasin BIO")</f>
        <v>66.67</v>
      </c>
      <c r="L30" s="468">
        <f>SUMIFS(TableauConcurence[PRIX_KG],TableauConcurence[PRODUIT],TableauProduit[[#This Row],[Recette]],TableauConcurence[DISTRIBUTION],"artisanale BIO")</f>
        <v>100</v>
      </c>
      <c r="M30" s="410">
        <v>0</v>
      </c>
      <c r="N30" s="333">
        <f>TableauProduit[[#This Row],[Objectif de vente en unite N1]]*TableauProduit[[#This Row],[Poids (g) / unite]]/1000</f>
        <v>0</v>
      </c>
      <c r="O30" s="425">
        <f>TableauProduit[[#This Row],[Packaging / unite]]*TableauProduit[[#This Row],[Objectif de vente en unite N1]]</f>
        <v>0</v>
      </c>
      <c r="P30" s="425">
        <f>SUMIF(TableauRecette[[#This Row],[Recette]],TableauProduit[[#This Row],[Recette]],TableauRecette[[#This Row],[Prix pour kg/ de melange]])</f>
        <v>0</v>
      </c>
      <c r="Q30" s="425">
        <f>TableauProduit[[#This Row],[Prix de vente/kg]]*TableauProduit[[#This Row],[Total (kg) N1]]</f>
        <v>0</v>
      </c>
      <c r="R30" s="428" t="e">
        <f>#REF!-#REF!-TableauProduit[[#This Row],[Conditionnement N1]]</f>
        <v>#REF!</v>
      </c>
      <c r="S30" s="336">
        <v>0</v>
      </c>
      <c r="T30" s="335" t="e">
        <f>#REF!*#REF!/1000</f>
        <v>#REF!</v>
      </c>
      <c r="U30" s="417" t="e">
        <f>#REF!*#REF!</f>
        <v>#REF!</v>
      </c>
      <c r="V30" s="417" t="e">
        <f>#REF!*TableauProduit[[#This Row],[Total (kg) N2]]</f>
        <v>#REF!</v>
      </c>
      <c r="W30" s="417" t="e">
        <f>TableauProduit[[#This Row],[Prix de vente/kg]]*TableauProduit[[#This Row],[Total (kg) N2]]</f>
        <v>#REF!</v>
      </c>
      <c r="X30" s="411" t="e">
        <f>#REF!-#REF!-TableauProduit[[#This Row],[Conditionnement N2]]</f>
        <v>#REF!</v>
      </c>
      <c r="Y30" s="412">
        <v>0</v>
      </c>
      <c r="Z30" s="339" t="e">
        <f>#REF!*#REF!/1000</f>
        <v>#REF!</v>
      </c>
      <c r="AA30" s="420" t="e">
        <f>#REF!*#REF!</f>
        <v>#REF!</v>
      </c>
      <c r="AB30" s="420" t="e">
        <f>#REF!*TableauProduit[[#This Row],[Total (kg) N3]]</f>
        <v>#REF!</v>
      </c>
      <c r="AC30" s="420" t="e">
        <f>TableauProduit[[#This Row],[Prix de vente/kg]]*TableauProduit[[#This Row],[Total (kg) N3]]</f>
        <v>#REF!</v>
      </c>
      <c r="AD30" s="429" t="e">
        <f>#REF!-#REF!-TableauProduit[[#This Row],[Conditionnement N3]]</f>
        <v>#REF!</v>
      </c>
      <c r="AE30" s="341">
        <v>30</v>
      </c>
      <c r="AF30" s="341" t="e">
        <f>#REF!*#REF!/1000</f>
        <v>#REF!</v>
      </c>
      <c r="AG30" s="423" t="e">
        <f>#REF!*#REF!</f>
        <v>#REF!</v>
      </c>
      <c r="AH30" s="423" t="e">
        <f>#REF!*TableauProduit[[#This Row],[Total (kg) N4]]</f>
        <v>#REF!</v>
      </c>
      <c r="AI30" s="423" t="e">
        <f>TableauProduit[[#This Row],[Prix de vente/kg]]*TableauProduit[[#This Row],[Total (kg) N4]]</f>
        <v>#REF!</v>
      </c>
      <c r="AJ30" s="341" t="e">
        <f>#REF!-#REF!-TableauProduit[[#This Row],[Conditionnement N4]]</f>
        <v>#REF!</v>
      </c>
      <c r="AK30" s="343">
        <v>34</v>
      </c>
      <c r="AL30" s="343" t="e">
        <f>#REF!*#REF!/1000</f>
        <v>#REF!</v>
      </c>
      <c r="AM30" s="430" t="e">
        <f>#REF!*#REF!</f>
        <v>#REF!</v>
      </c>
      <c r="AN30" s="430" t="e">
        <f>#REF!*TableauProduit[[#This Row],[Total (kg) N5]]</f>
        <v>#REF!</v>
      </c>
      <c r="AO30" s="430" t="e">
        <f>TableauProduit[[#This Row],[Prix de vente/kg]]*TableauProduit[[#This Row],[Total (kg) N5]]</f>
        <v>#REF!</v>
      </c>
      <c r="AP30" s="343" t="e">
        <f>#REF!-#REF!-TableauProduit[[#This Row],[Conditionnement N5]]</f>
        <v>#REF!</v>
      </c>
      <c r="AQ30" s="345">
        <v>38</v>
      </c>
      <c r="AR30" s="345" t="e">
        <f>#REF!*#REF!/1000</f>
        <v>#REF!</v>
      </c>
      <c r="AS30" s="431" t="e">
        <f>#REF!*#REF!</f>
        <v>#REF!</v>
      </c>
      <c r="AT30" s="431" t="e">
        <f>#REF!*TableauProduit[[#This Row],[Total (kg) N6]]</f>
        <v>#REF!</v>
      </c>
      <c r="AU30" s="431" t="e">
        <f>TableauProduit[[#This Row],[Prix de vente/kg]]*TableauProduit[[#This Row],[Total (kg) N6]]</f>
        <v>#REF!</v>
      </c>
      <c r="AV30" s="345" t="e">
        <f>#REF!-#REF!-TableauProduit[[#This Row],[Conditionnement N6]]</f>
        <v>#REF!</v>
      </c>
      <c r="AW30" s="333">
        <v>38</v>
      </c>
      <c r="AX30" s="333" t="e">
        <f>#REF!*#REF!/1000</f>
        <v>#REF!</v>
      </c>
      <c r="AY30" s="425" t="e">
        <f>#REF!*#REF!</f>
        <v>#REF!</v>
      </c>
      <c r="AZ30" s="425" t="e">
        <f>#REF!*TableauProduit[[#This Row],[Total (kg) N7]]</f>
        <v>#REF!</v>
      </c>
      <c r="BA30" s="425" t="e">
        <f>TableauProduit[[#This Row],[Prix de vente/kg]]*TableauProduit[[#This Row],[Total (kg) N7]]</f>
        <v>#REF!</v>
      </c>
      <c r="BB30" s="432" t="e">
        <f>#REF!-#REF!-TableauProduit[[#This Row],[Conditionnement N7]]</f>
        <v>#REF!</v>
      </c>
      <c r="BC30" s="414">
        <v>38</v>
      </c>
      <c r="BD30" s="348" t="e">
        <f>#REF!*#REF!/1000</f>
        <v>#REF!</v>
      </c>
      <c r="BE30" s="433" t="e">
        <f>#REF!*#REF!</f>
        <v>#REF!</v>
      </c>
      <c r="BF30" s="433" t="e">
        <f>#REF!*TableauProduit[[#This Row],[Total (kg) N8]]</f>
        <v>#REF!</v>
      </c>
      <c r="BG30" s="433" t="e">
        <f>TableauProduit[[#This Row],[Prix de vente/kg]]*TableauProduit[[#This Row],[Total (kg) N8]]</f>
        <v>#REF!</v>
      </c>
      <c r="BH30" s="434" t="e">
        <f>#REF!-#REF!-TableauProduit[[#This Row],[Conditionnement N8]]</f>
        <v>#REF!</v>
      </c>
      <c r="BI30" s="401">
        <v>38</v>
      </c>
      <c r="BJ30" s="350" t="e">
        <f>#REF!*#REF!/1000</f>
        <v>#REF!</v>
      </c>
      <c r="BK30" s="435" t="e">
        <f>#REF!*#REF!</f>
        <v>#REF!</v>
      </c>
      <c r="BL30" s="435" t="e">
        <f>#REF!*TableauProduit[[#This Row],[Total (kg) N9]]</f>
        <v>#REF!</v>
      </c>
      <c r="BM30" s="435" t="e">
        <f>TableauProduit[[#This Row],[Prix de vente/kg]]*TableauProduit[[#This Row],[Total (kg) N9]]</f>
        <v>#REF!</v>
      </c>
      <c r="BN30" s="350" t="e">
        <f>#REF!-#REF!-TableauProduit[[#This Row],[Conditionnement N9]]</f>
        <v>#REF!</v>
      </c>
    </row>
    <row r="31" spans="1:66" x14ac:dyDescent="0.2">
      <c r="A31" s="13" t="s">
        <v>103</v>
      </c>
      <c r="B31" s="54" t="str">
        <f>TableauProduit[[#This Row],[Recette]]&amp;TableauProduit[[#This Row],[Conditionnement]]</f>
        <v>Panch phoronEpice 100ml</v>
      </c>
      <c r="C31" s="11">
        <v>1</v>
      </c>
      <c r="D31" s="11">
        <v>65</v>
      </c>
      <c r="E31" s="6" t="s">
        <v>73</v>
      </c>
      <c r="F31" s="7">
        <f>IFERROR(VLOOKUP(TableauProduit[[#This Row],[Conditionnement]],TableauConditionnement[[Nom]:[Contenance]],4,FALSE),"")</f>
        <v>0.64</v>
      </c>
      <c r="G31" s="463">
        <f>IFERROR(SUMIFS(TableauRecette[Prix d''achat / kg],TableauRecette[Recette],TableauProduit[[#This Row],[Recette]],TableauRecette[Conditionnement],TableauProduit[[#This Row],[Conditionnement]]),0)</f>
        <v>0</v>
      </c>
      <c r="H31" s="464">
        <v>5</v>
      </c>
      <c r="I31" s="465">
        <f>TableauProduit[[#This Row],[Prix de vente/U]]/TableauProduit[[#This Row],[Poids (g) / unite]]*1000</f>
        <v>76.923076923076934</v>
      </c>
      <c r="J31" s="466">
        <f>SUMIFS(TableauConcurence[PRIX_KG],TableauConcurence[PRODUIT],TableauProduit[[#This Row],[Recette]],TableauConcurence[DISTRIBUTION],"magasin NON BIO")</f>
        <v>0</v>
      </c>
      <c r="K31" s="467">
        <f>SUMIFS(TableauConcurence[PRIX_KG],TableauConcurence[PRODUIT],TableauProduit[[#This Row],[Recette]],TableauConcurence[DISTRIBUTION],"magasin BIO")</f>
        <v>0</v>
      </c>
      <c r="L31" s="468">
        <f>SUMIFS(TableauConcurence[PRIX_KG],TableauConcurence[PRODUIT],TableauProduit[[#This Row],[Recette]],TableauConcurence[DISTRIBUTION],"artisanale BIO")</f>
        <v>0</v>
      </c>
      <c r="M31" s="410">
        <v>0</v>
      </c>
      <c r="N31" s="333">
        <f>TableauProduit[[#This Row],[Objectif de vente en unite N1]]*TableauProduit[[#This Row],[Poids (g) / unite]]/1000</f>
        <v>0</v>
      </c>
      <c r="O31" s="425">
        <f>TableauProduit[[#This Row],[Packaging / unite]]*TableauProduit[[#This Row],[Objectif de vente en unite N1]]</f>
        <v>0</v>
      </c>
      <c r="P31" s="425">
        <f>SUMIF(TableauRecette[[#This Row],[Recette]],TableauProduit[[#This Row],[Recette]],TableauRecette[[#This Row],[Prix pour kg/ de melange]])</f>
        <v>0</v>
      </c>
      <c r="Q31" s="425">
        <f>TableauProduit[[#This Row],[Prix de vente/kg]]*TableauProduit[[#This Row],[Total (kg) N1]]</f>
        <v>0</v>
      </c>
      <c r="R31" s="428" t="e">
        <f>#REF!-#REF!-TableauProduit[[#This Row],[Conditionnement N1]]</f>
        <v>#REF!</v>
      </c>
      <c r="S31" s="336">
        <v>0</v>
      </c>
      <c r="T31" s="335" t="e">
        <f>#REF!*#REF!/1000</f>
        <v>#REF!</v>
      </c>
      <c r="U31" s="417" t="e">
        <f>#REF!*#REF!</f>
        <v>#REF!</v>
      </c>
      <c r="V31" s="417" t="e">
        <f>#REF!*TableauProduit[[#This Row],[Total (kg) N2]]</f>
        <v>#REF!</v>
      </c>
      <c r="W31" s="417" t="e">
        <f>TableauProduit[[#This Row],[Prix de vente/kg]]*TableauProduit[[#This Row],[Total (kg) N2]]</f>
        <v>#REF!</v>
      </c>
      <c r="X31" s="411" t="e">
        <f>#REF!-#REF!-TableauProduit[[#This Row],[Conditionnement N2]]</f>
        <v>#REF!</v>
      </c>
      <c r="Y31" s="412">
        <v>0</v>
      </c>
      <c r="Z31" s="339" t="e">
        <f>#REF!*#REF!/1000</f>
        <v>#REF!</v>
      </c>
      <c r="AA31" s="420" t="e">
        <f>#REF!*#REF!</f>
        <v>#REF!</v>
      </c>
      <c r="AB31" s="420" t="e">
        <f>#REF!*TableauProduit[[#This Row],[Total (kg) N3]]</f>
        <v>#REF!</v>
      </c>
      <c r="AC31" s="420" t="e">
        <f>TableauProduit[[#This Row],[Prix de vente/kg]]*TableauProduit[[#This Row],[Total (kg) N3]]</f>
        <v>#REF!</v>
      </c>
      <c r="AD31" s="429" t="e">
        <f>#REF!-#REF!-TableauProduit[[#This Row],[Conditionnement N3]]</f>
        <v>#REF!</v>
      </c>
      <c r="AE31" s="341">
        <v>50</v>
      </c>
      <c r="AF31" s="341" t="e">
        <f>#REF!*#REF!/1000</f>
        <v>#REF!</v>
      </c>
      <c r="AG31" s="423" t="e">
        <f>#REF!*#REF!</f>
        <v>#REF!</v>
      </c>
      <c r="AH31" s="423" t="e">
        <f>#REF!*TableauProduit[[#This Row],[Total (kg) N4]]</f>
        <v>#REF!</v>
      </c>
      <c r="AI31" s="423" t="e">
        <f>TableauProduit[[#This Row],[Prix de vente/kg]]*TableauProduit[[#This Row],[Total (kg) N4]]</f>
        <v>#REF!</v>
      </c>
      <c r="AJ31" s="341" t="e">
        <f>#REF!-#REF!-TableauProduit[[#This Row],[Conditionnement N4]]</f>
        <v>#REF!</v>
      </c>
      <c r="AK31" s="343">
        <v>60</v>
      </c>
      <c r="AL31" s="343" t="e">
        <f>#REF!*#REF!/1000</f>
        <v>#REF!</v>
      </c>
      <c r="AM31" s="430" t="e">
        <f>#REF!*#REF!</f>
        <v>#REF!</v>
      </c>
      <c r="AN31" s="430" t="e">
        <f>#REF!*TableauProduit[[#This Row],[Total (kg) N5]]</f>
        <v>#REF!</v>
      </c>
      <c r="AO31" s="430" t="e">
        <f>TableauProduit[[#This Row],[Prix de vente/kg]]*TableauProduit[[#This Row],[Total (kg) N5]]</f>
        <v>#REF!</v>
      </c>
      <c r="AP31" s="343" t="e">
        <f>#REF!-#REF!-TableauProduit[[#This Row],[Conditionnement N5]]</f>
        <v>#REF!</v>
      </c>
      <c r="AQ31" s="345">
        <v>65</v>
      </c>
      <c r="AR31" s="345" t="e">
        <f>#REF!*#REF!/1000</f>
        <v>#REF!</v>
      </c>
      <c r="AS31" s="431" t="e">
        <f>#REF!*#REF!</f>
        <v>#REF!</v>
      </c>
      <c r="AT31" s="431" t="e">
        <f>#REF!*TableauProduit[[#This Row],[Total (kg) N6]]</f>
        <v>#REF!</v>
      </c>
      <c r="AU31" s="431" t="e">
        <f>TableauProduit[[#This Row],[Prix de vente/kg]]*TableauProduit[[#This Row],[Total (kg) N6]]</f>
        <v>#REF!</v>
      </c>
      <c r="AV31" s="345" t="e">
        <f>#REF!-#REF!-TableauProduit[[#This Row],[Conditionnement N6]]</f>
        <v>#REF!</v>
      </c>
      <c r="AW31" s="333">
        <v>68</v>
      </c>
      <c r="AX31" s="333" t="e">
        <f>#REF!*#REF!/1000</f>
        <v>#REF!</v>
      </c>
      <c r="AY31" s="425" t="e">
        <f>#REF!*#REF!</f>
        <v>#REF!</v>
      </c>
      <c r="AZ31" s="425" t="e">
        <f>#REF!*TableauProduit[[#This Row],[Total (kg) N7]]</f>
        <v>#REF!</v>
      </c>
      <c r="BA31" s="425" t="e">
        <f>TableauProduit[[#This Row],[Prix de vente/kg]]*TableauProduit[[#This Row],[Total (kg) N7]]</f>
        <v>#REF!</v>
      </c>
      <c r="BB31" s="432" t="e">
        <f>#REF!-#REF!-TableauProduit[[#This Row],[Conditionnement N7]]</f>
        <v>#REF!</v>
      </c>
      <c r="BC31" s="414">
        <v>68</v>
      </c>
      <c r="BD31" s="348" t="e">
        <f>#REF!*#REF!/1000</f>
        <v>#REF!</v>
      </c>
      <c r="BE31" s="433" t="e">
        <f>#REF!*#REF!</f>
        <v>#REF!</v>
      </c>
      <c r="BF31" s="433" t="e">
        <f>#REF!*TableauProduit[[#This Row],[Total (kg) N8]]</f>
        <v>#REF!</v>
      </c>
      <c r="BG31" s="433" t="e">
        <f>TableauProduit[[#This Row],[Prix de vente/kg]]*TableauProduit[[#This Row],[Total (kg) N8]]</f>
        <v>#REF!</v>
      </c>
      <c r="BH31" s="434" t="e">
        <f>#REF!-#REF!-TableauProduit[[#This Row],[Conditionnement N8]]</f>
        <v>#REF!</v>
      </c>
      <c r="BI31" s="401">
        <v>68</v>
      </c>
      <c r="BJ31" s="350" t="e">
        <f>#REF!*#REF!/1000</f>
        <v>#REF!</v>
      </c>
      <c r="BK31" s="435" t="e">
        <f>#REF!*#REF!</f>
        <v>#REF!</v>
      </c>
      <c r="BL31" s="435" t="e">
        <f>#REF!*TableauProduit[[#This Row],[Total (kg) N9]]</f>
        <v>#REF!</v>
      </c>
      <c r="BM31" s="435" t="e">
        <f>TableauProduit[[#This Row],[Prix de vente/kg]]*TableauProduit[[#This Row],[Total (kg) N9]]</f>
        <v>#REF!</v>
      </c>
      <c r="BN31" s="350" t="e">
        <f>#REF!-#REF!-TableauProduit[[#This Row],[Conditionnement N9]]</f>
        <v>#REF!</v>
      </c>
    </row>
    <row r="32" spans="1:66" x14ac:dyDescent="0.2">
      <c r="A32" s="13" t="s">
        <v>104</v>
      </c>
      <c r="B32" s="54" t="str">
        <f>TableauProduit[[#This Row],[Recette]]&amp;TableauProduit[[#This Row],[Conditionnement]]</f>
        <v>Sans selEpice 100ml</v>
      </c>
      <c r="C32" s="11">
        <v>1</v>
      </c>
      <c r="D32" s="11">
        <v>50</v>
      </c>
      <c r="E32" s="6" t="s">
        <v>73</v>
      </c>
      <c r="F32" s="7">
        <f>IFERROR(VLOOKUP(TableauProduit[[#This Row],[Conditionnement]],TableauConditionnement[[Nom]:[Contenance]],4,FALSE),"")</f>
        <v>0.64</v>
      </c>
      <c r="G32" s="463">
        <f>IFERROR(SUMIFS(TableauRecette[Prix d''achat / kg],TableauRecette[Recette],TableauProduit[[#This Row],[Recette]],TableauRecette[Conditionnement],TableauProduit[[#This Row],[Conditionnement]]),0)</f>
        <v>0</v>
      </c>
      <c r="H32" s="464">
        <v>5</v>
      </c>
      <c r="I32" s="465">
        <f>TableauProduit[[#This Row],[Prix de vente/U]]/TableauProduit[[#This Row],[Poids (g) / unite]]*1000</f>
        <v>100</v>
      </c>
      <c r="J32" s="466">
        <f>SUMIFS(TableauConcurence[PRIX_KG],TableauConcurence[PRODUIT],TableauProduit[[#This Row],[Recette]],TableauConcurence[DISTRIBUTION],"magasin NON BIO")</f>
        <v>0</v>
      </c>
      <c r="K32" s="467">
        <f>SUMIFS(TableauConcurence[PRIX_KG],TableauConcurence[PRODUIT],TableauProduit[[#This Row],[Recette]],TableauConcurence[DISTRIBUTION],"magasin BIO")</f>
        <v>0</v>
      </c>
      <c r="L32" s="468">
        <f>SUMIFS(TableauConcurence[PRIX_KG],TableauConcurence[PRODUIT],TableauProduit[[#This Row],[Recette]],TableauConcurence[DISTRIBUTION],"artisanale BIO")</f>
        <v>0</v>
      </c>
      <c r="M32" s="410">
        <v>0</v>
      </c>
      <c r="N32" s="333">
        <f>TableauProduit[[#This Row],[Objectif de vente en unite N1]]*TableauProduit[[#This Row],[Poids (g) / unite]]/1000</f>
        <v>0</v>
      </c>
      <c r="O32" s="425">
        <f>TableauProduit[[#This Row],[Packaging / unite]]*TableauProduit[[#This Row],[Objectif de vente en unite N1]]</f>
        <v>0</v>
      </c>
      <c r="P32" s="425">
        <f>SUMIF(TableauRecette[[#This Row],[Recette]],TableauProduit[[#This Row],[Recette]],TableauRecette[[#This Row],[Prix pour kg/ de melange]])</f>
        <v>0</v>
      </c>
      <c r="Q32" s="425">
        <f>TableauProduit[[#This Row],[Prix de vente/kg]]*TableauProduit[[#This Row],[Total (kg) N1]]</f>
        <v>0</v>
      </c>
      <c r="R32" s="428" t="e">
        <f>#REF!-#REF!-TableauProduit[[#This Row],[Conditionnement N1]]</f>
        <v>#REF!</v>
      </c>
      <c r="S32" s="336">
        <v>0</v>
      </c>
      <c r="T32" s="335" t="e">
        <f>#REF!*#REF!/1000</f>
        <v>#REF!</v>
      </c>
      <c r="U32" s="417" t="e">
        <f>#REF!*#REF!</f>
        <v>#REF!</v>
      </c>
      <c r="V32" s="417" t="e">
        <f>#REF!*TableauProduit[[#This Row],[Total (kg) N2]]</f>
        <v>#REF!</v>
      </c>
      <c r="W32" s="417" t="e">
        <f>TableauProduit[[#This Row],[Prix de vente/kg]]*TableauProduit[[#This Row],[Total (kg) N2]]</f>
        <v>#REF!</v>
      </c>
      <c r="X32" s="411" t="e">
        <f>#REF!-#REF!-TableauProduit[[#This Row],[Conditionnement N2]]</f>
        <v>#REF!</v>
      </c>
      <c r="Y32" s="412">
        <v>0</v>
      </c>
      <c r="Z32" s="339" t="e">
        <f>#REF!*#REF!/1000</f>
        <v>#REF!</v>
      </c>
      <c r="AA32" s="420" t="e">
        <f>#REF!*#REF!</f>
        <v>#REF!</v>
      </c>
      <c r="AB32" s="420" t="e">
        <f>#REF!*TableauProduit[[#This Row],[Total (kg) N3]]</f>
        <v>#REF!</v>
      </c>
      <c r="AC32" s="420" t="e">
        <f>TableauProduit[[#This Row],[Prix de vente/kg]]*TableauProduit[[#This Row],[Total (kg) N3]]</f>
        <v>#REF!</v>
      </c>
      <c r="AD32" s="429" t="e">
        <f>#REF!-#REF!-TableauProduit[[#This Row],[Conditionnement N3]]</f>
        <v>#REF!</v>
      </c>
      <c r="AE32" s="341">
        <v>50</v>
      </c>
      <c r="AF32" s="341" t="e">
        <f>#REF!*#REF!/1000</f>
        <v>#REF!</v>
      </c>
      <c r="AG32" s="423" t="e">
        <f>#REF!*#REF!</f>
        <v>#REF!</v>
      </c>
      <c r="AH32" s="423" t="e">
        <f>#REF!*TableauProduit[[#This Row],[Total (kg) N4]]</f>
        <v>#REF!</v>
      </c>
      <c r="AI32" s="423" t="e">
        <f>TableauProduit[[#This Row],[Prix de vente/kg]]*TableauProduit[[#This Row],[Total (kg) N4]]</f>
        <v>#REF!</v>
      </c>
      <c r="AJ32" s="341" t="e">
        <f>#REF!-#REF!-TableauProduit[[#This Row],[Conditionnement N4]]</f>
        <v>#REF!</v>
      </c>
      <c r="AK32" s="343">
        <v>60</v>
      </c>
      <c r="AL32" s="343" t="e">
        <f>#REF!*#REF!/1000</f>
        <v>#REF!</v>
      </c>
      <c r="AM32" s="430" t="e">
        <f>#REF!*#REF!</f>
        <v>#REF!</v>
      </c>
      <c r="AN32" s="430" t="e">
        <f>#REF!*TableauProduit[[#This Row],[Total (kg) N5]]</f>
        <v>#REF!</v>
      </c>
      <c r="AO32" s="430" t="e">
        <f>TableauProduit[[#This Row],[Prix de vente/kg]]*TableauProduit[[#This Row],[Total (kg) N5]]</f>
        <v>#REF!</v>
      </c>
      <c r="AP32" s="343" t="e">
        <f>#REF!-#REF!-TableauProduit[[#This Row],[Conditionnement N5]]</f>
        <v>#REF!</v>
      </c>
      <c r="AQ32" s="345">
        <v>65</v>
      </c>
      <c r="AR32" s="345" t="e">
        <f>#REF!*#REF!/1000</f>
        <v>#REF!</v>
      </c>
      <c r="AS32" s="431" t="e">
        <f>#REF!*#REF!</f>
        <v>#REF!</v>
      </c>
      <c r="AT32" s="431" t="e">
        <f>#REF!*TableauProduit[[#This Row],[Total (kg) N6]]</f>
        <v>#REF!</v>
      </c>
      <c r="AU32" s="431" t="e">
        <f>TableauProduit[[#This Row],[Prix de vente/kg]]*TableauProduit[[#This Row],[Total (kg) N6]]</f>
        <v>#REF!</v>
      </c>
      <c r="AV32" s="345" t="e">
        <f>#REF!-#REF!-TableauProduit[[#This Row],[Conditionnement N6]]</f>
        <v>#REF!</v>
      </c>
      <c r="AW32" s="333">
        <v>68</v>
      </c>
      <c r="AX32" s="333" t="e">
        <f>#REF!*#REF!/1000</f>
        <v>#REF!</v>
      </c>
      <c r="AY32" s="425" t="e">
        <f>#REF!*#REF!</f>
        <v>#REF!</v>
      </c>
      <c r="AZ32" s="425" t="e">
        <f>#REF!*TableauProduit[[#This Row],[Total (kg) N7]]</f>
        <v>#REF!</v>
      </c>
      <c r="BA32" s="425" t="e">
        <f>TableauProduit[[#This Row],[Prix de vente/kg]]*TableauProduit[[#This Row],[Total (kg) N7]]</f>
        <v>#REF!</v>
      </c>
      <c r="BB32" s="432" t="e">
        <f>#REF!-#REF!-TableauProduit[[#This Row],[Conditionnement N7]]</f>
        <v>#REF!</v>
      </c>
      <c r="BC32" s="414">
        <v>68</v>
      </c>
      <c r="BD32" s="348" t="e">
        <f>#REF!*#REF!/1000</f>
        <v>#REF!</v>
      </c>
      <c r="BE32" s="433" t="e">
        <f>#REF!*#REF!</f>
        <v>#REF!</v>
      </c>
      <c r="BF32" s="433" t="e">
        <f>#REF!*TableauProduit[[#This Row],[Total (kg) N8]]</f>
        <v>#REF!</v>
      </c>
      <c r="BG32" s="433" t="e">
        <f>TableauProduit[[#This Row],[Prix de vente/kg]]*TableauProduit[[#This Row],[Total (kg) N8]]</f>
        <v>#REF!</v>
      </c>
      <c r="BH32" s="434" t="e">
        <f>#REF!-#REF!-TableauProduit[[#This Row],[Conditionnement N8]]</f>
        <v>#REF!</v>
      </c>
      <c r="BI32" s="401">
        <v>68</v>
      </c>
      <c r="BJ32" s="350" t="e">
        <f>#REF!*#REF!/1000</f>
        <v>#REF!</v>
      </c>
      <c r="BK32" s="435" t="e">
        <f>#REF!*#REF!</f>
        <v>#REF!</v>
      </c>
      <c r="BL32" s="435" t="e">
        <f>#REF!*TableauProduit[[#This Row],[Total (kg) N9]]</f>
        <v>#REF!</v>
      </c>
      <c r="BM32" s="435" t="e">
        <f>TableauProduit[[#This Row],[Prix de vente/kg]]*TableauProduit[[#This Row],[Total (kg) N9]]</f>
        <v>#REF!</v>
      </c>
      <c r="BN32" s="350" t="e">
        <f>#REF!-#REF!-TableauProduit[[#This Row],[Conditionnement N9]]</f>
        <v>#REF!</v>
      </c>
    </row>
    <row r="33" spans="1:66" x14ac:dyDescent="0.2">
      <c r="A33" s="13" t="s">
        <v>105</v>
      </c>
      <c r="B33" s="54" t="str">
        <f>TableauProduit[[#This Row],[Recette]]&amp;TableauProduit[[#This Row],[Conditionnement]]</f>
        <v>Shichimi togarashiEpice 100ml</v>
      </c>
      <c r="C33" s="11">
        <v>1</v>
      </c>
      <c r="D33" s="11">
        <v>50</v>
      </c>
      <c r="E33" s="6" t="s">
        <v>73</v>
      </c>
      <c r="F33" s="7">
        <f>IFERROR(VLOOKUP(TableauProduit[[#This Row],[Conditionnement]],TableauConditionnement[[Nom]:[Contenance]],4,FALSE),"")</f>
        <v>0.64</v>
      </c>
      <c r="G33" s="463">
        <f>IFERROR(SUMIFS(TableauRecette[Prix d''achat / kg],TableauRecette[Recette],TableauProduit[[#This Row],[Recette]],TableauRecette[Conditionnement],TableauProduit[[#This Row],[Conditionnement]]),0)</f>
        <v>0</v>
      </c>
      <c r="H33" s="464">
        <v>5</v>
      </c>
      <c r="I33" s="465">
        <f>TableauProduit[[#This Row],[Prix de vente/U]]/TableauProduit[[#This Row],[Poids (g) / unite]]*1000</f>
        <v>100</v>
      </c>
      <c r="J33" s="466">
        <f>SUMIFS(TableauConcurence[PRIX_KG],TableauConcurence[PRODUIT],TableauProduit[[#This Row],[Recette]],TableauConcurence[DISTRIBUTION],"magasin NON BIO")</f>
        <v>0</v>
      </c>
      <c r="K33" s="467">
        <f>SUMIFS(TableauConcurence[PRIX_KG],TableauConcurence[PRODUIT],TableauProduit[[#This Row],[Recette]],TableauConcurence[DISTRIBUTION],"magasin BIO")</f>
        <v>0</v>
      </c>
      <c r="L33" s="468">
        <f>SUMIFS(TableauConcurence[PRIX_KG],TableauConcurence[PRODUIT],TableauProduit[[#This Row],[Recette]],TableauConcurence[DISTRIBUTION],"artisanale BIO")</f>
        <v>0</v>
      </c>
      <c r="M33" s="410">
        <v>0</v>
      </c>
      <c r="N33" s="333">
        <f>TableauProduit[[#This Row],[Objectif de vente en unite N1]]*TableauProduit[[#This Row],[Poids (g) / unite]]/1000</f>
        <v>0</v>
      </c>
      <c r="O33" s="425">
        <f>TableauProduit[[#This Row],[Packaging / unite]]*TableauProduit[[#This Row],[Objectif de vente en unite N1]]</f>
        <v>0</v>
      </c>
      <c r="P33" s="425">
        <f>SUMIF(TableauRecette[[#This Row],[Recette]],TableauProduit[[#This Row],[Recette]],TableauRecette[[#This Row],[Prix pour kg/ de melange]])</f>
        <v>0</v>
      </c>
      <c r="Q33" s="425">
        <f>TableauProduit[[#This Row],[Prix de vente/kg]]*TableauProduit[[#This Row],[Total (kg) N1]]</f>
        <v>0</v>
      </c>
      <c r="R33" s="428" t="e">
        <f>#REF!-#REF!-TableauProduit[[#This Row],[Conditionnement N1]]</f>
        <v>#REF!</v>
      </c>
      <c r="S33" s="336">
        <v>0</v>
      </c>
      <c r="T33" s="335" t="e">
        <f>#REF!*#REF!/1000</f>
        <v>#REF!</v>
      </c>
      <c r="U33" s="417" t="e">
        <f>#REF!*#REF!</f>
        <v>#REF!</v>
      </c>
      <c r="V33" s="417" t="e">
        <f>#REF!*TableauProduit[[#This Row],[Total (kg) N2]]</f>
        <v>#REF!</v>
      </c>
      <c r="W33" s="417" t="e">
        <f>TableauProduit[[#This Row],[Prix de vente/kg]]*TableauProduit[[#This Row],[Total (kg) N2]]</f>
        <v>#REF!</v>
      </c>
      <c r="X33" s="411" t="e">
        <f>#REF!-#REF!-TableauProduit[[#This Row],[Conditionnement N2]]</f>
        <v>#REF!</v>
      </c>
      <c r="Y33" s="412">
        <v>0</v>
      </c>
      <c r="Z33" s="339" t="e">
        <f>#REF!*#REF!/1000</f>
        <v>#REF!</v>
      </c>
      <c r="AA33" s="420" t="e">
        <f>#REF!*#REF!</f>
        <v>#REF!</v>
      </c>
      <c r="AB33" s="420" t="e">
        <f>#REF!*TableauProduit[[#This Row],[Total (kg) N3]]</f>
        <v>#REF!</v>
      </c>
      <c r="AC33" s="420" t="e">
        <f>TableauProduit[[#This Row],[Prix de vente/kg]]*TableauProduit[[#This Row],[Total (kg) N3]]</f>
        <v>#REF!</v>
      </c>
      <c r="AD33" s="429" t="e">
        <f>#REF!-#REF!-TableauProduit[[#This Row],[Conditionnement N3]]</f>
        <v>#REF!</v>
      </c>
      <c r="AE33" s="341">
        <v>50</v>
      </c>
      <c r="AF33" s="341" t="e">
        <f>#REF!*#REF!/1000</f>
        <v>#REF!</v>
      </c>
      <c r="AG33" s="423" t="e">
        <f>#REF!*#REF!</f>
        <v>#REF!</v>
      </c>
      <c r="AH33" s="423" t="e">
        <f>#REF!*TableauProduit[[#This Row],[Total (kg) N4]]</f>
        <v>#REF!</v>
      </c>
      <c r="AI33" s="423" t="e">
        <f>TableauProduit[[#This Row],[Prix de vente/kg]]*TableauProduit[[#This Row],[Total (kg) N4]]</f>
        <v>#REF!</v>
      </c>
      <c r="AJ33" s="341" t="e">
        <f>#REF!-#REF!-TableauProduit[[#This Row],[Conditionnement N4]]</f>
        <v>#REF!</v>
      </c>
      <c r="AK33" s="343">
        <v>60</v>
      </c>
      <c r="AL33" s="343" t="e">
        <f>#REF!*#REF!/1000</f>
        <v>#REF!</v>
      </c>
      <c r="AM33" s="430" t="e">
        <f>#REF!*#REF!</f>
        <v>#REF!</v>
      </c>
      <c r="AN33" s="430" t="e">
        <f>#REF!*TableauProduit[[#This Row],[Total (kg) N5]]</f>
        <v>#REF!</v>
      </c>
      <c r="AO33" s="430" t="e">
        <f>TableauProduit[[#This Row],[Prix de vente/kg]]*TableauProduit[[#This Row],[Total (kg) N5]]</f>
        <v>#REF!</v>
      </c>
      <c r="AP33" s="343" t="e">
        <f>#REF!-#REF!-TableauProduit[[#This Row],[Conditionnement N5]]</f>
        <v>#REF!</v>
      </c>
      <c r="AQ33" s="345">
        <v>65</v>
      </c>
      <c r="AR33" s="345" t="e">
        <f>#REF!*#REF!/1000</f>
        <v>#REF!</v>
      </c>
      <c r="AS33" s="431" t="e">
        <f>#REF!*#REF!</f>
        <v>#REF!</v>
      </c>
      <c r="AT33" s="431" t="e">
        <f>#REF!*TableauProduit[[#This Row],[Total (kg) N6]]</f>
        <v>#REF!</v>
      </c>
      <c r="AU33" s="431" t="e">
        <f>TableauProduit[[#This Row],[Prix de vente/kg]]*TableauProduit[[#This Row],[Total (kg) N6]]</f>
        <v>#REF!</v>
      </c>
      <c r="AV33" s="345" t="e">
        <f>#REF!-#REF!-TableauProduit[[#This Row],[Conditionnement N6]]</f>
        <v>#REF!</v>
      </c>
      <c r="AW33" s="333">
        <v>68</v>
      </c>
      <c r="AX33" s="333" t="e">
        <f>#REF!*#REF!/1000</f>
        <v>#REF!</v>
      </c>
      <c r="AY33" s="425" t="e">
        <f>#REF!*#REF!</f>
        <v>#REF!</v>
      </c>
      <c r="AZ33" s="425" t="e">
        <f>#REF!*TableauProduit[[#This Row],[Total (kg) N7]]</f>
        <v>#REF!</v>
      </c>
      <c r="BA33" s="425" t="e">
        <f>TableauProduit[[#This Row],[Prix de vente/kg]]*TableauProduit[[#This Row],[Total (kg) N7]]</f>
        <v>#REF!</v>
      </c>
      <c r="BB33" s="432" t="e">
        <f>#REF!-#REF!-TableauProduit[[#This Row],[Conditionnement N7]]</f>
        <v>#REF!</v>
      </c>
      <c r="BC33" s="414">
        <v>68</v>
      </c>
      <c r="BD33" s="348" t="e">
        <f>#REF!*#REF!/1000</f>
        <v>#REF!</v>
      </c>
      <c r="BE33" s="433" t="e">
        <f>#REF!*#REF!</f>
        <v>#REF!</v>
      </c>
      <c r="BF33" s="433" t="e">
        <f>#REF!*TableauProduit[[#This Row],[Total (kg) N8]]</f>
        <v>#REF!</v>
      </c>
      <c r="BG33" s="433" t="e">
        <f>TableauProduit[[#This Row],[Prix de vente/kg]]*TableauProduit[[#This Row],[Total (kg) N8]]</f>
        <v>#REF!</v>
      </c>
      <c r="BH33" s="434" t="e">
        <f>#REF!-#REF!-TableauProduit[[#This Row],[Conditionnement N8]]</f>
        <v>#REF!</v>
      </c>
      <c r="BI33" s="401">
        <v>68</v>
      </c>
      <c r="BJ33" s="350" t="e">
        <f>#REF!*#REF!/1000</f>
        <v>#REF!</v>
      </c>
      <c r="BK33" s="435" t="e">
        <f>#REF!*#REF!</f>
        <v>#REF!</v>
      </c>
      <c r="BL33" s="435" t="e">
        <f>#REF!*TableauProduit[[#This Row],[Total (kg) N9]]</f>
        <v>#REF!</v>
      </c>
      <c r="BM33" s="435" t="e">
        <f>TableauProduit[[#This Row],[Prix de vente/kg]]*TableauProduit[[#This Row],[Total (kg) N9]]</f>
        <v>#REF!</v>
      </c>
      <c r="BN33" s="350" t="e">
        <f>#REF!-#REF!-TableauProduit[[#This Row],[Conditionnement N9]]</f>
        <v>#REF!</v>
      </c>
    </row>
    <row r="34" spans="1:66" x14ac:dyDescent="0.2">
      <c r="A34" s="13" t="s">
        <v>106</v>
      </c>
      <c r="B34" s="54" t="str">
        <f>TableauProduit[[#This Row],[Recette]]&amp;TableauProduit[[#This Row],[Conditionnement]]</f>
        <v>KetchupPiment liquide 250ml</v>
      </c>
      <c r="C34" s="11">
        <v>1</v>
      </c>
      <c r="D34" s="11">
        <v>230</v>
      </c>
      <c r="E34" s="6" t="s">
        <v>107</v>
      </c>
      <c r="F34" s="7">
        <f>IFERROR(VLOOKUP(TableauProduit[[#This Row],[Conditionnement]],TableauConditionnement[[Nom]:[Contenance]],4,FALSE),"")</f>
        <v>1.68</v>
      </c>
      <c r="G34" s="463">
        <f>IFERROR(SUMIFS(TableauRecette[Prix d''achat / kg],TableauRecette[Recette],TableauProduit[[#This Row],[Recette]],TableauRecette[Conditionnement],TableauProduit[[#This Row],[Conditionnement]]),0)</f>
        <v>0</v>
      </c>
      <c r="H34" s="464">
        <v>3.5</v>
      </c>
      <c r="I34" s="465">
        <f>TableauProduit[[#This Row],[Prix de vente/U]]/TableauProduit[[#This Row],[Poids (g) / unite]]*1000</f>
        <v>15.217391304347826</v>
      </c>
      <c r="J34" s="466">
        <f>SUMIFS(TableauConcurence[PRIX_KG],TableauConcurence[PRODUIT],TableauProduit[[#This Row],[Recette]],TableauConcurence[DISTRIBUTION],"magasin NON BIO")</f>
        <v>5</v>
      </c>
      <c r="K34" s="467">
        <f>SUMIFS(TableauConcurence[PRIX_KG],TableauConcurence[PRODUIT],TableauProduit[[#This Row],[Recette]],TableauConcurence[DISTRIBUTION],"magasin BIO")</f>
        <v>36.040000000000006</v>
      </c>
      <c r="L34" s="468">
        <f>SUMIFS(TableauConcurence[PRIX_KG],TableauConcurence[PRODUIT],TableauProduit[[#This Row],[Recette]],TableauConcurence[DISTRIBUTION],"artisanale BIO")</f>
        <v>16</v>
      </c>
      <c r="M34" s="410">
        <v>0</v>
      </c>
      <c r="N34" s="333">
        <f>TableauProduit[[#This Row],[Objectif de vente en unite N1]]*TableauProduit[[#This Row],[Poids (g) / unite]]/1000</f>
        <v>0</v>
      </c>
      <c r="O34" s="425">
        <f>TableauProduit[[#This Row],[Packaging / unite]]*TableauProduit[[#This Row],[Objectif de vente en unite N1]]</f>
        <v>0</v>
      </c>
      <c r="P34" s="425">
        <f>SUMIF(TableauRecette[[#This Row],[Recette]],TableauProduit[[#This Row],[Recette]],TableauRecette[[#This Row],[Prix pour kg/ de melange]])</f>
        <v>0</v>
      </c>
      <c r="Q34" s="425">
        <f>TableauProduit[[#This Row],[Prix de vente/kg]]*TableauProduit[[#This Row],[Total (kg) N1]]</f>
        <v>0</v>
      </c>
      <c r="R34" s="428" t="e">
        <f>#REF!-#REF!-TableauProduit[[#This Row],[Conditionnement N1]]</f>
        <v>#REF!</v>
      </c>
      <c r="S34" s="336">
        <v>0</v>
      </c>
      <c r="T34" s="335" t="e">
        <f>#REF!*#REF!/1000</f>
        <v>#REF!</v>
      </c>
      <c r="U34" s="417" t="e">
        <f>#REF!*#REF!</f>
        <v>#REF!</v>
      </c>
      <c r="V34" s="417" t="e">
        <f>#REF!*TableauProduit[[#This Row],[Total (kg) N2]]</f>
        <v>#REF!</v>
      </c>
      <c r="W34" s="417" t="e">
        <f>TableauProduit[[#This Row],[Prix de vente/kg]]*TableauProduit[[#This Row],[Total (kg) N2]]</f>
        <v>#REF!</v>
      </c>
      <c r="X34" s="411" t="e">
        <f>#REF!-#REF!-TableauProduit[[#This Row],[Conditionnement N2]]</f>
        <v>#REF!</v>
      </c>
      <c r="Y34" s="412">
        <v>0</v>
      </c>
      <c r="Z34" s="339" t="e">
        <f>#REF!*#REF!/1000</f>
        <v>#REF!</v>
      </c>
      <c r="AA34" s="420" t="e">
        <f>#REF!*#REF!</f>
        <v>#REF!</v>
      </c>
      <c r="AB34" s="420" t="e">
        <f>#REF!*TableauProduit[[#This Row],[Total (kg) N3]]</f>
        <v>#REF!</v>
      </c>
      <c r="AC34" s="420" t="e">
        <f>TableauProduit[[#This Row],[Prix de vente/kg]]*TableauProduit[[#This Row],[Total (kg) N3]]</f>
        <v>#REF!</v>
      </c>
      <c r="AD34" s="429" t="e">
        <f>#REF!-#REF!-TableauProduit[[#This Row],[Conditionnement N3]]</f>
        <v>#REF!</v>
      </c>
      <c r="AE34" s="341">
        <v>60</v>
      </c>
      <c r="AF34" s="341" t="e">
        <f>#REF!*#REF!/1000</f>
        <v>#REF!</v>
      </c>
      <c r="AG34" s="423" t="e">
        <f>#REF!*#REF!</f>
        <v>#REF!</v>
      </c>
      <c r="AH34" s="423" t="e">
        <f>#REF!*TableauProduit[[#This Row],[Total (kg) N4]]</f>
        <v>#REF!</v>
      </c>
      <c r="AI34" s="423" t="e">
        <f>TableauProduit[[#This Row],[Prix de vente/kg]]*TableauProduit[[#This Row],[Total (kg) N4]]</f>
        <v>#REF!</v>
      </c>
      <c r="AJ34" s="341" t="e">
        <f>#REF!-#REF!-TableauProduit[[#This Row],[Conditionnement N4]]</f>
        <v>#REF!</v>
      </c>
      <c r="AK34" s="343">
        <v>69</v>
      </c>
      <c r="AL34" s="343" t="e">
        <f>#REF!*#REF!/1000</f>
        <v>#REF!</v>
      </c>
      <c r="AM34" s="430" t="e">
        <f>#REF!*#REF!</f>
        <v>#REF!</v>
      </c>
      <c r="AN34" s="430" t="e">
        <f>#REF!*TableauProduit[[#This Row],[Total (kg) N5]]</f>
        <v>#REF!</v>
      </c>
      <c r="AO34" s="430" t="e">
        <f>TableauProduit[[#This Row],[Prix de vente/kg]]*TableauProduit[[#This Row],[Total (kg) N5]]</f>
        <v>#REF!</v>
      </c>
      <c r="AP34" s="343" t="e">
        <f>#REF!-#REF!-TableauProduit[[#This Row],[Conditionnement N5]]</f>
        <v>#REF!</v>
      </c>
      <c r="AQ34" s="345">
        <v>75</v>
      </c>
      <c r="AR34" s="345" t="e">
        <f>#REF!*#REF!/1000</f>
        <v>#REF!</v>
      </c>
      <c r="AS34" s="431" t="e">
        <f>#REF!*#REF!</f>
        <v>#REF!</v>
      </c>
      <c r="AT34" s="431" t="e">
        <f>#REF!*TableauProduit[[#This Row],[Total (kg) N6]]</f>
        <v>#REF!</v>
      </c>
      <c r="AU34" s="431" t="e">
        <f>TableauProduit[[#This Row],[Prix de vente/kg]]*TableauProduit[[#This Row],[Total (kg) N6]]</f>
        <v>#REF!</v>
      </c>
      <c r="AV34" s="345" t="e">
        <f>#REF!-#REF!-TableauProduit[[#This Row],[Conditionnement N6]]</f>
        <v>#REF!</v>
      </c>
      <c r="AW34" s="333">
        <v>75</v>
      </c>
      <c r="AX34" s="333" t="e">
        <f>#REF!*#REF!/1000</f>
        <v>#REF!</v>
      </c>
      <c r="AY34" s="425" t="e">
        <f>#REF!*#REF!</f>
        <v>#REF!</v>
      </c>
      <c r="AZ34" s="425" t="e">
        <f>#REF!*TableauProduit[[#This Row],[Total (kg) N7]]</f>
        <v>#REF!</v>
      </c>
      <c r="BA34" s="425" t="e">
        <f>TableauProduit[[#This Row],[Prix de vente/kg]]*TableauProduit[[#This Row],[Total (kg) N7]]</f>
        <v>#REF!</v>
      </c>
      <c r="BB34" s="432" t="e">
        <f>#REF!-#REF!-TableauProduit[[#This Row],[Conditionnement N7]]</f>
        <v>#REF!</v>
      </c>
      <c r="BC34" s="414">
        <v>75</v>
      </c>
      <c r="BD34" s="348" t="e">
        <f>#REF!*#REF!/1000</f>
        <v>#REF!</v>
      </c>
      <c r="BE34" s="433" t="e">
        <f>#REF!*#REF!</f>
        <v>#REF!</v>
      </c>
      <c r="BF34" s="433" t="e">
        <f>#REF!*TableauProduit[[#This Row],[Total (kg) N8]]</f>
        <v>#REF!</v>
      </c>
      <c r="BG34" s="433" t="e">
        <f>TableauProduit[[#This Row],[Prix de vente/kg]]*TableauProduit[[#This Row],[Total (kg) N8]]</f>
        <v>#REF!</v>
      </c>
      <c r="BH34" s="434" t="e">
        <f>#REF!-#REF!-TableauProduit[[#This Row],[Conditionnement N8]]</f>
        <v>#REF!</v>
      </c>
      <c r="BI34" s="401">
        <v>75</v>
      </c>
      <c r="BJ34" s="350" t="e">
        <f>#REF!*#REF!/1000</f>
        <v>#REF!</v>
      </c>
      <c r="BK34" s="435" t="e">
        <f>#REF!*#REF!</f>
        <v>#REF!</v>
      </c>
      <c r="BL34" s="435" t="e">
        <f>#REF!*TableauProduit[[#This Row],[Total (kg) N9]]</f>
        <v>#REF!</v>
      </c>
      <c r="BM34" s="435" t="e">
        <f>TableauProduit[[#This Row],[Prix de vente/kg]]*TableauProduit[[#This Row],[Total (kg) N9]]</f>
        <v>#REF!</v>
      </c>
      <c r="BN34" s="350" t="e">
        <f>#REF!-#REF!-TableauProduit[[#This Row],[Conditionnement N9]]</f>
        <v>#REF!</v>
      </c>
    </row>
    <row r="35" spans="1:66" x14ac:dyDescent="0.2">
      <c r="A35" s="13" t="s">
        <v>108</v>
      </c>
      <c r="B35" s="54" t="str">
        <f>TableauProduit[[#This Row],[Recette]]&amp;TableauProduit[[#This Row],[Conditionnement]]</f>
        <v>Gomasio maisonEpice 100ml</v>
      </c>
      <c r="C35" s="11">
        <v>1</v>
      </c>
      <c r="D35" s="11">
        <v>50</v>
      </c>
      <c r="E35" s="6" t="s">
        <v>73</v>
      </c>
      <c r="F35" s="7">
        <f>IFERROR(VLOOKUP(TableauProduit[[#This Row],[Conditionnement]],TableauConditionnement[[Nom]:[Contenance]],4,FALSE),"")</f>
        <v>0.64</v>
      </c>
      <c r="G35" s="463">
        <f>IFERROR(SUMIFS(TableauRecette[Prix d''achat / kg],TableauRecette[Recette],TableauProduit[[#This Row],[Recette]],TableauRecette[Conditionnement],TableauProduit[[#This Row],[Conditionnement]]),0)</f>
        <v>0</v>
      </c>
      <c r="H35" s="464">
        <v>5</v>
      </c>
      <c r="I35" s="465">
        <f>TableauProduit[[#This Row],[Prix de vente/U]]/TableauProduit[[#This Row],[Poids (g) / unite]]*1000</f>
        <v>100</v>
      </c>
      <c r="J35" s="466">
        <f>SUMIFS(TableauConcurence[PRIX_KG],TableauConcurence[PRODUIT],TableauProduit[[#This Row],[Recette]],TableauConcurence[DISTRIBUTION],"magasin NON BIO")</f>
        <v>0</v>
      </c>
      <c r="K35" s="467">
        <f>SUMIFS(TableauConcurence[PRIX_KG],TableauConcurence[PRODUIT],TableauProduit[[#This Row],[Recette]],TableauConcurence[DISTRIBUTION],"magasin BIO")</f>
        <v>0</v>
      </c>
      <c r="L35" s="468">
        <f>SUMIFS(TableauConcurence[PRIX_KG],TableauConcurence[PRODUIT],TableauProduit[[#This Row],[Recette]],TableauConcurence[DISTRIBUTION],"artisanale BIO")</f>
        <v>0</v>
      </c>
      <c r="M35" s="410">
        <v>0</v>
      </c>
      <c r="N35" s="333">
        <f>TableauProduit[[#This Row],[Objectif de vente en unite N1]]*TableauProduit[[#This Row],[Poids (g) / unite]]/1000</f>
        <v>0</v>
      </c>
      <c r="O35" s="425">
        <f>TableauProduit[[#This Row],[Packaging / unite]]*TableauProduit[[#This Row],[Objectif de vente en unite N1]]</f>
        <v>0</v>
      </c>
      <c r="P35" s="425">
        <f>SUMIF(TableauRecette[[#This Row],[Recette]],TableauProduit[[#This Row],[Recette]],TableauRecette[[#This Row],[Prix pour kg/ de melange]])</f>
        <v>0</v>
      </c>
      <c r="Q35" s="425">
        <f>TableauProduit[[#This Row],[Prix de vente/kg]]*TableauProduit[[#This Row],[Total (kg) N1]]</f>
        <v>0</v>
      </c>
      <c r="R35" s="428" t="e">
        <f>#REF!-#REF!-TableauProduit[[#This Row],[Conditionnement N1]]</f>
        <v>#REF!</v>
      </c>
      <c r="S35" s="336">
        <v>0</v>
      </c>
      <c r="T35" s="335" t="e">
        <f>#REF!*#REF!/1000</f>
        <v>#REF!</v>
      </c>
      <c r="U35" s="417" t="e">
        <f>#REF!*#REF!</f>
        <v>#REF!</v>
      </c>
      <c r="V35" s="417" t="e">
        <f>#REF!*TableauProduit[[#This Row],[Total (kg) N2]]</f>
        <v>#REF!</v>
      </c>
      <c r="W35" s="417" t="e">
        <f>TableauProduit[[#This Row],[Prix de vente/kg]]*TableauProduit[[#This Row],[Total (kg) N2]]</f>
        <v>#REF!</v>
      </c>
      <c r="X35" s="411" t="e">
        <f>#REF!-#REF!-TableauProduit[[#This Row],[Conditionnement N2]]</f>
        <v>#REF!</v>
      </c>
      <c r="Y35" s="412">
        <v>70</v>
      </c>
      <c r="Z35" s="339" t="e">
        <f>#REF!*#REF!/1000</f>
        <v>#REF!</v>
      </c>
      <c r="AA35" s="420" t="e">
        <f>#REF!*#REF!</f>
        <v>#REF!</v>
      </c>
      <c r="AB35" s="420" t="e">
        <f>#REF!*TableauProduit[[#This Row],[Total (kg) N3]]</f>
        <v>#REF!</v>
      </c>
      <c r="AC35" s="420" t="e">
        <f>TableauProduit[[#This Row],[Prix de vente/kg]]*TableauProduit[[#This Row],[Total (kg) N3]]</f>
        <v>#REF!</v>
      </c>
      <c r="AD35" s="429" t="e">
        <f>#REF!-#REF!-TableauProduit[[#This Row],[Conditionnement N3]]</f>
        <v>#REF!</v>
      </c>
      <c r="AE35" s="341">
        <v>88</v>
      </c>
      <c r="AF35" s="341" t="e">
        <f>#REF!*#REF!/1000</f>
        <v>#REF!</v>
      </c>
      <c r="AG35" s="423" t="e">
        <f>#REF!*#REF!</f>
        <v>#REF!</v>
      </c>
      <c r="AH35" s="423" t="e">
        <f>#REF!*TableauProduit[[#This Row],[Total (kg) N4]]</f>
        <v>#REF!</v>
      </c>
      <c r="AI35" s="423" t="e">
        <f>TableauProduit[[#This Row],[Prix de vente/kg]]*TableauProduit[[#This Row],[Total (kg) N4]]</f>
        <v>#REF!</v>
      </c>
      <c r="AJ35" s="341" t="e">
        <f>#REF!-#REF!-TableauProduit[[#This Row],[Conditionnement N4]]</f>
        <v>#REF!</v>
      </c>
      <c r="AK35" s="343">
        <v>98</v>
      </c>
      <c r="AL35" s="343" t="e">
        <f>#REF!*#REF!/1000</f>
        <v>#REF!</v>
      </c>
      <c r="AM35" s="430" t="e">
        <f>#REF!*#REF!</f>
        <v>#REF!</v>
      </c>
      <c r="AN35" s="430" t="e">
        <f>#REF!*TableauProduit[[#This Row],[Total (kg) N5]]</f>
        <v>#REF!</v>
      </c>
      <c r="AO35" s="430" t="e">
        <f>TableauProduit[[#This Row],[Prix de vente/kg]]*TableauProduit[[#This Row],[Total (kg) N5]]</f>
        <v>#REF!</v>
      </c>
      <c r="AP35" s="343" t="e">
        <f>#REF!-#REF!-TableauProduit[[#This Row],[Conditionnement N5]]</f>
        <v>#REF!</v>
      </c>
      <c r="AQ35" s="345">
        <v>102</v>
      </c>
      <c r="AR35" s="345" t="e">
        <f>#REF!*#REF!/1000</f>
        <v>#REF!</v>
      </c>
      <c r="AS35" s="431" t="e">
        <f>#REF!*#REF!</f>
        <v>#REF!</v>
      </c>
      <c r="AT35" s="431" t="e">
        <f>#REF!*TableauProduit[[#This Row],[Total (kg) N6]]</f>
        <v>#REF!</v>
      </c>
      <c r="AU35" s="431" t="e">
        <f>TableauProduit[[#This Row],[Prix de vente/kg]]*TableauProduit[[#This Row],[Total (kg) N6]]</f>
        <v>#REF!</v>
      </c>
      <c r="AV35" s="345" t="e">
        <f>#REF!-#REF!-TableauProduit[[#This Row],[Conditionnement N6]]</f>
        <v>#REF!</v>
      </c>
      <c r="AW35" s="333">
        <v>102</v>
      </c>
      <c r="AX35" s="333" t="e">
        <f>#REF!*#REF!/1000</f>
        <v>#REF!</v>
      </c>
      <c r="AY35" s="425" t="e">
        <f>#REF!*#REF!</f>
        <v>#REF!</v>
      </c>
      <c r="AZ35" s="425" t="e">
        <f>#REF!*TableauProduit[[#This Row],[Total (kg) N7]]</f>
        <v>#REF!</v>
      </c>
      <c r="BA35" s="425" t="e">
        <f>TableauProduit[[#This Row],[Prix de vente/kg]]*TableauProduit[[#This Row],[Total (kg) N7]]</f>
        <v>#REF!</v>
      </c>
      <c r="BB35" s="432" t="e">
        <f>#REF!-#REF!-TableauProduit[[#This Row],[Conditionnement N7]]</f>
        <v>#REF!</v>
      </c>
      <c r="BC35" s="414">
        <v>102</v>
      </c>
      <c r="BD35" s="348" t="e">
        <f>#REF!*#REF!/1000</f>
        <v>#REF!</v>
      </c>
      <c r="BE35" s="433" t="e">
        <f>#REF!*#REF!</f>
        <v>#REF!</v>
      </c>
      <c r="BF35" s="433" t="e">
        <f>#REF!*TableauProduit[[#This Row],[Total (kg) N8]]</f>
        <v>#REF!</v>
      </c>
      <c r="BG35" s="433" t="e">
        <f>TableauProduit[[#This Row],[Prix de vente/kg]]*TableauProduit[[#This Row],[Total (kg) N8]]</f>
        <v>#REF!</v>
      </c>
      <c r="BH35" s="434" t="e">
        <f>#REF!-#REF!-TableauProduit[[#This Row],[Conditionnement N8]]</f>
        <v>#REF!</v>
      </c>
      <c r="BI35" s="401">
        <v>102</v>
      </c>
      <c r="BJ35" s="350" t="e">
        <f>#REF!*#REF!/1000</f>
        <v>#REF!</v>
      </c>
      <c r="BK35" s="435" t="e">
        <f>#REF!*#REF!</f>
        <v>#REF!</v>
      </c>
      <c r="BL35" s="435" t="e">
        <f>#REF!*TableauProduit[[#This Row],[Total (kg) N9]]</f>
        <v>#REF!</v>
      </c>
      <c r="BM35" s="435" t="e">
        <f>TableauProduit[[#This Row],[Prix de vente/kg]]*TableauProduit[[#This Row],[Total (kg) N9]]</f>
        <v>#REF!</v>
      </c>
      <c r="BN35" s="350" t="e">
        <f>#REF!-#REF!-TableauProduit[[#This Row],[Conditionnement N9]]</f>
        <v>#REF!</v>
      </c>
    </row>
    <row r="36" spans="1:66" x14ac:dyDescent="0.2">
      <c r="A36" s="13" t="s">
        <v>109</v>
      </c>
      <c r="B36" s="54" t="str">
        <f>TableauProduit[[#This Row],[Recette]]&amp;TableauProduit[[#This Row],[Conditionnement]]</f>
        <v>Timur ko chhopEpice 100ml</v>
      </c>
      <c r="C36" s="11">
        <v>1</v>
      </c>
      <c r="D36" s="11">
        <v>50</v>
      </c>
      <c r="E36" s="6" t="s">
        <v>73</v>
      </c>
      <c r="F36" s="7">
        <f>IFERROR(VLOOKUP(TableauProduit[[#This Row],[Conditionnement]],TableauConditionnement[[Nom]:[Contenance]],4,FALSE),"")</f>
        <v>0.64</v>
      </c>
      <c r="G36" s="463">
        <f>IFERROR(SUMIFS(TableauRecette[Prix d''achat / kg],TableauRecette[Recette],TableauProduit[[#This Row],[Recette]],TableauRecette[Conditionnement],TableauProduit[[#This Row],[Conditionnement]]),0)</f>
        <v>0</v>
      </c>
      <c r="H36" s="464">
        <v>2.9</v>
      </c>
      <c r="I36" s="465">
        <f>TableauProduit[[#This Row],[Prix de vente/U]]/TableauProduit[[#This Row],[Poids (g) / unite]]*1000</f>
        <v>57.999999999999993</v>
      </c>
      <c r="J36" s="466">
        <f>SUMIFS(TableauConcurence[PRIX_KG],TableauConcurence[PRODUIT],TableauProduit[[#This Row],[Recette]],TableauConcurence[DISTRIBUTION],"magasin NON BIO")</f>
        <v>0</v>
      </c>
      <c r="K36" s="467">
        <f>SUMIFS(TableauConcurence[PRIX_KG],TableauConcurence[PRODUIT],TableauProduit[[#This Row],[Recette]],TableauConcurence[DISTRIBUTION],"magasin BIO")</f>
        <v>0</v>
      </c>
      <c r="L36" s="468">
        <f>SUMIFS(TableauConcurence[PRIX_KG],TableauConcurence[PRODUIT],TableauProduit[[#This Row],[Recette]],TableauConcurence[DISTRIBUTION],"artisanale BIO")</f>
        <v>0</v>
      </c>
      <c r="M36" s="410">
        <v>0</v>
      </c>
      <c r="N36" s="333">
        <f>TableauProduit[[#This Row],[Objectif de vente en unite N1]]*TableauProduit[[#This Row],[Poids (g) / unite]]/1000</f>
        <v>0</v>
      </c>
      <c r="O36" s="425">
        <f>TableauProduit[[#This Row],[Packaging / unite]]*TableauProduit[[#This Row],[Objectif de vente en unite N1]]</f>
        <v>0</v>
      </c>
      <c r="P36" s="425">
        <f>SUMIF(TableauRecette[[#This Row],[Recette]],TableauProduit[[#This Row],[Recette]],TableauRecette[[#This Row],[Prix pour kg/ de melange]])</f>
        <v>0</v>
      </c>
      <c r="Q36" s="425">
        <f>TableauProduit[[#This Row],[Prix de vente/kg]]*TableauProduit[[#This Row],[Total (kg) N1]]</f>
        <v>0</v>
      </c>
      <c r="R36" s="428" t="e">
        <f>#REF!-#REF!-TableauProduit[[#This Row],[Conditionnement N1]]</f>
        <v>#REF!</v>
      </c>
      <c r="S36" s="336">
        <v>0</v>
      </c>
      <c r="T36" s="335" t="e">
        <f>#REF!*#REF!/1000</f>
        <v>#REF!</v>
      </c>
      <c r="U36" s="417" t="e">
        <f>#REF!*#REF!</f>
        <v>#REF!</v>
      </c>
      <c r="V36" s="417" t="e">
        <f>#REF!*TableauProduit[[#This Row],[Total (kg) N2]]</f>
        <v>#REF!</v>
      </c>
      <c r="W36" s="417" t="e">
        <f>TableauProduit[[#This Row],[Prix de vente/kg]]*TableauProduit[[#This Row],[Total (kg) N2]]</f>
        <v>#REF!</v>
      </c>
      <c r="X36" s="411" t="e">
        <f>#REF!-#REF!-TableauProduit[[#This Row],[Conditionnement N2]]</f>
        <v>#REF!</v>
      </c>
      <c r="Y36" s="412">
        <v>0</v>
      </c>
      <c r="Z36" s="339" t="e">
        <f>#REF!*#REF!/1000</f>
        <v>#REF!</v>
      </c>
      <c r="AA36" s="420" t="e">
        <f>#REF!*#REF!</f>
        <v>#REF!</v>
      </c>
      <c r="AB36" s="420" t="e">
        <f>#REF!*TableauProduit[[#This Row],[Total (kg) N3]]</f>
        <v>#REF!</v>
      </c>
      <c r="AC36" s="420" t="e">
        <f>TableauProduit[[#This Row],[Prix de vente/kg]]*TableauProduit[[#This Row],[Total (kg) N3]]</f>
        <v>#REF!</v>
      </c>
      <c r="AD36" s="429" t="e">
        <f>#REF!-#REF!-TableauProduit[[#This Row],[Conditionnement N3]]</f>
        <v>#REF!</v>
      </c>
      <c r="AE36" s="341">
        <v>50</v>
      </c>
      <c r="AF36" s="341" t="e">
        <f>#REF!*#REF!/1000</f>
        <v>#REF!</v>
      </c>
      <c r="AG36" s="423" t="e">
        <f>#REF!*#REF!</f>
        <v>#REF!</v>
      </c>
      <c r="AH36" s="423" t="e">
        <f>#REF!*TableauProduit[[#This Row],[Total (kg) N4]]</f>
        <v>#REF!</v>
      </c>
      <c r="AI36" s="423" t="e">
        <f>TableauProduit[[#This Row],[Prix de vente/kg]]*TableauProduit[[#This Row],[Total (kg) N4]]</f>
        <v>#REF!</v>
      </c>
      <c r="AJ36" s="341" t="e">
        <f>#REF!-#REF!-TableauProduit[[#This Row],[Conditionnement N4]]</f>
        <v>#REF!</v>
      </c>
      <c r="AK36" s="343">
        <v>60</v>
      </c>
      <c r="AL36" s="343" t="e">
        <f>#REF!*#REF!/1000</f>
        <v>#REF!</v>
      </c>
      <c r="AM36" s="430" t="e">
        <f>#REF!*#REF!</f>
        <v>#REF!</v>
      </c>
      <c r="AN36" s="430" t="e">
        <f>#REF!*TableauProduit[[#This Row],[Total (kg) N5]]</f>
        <v>#REF!</v>
      </c>
      <c r="AO36" s="430" t="e">
        <f>TableauProduit[[#This Row],[Prix de vente/kg]]*TableauProduit[[#This Row],[Total (kg) N5]]</f>
        <v>#REF!</v>
      </c>
      <c r="AP36" s="343" t="e">
        <f>#REF!-#REF!-TableauProduit[[#This Row],[Conditionnement N5]]</f>
        <v>#REF!</v>
      </c>
      <c r="AQ36" s="345">
        <v>65</v>
      </c>
      <c r="AR36" s="345" t="e">
        <f>#REF!*#REF!/1000</f>
        <v>#REF!</v>
      </c>
      <c r="AS36" s="431" t="e">
        <f>#REF!*#REF!</f>
        <v>#REF!</v>
      </c>
      <c r="AT36" s="431" t="e">
        <f>#REF!*TableauProduit[[#This Row],[Total (kg) N6]]</f>
        <v>#REF!</v>
      </c>
      <c r="AU36" s="431" t="e">
        <f>TableauProduit[[#This Row],[Prix de vente/kg]]*TableauProduit[[#This Row],[Total (kg) N6]]</f>
        <v>#REF!</v>
      </c>
      <c r="AV36" s="345" t="e">
        <f>#REF!-#REF!-TableauProduit[[#This Row],[Conditionnement N6]]</f>
        <v>#REF!</v>
      </c>
      <c r="AW36" s="333">
        <v>68</v>
      </c>
      <c r="AX36" s="333" t="e">
        <f>#REF!*#REF!/1000</f>
        <v>#REF!</v>
      </c>
      <c r="AY36" s="425" t="e">
        <f>#REF!*#REF!</f>
        <v>#REF!</v>
      </c>
      <c r="AZ36" s="425" t="e">
        <f>#REF!*TableauProduit[[#This Row],[Total (kg) N7]]</f>
        <v>#REF!</v>
      </c>
      <c r="BA36" s="425" t="e">
        <f>TableauProduit[[#This Row],[Prix de vente/kg]]*TableauProduit[[#This Row],[Total (kg) N7]]</f>
        <v>#REF!</v>
      </c>
      <c r="BB36" s="432" t="e">
        <f>#REF!-#REF!-TableauProduit[[#This Row],[Conditionnement N7]]</f>
        <v>#REF!</v>
      </c>
      <c r="BC36" s="414">
        <v>68</v>
      </c>
      <c r="BD36" s="348" t="e">
        <f>#REF!*#REF!/1000</f>
        <v>#REF!</v>
      </c>
      <c r="BE36" s="433" t="e">
        <f>#REF!*#REF!</f>
        <v>#REF!</v>
      </c>
      <c r="BF36" s="433" t="e">
        <f>#REF!*TableauProduit[[#This Row],[Total (kg) N8]]</f>
        <v>#REF!</v>
      </c>
      <c r="BG36" s="433" t="e">
        <f>TableauProduit[[#This Row],[Prix de vente/kg]]*TableauProduit[[#This Row],[Total (kg) N8]]</f>
        <v>#REF!</v>
      </c>
      <c r="BH36" s="434" t="e">
        <f>#REF!-#REF!-TableauProduit[[#This Row],[Conditionnement N8]]</f>
        <v>#REF!</v>
      </c>
      <c r="BI36" s="401">
        <v>68</v>
      </c>
      <c r="BJ36" s="350" t="e">
        <f>#REF!*#REF!/1000</f>
        <v>#REF!</v>
      </c>
      <c r="BK36" s="435" t="e">
        <f>#REF!*#REF!</f>
        <v>#REF!</v>
      </c>
      <c r="BL36" s="435" t="e">
        <f>#REF!*TableauProduit[[#This Row],[Total (kg) N9]]</f>
        <v>#REF!</v>
      </c>
      <c r="BM36" s="435" t="e">
        <f>TableauProduit[[#This Row],[Prix de vente/kg]]*TableauProduit[[#This Row],[Total (kg) N9]]</f>
        <v>#REF!</v>
      </c>
      <c r="BN36" s="350" t="e">
        <f>#REF!-#REF!-TableauProduit[[#This Row],[Conditionnement N9]]</f>
        <v>#REF!</v>
      </c>
    </row>
    <row r="37" spans="1:66" x14ac:dyDescent="0.2">
      <c r="A37" s="13" t="s">
        <v>110</v>
      </c>
      <c r="B37" s="54" t="str">
        <f>TableauProduit[[#This Row],[Recette]]&amp;TableauProduit[[#This Row],[Conditionnement]]</f>
        <v>HarissaEpice 100ml</v>
      </c>
      <c r="C37" s="11">
        <v>1</v>
      </c>
      <c r="D37" s="11">
        <v>65</v>
      </c>
      <c r="E37" s="6" t="s">
        <v>73</v>
      </c>
      <c r="F37" s="7">
        <f>IFERROR(VLOOKUP(TableauProduit[[#This Row],[Conditionnement]],TableauConditionnement[[Nom]:[Contenance]],4,FALSE),"")</f>
        <v>0.64</v>
      </c>
      <c r="G37" s="463">
        <f>IFERROR(SUMIFS(TableauRecette[Prix d''achat / kg],TableauRecette[Recette],TableauProduit[[#This Row],[Recette]],TableauRecette[Conditionnement],TableauProduit[[#This Row],[Conditionnement]]),0)</f>
        <v>0</v>
      </c>
      <c r="H37" s="464">
        <v>5</v>
      </c>
      <c r="I37" s="465">
        <f>TableauProduit[[#This Row],[Prix de vente/U]]/TableauProduit[[#This Row],[Poids (g) / unite]]*1000</f>
        <v>76.923076923076934</v>
      </c>
      <c r="J37" s="466">
        <f>SUMIFS(TableauConcurence[PRIX_KG],TableauConcurence[PRODUIT],TableauProduit[[#This Row],[Recette]],TableauConcurence[DISTRIBUTION],"magasin NON BIO")</f>
        <v>0</v>
      </c>
      <c r="K37" s="467">
        <f>SUMIFS(TableauConcurence[PRIX_KG],TableauConcurence[PRODUIT],TableauProduit[[#This Row],[Recette]],TableauConcurence[DISTRIBUTION],"magasin BIO")</f>
        <v>0</v>
      </c>
      <c r="L37" s="468">
        <f>SUMIFS(TableauConcurence[PRIX_KG],TableauConcurence[PRODUIT],TableauProduit[[#This Row],[Recette]],TableauConcurence[DISTRIBUTION],"artisanale BIO")</f>
        <v>0</v>
      </c>
      <c r="M37" s="410">
        <v>0</v>
      </c>
      <c r="N37" s="333">
        <f>TableauProduit[[#This Row],[Objectif de vente en unite N1]]*TableauProduit[[#This Row],[Poids (g) / unite]]/1000</f>
        <v>0</v>
      </c>
      <c r="O37" s="425">
        <f>TableauProduit[[#This Row],[Packaging / unite]]*TableauProduit[[#This Row],[Objectif de vente en unite N1]]</f>
        <v>0</v>
      </c>
      <c r="P37" s="425">
        <f>SUMIF(TableauRecette[[#This Row],[Recette]],TableauProduit[[#This Row],[Recette]],TableauRecette[[#This Row],[Prix pour kg/ de melange]])</f>
        <v>0</v>
      </c>
      <c r="Q37" s="425">
        <f>TableauProduit[[#This Row],[Prix de vente/kg]]*TableauProduit[[#This Row],[Total (kg) N1]]</f>
        <v>0</v>
      </c>
      <c r="R37" s="428" t="e">
        <f>#REF!-#REF!-TableauProduit[[#This Row],[Conditionnement N1]]</f>
        <v>#REF!</v>
      </c>
      <c r="S37" s="336">
        <v>0</v>
      </c>
      <c r="T37" s="335" t="e">
        <f>#REF!*#REF!/1000</f>
        <v>#REF!</v>
      </c>
      <c r="U37" s="417" t="e">
        <f>#REF!*#REF!</f>
        <v>#REF!</v>
      </c>
      <c r="V37" s="417" t="e">
        <f>#REF!*TableauProduit[[#This Row],[Total (kg) N2]]</f>
        <v>#REF!</v>
      </c>
      <c r="W37" s="417" t="e">
        <f>TableauProduit[[#This Row],[Prix de vente/kg]]*TableauProduit[[#This Row],[Total (kg) N2]]</f>
        <v>#REF!</v>
      </c>
      <c r="X37" s="411" t="e">
        <f>#REF!-#REF!-TableauProduit[[#This Row],[Conditionnement N2]]</f>
        <v>#REF!</v>
      </c>
      <c r="Y37" s="412">
        <v>70</v>
      </c>
      <c r="Z37" s="339" t="e">
        <f>#REF!*#REF!/1000</f>
        <v>#REF!</v>
      </c>
      <c r="AA37" s="420" t="e">
        <f>#REF!*#REF!</f>
        <v>#REF!</v>
      </c>
      <c r="AB37" s="420" t="e">
        <f>#REF!*TableauProduit[[#This Row],[Total (kg) N3]]</f>
        <v>#REF!</v>
      </c>
      <c r="AC37" s="420" t="e">
        <f>TableauProduit[[#This Row],[Prix de vente/kg]]*TableauProduit[[#This Row],[Total (kg) N3]]</f>
        <v>#REF!</v>
      </c>
      <c r="AD37" s="429" t="e">
        <f>#REF!-#REF!-TableauProduit[[#This Row],[Conditionnement N3]]</f>
        <v>#REF!</v>
      </c>
      <c r="AE37" s="341">
        <v>88</v>
      </c>
      <c r="AF37" s="341" t="e">
        <f>#REF!*#REF!/1000</f>
        <v>#REF!</v>
      </c>
      <c r="AG37" s="423" t="e">
        <f>#REF!*#REF!</f>
        <v>#REF!</v>
      </c>
      <c r="AH37" s="423" t="e">
        <f>#REF!*TableauProduit[[#This Row],[Total (kg) N4]]</f>
        <v>#REF!</v>
      </c>
      <c r="AI37" s="423" t="e">
        <f>TableauProduit[[#This Row],[Prix de vente/kg]]*TableauProduit[[#This Row],[Total (kg) N4]]</f>
        <v>#REF!</v>
      </c>
      <c r="AJ37" s="341" t="e">
        <f>#REF!-#REF!-TableauProduit[[#This Row],[Conditionnement N4]]</f>
        <v>#REF!</v>
      </c>
      <c r="AK37" s="343">
        <v>98</v>
      </c>
      <c r="AL37" s="343" t="e">
        <f>#REF!*#REF!/1000</f>
        <v>#REF!</v>
      </c>
      <c r="AM37" s="430" t="e">
        <f>#REF!*#REF!</f>
        <v>#REF!</v>
      </c>
      <c r="AN37" s="430" t="e">
        <f>#REF!*TableauProduit[[#This Row],[Total (kg) N5]]</f>
        <v>#REF!</v>
      </c>
      <c r="AO37" s="430" t="e">
        <f>TableauProduit[[#This Row],[Prix de vente/kg]]*TableauProduit[[#This Row],[Total (kg) N5]]</f>
        <v>#REF!</v>
      </c>
      <c r="AP37" s="343" t="e">
        <f>#REF!-#REF!-TableauProduit[[#This Row],[Conditionnement N5]]</f>
        <v>#REF!</v>
      </c>
      <c r="AQ37" s="345">
        <v>102</v>
      </c>
      <c r="AR37" s="345" t="e">
        <f>#REF!*#REF!/1000</f>
        <v>#REF!</v>
      </c>
      <c r="AS37" s="431" t="e">
        <f>#REF!*#REF!</f>
        <v>#REF!</v>
      </c>
      <c r="AT37" s="431" t="e">
        <f>#REF!*TableauProduit[[#This Row],[Total (kg) N6]]</f>
        <v>#REF!</v>
      </c>
      <c r="AU37" s="431" t="e">
        <f>TableauProduit[[#This Row],[Prix de vente/kg]]*TableauProduit[[#This Row],[Total (kg) N6]]</f>
        <v>#REF!</v>
      </c>
      <c r="AV37" s="345" t="e">
        <f>#REF!-#REF!-TableauProduit[[#This Row],[Conditionnement N6]]</f>
        <v>#REF!</v>
      </c>
      <c r="AW37" s="333">
        <v>102</v>
      </c>
      <c r="AX37" s="333" t="e">
        <f>#REF!*#REF!/1000</f>
        <v>#REF!</v>
      </c>
      <c r="AY37" s="425" t="e">
        <f>#REF!*#REF!</f>
        <v>#REF!</v>
      </c>
      <c r="AZ37" s="425" t="e">
        <f>#REF!*TableauProduit[[#This Row],[Total (kg) N7]]</f>
        <v>#REF!</v>
      </c>
      <c r="BA37" s="425" t="e">
        <f>TableauProduit[[#This Row],[Prix de vente/kg]]*TableauProduit[[#This Row],[Total (kg) N7]]</f>
        <v>#REF!</v>
      </c>
      <c r="BB37" s="432" t="e">
        <f>#REF!-#REF!-TableauProduit[[#This Row],[Conditionnement N7]]</f>
        <v>#REF!</v>
      </c>
      <c r="BC37" s="414">
        <v>102</v>
      </c>
      <c r="BD37" s="348" t="e">
        <f>#REF!*#REF!/1000</f>
        <v>#REF!</v>
      </c>
      <c r="BE37" s="433" t="e">
        <f>#REF!*#REF!</f>
        <v>#REF!</v>
      </c>
      <c r="BF37" s="433" t="e">
        <f>#REF!*TableauProduit[[#This Row],[Total (kg) N8]]</f>
        <v>#REF!</v>
      </c>
      <c r="BG37" s="433" t="e">
        <f>TableauProduit[[#This Row],[Prix de vente/kg]]*TableauProduit[[#This Row],[Total (kg) N8]]</f>
        <v>#REF!</v>
      </c>
      <c r="BH37" s="434" t="e">
        <f>#REF!-#REF!-TableauProduit[[#This Row],[Conditionnement N8]]</f>
        <v>#REF!</v>
      </c>
      <c r="BI37" s="401">
        <v>102</v>
      </c>
      <c r="BJ37" s="350" t="e">
        <f>#REF!*#REF!/1000</f>
        <v>#REF!</v>
      </c>
      <c r="BK37" s="435" t="e">
        <f>#REF!*#REF!</f>
        <v>#REF!</v>
      </c>
      <c r="BL37" s="435" t="e">
        <f>#REF!*TableauProduit[[#This Row],[Total (kg) N9]]</f>
        <v>#REF!</v>
      </c>
      <c r="BM37" s="435" t="e">
        <f>TableauProduit[[#This Row],[Prix de vente/kg]]*TableauProduit[[#This Row],[Total (kg) N9]]</f>
        <v>#REF!</v>
      </c>
      <c r="BN37" s="350" t="e">
        <f>#REF!-#REF!-TableauProduit[[#This Row],[Conditionnement N9]]</f>
        <v>#REF!</v>
      </c>
    </row>
    <row r="38" spans="1:66" x14ac:dyDescent="0.2">
      <c r="A38" s="13" t="s">
        <v>111</v>
      </c>
      <c r="B38" s="54" t="str">
        <f>TableauProduit[[#This Row],[Recette]]&amp;TableauProduit[[#This Row],[Conditionnement]]</f>
        <v>Épices cajunEpice 100ml</v>
      </c>
      <c r="C38" s="11">
        <v>1</v>
      </c>
      <c r="D38" s="11">
        <v>50</v>
      </c>
      <c r="E38" s="6" t="s">
        <v>73</v>
      </c>
      <c r="F38" s="7">
        <f>IFERROR(VLOOKUP(TableauProduit[[#This Row],[Conditionnement]],TableauConditionnement[[Nom]:[Contenance]],4,FALSE),"")</f>
        <v>0.64</v>
      </c>
      <c r="G38" s="463">
        <f>IFERROR(SUMIFS(TableauRecette[Prix d''achat / kg],TableauRecette[Recette],TableauProduit[[#This Row],[Recette]],TableauRecette[Conditionnement],TableauProduit[[#This Row],[Conditionnement]]),0)</f>
        <v>0</v>
      </c>
      <c r="H38" s="464">
        <v>4</v>
      </c>
      <c r="I38" s="465">
        <f>TableauProduit[[#This Row],[Prix de vente/U]]/TableauProduit[[#This Row],[Poids (g) / unite]]*1000</f>
        <v>80</v>
      </c>
      <c r="J38" s="466">
        <f>SUMIFS(TableauConcurence[PRIX_KG],TableauConcurence[PRODUIT],TableauProduit[[#This Row],[Recette]],TableauConcurence[DISTRIBUTION],"magasin NON BIO")</f>
        <v>0</v>
      </c>
      <c r="K38" s="467">
        <f>SUMIFS(TableauConcurence[PRIX_KG],TableauConcurence[PRODUIT],TableauProduit[[#This Row],[Recette]],TableauConcurence[DISTRIBUTION],"magasin BIO")</f>
        <v>0</v>
      </c>
      <c r="L38" s="468">
        <f>SUMIFS(TableauConcurence[PRIX_KG],TableauConcurence[PRODUIT],TableauProduit[[#This Row],[Recette]],TableauConcurence[DISTRIBUTION],"artisanale BIO")</f>
        <v>0</v>
      </c>
      <c r="M38" s="410">
        <v>0</v>
      </c>
      <c r="N38" s="333">
        <f>TableauProduit[[#This Row],[Objectif de vente en unite N1]]*TableauProduit[[#This Row],[Poids (g) / unite]]/1000</f>
        <v>0</v>
      </c>
      <c r="O38" s="425">
        <f>TableauProduit[[#This Row],[Packaging / unite]]*TableauProduit[[#This Row],[Objectif de vente en unite N1]]</f>
        <v>0</v>
      </c>
      <c r="P38" s="425">
        <f>SUMIF(TableauRecette[[#This Row],[Recette]],TableauProduit[[#This Row],[Recette]],TableauRecette[[#This Row],[Prix pour kg/ de melange]])</f>
        <v>0</v>
      </c>
      <c r="Q38" s="425">
        <f>TableauProduit[[#This Row],[Prix de vente/kg]]*TableauProduit[[#This Row],[Total (kg) N1]]</f>
        <v>0</v>
      </c>
      <c r="R38" s="428" t="e">
        <f>#REF!-#REF!-TableauProduit[[#This Row],[Conditionnement N1]]</f>
        <v>#REF!</v>
      </c>
      <c r="S38" s="336">
        <v>0</v>
      </c>
      <c r="T38" s="335" t="e">
        <f>#REF!*#REF!/1000</f>
        <v>#REF!</v>
      </c>
      <c r="U38" s="417" t="e">
        <f>#REF!*#REF!</f>
        <v>#REF!</v>
      </c>
      <c r="V38" s="417" t="e">
        <f>#REF!*TableauProduit[[#This Row],[Total (kg) N2]]</f>
        <v>#REF!</v>
      </c>
      <c r="W38" s="417" t="e">
        <f>TableauProduit[[#This Row],[Prix de vente/kg]]*TableauProduit[[#This Row],[Total (kg) N2]]</f>
        <v>#REF!</v>
      </c>
      <c r="X38" s="411" t="e">
        <f>#REF!-#REF!-TableauProduit[[#This Row],[Conditionnement N2]]</f>
        <v>#REF!</v>
      </c>
      <c r="Y38" s="412">
        <v>0</v>
      </c>
      <c r="Z38" s="339" t="e">
        <f>#REF!*#REF!/1000</f>
        <v>#REF!</v>
      </c>
      <c r="AA38" s="420" t="e">
        <f>#REF!*#REF!</f>
        <v>#REF!</v>
      </c>
      <c r="AB38" s="420" t="e">
        <f>#REF!*TableauProduit[[#This Row],[Total (kg) N3]]</f>
        <v>#REF!</v>
      </c>
      <c r="AC38" s="420" t="e">
        <f>TableauProduit[[#This Row],[Prix de vente/kg]]*TableauProduit[[#This Row],[Total (kg) N3]]</f>
        <v>#REF!</v>
      </c>
      <c r="AD38" s="429" t="e">
        <f>#REF!-#REF!-TableauProduit[[#This Row],[Conditionnement N3]]</f>
        <v>#REF!</v>
      </c>
      <c r="AE38" s="341">
        <v>50</v>
      </c>
      <c r="AF38" s="341" t="e">
        <f>#REF!*#REF!/1000</f>
        <v>#REF!</v>
      </c>
      <c r="AG38" s="423" t="e">
        <f>#REF!*#REF!</f>
        <v>#REF!</v>
      </c>
      <c r="AH38" s="423" t="e">
        <f>#REF!*TableauProduit[[#This Row],[Total (kg) N4]]</f>
        <v>#REF!</v>
      </c>
      <c r="AI38" s="423" t="e">
        <f>TableauProduit[[#This Row],[Prix de vente/kg]]*TableauProduit[[#This Row],[Total (kg) N4]]</f>
        <v>#REF!</v>
      </c>
      <c r="AJ38" s="341" t="e">
        <f>#REF!-#REF!-TableauProduit[[#This Row],[Conditionnement N4]]</f>
        <v>#REF!</v>
      </c>
      <c r="AK38" s="343">
        <v>60</v>
      </c>
      <c r="AL38" s="343" t="e">
        <f>#REF!*#REF!/1000</f>
        <v>#REF!</v>
      </c>
      <c r="AM38" s="430" t="e">
        <f>#REF!*#REF!</f>
        <v>#REF!</v>
      </c>
      <c r="AN38" s="430" t="e">
        <f>#REF!*TableauProduit[[#This Row],[Total (kg) N5]]</f>
        <v>#REF!</v>
      </c>
      <c r="AO38" s="430" t="e">
        <f>TableauProduit[[#This Row],[Prix de vente/kg]]*TableauProduit[[#This Row],[Total (kg) N5]]</f>
        <v>#REF!</v>
      </c>
      <c r="AP38" s="343" t="e">
        <f>#REF!-#REF!-TableauProduit[[#This Row],[Conditionnement N5]]</f>
        <v>#REF!</v>
      </c>
      <c r="AQ38" s="345">
        <v>65</v>
      </c>
      <c r="AR38" s="345" t="e">
        <f>#REF!*#REF!/1000</f>
        <v>#REF!</v>
      </c>
      <c r="AS38" s="431" t="e">
        <f>#REF!*#REF!</f>
        <v>#REF!</v>
      </c>
      <c r="AT38" s="431" t="e">
        <f>#REF!*TableauProduit[[#This Row],[Total (kg) N6]]</f>
        <v>#REF!</v>
      </c>
      <c r="AU38" s="431" t="e">
        <f>TableauProduit[[#This Row],[Prix de vente/kg]]*TableauProduit[[#This Row],[Total (kg) N6]]</f>
        <v>#REF!</v>
      </c>
      <c r="AV38" s="345" t="e">
        <f>#REF!-#REF!-TableauProduit[[#This Row],[Conditionnement N6]]</f>
        <v>#REF!</v>
      </c>
      <c r="AW38" s="333">
        <v>68</v>
      </c>
      <c r="AX38" s="333" t="e">
        <f>#REF!*#REF!/1000</f>
        <v>#REF!</v>
      </c>
      <c r="AY38" s="425" t="e">
        <f>#REF!*#REF!</f>
        <v>#REF!</v>
      </c>
      <c r="AZ38" s="425" t="e">
        <f>#REF!*TableauProduit[[#This Row],[Total (kg) N7]]</f>
        <v>#REF!</v>
      </c>
      <c r="BA38" s="425" t="e">
        <f>TableauProduit[[#This Row],[Prix de vente/kg]]*TableauProduit[[#This Row],[Total (kg) N7]]</f>
        <v>#REF!</v>
      </c>
      <c r="BB38" s="432" t="e">
        <f>#REF!-#REF!-TableauProduit[[#This Row],[Conditionnement N7]]</f>
        <v>#REF!</v>
      </c>
      <c r="BC38" s="414">
        <v>68</v>
      </c>
      <c r="BD38" s="348" t="e">
        <f>#REF!*#REF!/1000</f>
        <v>#REF!</v>
      </c>
      <c r="BE38" s="433" t="e">
        <f>#REF!*#REF!</f>
        <v>#REF!</v>
      </c>
      <c r="BF38" s="433" t="e">
        <f>#REF!*TableauProduit[[#This Row],[Total (kg) N8]]</f>
        <v>#REF!</v>
      </c>
      <c r="BG38" s="433" t="e">
        <f>TableauProduit[[#This Row],[Prix de vente/kg]]*TableauProduit[[#This Row],[Total (kg) N8]]</f>
        <v>#REF!</v>
      </c>
      <c r="BH38" s="434" t="e">
        <f>#REF!-#REF!-TableauProduit[[#This Row],[Conditionnement N8]]</f>
        <v>#REF!</v>
      </c>
      <c r="BI38" s="401">
        <v>68</v>
      </c>
      <c r="BJ38" s="350" t="e">
        <f>#REF!*#REF!/1000</f>
        <v>#REF!</v>
      </c>
      <c r="BK38" s="435" t="e">
        <f>#REF!*#REF!</f>
        <v>#REF!</v>
      </c>
      <c r="BL38" s="435" t="e">
        <f>#REF!*TableauProduit[[#This Row],[Total (kg) N9]]</f>
        <v>#REF!</v>
      </c>
      <c r="BM38" s="435" t="e">
        <f>TableauProduit[[#This Row],[Prix de vente/kg]]*TableauProduit[[#This Row],[Total (kg) N9]]</f>
        <v>#REF!</v>
      </c>
      <c r="BN38" s="350" t="e">
        <f>#REF!-#REF!-TableauProduit[[#This Row],[Conditionnement N9]]</f>
        <v>#REF!</v>
      </c>
    </row>
    <row r="39" spans="1:66" x14ac:dyDescent="0.2">
      <c r="A39" s="13" t="s">
        <v>112</v>
      </c>
      <c r="B39" s="54" t="str">
        <f>TableauProduit[[#This Row],[Recette]]&amp;TableauProduit[[#This Row],[Conditionnement]]</f>
        <v>TakliaEpice 100ml</v>
      </c>
      <c r="C39" s="11">
        <v>1</v>
      </c>
      <c r="D39" s="11">
        <v>50</v>
      </c>
      <c r="E39" s="6" t="s">
        <v>73</v>
      </c>
      <c r="F39" s="7">
        <f>IFERROR(VLOOKUP(TableauProduit[[#This Row],[Conditionnement]],TableauConditionnement[[Nom]:[Contenance]],4,FALSE),"")</f>
        <v>0.64</v>
      </c>
      <c r="G39" s="463">
        <f>IFERROR(SUMIFS(TableauRecette[Prix d''achat / kg],TableauRecette[Recette],TableauProduit[[#This Row],[Recette]],TableauRecette[Conditionnement],TableauProduit[[#This Row],[Conditionnement]]),0)</f>
        <v>0</v>
      </c>
      <c r="H39" s="464">
        <v>2.9</v>
      </c>
      <c r="I39" s="465">
        <f>TableauProduit[[#This Row],[Prix de vente/U]]/TableauProduit[[#This Row],[Poids (g) / unite]]*1000</f>
        <v>57.999999999999993</v>
      </c>
      <c r="J39" s="466">
        <f>SUMIFS(TableauConcurence[PRIX_KG],TableauConcurence[PRODUIT],TableauProduit[[#This Row],[Recette]],TableauConcurence[DISTRIBUTION],"magasin NON BIO")</f>
        <v>0</v>
      </c>
      <c r="K39" s="467">
        <f>SUMIFS(TableauConcurence[PRIX_KG],TableauConcurence[PRODUIT],TableauProduit[[#This Row],[Recette]],TableauConcurence[DISTRIBUTION],"magasin BIO")</f>
        <v>0</v>
      </c>
      <c r="L39" s="468">
        <f>SUMIFS(TableauConcurence[PRIX_KG],TableauConcurence[PRODUIT],TableauProduit[[#This Row],[Recette]],TableauConcurence[DISTRIBUTION],"artisanale BIO")</f>
        <v>0</v>
      </c>
      <c r="M39" s="410">
        <v>0</v>
      </c>
      <c r="N39" s="333">
        <f>TableauProduit[[#This Row],[Objectif de vente en unite N1]]*TableauProduit[[#This Row],[Poids (g) / unite]]/1000</f>
        <v>0</v>
      </c>
      <c r="O39" s="425">
        <f>TableauProduit[[#This Row],[Packaging / unite]]*TableauProduit[[#This Row],[Objectif de vente en unite N1]]</f>
        <v>0</v>
      </c>
      <c r="P39" s="425">
        <f>SUMIF(TableauRecette[[#This Row],[Recette]],TableauProduit[[#This Row],[Recette]],TableauRecette[[#This Row],[Prix pour kg/ de melange]])</f>
        <v>0</v>
      </c>
      <c r="Q39" s="425">
        <f>TableauProduit[[#This Row],[Prix de vente/kg]]*TableauProduit[[#This Row],[Total (kg) N1]]</f>
        <v>0</v>
      </c>
      <c r="R39" s="428" t="e">
        <f>#REF!-#REF!-TableauProduit[[#This Row],[Conditionnement N1]]</f>
        <v>#REF!</v>
      </c>
      <c r="S39" s="336">
        <v>0</v>
      </c>
      <c r="T39" s="335" t="e">
        <f>#REF!*#REF!/1000</f>
        <v>#REF!</v>
      </c>
      <c r="U39" s="417" t="e">
        <f>#REF!*#REF!</f>
        <v>#REF!</v>
      </c>
      <c r="V39" s="417" t="e">
        <f>#REF!*TableauProduit[[#This Row],[Total (kg) N2]]</f>
        <v>#REF!</v>
      </c>
      <c r="W39" s="417" t="e">
        <f>TableauProduit[[#This Row],[Prix de vente/kg]]*TableauProduit[[#This Row],[Total (kg) N2]]</f>
        <v>#REF!</v>
      </c>
      <c r="X39" s="411" t="e">
        <f>#REF!-#REF!-TableauProduit[[#This Row],[Conditionnement N2]]</f>
        <v>#REF!</v>
      </c>
      <c r="Y39" s="412">
        <v>0</v>
      </c>
      <c r="Z39" s="339" t="e">
        <f>#REF!*#REF!/1000</f>
        <v>#REF!</v>
      </c>
      <c r="AA39" s="420" t="e">
        <f>#REF!*#REF!</f>
        <v>#REF!</v>
      </c>
      <c r="AB39" s="420" t="e">
        <f>#REF!*TableauProduit[[#This Row],[Total (kg) N3]]</f>
        <v>#REF!</v>
      </c>
      <c r="AC39" s="420" t="e">
        <f>TableauProduit[[#This Row],[Prix de vente/kg]]*TableauProduit[[#This Row],[Total (kg) N3]]</f>
        <v>#REF!</v>
      </c>
      <c r="AD39" s="429" t="e">
        <f>#REF!-#REF!-TableauProduit[[#This Row],[Conditionnement N3]]</f>
        <v>#REF!</v>
      </c>
      <c r="AE39" s="341">
        <v>50</v>
      </c>
      <c r="AF39" s="341" t="e">
        <f>#REF!*#REF!/1000</f>
        <v>#REF!</v>
      </c>
      <c r="AG39" s="423" t="e">
        <f>#REF!*#REF!</f>
        <v>#REF!</v>
      </c>
      <c r="AH39" s="423" t="e">
        <f>#REF!*TableauProduit[[#This Row],[Total (kg) N4]]</f>
        <v>#REF!</v>
      </c>
      <c r="AI39" s="423" t="e">
        <f>TableauProduit[[#This Row],[Prix de vente/kg]]*TableauProduit[[#This Row],[Total (kg) N4]]</f>
        <v>#REF!</v>
      </c>
      <c r="AJ39" s="341" t="e">
        <f>#REF!-#REF!-TableauProduit[[#This Row],[Conditionnement N4]]</f>
        <v>#REF!</v>
      </c>
      <c r="AK39" s="343">
        <v>60</v>
      </c>
      <c r="AL39" s="343" t="e">
        <f>#REF!*#REF!/1000</f>
        <v>#REF!</v>
      </c>
      <c r="AM39" s="430" t="e">
        <f>#REF!*#REF!</f>
        <v>#REF!</v>
      </c>
      <c r="AN39" s="430" t="e">
        <f>#REF!*TableauProduit[[#This Row],[Total (kg) N5]]</f>
        <v>#REF!</v>
      </c>
      <c r="AO39" s="430" t="e">
        <f>TableauProduit[[#This Row],[Prix de vente/kg]]*TableauProduit[[#This Row],[Total (kg) N5]]</f>
        <v>#REF!</v>
      </c>
      <c r="AP39" s="343" t="e">
        <f>#REF!-#REF!-TableauProduit[[#This Row],[Conditionnement N5]]</f>
        <v>#REF!</v>
      </c>
      <c r="AQ39" s="345">
        <v>65</v>
      </c>
      <c r="AR39" s="345" t="e">
        <f>#REF!*#REF!/1000</f>
        <v>#REF!</v>
      </c>
      <c r="AS39" s="431" t="e">
        <f>#REF!*#REF!</f>
        <v>#REF!</v>
      </c>
      <c r="AT39" s="431" t="e">
        <f>#REF!*TableauProduit[[#This Row],[Total (kg) N6]]</f>
        <v>#REF!</v>
      </c>
      <c r="AU39" s="431" t="e">
        <f>TableauProduit[[#This Row],[Prix de vente/kg]]*TableauProduit[[#This Row],[Total (kg) N6]]</f>
        <v>#REF!</v>
      </c>
      <c r="AV39" s="345" t="e">
        <f>#REF!-#REF!-TableauProduit[[#This Row],[Conditionnement N6]]</f>
        <v>#REF!</v>
      </c>
      <c r="AW39" s="333">
        <v>68</v>
      </c>
      <c r="AX39" s="333" t="e">
        <f>#REF!*#REF!/1000</f>
        <v>#REF!</v>
      </c>
      <c r="AY39" s="425" t="e">
        <f>#REF!*#REF!</f>
        <v>#REF!</v>
      </c>
      <c r="AZ39" s="425" t="e">
        <f>#REF!*TableauProduit[[#This Row],[Total (kg) N7]]</f>
        <v>#REF!</v>
      </c>
      <c r="BA39" s="425" t="e">
        <f>TableauProduit[[#This Row],[Prix de vente/kg]]*TableauProduit[[#This Row],[Total (kg) N7]]</f>
        <v>#REF!</v>
      </c>
      <c r="BB39" s="432" t="e">
        <f>#REF!-#REF!-TableauProduit[[#This Row],[Conditionnement N7]]</f>
        <v>#REF!</v>
      </c>
      <c r="BC39" s="414">
        <v>68</v>
      </c>
      <c r="BD39" s="348" t="e">
        <f>#REF!*#REF!/1000</f>
        <v>#REF!</v>
      </c>
      <c r="BE39" s="433" t="e">
        <f>#REF!*#REF!</f>
        <v>#REF!</v>
      </c>
      <c r="BF39" s="433" t="e">
        <f>#REF!*TableauProduit[[#This Row],[Total (kg) N8]]</f>
        <v>#REF!</v>
      </c>
      <c r="BG39" s="433" t="e">
        <f>TableauProduit[[#This Row],[Prix de vente/kg]]*TableauProduit[[#This Row],[Total (kg) N8]]</f>
        <v>#REF!</v>
      </c>
      <c r="BH39" s="434" t="e">
        <f>#REF!-#REF!-TableauProduit[[#This Row],[Conditionnement N8]]</f>
        <v>#REF!</v>
      </c>
      <c r="BI39" s="401">
        <v>68</v>
      </c>
      <c r="BJ39" s="350" t="e">
        <f>#REF!*#REF!/1000</f>
        <v>#REF!</v>
      </c>
      <c r="BK39" s="435" t="e">
        <f>#REF!*#REF!</f>
        <v>#REF!</v>
      </c>
      <c r="BL39" s="435" t="e">
        <f>#REF!*TableauProduit[[#This Row],[Total (kg) N9]]</f>
        <v>#REF!</v>
      </c>
      <c r="BM39" s="435" t="e">
        <f>TableauProduit[[#This Row],[Prix de vente/kg]]*TableauProduit[[#This Row],[Total (kg) N9]]</f>
        <v>#REF!</v>
      </c>
      <c r="BN39" s="350" t="e">
        <f>#REF!-#REF!-TableauProduit[[#This Row],[Conditionnement N9]]</f>
        <v>#REF!</v>
      </c>
    </row>
    <row r="40" spans="1:66" x14ac:dyDescent="0.2">
      <c r="A40" s="13" t="s">
        <v>113</v>
      </c>
      <c r="B40" s="54" t="str">
        <f>TableauProduit[[#This Row],[Recette]]&amp;TableauProduit[[#This Row],[Conditionnement]]</f>
        <v>DukkahEpice 100ml</v>
      </c>
      <c r="C40" s="11">
        <v>1</v>
      </c>
      <c r="D40" s="11">
        <v>50</v>
      </c>
      <c r="E40" s="6" t="s">
        <v>73</v>
      </c>
      <c r="F40" s="7">
        <f>IFERROR(VLOOKUP(TableauProduit[[#This Row],[Conditionnement]],TableauConditionnement[[Nom]:[Contenance]],4,FALSE),"")</f>
        <v>0.64</v>
      </c>
      <c r="G40" s="463">
        <f>IFERROR(SUMIFS(TableauRecette[Prix d''achat / kg],TableauRecette[Recette],TableauProduit[[#This Row],[Recette]],TableauRecette[Conditionnement],TableauProduit[[#This Row],[Conditionnement]]),0)</f>
        <v>0</v>
      </c>
      <c r="H40" s="464">
        <v>4</v>
      </c>
      <c r="I40" s="465">
        <f>TableauProduit[[#This Row],[Prix de vente/U]]/TableauProduit[[#This Row],[Poids (g) / unite]]*1000</f>
        <v>80</v>
      </c>
      <c r="J40" s="466">
        <f>SUMIFS(TableauConcurence[PRIX_KG],TableauConcurence[PRODUIT],TableauProduit[[#This Row],[Recette]],TableauConcurence[DISTRIBUTION],"magasin NON BIO")</f>
        <v>0</v>
      </c>
      <c r="K40" s="467">
        <f>SUMIFS(TableauConcurence[PRIX_KG],TableauConcurence[PRODUIT],TableauProduit[[#This Row],[Recette]],TableauConcurence[DISTRIBUTION],"magasin BIO")</f>
        <v>0</v>
      </c>
      <c r="L40" s="468">
        <f>SUMIFS(TableauConcurence[PRIX_KG],TableauConcurence[PRODUIT],TableauProduit[[#This Row],[Recette]],TableauConcurence[DISTRIBUTION],"artisanale BIO")</f>
        <v>0</v>
      </c>
      <c r="M40" s="410">
        <v>0</v>
      </c>
      <c r="N40" s="333">
        <f>TableauProduit[[#This Row],[Objectif de vente en unite N1]]*TableauProduit[[#This Row],[Poids (g) / unite]]/1000</f>
        <v>0</v>
      </c>
      <c r="O40" s="425">
        <f>TableauProduit[[#This Row],[Packaging / unite]]*TableauProduit[[#This Row],[Objectif de vente en unite N1]]</f>
        <v>0</v>
      </c>
      <c r="P40" s="425">
        <f>SUMIF(TableauRecette[[#This Row],[Recette]],TableauProduit[[#This Row],[Recette]],TableauRecette[[#This Row],[Prix pour kg/ de melange]])</f>
        <v>0</v>
      </c>
      <c r="Q40" s="425">
        <f>TableauProduit[[#This Row],[Prix de vente/kg]]*TableauProduit[[#This Row],[Total (kg) N1]]</f>
        <v>0</v>
      </c>
      <c r="R40" s="428" t="e">
        <f>#REF!-#REF!-TableauProduit[[#This Row],[Conditionnement N1]]</f>
        <v>#REF!</v>
      </c>
      <c r="S40" s="336">
        <v>0</v>
      </c>
      <c r="T40" s="335" t="e">
        <f>#REF!*#REF!/1000</f>
        <v>#REF!</v>
      </c>
      <c r="U40" s="417" t="e">
        <f>#REF!*#REF!</f>
        <v>#REF!</v>
      </c>
      <c r="V40" s="417" t="e">
        <f>#REF!*TableauProduit[[#This Row],[Total (kg) N2]]</f>
        <v>#REF!</v>
      </c>
      <c r="W40" s="417" t="e">
        <f>TableauProduit[[#This Row],[Prix de vente/kg]]*TableauProduit[[#This Row],[Total (kg) N2]]</f>
        <v>#REF!</v>
      </c>
      <c r="X40" s="411" t="e">
        <f>#REF!-#REF!-TableauProduit[[#This Row],[Conditionnement N2]]</f>
        <v>#REF!</v>
      </c>
      <c r="Y40" s="412">
        <v>70</v>
      </c>
      <c r="Z40" s="339" t="e">
        <f>#REF!*#REF!/1000</f>
        <v>#REF!</v>
      </c>
      <c r="AA40" s="420" t="e">
        <f>#REF!*#REF!</f>
        <v>#REF!</v>
      </c>
      <c r="AB40" s="420" t="e">
        <f>#REF!*TableauProduit[[#This Row],[Total (kg) N3]]</f>
        <v>#REF!</v>
      </c>
      <c r="AC40" s="420" t="e">
        <f>TableauProduit[[#This Row],[Prix de vente/kg]]*TableauProduit[[#This Row],[Total (kg) N3]]</f>
        <v>#REF!</v>
      </c>
      <c r="AD40" s="429" t="e">
        <f>#REF!-#REF!-TableauProduit[[#This Row],[Conditionnement N3]]</f>
        <v>#REF!</v>
      </c>
      <c r="AE40" s="341">
        <v>88</v>
      </c>
      <c r="AF40" s="341" t="e">
        <f>#REF!*#REF!/1000</f>
        <v>#REF!</v>
      </c>
      <c r="AG40" s="423" t="e">
        <f>#REF!*#REF!</f>
        <v>#REF!</v>
      </c>
      <c r="AH40" s="423" t="e">
        <f>#REF!*TableauProduit[[#This Row],[Total (kg) N4]]</f>
        <v>#REF!</v>
      </c>
      <c r="AI40" s="423" t="e">
        <f>TableauProduit[[#This Row],[Prix de vente/kg]]*TableauProduit[[#This Row],[Total (kg) N4]]</f>
        <v>#REF!</v>
      </c>
      <c r="AJ40" s="341" t="e">
        <f>#REF!-#REF!-TableauProduit[[#This Row],[Conditionnement N4]]</f>
        <v>#REF!</v>
      </c>
      <c r="AK40" s="343">
        <v>98</v>
      </c>
      <c r="AL40" s="343" t="e">
        <f>#REF!*#REF!/1000</f>
        <v>#REF!</v>
      </c>
      <c r="AM40" s="430" t="e">
        <f>#REF!*#REF!</f>
        <v>#REF!</v>
      </c>
      <c r="AN40" s="430" t="e">
        <f>#REF!*TableauProduit[[#This Row],[Total (kg) N5]]</f>
        <v>#REF!</v>
      </c>
      <c r="AO40" s="430" t="e">
        <f>TableauProduit[[#This Row],[Prix de vente/kg]]*TableauProduit[[#This Row],[Total (kg) N5]]</f>
        <v>#REF!</v>
      </c>
      <c r="AP40" s="343" t="e">
        <f>#REF!-#REF!-TableauProduit[[#This Row],[Conditionnement N5]]</f>
        <v>#REF!</v>
      </c>
      <c r="AQ40" s="345">
        <v>102</v>
      </c>
      <c r="AR40" s="345" t="e">
        <f>#REF!*#REF!/1000</f>
        <v>#REF!</v>
      </c>
      <c r="AS40" s="431" t="e">
        <f>#REF!*#REF!</f>
        <v>#REF!</v>
      </c>
      <c r="AT40" s="431" t="e">
        <f>#REF!*TableauProduit[[#This Row],[Total (kg) N6]]</f>
        <v>#REF!</v>
      </c>
      <c r="AU40" s="431" t="e">
        <f>TableauProduit[[#This Row],[Prix de vente/kg]]*TableauProduit[[#This Row],[Total (kg) N6]]</f>
        <v>#REF!</v>
      </c>
      <c r="AV40" s="345" t="e">
        <f>#REF!-#REF!-TableauProduit[[#This Row],[Conditionnement N6]]</f>
        <v>#REF!</v>
      </c>
      <c r="AW40" s="333">
        <v>102</v>
      </c>
      <c r="AX40" s="333" t="e">
        <f>#REF!*#REF!/1000</f>
        <v>#REF!</v>
      </c>
      <c r="AY40" s="425" t="e">
        <f>#REF!*#REF!</f>
        <v>#REF!</v>
      </c>
      <c r="AZ40" s="425" t="e">
        <f>#REF!*TableauProduit[[#This Row],[Total (kg) N7]]</f>
        <v>#REF!</v>
      </c>
      <c r="BA40" s="425" t="e">
        <f>TableauProduit[[#This Row],[Prix de vente/kg]]*TableauProduit[[#This Row],[Total (kg) N7]]</f>
        <v>#REF!</v>
      </c>
      <c r="BB40" s="432" t="e">
        <f>#REF!-#REF!-TableauProduit[[#This Row],[Conditionnement N7]]</f>
        <v>#REF!</v>
      </c>
      <c r="BC40" s="414">
        <v>102</v>
      </c>
      <c r="BD40" s="348" t="e">
        <f>#REF!*#REF!/1000</f>
        <v>#REF!</v>
      </c>
      <c r="BE40" s="433" t="e">
        <f>#REF!*#REF!</f>
        <v>#REF!</v>
      </c>
      <c r="BF40" s="433" t="e">
        <f>#REF!*TableauProduit[[#This Row],[Total (kg) N8]]</f>
        <v>#REF!</v>
      </c>
      <c r="BG40" s="433" t="e">
        <f>TableauProduit[[#This Row],[Prix de vente/kg]]*TableauProduit[[#This Row],[Total (kg) N8]]</f>
        <v>#REF!</v>
      </c>
      <c r="BH40" s="434" t="e">
        <f>#REF!-#REF!-TableauProduit[[#This Row],[Conditionnement N8]]</f>
        <v>#REF!</v>
      </c>
      <c r="BI40" s="401">
        <v>102</v>
      </c>
      <c r="BJ40" s="350" t="e">
        <f>#REF!*#REF!/1000</f>
        <v>#REF!</v>
      </c>
      <c r="BK40" s="435" t="e">
        <f>#REF!*#REF!</f>
        <v>#REF!</v>
      </c>
      <c r="BL40" s="435" t="e">
        <f>#REF!*TableauProduit[[#This Row],[Total (kg) N9]]</f>
        <v>#REF!</v>
      </c>
      <c r="BM40" s="435" t="e">
        <f>TableauProduit[[#This Row],[Prix de vente/kg]]*TableauProduit[[#This Row],[Total (kg) N9]]</f>
        <v>#REF!</v>
      </c>
      <c r="BN40" s="350" t="e">
        <f>#REF!-#REF!-TableauProduit[[#This Row],[Conditionnement N9]]</f>
        <v>#REF!</v>
      </c>
    </row>
    <row r="41" spans="1:66" x14ac:dyDescent="0.2">
      <c r="A41" s="13" t="s">
        <v>114</v>
      </c>
      <c r="B41" s="54" t="str">
        <f>TableauProduit[[#This Row],[Recette]]&amp;TableauProduit[[#This Row],[Conditionnement]]</f>
        <v>Tabel ou Tabil tunisienEpice 100ml</v>
      </c>
      <c r="C41" s="11">
        <v>1</v>
      </c>
      <c r="D41" s="11">
        <v>50</v>
      </c>
      <c r="E41" s="6" t="s">
        <v>73</v>
      </c>
      <c r="F41" s="7">
        <f>IFERROR(VLOOKUP(TableauProduit[[#This Row],[Conditionnement]],TableauConditionnement[[Nom]:[Contenance]],4,FALSE),"")</f>
        <v>0.64</v>
      </c>
      <c r="G41" s="463">
        <f>IFERROR(SUMIFS(TableauRecette[Prix d''achat / kg],TableauRecette[Recette],TableauProduit[[#This Row],[Recette]],TableauRecette[Conditionnement],TableauProduit[[#This Row],[Conditionnement]]),0)</f>
        <v>0</v>
      </c>
      <c r="H41" s="464">
        <v>2.9</v>
      </c>
      <c r="I41" s="465">
        <f>TableauProduit[[#This Row],[Prix de vente/U]]/TableauProduit[[#This Row],[Poids (g) / unite]]*1000</f>
        <v>57.999999999999993</v>
      </c>
      <c r="J41" s="466">
        <f>SUMIFS(TableauConcurence[PRIX_KG],TableauConcurence[PRODUIT],TableauProduit[[#This Row],[Recette]],TableauConcurence[DISTRIBUTION],"magasin NON BIO")</f>
        <v>0</v>
      </c>
      <c r="K41" s="467">
        <f>SUMIFS(TableauConcurence[PRIX_KG],TableauConcurence[PRODUIT],TableauProduit[[#This Row],[Recette]],TableauConcurence[DISTRIBUTION],"magasin BIO")</f>
        <v>0</v>
      </c>
      <c r="L41" s="468">
        <f>SUMIFS(TableauConcurence[PRIX_KG],TableauConcurence[PRODUIT],TableauProduit[[#This Row],[Recette]],TableauConcurence[DISTRIBUTION],"artisanale BIO")</f>
        <v>0</v>
      </c>
      <c r="M41" s="410">
        <v>0</v>
      </c>
      <c r="N41" s="333">
        <f>TableauProduit[[#This Row],[Objectif de vente en unite N1]]*TableauProduit[[#This Row],[Poids (g) / unite]]/1000</f>
        <v>0</v>
      </c>
      <c r="O41" s="425">
        <f>TableauProduit[[#This Row],[Packaging / unite]]*TableauProduit[[#This Row],[Objectif de vente en unite N1]]</f>
        <v>0</v>
      </c>
      <c r="P41" s="425">
        <f>SUMIF(TableauRecette[[#This Row],[Recette]],TableauProduit[[#This Row],[Recette]],TableauRecette[[#This Row],[Prix pour kg/ de melange]])</f>
        <v>0</v>
      </c>
      <c r="Q41" s="425">
        <f>TableauProduit[[#This Row],[Prix de vente/kg]]*TableauProduit[[#This Row],[Total (kg) N1]]</f>
        <v>0</v>
      </c>
      <c r="R41" s="428" t="e">
        <f>#REF!-#REF!-TableauProduit[[#This Row],[Conditionnement N1]]</f>
        <v>#REF!</v>
      </c>
      <c r="S41" s="336">
        <v>0</v>
      </c>
      <c r="T41" s="335" t="e">
        <f>#REF!*#REF!/1000</f>
        <v>#REF!</v>
      </c>
      <c r="U41" s="417" t="e">
        <f>#REF!*#REF!</f>
        <v>#REF!</v>
      </c>
      <c r="V41" s="417" t="e">
        <f>#REF!*TableauProduit[[#This Row],[Total (kg) N2]]</f>
        <v>#REF!</v>
      </c>
      <c r="W41" s="417" t="e">
        <f>TableauProduit[[#This Row],[Prix de vente/kg]]*TableauProduit[[#This Row],[Total (kg) N2]]</f>
        <v>#REF!</v>
      </c>
      <c r="X41" s="411" t="e">
        <f>#REF!-#REF!-TableauProduit[[#This Row],[Conditionnement N2]]</f>
        <v>#REF!</v>
      </c>
      <c r="Y41" s="412">
        <v>0</v>
      </c>
      <c r="Z41" s="339" t="e">
        <f>#REF!*#REF!/1000</f>
        <v>#REF!</v>
      </c>
      <c r="AA41" s="420" t="e">
        <f>#REF!*#REF!</f>
        <v>#REF!</v>
      </c>
      <c r="AB41" s="420" t="e">
        <f>#REF!*TableauProduit[[#This Row],[Total (kg) N3]]</f>
        <v>#REF!</v>
      </c>
      <c r="AC41" s="420" t="e">
        <f>TableauProduit[[#This Row],[Prix de vente/kg]]*TableauProduit[[#This Row],[Total (kg) N3]]</f>
        <v>#REF!</v>
      </c>
      <c r="AD41" s="429" t="e">
        <f>#REF!-#REF!-TableauProduit[[#This Row],[Conditionnement N3]]</f>
        <v>#REF!</v>
      </c>
      <c r="AE41" s="341">
        <v>50</v>
      </c>
      <c r="AF41" s="341" t="e">
        <f>#REF!*#REF!/1000</f>
        <v>#REF!</v>
      </c>
      <c r="AG41" s="423" t="e">
        <f>#REF!*#REF!</f>
        <v>#REF!</v>
      </c>
      <c r="AH41" s="423" t="e">
        <f>#REF!*TableauProduit[[#This Row],[Total (kg) N4]]</f>
        <v>#REF!</v>
      </c>
      <c r="AI41" s="423" t="e">
        <f>TableauProduit[[#This Row],[Prix de vente/kg]]*TableauProduit[[#This Row],[Total (kg) N4]]</f>
        <v>#REF!</v>
      </c>
      <c r="AJ41" s="341" t="e">
        <f>#REF!-#REF!-TableauProduit[[#This Row],[Conditionnement N4]]</f>
        <v>#REF!</v>
      </c>
      <c r="AK41" s="343">
        <v>60</v>
      </c>
      <c r="AL41" s="343" t="e">
        <f>#REF!*#REF!/1000</f>
        <v>#REF!</v>
      </c>
      <c r="AM41" s="430" t="e">
        <f>#REF!*#REF!</f>
        <v>#REF!</v>
      </c>
      <c r="AN41" s="430" t="e">
        <f>#REF!*TableauProduit[[#This Row],[Total (kg) N5]]</f>
        <v>#REF!</v>
      </c>
      <c r="AO41" s="430" t="e">
        <f>TableauProduit[[#This Row],[Prix de vente/kg]]*TableauProduit[[#This Row],[Total (kg) N5]]</f>
        <v>#REF!</v>
      </c>
      <c r="AP41" s="343" t="e">
        <f>#REF!-#REF!-TableauProduit[[#This Row],[Conditionnement N5]]</f>
        <v>#REF!</v>
      </c>
      <c r="AQ41" s="345">
        <v>65</v>
      </c>
      <c r="AR41" s="345" t="e">
        <f>#REF!*#REF!/1000</f>
        <v>#REF!</v>
      </c>
      <c r="AS41" s="431" t="e">
        <f>#REF!*#REF!</f>
        <v>#REF!</v>
      </c>
      <c r="AT41" s="431" t="e">
        <f>#REF!*TableauProduit[[#This Row],[Total (kg) N6]]</f>
        <v>#REF!</v>
      </c>
      <c r="AU41" s="431" t="e">
        <f>TableauProduit[[#This Row],[Prix de vente/kg]]*TableauProduit[[#This Row],[Total (kg) N6]]</f>
        <v>#REF!</v>
      </c>
      <c r="AV41" s="345" t="e">
        <f>#REF!-#REF!-TableauProduit[[#This Row],[Conditionnement N6]]</f>
        <v>#REF!</v>
      </c>
      <c r="AW41" s="333">
        <v>68</v>
      </c>
      <c r="AX41" s="333" t="e">
        <f>#REF!*#REF!/1000</f>
        <v>#REF!</v>
      </c>
      <c r="AY41" s="425" t="e">
        <f>#REF!*#REF!</f>
        <v>#REF!</v>
      </c>
      <c r="AZ41" s="425" t="e">
        <f>#REF!*TableauProduit[[#This Row],[Total (kg) N7]]</f>
        <v>#REF!</v>
      </c>
      <c r="BA41" s="425" t="e">
        <f>TableauProduit[[#This Row],[Prix de vente/kg]]*TableauProduit[[#This Row],[Total (kg) N7]]</f>
        <v>#REF!</v>
      </c>
      <c r="BB41" s="432" t="e">
        <f>#REF!-#REF!-TableauProduit[[#This Row],[Conditionnement N7]]</f>
        <v>#REF!</v>
      </c>
      <c r="BC41" s="414">
        <v>68</v>
      </c>
      <c r="BD41" s="348" t="e">
        <f>#REF!*#REF!/1000</f>
        <v>#REF!</v>
      </c>
      <c r="BE41" s="433" t="e">
        <f>#REF!*#REF!</f>
        <v>#REF!</v>
      </c>
      <c r="BF41" s="433" t="e">
        <f>#REF!*TableauProduit[[#This Row],[Total (kg) N8]]</f>
        <v>#REF!</v>
      </c>
      <c r="BG41" s="433" t="e">
        <f>TableauProduit[[#This Row],[Prix de vente/kg]]*TableauProduit[[#This Row],[Total (kg) N8]]</f>
        <v>#REF!</v>
      </c>
      <c r="BH41" s="434" t="e">
        <f>#REF!-#REF!-TableauProduit[[#This Row],[Conditionnement N8]]</f>
        <v>#REF!</v>
      </c>
      <c r="BI41" s="401">
        <v>68</v>
      </c>
      <c r="BJ41" s="350" t="e">
        <f>#REF!*#REF!/1000</f>
        <v>#REF!</v>
      </c>
      <c r="BK41" s="435" t="e">
        <f>#REF!*#REF!</f>
        <v>#REF!</v>
      </c>
      <c r="BL41" s="435" t="e">
        <f>#REF!*TableauProduit[[#This Row],[Total (kg) N9]]</f>
        <v>#REF!</v>
      </c>
      <c r="BM41" s="435" t="e">
        <f>TableauProduit[[#This Row],[Prix de vente/kg]]*TableauProduit[[#This Row],[Total (kg) N9]]</f>
        <v>#REF!</v>
      </c>
      <c r="BN41" s="350" t="e">
        <f>#REF!-#REF!-TableauProduit[[#This Row],[Conditionnement N9]]</f>
        <v>#REF!</v>
      </c>
    </row>
    <row r="42" spans="1:66" x14ac:dyDescent="0.2">
      <c r="A42" s="13" t="s">
        <v>115</v>
      </c>
      <c r="B42" s="54" t="str">
        <f>TableauProduit[[#This Row],[Recette]]&amp;TableauProduit[[#This Row],[Conditionnement]]</f>
        <v>ZhugEpice 100ml</v>
      </c>
      <c r="C42" s="11">
        <v>1</v>
      </c>
      <c r="D42" s="11">
        <v>50</v>
      </c>
      <c r="E42" s="6" t="s">
        <v>73</v>
      </c>
      <c r="F42" s="7">
        <f>IFERROR(VLOOKUP(TableauProduit[[#This Row],[Conditionnement]],TableauConditionnement[[Nom]:[Contenance]],4,FALSE),"")</f>
        <v>0.64</v>
      </c>
      <c r="G42" s="463">
        <f>IFERROR(SUMIFS(TableauRecette[Prix d''achat / kg],TableauRecette[Recette],TableauProduit[[#This Row],[Recette]],TableauRecette[Conditionnement],TableauProduit[[#This Row],[Conditionnement]]),0)</f>
        <v>0</v>
      </c>
      <c r="H42" s="464">
        <v>2.9</v>
      </c>
      <c r="I42" s="465">
        <f>TableauProduit[[#This Row],[Prix de vente/U]]/TableauProduit[[#This Row],[Poids (g) / unite]]*1000</f>
        <v>57.999999999999993</v>
      </c>
      <c r="J42" s="466">
        <f>SUMIFS(TableauConcurence[PRIX_KG],TableauConcurence[PRODUIT],TableauProduit[[#This Row],[Recette]],TableauConcurence[DISTRIBUTION],"magasin NON BIO")</f>
        <v>0</v>
      </c>
      <c r="K42" s="467">
        <f>SUMIFS(TableauConcurence[PRIX_KG],TableauConcurence[PRODUIT],TableauProduit[[#This Row],[Recette]],TableauConcurence[DISTRIBUTION],"magasin BIO")</f>
        <v>0</v>
      </c>
      <c r="L42" s="468">
        <f>SUMIFS(TableauConcurence[PRIX_KG],TableauConcurence[PRODUIT],TableauProduit[[#This Row],[Recette]],TableauConcurence[DISTRIBUTION],"artisanale BIO")</f>
        <v>0</v>
      </c>
      <c r="M42" s="410">
        <v>0</v>
      </c>
      <c r="N42" s="333">
        <f>TableauProduit[[#This Row],[Objectif de vente en unite N1]]*TableauProduit[[#This Row],[Poids (g) / unite]]/1000</f>
        <v>0</v>
      </c>
      <c r="O42" s="425">
        <f>TableauProduit[[#This Row],[Packaging / unite]]*TableauProduit[[#This Row],[Objectif de vente en unite N1]]</f>
        <v>0</v>
      </c>
      <c r="P42" s="425">
        <f>SUMIF(TableauRecette[[#This Row],[Recette]],TableauProduit[[#This Row],[Recette]],TableauRecette[[#This Row],[Prix pour kg/ de melange]])</f>
        <v>0</v>
      </c>
      <c r="Q42" s="425">
        <f>TableauProduit[[#This Row],[Prix de vente/kg]]*TableauProduit[[#This Row],[Total (kg) N1]]</f>
        <v>0</v>
      </c>
      <c r="R42" s="428" t="e">
        <f>#REF!-#REF!-TableauProduit[[#This Row],[Conditionnement N1]]</f>
        <v>#REF!</v>
      </c>
      <c r="S42" s="336">
        <v>0</v>
      </c>
      <c r="T42" s="335" t="e">
        <f>#REF!*#REF!/1000</f>
        <v>#REF!</v>
      </c>
      <c r="U42" s="417" t="e">
        <f>#REF!*#REF!</f>
        <v>#REF!</v>
      </c>
      <c r="V42" s="417" t="e">
        <f>#REF!*TableauProduit[[#This Row],[Total (kg) N2]]</f>
        <v>#REF!</v>
      </c>
      <c r="W42" s="417" t="e">
        <f>TableauProduit[[#This Row],[Prix de vente/kg]]*TableauProduit[[#This Row],[Total (kg) N2]]</f>
        <v>#REF!</v>
      </c>
      <c r="X42" s="411" t="e">
        <f>#REF!-#REF!-TableauProduit[[#This Row],[Conditionnement N2]]</f>
        <v>#REF!</v>
      </c>
      <c r="Y42" s="412">
        <v>0</v>
      </c>
      <c r="Z42" s="339" t="e">
        <f>#REF!*#REF!/1000</f>
        <v>#REF!</v>
      </c>
      <c r="AA42" s="420" t="e">
        <f>#REF!*#REF!</f>
        <v>#REF!</v>
      </c>
      <c r="AB42" s="420" t="e">
        <f>#REF!*TableauProduit[[#This Row],[Total (kg) N3]]</f>
        <v>#REF!</v>
      </c>
      <c r="AC42" s="420" t="e">
        <f>TableauProduit[[#This Row],[Prix de vente/kg]]*TableauProduit[[#This Row],[Total (kg) N3]]</f>
        <v>#REF!</v>
      </c>
      <c r="AD42" s="429" t="e">
        <f>#REF!-#REF!-TableauProduit[[#This Row],[Conditionnement N3]]</f>
        <v>#REF!</v>
      </c>
      <c r="AE42" s="341">
        <v>50</v>
      </c>
      <c r="AF42" s="341" t="e">
        <f>#REF!*#REF!/1000</f>
        <v>#REF!</v>
      </c>
      <c r="AG42" s="423" t="e">
        <f>#REF!*#REF!</f>
        <v>#REF!</v>
      </c>
      <c r="AH42" s="423" t="e">
        <f>#REF!*TableauProduit[[#This Row],[Total (kg) N4]]</f>
        <v>#REF!</v>
      </c>
      <c r="AI42" s="423" t="e">
        <f>TableauProduit[[#This Row],[Prix de vente/kg]]*TableauProduit[[#This Row],[Total (kg) N4]]</f>
        <v>#REF!</v>
      </c>
      <c r="AJ42" s="341" t="e">
        <f>#REF!-#REF!-TableauProduit[[#This Row],[Conditionnement N4]]</f>
        <v>#REF!</v>
      </c>
      <c r="AK42" s="343">
        <v>60</v>
      </c>
      <c r="AL42" s="343" t="e">
        <f>#REF!*#REF!/1000</f>
        <v>#REF!</v>
      </c>
      <c r="AM42" s="430" t="e">
        <f>#REF!*#REF!</f>
        <v>#REF!</v>
      </c>
      <c r="AN42" s="430" t="e">
        <f>#REF!*TableauProduit[[#This Row],[Total (kg) N5]]</f>
        <v>#REF!</v>
      </c>
      <c r="AO42" s="430" t="e">
        <f>TableauProduit[[#This Row],[Prix de vente/kg]]*TableauProduit[[#This Row],[Total (kg) N5]]</f>
        <v>#REF!</v>
      </c>
      <c r="AP42" s="343" t="e">
        <f>#REF!-#REF!-TableauProduit[[#This Row],[Conditionnement N5]]</f>
        <v>#REF!</v>
      </c>
      <c r="AQ42" s="345">
        <v>65</v>
      </c>
      <c r="AR42" s="345" t="e">
        <f>#REF!*#REF!/1000</f>
        <v>#REF!</v>
      </c>
      <c r="AS42" s="431" t="e">
        <f>#REF!*#REF!</f>
        <v>#REF!</v>
      </c>
      <c r="AT42" s="431" t="e">
        <f>#REF!*TableauProduit[[#This Row],[Total (kg) N6]]</f>
        <v>#REF!</v>
      </c>
      <c r="AU42" s="431" t="e">
        <f>TableauProduit[[#This Row],[Prix de vente/kg]]*TableauProduit[[#This Row],[Total (kg) N6]]</f>
        <v>#REF!</v>
      </c>
      <c r="AV42" s="345" t="e">
        <f>#REF!-#REF!-TableauProduit[[#This Row],[Conditionnement N6]]</f>
        <v>#REF!</v>
      </c>
      <c r="AW42" s="333">
        <v>68</v>
      </c>
      <c r="AX42" s="333" t="e">
        <f>#REF!*#REF!/1000</f>
        <v>#REF!</v>
      </c>
      <c r="AY42" s="425" t="e">
        <f>#REF!*#REF!</f>
        <v>#REF!</v>
      </c>
      <c r="AZ42" s="425" t="e">
        <f>#REF!*TableauProduit[[#This Row],[Total (kg) N7]]</f>
        <v>#REF!</v>
      </c>
      <c r="BA42" s="425" t="e">
        <f>TableauProduit[[#This Row],[Prix de vente/kg]]*TableauProduit[[#This Row],[Total (kg) N7]]</f>
        <v>#REF!</v>
      </c>
      <c r="BB42" s="432" t="e">
        <f>#REF!-#REF!-TableauProduit[[#This Row],[Conditionnement N7]]</f>
        <v>#REF!</v>
      </c>
      <c r="BC42" s="414">
        <v>68</v>
      </c>
      <c r="BD42" s="348" t="e">
        <f>#REF!*#REF!/1000</f>
        <v>#REF!</v>
      </c>
      <c r="BE42" s="433" t="e">
        <f>#REF!*#REF!</f>
        <v>#REF!</v>
      </c>
      <c r="BF42" s="433" t="e">
        <f>#REF!*TableauProduit[[#This Row],[Total (kg) N8]]</f>
        <v>#REF!</v>
      </c>
      <c r="BG42" s="433" t="e">
        <f>TableauProduit[[#This Row],[Prix de vente/kg]]*TableauProduit[[#This Row],[Total (kg) N8]]</f>
        <v>#REF!</v>
      </c>
      <c r="BH42" s="434" t="e">
        <f>#REF!-#REF!-TableauProduit[[#This Row],[Conditionnement N8]]</f>
        <v>#REF!</v>
      </c>
      <c r="BI42" s="401">
        <v>68</v>
      </c>
      <c r="BJ42" s="350" t="e">
        <f>#REF!*#REF!/1000</f>
        <v>#REF!</v>
      </c>
      <c r="BK42" s="435" t="e">
        <f>#REF!*#REF!</f>
        <v>#REF!</v>
      </c>
      <c r="BL42" s="435" t="e">
        <f>#REF!*TableauProduit[[#This Row],[Total (kg) N9]]</f>
        <v>#REF!</v>
      </c>
      <c r="BM42" s="435" t="e">
        <f>TableauProduit[[#This Row],[Prix de vente/kg]]*TableauProduit[[#This Row],[Total (kg) N9]]</f>
        <v>#REF!</v>
      </c>
      <c r="BN42" s="350" t="e">
        <f>#REF!-#REF!-TableauProduit[[#This Row],[Conditionnement N9]]</f>
        <v>#REF!</v>
      </c>
    </row>
    <row r="43" spans="1:66" x14ac:dyDescent="0.2">
      <c r="A43" s="13" t="s">
        <v>116</v>
      </c>
      <c r="B43" s="54" t="str">
        <f>TableauProduit[[#This Row],[Recette]]&amp;TableauProduit[[#This Row],[Conditionnement]]</f>
        <v>Épices pour marinadeEpice 100ml</v>
      </c>
      <c r="C43" s="11">
        <v>1</v>
      </c>
      <c r="D43" s="11">
        <v>50</v>
      </c>
      <c r="E43" s="6" t="s">
        <v>73</v>
      </c>
      <c r="F43" s="7">
        <f>IFERROR(VLOOKUP(TableauProduit[[#This Row],[Conditionnement]],TableauConditionnement[[Nom]:[Contenance]],4,FALSE),"")</f>
        <v>0.64</v>
      </c>
      <c r="G43" s="463">
        <f>IFERROR(SUMIFS(TableauRecette[Prix d''achat / kg],TableauRecette[Recette],TableauProduit[[#This Row],[Recette]],TableauRecette[Conditionnement],TableauProduit[[#This Row],[Conditionnement]]),0)</f>
        <v>0</v>
      </c>
      <c r="H43" s="464">
        <v>5</v>
      </c>
      <c r="I43" s="465">
        <f>TableauProduit[[#This Row],[Prix de vente/U]]/TableauProduit[[#This Row],[Poids (g) / unite]]*1000</f>
        <v>100</v>
      </c>
      <c r="J43" s="466">
        <f>SUMIFS(TableauConcurence[PRIX_KG],TableauConcurence[PRODUIT],TableauProduit[[#This Row],[Recette]],TableauConcurence[DISTRIBUTION],"magasin NON BIO")</f>
        <v>0</v>
      </c>
      <c r="K43" s="467">
        <f>SUMIFS(TableauConcurence[PRIX_KG],TableauConcurence[PRODUIT],TableauProduit[[#This Row],[Recette]],TableauConcurence[DISTRIBUTION],"magasin BIO")</f>
        <v>0</v>
      </c>
      <c r="L43" s="468">
        <f>SUMIFS(TableauConcurence[PRIX_KG],TableauConcurence[PRODUIT],TableauProduit[[#This Row],[Recette]],TableauConcurence[DISTRIBUTION],"artisanale BIO")</f>
        <v>0</v>
      </c>
      <c r="M43" s="410">
        <v>0</v>
      </c>
      <c r="N43" s="333">
        <f>TableauProduit[[#This Row],[Objectif de vente en unite N1]]*TableauProduit[[#This Row],[Poids (g) / unite]]/1000</f>
        <v>0</v>
      </c>
      <c r="O43" s="425">
        <f>TableauProduit[[#This Row],[Packaging / unite]]*TableauProduit[[#This Row],[Objectif de vente en unite N1]]</f>
        <v>0</v>
      </c>
      <c r="P43" s="425">
        <f>SUMIF(TableauRecette[[#This Row],[Recette]],TableauProduit[[#This Row],[Recette]],TableauRecette[[#This Row],[Prix pour kg/ de melange]])</f>
        <v>0</v>
      </c>
      <c r="Q43" s="425">
        <f>TableauProduit[[#This Row],[Prix de vente/kg]]*TableauProduit[[#This Row],[Total (kg) N1]]</f>
        <v>0</v>
      </c>
      <c r="R43" s="428" t="e">
        <f>#REF!-#REF!-TableauProduit[[#This Row],[Conditionnement N1]]</f>
        <v>#REF!</v>
      </c>
      <c r="S43" s="336">
        <v>0</v>
      </c>
      <c r="T43" s="335" t="e">
        <f>#REF!*#REF!/1000</f>
        <v>#REF!</v>
      </c>
      <c r="U43" s="417" t="e">
        <f>#REF!*#REF!</f>
        <v>#REF!</v>
      </c>
      <c r="V43" s="417" t="e">
        <f>#REF!*TableauProduit[[#This Row],[Total (kg) N2]]</f>
        <v>#REF!</v>
      </c>
      <c r="W43" s="417" t="e">
        <f>TableauProduit[[#This Row],[Prix de vente/kg]]*TableauProduit[[#This Row],[Total (kg) N2]]</f>
        <v>#REF!</v>
      </c>
      <c r="X43" s="411" t="e">
        <f>#REF!-#REF!-TableauProduit[[#This Row],[Conditionnement N2]]</f>
        <v>#REF!</v>
      </c>
      <c r="Y43" s="412">
        <v>70</v>
      </c>
      <c r="Z43" s="339" t="e">
        <f>#REF!*#REF!/1000</f>
        <v>#REF!</v>
      </c>
      <c r="AA43" s="420" t="e">
        <f>#REF!*#REF!</f>
        <v>#REF!</v>
      </c>
      <c r="AB43" s="420" t="e">
        <f>#REF!*TableauProduit[[#This Row],[Total (kg) N3]]</f>
        <v>#REF!</v>
      </c>
      <c r="AC43" s="420" t="e">
        <f>TableauProduit[[#This Row],[Prix de vente/kg]]*TableauProduit[[#This Row],[Total (kg) N3]]</f>
        <v>#REF!</v>
      </c>
      <c r="AD43" s="429" t="e">
        <f>#REF!-#REF!-TableauProduit[[#This Row],[Conditionnement N3]]</f>
        <v>#REF!</v>
      </c>
      <c r="AE43" s="341">
        <v>88</v>
      </c>
      <c r="AF43" s="341" t="e">
        <f>#REF!*#REF!/1000</f>
        <v>#REF!</v>
      </c>
      <c r="AG43" s="423" t="e">
        <f>#REF!*#REF!</f>
        <v>#REF!</v>
      </c>
      <c r="AH43" s="423" t="e">
        <f>#REF!*TableauProduit[[#This Row],[Total (kg) N4]]</f>
        <v>#REF!</v>
      </c>
      <c r="AI43" s="423" t="e">
        <f>TableauProduit[[#This Row],[Prix de vente/kg]]*TableauProduit[[#This Row],[Total (kg) N4]]</f>
        <v>#REF!</v>
      </c>
      <c r="AJ43" s="341" t="e">
        <f>#REF!-#REF!-TableauProduit[[#This Row],[Conditionnement N4]]</f>
        <v>#REF!</v>
      </c>
      <c r="AK43" s="343">
        <v>98</v>
      </c>
      <c r="AL43" s="343" t="e">
        <f>#REF!*#REF!/1000</f>
        <v>#REF!</v>
      </c>
      <c r="AM43" s="430" t="e">
        <f>#REF!*#REF!</f>
        <v>#REF!</v>
      </c>
      <c r="AN43" s="430" t="e">
        <f>#REF!*TableauProduit[[#This Row],[Total (kg) N5]]</f>
        <v>#REF!</v>
      </c>
      <c r="AO43" s="430" t="e">
        <f>TableauProduit[[#This Row],[Prix de vente/kg]]*TableauProduit[[#This Row],[Total (kg) N5]]</f>
        <v>#REF!</v>
      </c>
      <c r="AP43" s="343" t="e">
        <f>#REF!-#REF!-TableauProduit[[#This Row],[Conditionnement N5]]</f>
        <v>#REF!</v>
      </c>
      <c r="AQ43" s="345">
        <v>102</v>
      </c>
      <c r="AR43" s="345" t="e">
        <f>#REF!*#REF!/1000</f>
        <v>#REF!</v>
      </c>
      <c r="AS43" s="431" t="e">
        <f>#REF!*#REF!</f>
        <v>#REF!</v>
      </c>
      <c r="AT43" s="431" t="e">
        <f>#REF!*TableauProduit[[#This Row],[Total (kg) N6]]</f>
        <v>#REF!</v>
      </c>
      <c r="AU43" s="431" t="e">
        <f>TableauProduit[[#This Row],[Prix de vente/kg]]*TableauProduit[[#This Row],[Total (kg) N6]]</f>
        <v>#REF!</v>
      </c>
      <c r="AV43" s="345" t="e">
        <f>#REF!-#REF!-TableauProduit[[#This Row],[Conditionnement N6]]</f>
        <v>#REF!</v>
      </c>
      <c r="AW43" s="333">
        <v>102</v>
      </c>
      <c r="AX43" s="333" t="e">
        <f>#REF!*#REF!/1000</f>
        <v>#REF!</v>
      </c>
      <c r="AY43" s="425" t="e">
        <f>#REF!*#REF!</f>
        <v>#REF!</v>
      </c>
      <c r="AZ43" s="425" t="e">
        <f>#REF!*TableauProduit[[#This Row],[Total (kg) N7]]</f>
        <v>#REF!</v>
      </c>
      <c r="BA43" s="425" t="e">
        <f>TableauProduit[[#This Row],[Prix de vente/kg]]*TableauProduit[[#This Row],[Total (kg) N7]]</f>
        <v>#REF!</v>
      </c>
      <c r="BB43" s="432" t="e">
        <f>#REF!-#REF!-TableauProduit[[#This Row],[Conditionnement N7]]</f>
        <v>#REF!</v>
      </c>
      <c r="BC43" s="414">
        <v>102</v>
      </c>
      <c r="BD43" s="348" t="e">
        <f>#REF!*#REF!/1000</f>
        <v>#REF!</v>
      </c>
      <c r="BE43" s="433" t="e">
        <f>#REF!*#REF!</f>
        <v>#REF!</v>
      </c>
      <c r="BF43" s="433" t="e">
        <f>#REF!*TableauProduit[[#This Row],[Total (kg) N8]]</f>
        <v>#REF!</v>
      </c>
      <c r="BG43" s="433" t="e">
        <f>TableauProduit[[#This Row],[Prix de vente/kg]]*TableauProduit[[#This Row],[Total (kg) N8]]</f>
        <v>#REF!</v>
      </c>
      <c r="BH43" s="434" t="e">
        <f>#REF!-#REF!-TableauProduit[[#This Row],[Conditionnement N8]]</f>
        <v>#REF!</v>
      </c>
      <c r="BI43" s="401">
        <v>102</v>
      </c>
      <c r="BJ43" s="350" t="e">
        <f>#REF!*#REF!/1000</f>
        <v>#REF!</v>
      </c>
      <c r="BK43" s="435" t="e">
        <f>#REF!*#REF!</f>
        <v>#REF!</v>
      </c>
      <c r="BL43" s="435" t="e">
        <f>#REF!*TableauProduit[[#This Row],[Total (kg) N9]]</f>
        <v>#REF!</v>
      </c>
      <c r="BM43" s="435" t="e">
        <f>TableauProduit[[#This Row],[Prix de vente/kg]]*TableauProduit[[#This Row],[Total (kg) N9]]</f>
        <v>#REF!</v>
      </c>
      <c r="BN43" s="350" t="e">
        <f>#REF!-#REF!-TableauProduit[[#This Row],[Conditionnement N9]]</f>
        <v>#REF!</v>
      </c>
    </row>
    <row r="44" spans="1:66" x14ac:dyDescent="0.2">
      <c r="A44" s="13" t="s">
        <v>117</v>
      </c>
      <c r="B44" s="54" t="str">
        <f>TableauProduit[[#This Row],[Recette]]&amp;TableauProduit[[#This Row],[Conditionnement]]</f>
        <v>Épices poissons et fruits de merEpice 100ml</v>
      </c>
      <c r="C44" s="11">
        <v>1</v>
      </c>
      <c r="D44" s="11">
        <v>50</v>
      </c>
      <c r="E44" s="6" t="s">
        <v>73</v>
      </c>
      <c r="F44" s="7">
        <f>IFERROR(VLOOKUP(TableauProduit[[#This Row],[Conditionnement]],TableauConditionnement[[Nom]:[Contenance]],4,FALSE),"")</f>
        <v>0.64</v>
      </c>
      <c r="G44" s="463">
        <f>IFERROR(SUMIFS(TableauRecette[Prix d''achat / kg],TableauRecette[Recette],TableauProduit[[#This Row],[Recette]],TableauRecette[Conditionnement],TableauProduit[[#This Row],[Conditionnement]]),0)</f>
        <v>0</v>
      </c>
      <c r="H44" s="464">
        <v>5</v>
      </c>
      <c r="I44" s="465">
        <f>TableauProduit[[#This Row],[Prix de vente/U]]/TableauProduit[[#This Row],[Poids (g) / unite]]*1000</f>
        <v>100</v>
      </c>
      <c r="J44" s="466">
        <f>SUMIFS(TableauConcurence[PRIX_KG],TableauConcurence[PRODUIT],TableauProduit[[#This Row],[Recette]],TableauConcurence[DISTRIBUTION],"magasin NON BIO")</f>
        <v>0</v>
      </c>
      <c r="K44" s="467">
        <f>SUMIFS(TableauConcurence[PRIX_KG],TableauConcurence[PRODUIT],TableauProduit[[#This Row],[Recette]],TableauConcurence[DISTRIBUTION],"magasin BIO")</f>
        <v>0</v>
      </c>
      <c r="L44" s="468">
        <f>SUMIFS(TableauConcurence[PRIX_KG],TableauConcurence[PRODUIT],TableauProduit[[#This Row],[Recette]],TableauConcurence[DISTRIBUTION],"artisanale BIO")</f>
        <v>0</v>
      </c>
      <c r="M44" s="410">
        <v>0</v>
      </c>
      <c r="N44" s="333">
        <f>TableauProduit[[#This Row],[Objectif de vente en unite N1]]*TableauProduit[[#This Row],[Poids (g) / unite]]/1000</f>
        <v>0</v>
      </c>
      <c r="O44" s="425">
        <f>TableauProduit[[#This Row],[Packaging / unite]]*TableauProduit[[#This Row],[Objectif de vente en unite N1]]</f>
        <v>0</v>
      </c>
      <c r="P44" s="425">
        <f>SUMIF(TableauRecette[[#This Row],[Recette]],TableauProduit[[#This Row],[Recette]],TableauRecette[[#This Row],[Prix pour kg/ de melange]])</f>
        <v>0</v>
      </c>
      <c r="Q44" s="425">
        <f>TableauProduit[[#This Row],[Prix de vente/kg]]*TableauProduit[[#This Row],[Total (kg) N1]]</f>
        <v>0</v>
      </c>
      <c r="R44" s="428" t="e">
        <f>#REF!-#REF!-TableauProduit[[#This Row],[Conditionnement N1]]</f>
        <v>#REF!</v>
      </c>
      <c r="S44" s="336">
        <v>0</v>
      </c>
      <c r="T44" s="335" t="e">
        <f>#REF!*#REF!/1000</f>
        <v>#REF!</v>
      </c>
      <c r="U44" s="417" t="e">
        <f>#REF!*#REF!</f>
        <v>#REF!</v>
      </c>
      <c r="V44" s="417" t="e">
        <f>#REF!*TableauProduit[[#This Row],[Total (kg) N2]]</f>
        <v>#REF!</v>
      </c>
      <c r="W44" s="417" t="e">
        <f>TableauProduit[[#This Row],[Prix de vente/kg]]*TableauProduit[[#This Row],[Total (kg) N2]]</f>
        <v>#REF!</v>
      </c>
      <c r="X44" s="411" t="e">
        <f>#REF!-#REF!-TableauProduit[[#This Row],[Conditionnement N2]]</f>
        <v>#REF!</v>
      </c>
      <c r="Y44" s="412">
        <v>70</v>
      </c>
      <c r="Z44" s="339" t="e">
        <f>#REF!*#REF!/1000</f>
        <v>#REF!</v>
      </c>
      <c r="AA44" s="420" t="e">
        <f>#REF!*#REF!</f>
        <v>#REF!</v>
      </c>
      <c r="AB44" s="420" t="e">
        <f>#REF!*TableauProduit[[#This Row],[Total (kg) N3]]</f>
        <v>#REF!</v>
      </c>
      <c r="AC44" s="420" t="e">
        <f>TableauProduit[[#This Row],[Prix de vente/kg]]*TableauProduit[[#This Row],[Total (kg) N3]]</f>
        <v>#REF!</v>
      </c>
      <c r="AD44" s="429" t="e">
        <f>#REF!-#REF!-TableauProduit[[#This Row],[Conditionnement N3]]</f>
        <v>#REF!</v>
      </c>
      <c r="AE44" s="341">
        <v>88</v>
      </c>
      <c r="AF44" s="341" t="e">
        <f>#REF!*#REF!/1000</f>
        <v>#REF!</v>
      </c>
      <c r="AG44" s="423" t="e">
        <f>#REF!*#REF!</f>
        <v>#REF!</v>
      </c>
      <c r="AH44" s="423" t="e">
        <f>#REF!*TableauProduit[[#This Row],[Total (kg) N4]]</f>
        <v>#REF!</v>
      </c>
      <c r="AI44" s="423" t="e">
        <f>TableauProduit[[#This Row],[Prix de vente/kg]]*TableauProduit[[#This Row],[Total (kg) N4]]</f>
        <v>#REF!</v>
      </c>
      <c r="AJ44" s="341" t="e">
        <f>#REF!-#REF!-TableauProduit[[#This Row],[Conditionnement N4]]</f>
        <v>#REF!</v>
      </c>
      <c r="AK44" s="343">
        <v>98</v>
      </c>
      <c r="AL44" s="343" t="e">
        <f>#REF!*#REF!/1000</f>
        <v>#REF!</v>
      </c>
      <c r="AM44" s="430" t="e">
        <f>#REF!*#REF!</f>
        <v>#REF!</v>
      </c>
      <c r="AN44" s="430" t="e">
        <f>#REF!*TableauProduit[[#This Row],[Total (kg) N5]]</f>
        <v>#REF!</v>
      </c>
      <c r="AO44" s="430" t="e">
        <f>TableauProduit[[#This Row],[Prix de vente/kg]]*TableauProduit[[#This Row],[Total (kg) N5]]</f>
        <v>#REF!</v>
      </c>
      <c r="AP44" s="343" t="e">
        <f>#REF!-#REF!-TableauProduit[[#This Row],[Conditionnement N5]]</f>
        <v>#REF!</v>
      </c>
      <c r="AQ44" s="345">
        <v>102</v>
      </c>
      <c r="AR44" s="345" t="e">
        <f>#REF!*#REF!/1000</f>
        <v>#REF!</v>
      </c>
      <c r="AS44" s="431" t="e">
        <f>#REF!*#REF!</f>
        <v>#REF!</v>
      </c>
      <c r="AT44" s="431" t="e">
        <f>#REF!*TableauProduit[[#This Row],[Total (kg) N6]]</f>
        <v>#REF!</v>
      </c>
      <c r="AU44" s="431" t="e">
        <f>TableauProduit[[#This Row],[Prix de vente/kg]]*TableauProduit[[#This Row],[Total (kg) N6]]</f>
        <v>#REF!</v>
      </c>
      <c r="AV44" s="345" t="e">
        <f>#REF!-#REF!-TableauProduit[[#This Row],[Conditionnement N6]]</f>
        <v>#REF!</v>
      </c>
      <c r="AW44" s="333">
        <v>102</v>
      </c>
      <c r="AX44" s="333" t="e">
        <f>#REF!*#REF!/1000</f>
        <v>#REF!</v>
      </c>
      <c r="AY44" s="425" t="e">
        <f>#REF!*#REF!</f>
        <v>#REF!</v>
      </c>
      <c r="AZ44" s="425" t="e">
        <f>#REF!*TableauProduit[[#This Row],[Total (kg) N7]]</f>
        <v>#REF!</v>
      </c>
      <c r="BA44" s="425" t="e">
        <f>TableauProduit[[#This Row],[Prix de vente/kg]]*TableauProduit[[#This Row],[Total (kg) N7]]</f>
        <v>#REF!</v>
      </c>
      <c r="BB44" s="432" t="e">
        <f>#REF!-#REF!-TableauProduit[[#This Row],[Conditionnement N7]]</f>
        <v>#REF!</v>
      </c>
      <c r="BC44" s="414">
        <v>102</v>
      </c>
      <c r="BD44" s="348" t="e">
        <f>#REF!*#REF!/1000</f>
        <v>#REF!</v>
      </c>
      <c r="BE44" s="433" t="e">
        <f>#REF!*#REF!</f>
        <v>#REF!</v>
      </c>
      <c r="BF44" s="433" t="e">
        <f>#REF!*TableauProduit[[#This Row],[Total (kg) N8]]</f>
        <v>#REF!</v>
      </c>
      <c r="BG44" s="433" t="e">
        <f>TableauProduit[[#This Row],[Prix de vente/kg]]*TableauProduit[[#This Row],[Total (kg) N8]]</f>
        <v>#REF!</v>
      </c>
      <c r="BH44" s="434" t="e">
        <f>#REF!-#REF!-TableauProduit[[#This Row],[Conditionnement N8]]</f>
        <v>#REF!</v>
      </c>
      <c r="BI44" s="401">
        <v>102</v>
      </c>
      <c r="BJ44" s="350" t="e">
        <f>#REF!*#REF!/1000</f>
        <v>#REF!</v>
      </c>
      <c r="BK44" s="435" t="e">
        <f>#REF!*#REF!</f>
        <v>#REF!</v>
      </c>
      <c r="BL44" s="435" t="e">
        <f>#REF!*TableauProduit[[#This Row],[Total (kg) N9]]</f>
        <v>#REF!</v>
      </c>
      <c r="BM44" s="435" t="e">
        <f>TableauProduit[[#This Row],[Prix de vente/kg]]*TableauProduit[[#This Row],[Total (kg) N9]]</f>
        <v>#REF!</v>
      </c>
      <c r="BN44" s="350" t="e">
        <f>#REF!-#REF!-TableauProduit[[#This Row],[Conditionnement N9]]</f>
        <v>#REF!</v>
      </c>
    </row>
    <row r="45" spans="1:66" x14ac:dyDescent="0.2">
      <c r="A45" s="13" t="s">
        <v>118</v>
      </c>
      <c r="B45" s="54" t="str">
        <f>TableauProduit[[#This Row],[Recette]]&amp;TableauProduit[[#This Row],[Conditionnement]]</f>
        <v>Suya ghanéenEpice 100ml</v>
      </c>
      <c r="C45" s="11">
        <v>1</v>
      </c>
      <c r="D45" s="11">
        <v>40</v>
      </c>
      <c r="E45" s="6" t="s">
        <v>73</v>
      </c>
      <c r="F45" s="7">
        <f>IFERROR(VLOOKUP(TableauProduit[[#This Row],[Conditionnement]],TableauConditionnement[[Nom]:[Contenance]],4,FALSE),"")</f>
        <v>0.64</v>
      </c>
      <c r="G45" s="463">
        <f>IFERROR(SUMIFS(TableauRecette[Prix d''achat / kg],TableauRecette[Recette],TableauProduit[[#This Row],[Recette]],TableauRecette[Conditionnement],TableauProduit[[#This Row],[Conditionnement]]),0)</f>
        <v>0</v>
      </c>
      <c r="H45" s="464">
        <v>5</v>
      </c>
      <c r="I45" s="465">
        <f>TableauProduit[[#This Row],[Prix de vente/U]]/TableauProduit[[#This Row],[Poids (g) / unite]]*1000</f>
        <v>125</v>
      </c>
      <c r="J45" s="466">
        <f>SUMIFS(TableauConcurence[PRIX_KG],TableauConcurence[PRODUIT],TableauProduit[[#This Row],[Recette]],TableauConcurence[DISTRIBUTION],"magasin NON BIO")</f>
        <v>0</v>
      </c>
      <c r="K45" s="467">
        <f>SUMIFS(TableauConcurence[PRIX_KG],TableauConcurence[PRODUIT],TableauProduit[[#This Row],[Recette]],TableauConcurence[DISTRIBUTION],"magasin BIO")</f>
        <v>0</v>
      </c>
      <c r="L45" s="468">
        <f>SUMIFS(TableauConcurence[PRIX_KG],TableauConcurence[PRODUIT],TableauProduit[[#This Row],[Recette]],TableauConcurence[DISTRIBUTION],"artisanale BIO")</f>
        <v>0</v>
      </c>
      <c r="M45" s="410">
        <v>0</v>
      </c>
      <c r="N45" s="333">
        <f>TableauProduit[[#This Row],[Objectif de vente en unite N1]]*TableauProduit[[#This Row],[Poids (g) / unite]]/1000</f>
        <v>0</v>
      </c>
      <c r="O45" s="425">
        <f>TableauProduit[[#This Row],[Packaging / unite]]*TableauProduit[[#This Row],[Objectif de vente en unite N1]]</f>
        <v>0</v>
      </c>
      <c r="P45" s="425">
        <f>SUMIF(TableauRecette[[#This Row],[Recette]],TableauProduit[[#This Row],[Recette]],TableauRecette[[#This Row],[Prix pour kg/ de melange]])</f>
        <v>0</v>
      </c>
      <c r="Q45" s="425">
        <f>TableauProduit[[#This Row],[Prix de vente/kg]]*TableauProduit[[#This Row],[Total (kg) N1]]</f>
        <v>0</v>
      </c>
      <c r="R45" s="428" t="e">
        <f>#REF!-#REF!-TableauProduit[[#This Row],[Conditionnement N1]]</f>
        <v>#REF!</v>
      </c>
      <c r="S45" s="336">
        <v>0</v>
      </c>
      <c r="T45" s="335" t="e">
        <f>#REF!*#REF!/1000</f>
        <v>#REF!</v>
      </c>
      <c r="U45" s="417" t="e">
        <f>#REF!*#REF!</f>
        <v>#REF!</v>
      </c>
      <c r="V45" s="417" t="e">
        <f>#REF!*TableauProduit[[#This Row],[Total (kg) N2]]</f>
        <v>#REF!</v>
      </c>
      <c r="W45" s="417" t="e">
        <f>TableauProduit[[#This Row],[Prix de vente/kg]]*TableauProduit[[#This Row],[Total (kg) N2]]</f>
        <v>#REF!</v>
      </c>
      <c r="X45" s="411" t="e">
        <f>#REF!-#REF!-TableauProduit[[#This Row],[Conditionnement N2]]</f>
        <v>#REF!</v>
      </c>
      <c r="Y45" s="412">
        <v>0</v>
      </c>
      <c r="Z45" s="339" t="e">
        <f>#REF!*#REF!/1000</f>
        <v>#REF!</v>
      </c>
      <c r="AA45" s="420" t="e">
        <f>#REF!*#REF!</f>
        <v>#REF!</v>
      </c>
      <c r="AB45" s="420" t="e">
        <f>#REF!*TableauProduit[[#This Row],[Total (kg) N3]]</f>
        <v>#REF!</v>
      </c>
      <c r="AC45" s="420" t="e">
        <f>TableauProduit[[#This Row],[Prix de vente/kg]]*TableauProduit[[#This Row],[Total (kg) N3]]</f>
        <v>#REF!</v>
      </c>
      <c r="AD45" s="429" t="e">
        <f>#REF!-#REF!-TableauProduit[[#This Row],[Conditionnement N3]]</f>
        <v>#REF!</v>
      </c>
      <c r="AE45" s="341">
        <v>50</v>
      </c>
      <c r="AF45" s="341" t="e">
        <f>#REF!*#REF!/1000</f>
        <v>#REF!</v>
      </c>
      <c r="AG45" s="423" t="e">
        <f>#REF!*#REF!</f>
        <v>#REF!</v>
      </c>
      <c r="AH45" s="423" t="e">
        <f>#REF!*TableauProduit[[#This Row],[Total (kg) N4]]</f>
        <v>#REF!</v>
      </c>
      <c r="AI45" s="423" t="e">
        <f>TableauProduit[[#This Row],[Prix de vente/kg]]*TableauProduit[[#This Row],[Total (kg) N4]]</f>
        <v>#REF!</v>
      </c>
      <c r="AJ45" s="341" t="e">
        <f>#REF!-#REF!-TableauProduit[[#This Row],[Conditionnement N4]]</f>
        <v>#REF!</v>
      </c>
      <c r="AK45" s="343">
        <v>60</v>
      </c>
      <c r="AL45" s="343" t="e">
        <f>#REF!*#REF!/1000</f>
        <v>#REF!</v>
      </c>
      <c r="AM45" s="430" t="e">
        <f>#REF!*#REF!</f>
        <v>#REF!</v>
      </c>
      <c r="AN45" s="430" t="e">
        <f>#REF!*TableauProduit[[#This Row],[Total (kg) N5]]</f>
        <v>#REF!</v>
      </c>
      <c r="AO45" s="430" t="e">
        <f>TableauProduit[[#This Row],[Prix de vente/kg]]*TableauProduit[[#This Row],[Total (kg) N5]]</f>
        <v>#REF!</v>
      </c>
      <c r="AP45" s="343" t="e">
        <f>#REF!-#REF!-TableauProduit[[#This Row],[Conditionnement N5]]</f>
        <v>#REF!</v>
      </c>
      <c r="AQ45" s="345">
        <v>65</v>
      </c>
      <c r="AR45" s="345" t="e">
        <f>#REF!*#REF!/1000</f>
        <v>#REF!</v>
      </c>
      <c r="AS45" s="431" t="e">
        <f>#REF!*#REF!</f>
        <v>#REF!</v>
      </c>
      <c r="AT45" s="431" t="e">
        <f>#REF!*TableauProduit[[#This Row],[Total (kg) N6]]</f>
        <v>#REF!</v>
      </c>
      <c r="AU45" s="431" t="e">
        <f>TableauProduit[[#This Row],[Prix de vente/kg]]*TableauProduit[[#This Row],[Total (kg) N6]]</f>
        <v>#REF!</v>
      </c>
      <c r="AV45" s="345" t="e">
        <f>#REF!-#REF!-TableauProduit[[#This Row],[Conditionnement N6]]</f>
        <v>#REF!</v>
      </c>
      <c r="AW45" s="333">
        <v>68</v>
      </c>
      <c r="AX45" s="333" t="e">
        <f>#REF!*#REF!/1000</f>
        <v>#REF!</v>
      </c>
      <c r="AY45" s="425" t="e">
        <f>#REF!*#REF!</f>
        <v>#REF!</v>
      </c>
      <c r="AZ45" s="425" t="e">
        <f>#REF!*TableauProduit[[#This Row],[Total (kg) N7]]</f>
        <v>#REF!</v>
      </c>
      <c r="BA45" s="425" t="e">
        <f>TableauProduit[[#This Row],[Prix de vente/kg]]*TableauProduit[[#This Row],[Total (kg) N7]]</f>
        <v>#REF!</v>
      </c>
      <c r="BB45" s="432" t="e">
        <f>#REF!-#REF!-TableauProduit[[#This Row],[Conditionnement N7]]</f>
        <v>#REF!</v>
      </c>
      <c r="BC45" s="414">
        <v>68</v>
      </c>
      <c r="BD45" s="348" t="e">
        <f>#REF!*#REF!/1000</f>
        <v>#REF!</v>
      </c>
      <c r="BE45" s="433" t="e">
        <f>#REF!*#REF!</f>
        <v>#REF!</v>
      </c>
      <c r="BF45" s="433" t="e">
        <f>#REF!*TableauProduit[[#This Row],[Total (kg) N8]]</f>
        <v>#REF!</v>
      </c>
      <c r="BG45" s="433" t="e">
        <f>TableauProduit[[#This Row],[Prix de vente/kg]]*TableauProduit[[#This Row],[Total (kg) N8]]</f>
        <v>#REF!</v>
      </c>
      <c r="BH45" s="434" t="e">
        <f>#REF!-#REF!-TableauProduit[[#This Row],[Conditionnement N8]]</f>
        <v>#REF!</v>
      </c>
      <c r="BI45" s="401">
        <v>68</v>
      </c>
      <c r="BJ45" s="350" t="e">
        <f>#REF!*#REF!/1000</f>
        <v>#REF!</v>
      </c>
      <c r="BK45" s="435" t="e">
        <f>#REF!*#REF!</f>
        <v>#REF!</v>
      </c>
      <c r="BL45" s="435" t="e">
        <f>#REF!*TableauProduit[[#This Row],[Total (kg) N9]]</f>
        <v>#REF!</v>
      </c>
      <c r="BM45" s="435" t="e">
        <f>TableauProduit[[#This Row],[Prix de vente/kg]]*TableauProduit[[#This Row],[Total (kg) N9]]</f>
        <v>#REF!</v>
      </c>
      <c r="BN45" s="350" t="e">
        <f>#REF!-#REF!-TableauProduit[[#This Row],[Conditionnement N9]]</f>
        <v>#REF!</v>
      </c>
    </row>
    <row r="46" spans="1:66" x14ac:dyDescent="0.2">
      <c r="A46" s="13" t="s">
        <v>119</v>
      </c>
      <c r="B46" s="54" t="str">
        <f>TableauProduit[[#This Row],[Recette]]&amp;TableauProduit[[#This Row],[Conditionnement]]</f>
        <v>Steak de MontréalEpice 100ml</v>
      </c>
      <c r="C46" s="11">
        <v>1</v>
      </c>
      <c r="D46" s="11">
        <v>50</v>
      </c>
      <c r="E46" s="6" t="s">
        <v>73</v>
      </c>
      <c r="F46" s="7">
        <f>IFERROR(VLOOKUP(TableauProduit[[#This Row],[Conditionnement]],TableauConditionnement[[Nom]:[Contenance]],4,FALSE),"")</f>
        <v>0.64</v>
      </c>
      <c r="G46" s="463">
        <f>IFERROR(SUMIFS(TableauRecette[Prix d''achat / kg],TableauRecette[Recette],TableauProduit[[#This Row],[Recette]],TableauRecette[Conditionnement],TableauProduit[[#This Row],[Conditionnement]]),0)</f>
        <v>0</v>
      </c>
      <c r="H46" s="464">
        <v>5</v>
      </c>
      <c r="I46" s="465">
        <f>TableauProduit[[#This Row],[Prix de vente/U]]/TableauProduit[[#This Row],[Poids (g) / unite]]*1000</f>
        <v>100</v>
      </c>
      <c r="J46" s="466">
        <f>SUMIFS(TableauConcurence[PRIX_KG],TableauConcurence[PRODUIT],TableauProduit[[#This Row],[Recette]],TableauConcurence[DISTRIBUTION],"magasin NON BIO")</f>
        <v>0</v>
      </c>
      <c r="K46" s="467">
        <f>SUMIFS(TableauConcurence[PRIX_KG],TableauConcurence[PRODUIT],TableauProduit[[#This Row],[Recette]],TableauConcurence[DISTRIBUTION],"magasin BIO")</f>
        <v>0</v>
      </c>
      <c r="L46" s="468">
        <f>SUMIFS(TableauConcurence[PRIX_KG],TableauConcurence[PRODUIT],TableauProduit[[#This Row],[Recette]],TableauConcurence[DISTRIBUTION],"artisanale BIO")</f>
        <v>0</v>
      </c>
      <c r="M46" s="410">
        <v>0</v>
      </c>
      <c r="N46" s="333">
        <f>TableauProduit[[#This Row],[Objectif de vente en unite N1]]*TableauProduit[[#This Row],[Poids (g) / unite]]/1000</f>
        <v>0</v>
      </c>
      <c r="O46" s="425">
        <f>TableauProduit[[#This Row],[Packaging / unite]]*TableauProduit[[#This Row],[Objectif de vente en unite N1]]</f>
        <v>0</v>
      </c>
      <c r="P46" s="425">
        <f>SUMIF(TableauRecette[[#This Row],[Recette]],TableauProduit[[#This Row],[Recette]],TableauRecette[[#This Row],[Prix pour kg/ de melange]])</f>
        <v>0</v>
      </c>
      <c r="Q46" s="425">
        <f>TableauProduit[[#This Row],[Prix de vente/kg]]*TableauProduit[[#This Row],[Total (kg) N1]]</f>
        <v>0</v>
      </c>
      <c r="R46" s="428" t="e">
        <f>#REF!-#REF!-TableauProduit[[#This Row],[Conditionnement N1]]</f>
        <v>#REF!</v>
      </c>
      <c r="S46" s="336">
        <v>0</v>
      </c>
      <c r="T46" s="335" t="e">
        <f>#REF!*#REF!/1000</f>
        <v>#REF!</v>
      </c>
      <c r="U46" s="417" t="e">
        <f>#REF!*#REF!</f>
        <v>#REF!</v>
      </c>
      <c r="V46" s="417" t="e">
        <f>#REF!*TableauProduit[[#This Row],[Total (kg) N2]]</f>
        <v>#REF!</v>
      </c>
      <c r="W46" s="417" t="e">
        <f>TableauProduit[[#This Row],[Prix de vente/kg]]*TableauProduit[[#This Row],[Total (kg) N2]]</f>
        <v>#REF!</v>
      </c>
      <c r="X46" s="411" t="e">
        <f>#REF!-#REF!-TableauProduit[[#This Row],[Conditionnement N2]]</f>
        <v>#REF!</v>
      </c>
      <c r="Y46" s="412">
        <v>0</v>
      </c>
      <c r="Z46" s="339" t="e">
        <f>#REF!*#REF!/1000</f>
        <v>#REF!</v>
      </c>
      <c r="AA46" s="420" t="e">
        <f>#REF!*#REF!</f>
        <v>#REF!</v>
      </c>
      <c r="AB46" s="420" t="e">
        <f>#REF!*TableauProduit[[#This Row],[Total (kg) N3]]</f>
        <v>#REF!</v>
      </c>
      <c r="AC46" s="420" t="e">
        <f>TableauProduit[[#This Row],[Prix de vente/kg]]*TableauProduit[[#This Row],[Total (kg) N3]]</f>
        <v>#REF!</v>
      </c>
      <c r="AD46" s="429" t="e">
        <f>#REF!-#REF!-TableauProduit[[#This Row],[Conditionnement N3]]</f>
        <v>#REF!</v>
      </c>
      <c r="AE46" s="341">
        <v>50</v>
      </c>
      <c r="AF46" s="341" t="e">
        <f>#REF!*#REF!/1000</f>
        <v>#REF!</v>
      </c>
      <c r="AG46" s="423" t="e">
        <f>#REF!*#REF!</f>
        <v>#REF!</v>
      </c>
      <c r="AH46" s="423" t="e">
        <f>#REF!*TableauProduit[[#This Row],[Total (kg) N4]]</f>
        <v>#REF!</v>
      </c>
      <c r="AI46" s="423" t="e">
        <f>TableauProduit[[#This Row],[Prix de vente/kg]]*TableauProduit[[#This Row],[Total (kg) N4]]</f>
        <v>#REF!</v>
      </c>
      <c r="AJ46" s="341" t="e">
        <f>#REF!-#REF!-TableauProduit[[#This Row],[Conditionnement N4]]</f>
        <v>#REF!</v>
      </c>
      <c r="AK46" s="343">
        <v>60</v>
      </c>
      <c r="AL46" s="343" t="e">
        <f>#REF!*#REF!/1000</f>
        <v>#REF!</v>
      </c>
      <c r="AM46" s="430" t="e">
        <f>#REF!*#REF!</f>
        <v>#REF!</v>
      </c>
      <c r="AN46" s="430" t="e">
        <f>#REF!*TableauProduit[[#This Row],[Total (kg) N5]]</f>
        <v>#REF!</v>
      </c>
      <c r="AO46" s="430" t="e">
        <f>TableauProduit[[#This Row],[Prix de vente/kg]]*TableauProduit[[#This Row],[Total (kg) N5]]</f>
        <v>#REF!</v>
      </c>
      <c r="AP46" s="343" t="e">
        <f>#REF!-#REF!-TableauProduit[[#This Row],[Conditionnement N5]]</f>
        <v>#REF!</v>
      </c>
      <c r="AQ46" s="345">
        <v>65</v>
      </c>
      <c r="AR46" s="345" t="e">
        <f>#REF!*#REF!/1000</f>
        <v>#REF!</v>
      </c>
      <c r="AS46" s="431" t="e">
        <f>#REF!*#REF!</f>
        <v>#REF!</v>
      </c>
      <c r="AT46" s="431" t="e">
        <f>#REF!*TableauProduit[[#This Row],[Total (kg) N6]]</f>
        <v>#REF!</v>
      </c>
      <c r="AU46" s="431" t="e">
        <f>TableauProduit[[#This Row],[Prix de vente/kg]]*TableauProduit[[#This Row],[Total (kg) N6]]</f>
        <v>#REF!</v>
      </c>
      <c r="AV46" s="345" t="e">
        <f>#REF!-#REF!-TableauProduit[[#This Row],[Conditionnement N6]]</f>
        <v>#REF!</v>
      </c>
      <c r="AW46" s="333">
        <v>68</v>
      </c>
      <c r="AX46" s="333" t="e">
        <f>#REF!*#REF!/1000</f>
        <v>#REF!</v>
      </c>
      <c r="AY46" s="425" t="e">
        <f>#REF!*#REF!</f>
        <v>#REF!</v>
      </c>
      <c r="AZ46" s="425" t="e">
        <f>#REF!*TableauProduit[[#This Row],[Total (kg) N7]]</f>
        <v>#REF!</v>
      </c>
      <c r="BA46" s="425" t="e">
        <f>TableauProduit[[#This Row],[Prix de vente/kg]]*TableauProduit[[#This Row],[Total (kg) N7]]</f>
        <v>#REF!</v>
      </c>
      <c r="BB46" s="432" t="e">
        <f>#REF!-#REF!-TableauProduit[[#This Row],[Conditionnement N7]]</f>
        <v>#REF!</v>
      </c>
      <c r="BC46" s="414">
        <v>68</v>
      </c>
      <c r="BD46" s="348" t="e">
        <f>#REF!*#REF!/1000</f>
        <v>#REF!</v>
      </c>
      <c r="BE46" s="433" t="e">
        <f>#REF!*#REF!</f>
        <v>#REF!</v>
      </c>
      <c r="BF46" s="433" t="e">
        <f>#REF!*TableauProduit[[#This Row],[Total (kg) N8]]</f>
        <v>#REF!</v>
      </c>
      <c r="BG46" s="433" t="e">
        <f>TableauProduit[[#This Row],[Prix de vente/kg]]*TableauProduit[[#This Row],[Total (kg) N8]]</f>
        <v>#REF!</v>
      </c>
      <c r="BH46" s="434" t="e">
        <f>#REF!-#REF!-TableauProduit[[#This Row],[Conditionnement N8]]</f>
        <v>#REF!</v>
      </c>
      <c r="BI46" s="401">
        <v>68</v>
      </c>
      <c r="BJ46" s="350" t="e">
        <f>#REF!*#REF!/1000</f>
        <v>#REF!</v>
      </c>
      <c r="BK46" s="435" t="e">
        <f>#REF!*#REF!</f>
        <v>#REF!</v>
      </c>
      <c r="BL46" s="435" t="e">
        <f>#REF!*TableauProduit[[#This Row],[Total (kg) N9]]</f>
        <v>#REF!</v>
      </c>
      <c r="BM46" s="435" t="e">
        <f>TableauProduit[[#This Row],[Prix de vente/kg]]*TableauProduit[[#This Row],[Total (kg) N9]]</f>
        <v>#REF!</v>
      </c>
      <c r="BN46" s="350" t="e">
        <f>#REF!-#REF!-TableauProduit[[#This Row],[Conditionnement N9]]</f>
        <v>#REF!</v>
      </c>
    </row>
    <row r="47" spans="1:66" x14ac:dyDescent="0.2">
      <c r="A47" s="13" t="s">
        <v>120</v>
      </c>
      <c r="B47" s="54" t="str">
        <f>TableauProduit[[#This Row],[Recette]]&amp;TableauProduit[[#This Row],[Conditionnement]]</f>
        <v>ColomboEpice 100ml</v>
      </c>
      <c r="C47" s="11">
        <v>1</v>
      </c>
      <c r="D47" s="11">
        <v>45</v>
      </c>
      <c r="E47" s="6" t="s">
        <v>73</v>
      </c>
      <c r="F47" s="7">
        <f>IFERROR(VLOOKUP(TableauProduit[[#This Row],[Conditionnement]],TableauConditionnement[[Nom]:[Contenance]],4,FALSE),"")</f>
        <v>0.64</v>
      </c>
      <c r="G47" s="463">
        <f>IFERROR(SUMIFS(TableauRecette[Prix d''achat / kg],TableauRecette[Recette],TableauProduit[[#This Row],[Recette]],TableauRecette[Conditionnement],TableauProduit[[#This Row],[Conditionnement]]),0)</f>
        <v>0</v>
      </c>
      <c r="H47" s="464">
        <v>4.5</v>
      </c>
      <c r="I47" s="465">
        <f>TableauProduit[[#This Row],[Prix de vente/U]]/TableauProduit[[#This Row],[Poids (g) / unite]]*1000</f>
        <v>100</v>
      </c>
      <c r="J47" s="466">
        <f>SUMIFS(TableauConcurence[PRIX_KG],TableauConcurence[PRODUIT],TableauProduit[[#This Row],[Recette]],TableauConcurence[DISTRIBUTION],"magasin NON BIO")</f>
        <v>0</v>
      </c>
      <c r="K47" s="467">
        <f>SUMIFS(TableauConcurence[PRIX_KG],TableauConcurence[PRODUIT],TableauProduit[[#This Row],[Recette]],TableauConcurence[DISTRIBUTION],"magasin BIO")</f>
        <v>0</v>
      </c>
      <c r="L47" s="468">
        <f>SUMIFS(TableauConcurence[PRIX_KG],TableauConcurence[PRODUIT],TableauProduit[[#This Row],[Recette]],TableauConcurence[DISTRIBUTION],"artisanale BIO")</f>
        <v>0</v>
      </c>
      <c r="M47" s="410">
        <v>0</v>
      </c>
      <c r="N47" s="333">
        <f>TableauProduit[[#This Row],[Objectif de vente en unite N1]]*TableauProduit[[#This Row],[Poids (g) / unite]]/1000</f>
        <v>0</v>
      </c>
      <c r="O47" s="425">
        <f>TableauProduit[[#This Row],[Packaging / unite]]*TableauProduit[[#This Row],[Objectif de vente en unite N1]]</f>
        <v>0</v>
      </c>
      <c r="P47" s="425">
        <f>SUMIF(TableauRecette[[#This Row],[Recette]],TableauProduit[[#This Row],[Recette]],TableauRecette[[#This Row],[Prix pour kg/ de melange]])</f>
        <v>0.45112781954887216</v>
      </c>
      <c r="Q47" s="425">
        <f>TableauProduit[[#This Row],[Prix de vente/kg]]*TableauProduit[[#This Row],[Total (kg) N1]]</f>
        <v>0</v>
      </c>
      <c r="R47" s="428" t="e">
        <f>#REF!-#REF!-TableauProduit[[#This Row],[Conditionnement N1]]</f>
        <v>#REF!</v>
      </c>
      <c r="S47" s="336">
        <v>0</v>
      </c>
      <c r="T47" s="335" t="e">
        <f>#REF!*#REF!/1000</f>
        <v>#REF!</v>
      </c>
      <c r="U47" s="417" t="e">
        <f>#REF!*#REF!</f>
        <v>#REF!</v>
      </c>
      <c r="V47" s="417" t="e">
        <f>#REF!*TableauProduit[[#This Row],[Total (kg) N2]]</f>
        <v>#REF!</v>
      </c>
      <c r="W47" s="417" t="e">
        <f>TableauProduit[[#This Row],[Prix de vente/kg]]*TableauProduit[[#This Row],[Total (kg) N2]]</f>
        <v>#REF!</v>
      </c>
      <c r="X47" s="411" t="e">
        <f>#REF!-#REF!-TableauProduit[[#This Row],[Conditionnement N2]]</f>
        <v>#REF!</v>
      </c>
      <c r="Y47" s="412">
        <v>70</v>
      </c>
      <c r="Z47" s="339" t="e">
        <f>#REF!*#REF!/1000</f>
        <v>#REF!</v>
      </c>
      <c r="AA47" s="420" t="e">
        <f>#REF!*#REF!</f>
        <v>#REF!</v>
      </c>
      <c r="AB47" s="420" t="e">
        <f>#REF!*TableauProduit[[#This Row],[Total (kg) N3]]</f>
        <v>#REF!</v>
      </c>
      <c r="AC47" s="420" t="e">
        <f>TableauProduit[[#This Row],[Prix de vente/kg]]*TableauProduit[[#This Row],[Total (kg) N3]]</f>
        <v>#REF!</v>
      </c>
      <c r="AD47" s="429" t="e">
        <f>#REF!-#REF!-TableauProduit[[#This Row],[Conditionnement N3]]</f>
        <v>#REF!</v>
      </c>
      <c r="AE47" s="341">
        <v>88</v>
      </c>
      <c r="AF47" s="341" t="e">
        <f>#REF!*#REF!/1000</f>
        <v>#REF!</v>
      </c>
      <c r="AG47" s="423" t="e">
        <f>#REF!*#REF!</f>
        <v>#REF!</v>
      </c>
      <c r="AH47" s="423" t="e">
        <f>#REF!*TableauProduit[[#This Row],[Total (kg) N4]]</f>
        <v>#REF!</v>
      </c>
      <c r="AI47" s="423" t="e">
        <f>TableauProduit[[#This Row],[Prix de vente/kg]]*TableauProduit[[#This Row],[Total (kg) N4]]</f>
        <v>#REF!</v>
      </c>
      <c r="AJ47" s="341" t="e">
        <f>#REF!-#REF!-TableauProduit[[#This Row],[Conditionnement N4]]</f>
        <v>#REF!</v>
      </c>
      <c r="AK47" s="343">
        <v>98</v>
      </c>
      <c r="AL47" s="343" t="e">
        <f>#REF!*#REF!/1000</f>
        <v>#REF!</v>
      </c>
      <c r="AM47" s="430" t="e">
        <f>#REF!*#REF!</f>
        <v>#REF!</v>
      </c>
      <c r="AN47" s="430" t="e">
        <f>#REF!*TableauProduit[[#This Row],[Total (kg) N5]]</f>
        <v>#REF!</v>
      </c>
      <c r="AO47" s="430" t="e">
        <f>TableauProduit[[#This Row],[Prix de vente/kg]]*TableauProduit[[#This Row],[Total (kg) N5]]</f>
        <v>#REF!</v>
      </c>
      <c r="AP47" s="343" t="e">
        <f>#REF!-#REF!-TableauProduit[[#This Row],[Conditionnement N5]]</f>
        <v>#REF!</v>
      </c>
      <c r="AQ47" s="345">
        <v>102</v>
      </c>
      <c r="AR47" s="345" t="e">
        <f>#REF!*#REF!/1000</f>
        <v>#REF!</v>
      </c>
      <c r="AS47" s="431" t="e">
        <f>#REF!*#REF!</f>
        <v>#REF!</v>
      </c>
      <c r="AT47" s="431" t="e">
        <f>#REF!*TableauProduit[[#This Row],[Total (kg) N6]]</f>
        <v>#REF!</v>
      </c>
      <c r="AU47" s="431" t="e">
        <f>TableauProduit[[#This Row],[Prix de vente/kg]]*TableauProduit[[#This Row],[Total (kg) N6]]</f>
        <v>#REF!</v>
      </c>
      <c r="AV47" s="345" t="e">
        <f>#REF!-#REF!-TableauProduit[[#This Row],[Conditionnement N6]]</f>
        <v>#REF!</v>
      </c>
      <c r="AW47" s="333">
        <v>102</v>
      </c>
      <c r="AX47" s="333" t="e">
        <f>#REF!*#REF!/1000</f>
        <v>#REF!</v>
      </c>
      <c r="AY47" s="425" t="e">
        <f>#REF!*#REF!</f>
        <v>#REF!</v>
      </c>
      <c r="AZ47" s="425" t="e">
        <f>#REF!*TableauProduit[[#This Row],[Total (kg) N7]]</f>
        <v>#REF!</v>
      </c>
      <c r="BA47" s="425" t="e">
        <f>TableauProduit[[#This Row],[Prix de vente/kg]]*TableauProduit[[#This Row],[Total (kg) N7]]</f>
        <v>#REF!</v>
      </c>
      <c r="BB47" s="432" t="e">
        <f>#REF!-#REF!-TableauProduit[[#This Row],[Conditionnement N7]]</f>
        <v>#REF!</v>
      </c>
      <c r="BC47" s="414">
        <v>102</v>
      </c>
      <c r="BD47" s="348" t="e">
        <f>#REF!*#REF!/1000</f>
        <v>#REF!</v>
      </c>
      <c r="BE47" s="433" t="e">
        <f>#REF!*#REF!</f>
        <v>#REF!</v>
      </c>
      <c r="BF47" s="433" t="e">
        <f>#REF!*TableauProduit[[#This Row],[Total (kg) N8]]</f>
        <v>#REF!</v>
      </c>
      <c r="BG47" s="433" t="e">
        <f>TableauProduit[[#This Row],[Prix de vente/kg]]*TableauProduit[[#This Row],[Total (kg) N8]]</f>
        <v>#REF!</v>
      </c>
      <c r="BH47" s="434" t="e">
        <f>#REF!-#REF!-TableauProduit[[#This Row],[Conditionnement N8]]</f>
        <v>#REF!</v>
      </c>
      <c r="BI47" s="401">
        <v>102</v>
      </c>
      <c r="BJ47" s="350" t="e">
        <f>#REF!*#REF!/1000</f>
        <v>#REF!</v>
      </c>
      <c r="BK47" s="435" t="e">
        <f>#REF!*#REF!</f>
        <v>#REF!</v>
      </c>
      <c r="BL47" s="435" t="e">
        <f>#REF!*TableauProduit[[#This Row],[Total (kg) N9]]</f>
        <v>#REF!</v>
      </c>
      <c r="BM47" s="435" t="e">
        <f>TableauProduit[[#This Row],[Prix de vente/kg]]*TableauProduit[[#This Row],[Total (kg) N9]]</f>
        <v>#REF!</v>
      </c>
      <c r="BN47" s="350" t="e">
        <f>#REF!-#REF!-TableauProduit[[#This Row],[Conditionnement N9]]</f>
        <v>#REF!</v>
      </c>
    </row>
    <row r="48" spans="1:66" x14ac:dyDescent="0.2">
      <c r="A48" s="13" t="s">
        <v>121</v>
      </c>
      <c r="B48" s="54" t="str">
        <f>TableauProduit[[#This Row],[Recette]]&amp;TableauProduit[[#This Row],[Conditionnement]]</f>
        <v>Vindaloo masalaEpice 100ml</v>
      </c>
      <c r="C48" s="11">
        <v>1</v>
      </c>
      <c r="D48" s="11">
        <v>50</v>
      </c>
      <c r="E48" s="6" t="s">
        <v>73</v>
      </c>
      <c r="F48" s="7">
        <f>IFERROR(VLOOKUP(TableauProduit[[#This Row],[Conditionnement]],TableauConditionnement[[Nom]:[Contenance]],4,FALSE),"")</f>
        <v>0.64</v>
      </c>
      <c r="G48" s="463">
        <f>IFERROR(SUMIFS(TableauRecette[Prix d''achat / kg],TableauRecette[Recette],TableauProduit[[#This Row],[Recette]],TableauRecette[Conditionnement],TableauProduit[[#This Row],[Conditionnement]]),0)</f>
        <v>0</v>
      </c>
      <c r="H48" s="464">
        <v>2.9</v>
      </c>
      <c r="I48" s="465">
        <f>TableauProduit[[#This Row],[Prix de vente/U]]/TableauProduit[[#This Row],[Poids (g) / unite]]*1000</f>
        <v>57.999999999999993</v>
      </c>
      <c r="J48" s="466">
        <f>SUMIFS(TableauConcurence[PRIX_KG],TableauConcurence[PRODUIT],TableauProduit[[#This Row],[Recette]],TableauConcurence[DISTRIBUTION],"magasin NON BIO")</f>
        <v>0</v>
      </c>
      <c r="K48" s="467">
        <f>SUMIFS(TableauConcurence[PRIX_KG],TableauConcurence[PRODUIT],TableauProduit[[#This Row],[Recette]],TableauConcurence[DISTRIBUTION],"magasin BIO")</f>
        <v>0</v>
      </c>
      <c r="L48" s="468">
        <f>SUMIFS(TableauConcurence[PRIX_KG],TableauConcurence[PRODUIT],TableauProduit[[#This Row],[Recette]],TableauConcurence[DISTRIBUTION],"artisanale BIO")</f>
        <v>0</v>
      </c>
      <c r="M48" s="410">
        <v>0</v>
      </c>
      <c r="N48" s="333">
        <f>TableauProduit[[#This Row],[Objectif de vente en unite N1]]*TableauProduit[[#This Row],[Poids (g) / unite]]/1000</f>
        <v>0</v>
      </c>
      <c r="O48" s="425">
        <f>TableauProduit[[#This Row],[Packaging / unite]]*TableauProduit[[#This Row],[Objectif de vente en unite N1]]</f>
        <v>0</v>
      </c>
      <c r="P48" s="425">
        <f>SUMIF(TableauRecette[[#This Row],[Recette]],TableauProduit[[#This Row],[Recette]],TableauRecette[[#This Row],[Prix pour kg/ de melange]])</f>
        <v>0</v>
      </c>
      <c r="Q48" s="425">
        <f>TableauProduit[[#This Row],[Prix de vente/kg]]*TableauProduit[[#This Row],[Total (kg) N1]]</f>
        <v>0</v>
      </c>
      <c r="R48" s="428" t="e">
        <f>#REF!-#REF!-TableauProduit[[#This Row],[Conditionnement N1]]</f>
        <v>#REF!</v>
      </c>
      <c r="S48" s="336">
        <v>0</v>
      </c>
      <c r="T48" s="335" t="e">
        <f>#REF!*#REF!/1000</f>
        <v>#REF!</v>
      </c>
      <c r="U48" s="417" t="e">
        <f>#REF!*#REF!</f>
        <v>#REF!</v>
      </c>
      <c r="V48" s="417" t="e">
        <f>#REF!*TableauProduit[[#This Row],[Total (kg) N2]]</f>
        <v>#REF!</v>
      </c>
      <c r="W48" s="417" t="e">
        <f>TableauProduit[[#This Row],[Prix de vente/kg]]*TableauProduit[[#This Row],[Total (kg) N2]]</f>
        <v>#REF!</v>
      </c>
      <c r="X48" s="411" t="e">
        <f>#REF!-#REF!-TableauProduit[[#This Row],[Conditionnement N2]]</f>
        <v>#REF!</v>
      </c>
      <c r="Y48" s="412">
        <v>0</v>
      </c>
      <c r="Z48" s="339" t="e">
        <f>#REF!*#REF!/1000</f>
        <v>#REF!</v>
      </c>
      <c r="AA48" s="420" t="e">
        <f>#REF!*#REF!</f>
        <v>#REF!</v>
      </c>
      <c r="AB48" s="420" t="e">
        <f>#REF!*TableauProduit[[#This Row],[Total (kg) N3]]</f>
        <v>#REF!</v>
      </c>
      <c r="AC48" s="420" t="e">
        <f>TableauProduit[[#This Row],[Prix de vente/kg]]*TableauProduit[[#This Row],[Total (kg) N3]]</f>
        <v>#REF!</v>
      </c>
      <c r="AD48" s="429" t="e">
        <f>#REF!-#REF!-TableauProduit[[#This Row],[Conditionnement N3]]</f>
        <v>#REF!</v>
      </c>
      <c r="AE48" s="341">
        <v>50</v>
      </c>
      <c r="AF48" s="341" t="e">
        <f>#REF!*#REF!/1000</f>
        <v>#REF!</v>
      </c>
      <c r="AG48" s="423" t="e">
        <f>#REF!*#REF!</f>
        <v>#REF!</v>
      </c>
      <c r="AH48" s="423" t="e">
        <f>#REF!*TableauProduit[[#This Row],[Total (kg) N4]]</f>
        <v>#REF!</v>
      </c>
      <c r="AI48" s="423" t="e">
        <f>TableauProduit[[#This Row],[Prix de vente/kg]]*TableauProduit[[#This Row],[Total (kg) N4]]</f>
        <v>#REF!</v>
      </c>
      <c r="AJ48" s="341" t="e">
        <f>#REF!-#REF!-TableauProduit[[#This Row],[Conditionnement N4]]</f>
        <v>#REF!</v>
      </c>
      <c r="AK48" s="343">
        <v>60</v>
      </c>
      <c r="AL48" s="343" t="e">
        <f>#REF!*#REF!/1000</f>
        <v>#REF!</v>
      </c>
      <c r="AM48" s="430" t="e">
        <f>#REF!*#REF!</f>
        <v>#REF!</v>
      </c>
      <c r="AN48" s="430" t="e">
        <f>#REF!*TableauProduit[[#This Row],[Total (kg) N5]]</f>
        <v>#REF!</v>
      </c>
      <c r="AO48" s="430" t="e">
        <f>TableauProduit[[#This Row],[Prix de vente/kg]]*TableauProduit[[#This Row],[Total (kg) N5]]</f>
        <v>#REF!</v>
      </c>
      <c r="AP48" s="343" t="e">
        <f>#REF!-#REF!-TableauProduit[[#This Row],[Conditionnement N5]]</f>
        <v>#REF!</v>
      </c>
      <c r="AQ48" s="345">
        <v>65</v>
      </c>
      <c r="AR48" s="345" t="e">
        <f>#REF!*#REF!/1000</f>
        <v>#REF!</v>
      </c>
      <c r="AS48" s="431" t="e">
        <f>#REF!*#REF!</f>
        <v>#REF!</v>
      </c>
      <c r="AT48" s="431" t="e">
        <f>#REF!*TableauProduit[[#This Row],[Total (kg) N6]]</f>
        <v>#REF!</v>
      </c>
      <c r="AU48" s="431" t="e">
        <f>TableauProduit[[#This Row],[Prix de vente/kg]]*TableauProduit[[#This Row],[Total (kg) N6]]</f>
        <v>#REF!</v>
      </c>
      <c r="AV48" s="345" t="e">
        <f>#REF!-#REF!-TableauProduit[[#This Row],[Conditionnement N6]]</f>
        <v>#REF!</v>
      </c>
      <c r="AW48" s="333">
        <v>68</v>
      </c>
      <c r="AX48" s="333" t="e">
        <f>#REF!*#REF!/1000</f>
        <v>#REF!</v>
      </c>
      <c r="AY48" s="425" t="e">
        <f>#REF!*#REF!</f>
        <v>#REF!</v>
      </c>
      <c r="AZ48" s="425" t="e">
        <f>#REF!*TableauProduit[[#This Row],[Total (kg) N7]]</f>
        <v>#REF!</v>
      </c>
      <c r="BA48" s="425" t="e">
        <f>TableauProduit[[#This Row],[Prix de vente/kg]]*TableauProduit[[#This Row],[Total (kg) N7]]</f>
        <v>#REF!</v>
      </c>
      <c r="BB48" s="432" t="e">
        <f>#REF!-#REF!-TableauProduit[[#This Row],[Conditionnement N7]]</f>
        <v>#REF!</v>
      </c>
      <c r="BC48" s="414">
        <v>68</v>
      </c>
      <c r="BD48" s="348" t="e">
        <f>#REF!*#REF!/1000</f>
        <v>#REF!</v>
      </c>
      <c r="BE48" s="433" t="e">
        <f>#REF!*#REF!</f>
        <v>#REF!</v>
      </c>
      <c r="BF48" s="433" t="e">
        <f>#REF!*TableauProduit[[#This Row],[Total (kg) N8]]</f>
        <v>#REF!</v>
      </c>
      <c r="BG48" s="433" t="e">
        <f>TableauProduit[[#This Row],[Prix de vente/kg]]*TableauProduit[[#This Row],[Total (kg) N8]]</f>
        <v>#REF!</v>
      </c>
      <c r="BH48" s="434" t="e">
        <f>#REF!-#REF!-TableauProduit[[#This Row],[Conditionnement N8]]</f>
        <v>#REF!</v>
      </c>
      <c r="BI48" s="401">
        <v>68</v>
      </c>
      <c r="BJ48" s="350" t="e">
        <f>#REF!*#REF!/1000</f>
        <v>#REF!</v>
      </c>
      <c r="BK48" s="435" t="e">
        <f>#REF!*#REF!</f>
        <v>#REF!</v>
      </c>
      <c r="BL48" s="435" t="e">
        <f>#REF!*TableauProduit[[#This Row],[Total (kg) N9]]</f>
        <v>#REF!</v>
      </c>
      <c r="BM48" s="435" t="e">
        <f>TableauProduit[[#This Row],[Prix de vente/kg]]*TableauProduit[[#This Row],[Total (kg) N9]]</f>
        <v>#REF!</v>
      </c>
      <c r="BN48" s="350" t="e">
        <f>#REF!-#REF!-TableauProduit[[#This Row],[Conditionnement N9]]</f>
        <v>#REF!</v>
      </c>
    </row>
    <row r="49" spans="1:66" x14ac:dyDescent="0.2">
      <c r="A49" s="13" t="s">
        <v>122</v>
      </c>
      <c r="B49" s="54" t="str">
        <f>TableauProduit[[#This Row],[Recette]]&amp;TableauProduit[[#This Row],[Conditionnement]]</f>
        <v>Nuoc chamEpice 100ml</v>
      </c>
      <c r="C49" s="11">
        <v>1</v>
      </c>
      <c r="D49" s="11">
        <v>50</v>
      </c>
      <c r="E49" s="6" t="s">
        <v>73</v>
      </c>
      <c r="F49" s="7">
        <f>IFERROR(VLOOKUP(TableauProduit[[#This Row],[Conditionnement]],TableauConditionnement[[Nom]:[Contenance]],4,FALSE),"")</f>
        <v>0.64</v>
      </c>
      <c r="G49" s="463">
        <f>IFERROR(SUMIFS(TableauRecette[Prix d''achat / kg],TableauRecette[Recette],TableauProduit[[#This Row],[Recette]],TableauRecette[Conditionnement],TableauProduit[[#This Row],[Conditionnement]]),0)</f>
        <v>0</v>
      </c>
      <c r="H49" s="464">
        <v>5</v>
      </c>
      <c r="I49" s="465">
        <f>TableauProduit[[#This Row],[Prix de vente/U]]/TableauProduit[[#This Row],[Poids (g) / unite]]*1000</f>
        <v>100</v>
      </c>
      <c r="J49" s="466">
        <f>SUMIFS(TableauConcurence[PRIX_KG],TableauConcurence[PRODUIT],TableauProduit[[#This Row],[Recette]],TableauConcurence[DISTRIBUTION],"magasin NON BIO")</f>
        <v>0</v>
      </c>
      <c r="K49" s="467">
        <f>SUMIFS(TableauConcurence[PRIX_KG],TableauConcurence[PRODUIT],TableauProduit[[#This Row],[Recette]],TableauConcurence[DISTRIBUTION],"magasin BIO")</f>
        <v>0</v>
      </c>
      <c r="L49" s="468">
        <f>SUMIFS(TableauConcurence[PRIX_KG],TableauConcurence[PRODUIT],TableauProduit[[#This Row],[Recette]],TableauConcurence[DISTRIBUTION],"artisanale BIO")</f>
        <v>0</v>
      </c>
      <c r="M49" s="410">
        <v>0</v>
      </c>
      <c r="N49" s="333">
        <f>TableauProduit[[#This Row],[Objectif de vente en unite N1]]*TableauProduit[[#This Row],[Poids (g) / unite]]/1000</f>
        <v>0</v>
      </c>
      <c r="O49" s="425">
        <f>TableauProduit[[#This Row],[Packaging / unite]]*TableauProduit[[#This Row],[Objectif de vente en unite N1]]</f>
        <v>0</v>
      </c>
      <c r="P49" s="425">
        <f>SUMIF(TableauRecette[[#This Row],[Recette]],TableauProduit[[#This Row],[Recette]],TableauRecette[[#This Row],[Prix pour kg/ de melange]])</f>
        <v>0</v>
      </c>
      <c r="Q49" s="425">
        <f>TableauProduit[[#This Row],[Prix de vente/kg]]*TableauProduit[[#This Row],[Total (kg) N1]]</f>
        <v>0</v>
      </c>
      <c r="R49" s="428" t="e">
        <f>#REF!-#REF!-TableauProduit[[#This Row],[Conditionnement N1]]</f>
        <v>#REF!</v>
      </c>
      <c r="S49" s="336">
        <v>0</v>
      </c>
      <c r="T49" s="335" t="e">
        <f>#REF!*#REF!/1000</f>
        <v>#REF!</v>
      </c>
      <c r="U49" s="417" t="e">
        <f>#REF!*#REF!</f>
        <v>#REF!</v>
      </c>
      <c r="V49" s="417" t="e">
        <f>#REF!*TableauProduit[[#This Row],[Total (kg) N2]]</f>
        <v>#REF!</v>
      </c>
      <c r="W49" s="417" t="e">
        <f>TableauProduit[[#This Row],[Prix de vente/kg]]*TableauProduit[[#This Row],[Total (kg) N2]]</f>
        <v>#REF!</v>
      </c>
      <c r="X49" s="411" t="e">
        <f>#REF!-#REF!-TableauProduit[[#This Row],[Conditionnement N2]]</f>
        <v>#REF!</v>
      </c>
      <c r="Y49" s="412">
        <v>0</v>
      </c>
      <c r="Z49" s="339" t="e">
        <f>#REF!*#REF!/1000</f>
        <v>#REF!</v>
      </c>
      <c r="AA49" s="420" t="e">
        <f>#REF!*#REF!</f>
        <v>#REF!</v>
      </c>
      <c r="AB49" s="420" t="e">
        <f>#REF!*TableauProduit[[#This Row],[Total (kg) N3]]</f>
        <v>#REF!</v>
      </c>
      <c r="AC49" s="420" t="e">
        <f>TableauProduit[[#This Row],[Prix de vente/kg]]*TableauProduit[[#This Row],[Total (kg) N3]]</f>
        <v>#REF!</v>
      </c>
      <c r="AD49" s="429" t="e">
        <f>#REF!-#REF!-TableauProduit[[#This Row],[Conditionnement N3]]</f>
        <v>#REF!</v>
      </c>
      <c r="AE49" s="341">
        <v>50</v>
      </c>
      <c r="AF49" s="341" t="e">
        <f>#REF!*#REF!/1000</f>
        <v>#REF!</v>
      </c>
      <c r="AG49" s="423" t="e">
        <f>#REF!*#REF!</f>
        <v>#REF!</v>
      </c>
      <c r="AH49" s="423" t="e">
        <f>#REF!*TableauProduit[[#This Row],[Total (kg) N4]]</f>
        <v>#REF!</v>
      </c>
      <c r="AI49" s="423" t="e">
        <f>TableauProduit[[#This Row],[Prix de vente/kg]]*TableauProduit[[#This Row],[Total (kg) N4]]</f>
        <v>#REF!</v>
      </c>
      <c r="AJ49" s="341" t="e">
        <f>#REF!-#REF!-TableauProduit[[#This Row],[Conditionnement N4]]</f>
        <v>#REF!</v>
      </c>
      <c r="AK49" s="343">
        <v>60</v>
      </c>
      <c r="AL49" s="343" t="e">
        <f>#REF!*#REF!/1000</f>
        <v>#REF!</v>
      </c>
      <c r="AM49" s="430" t="e">
        <f>#REF!*#REF!</f>
        <v>#REF!</v>
      </c>
      <c r="AN49" s="430" t="e">
        <f>#REF!*TableauProduit[[#This Row],[Total (kg) N5]]</f>
        <v>#REF!</v>
      </c>
      <c r="AO49" s="430" t="e">
        <f>TableauProduit[[#This Row],[Prix de vente/kg]]*TableauProduit[[#This Row],[Total (kg) N5]]</f>
        <v>#REF!</v>
      </c>
      <c r="AP49" s="343" t="e">
        <f>#REF!-#REF!-TableauProduit[[#This Row],[Conditionnement N5]]</f>
        <v>#REF!</v>
      </c>
      <c r="AQ49" s="345">
        <v>65</v>
      </c>
      <c r="AR49" s="345" t="e">
        <f>#REF!*#REF!/1000</f>
        <v>#REF!</v>
      </c>
      <c r="AS49" s="431" t="e">
        <f>#REF!*#REF!</f>
        <v>#REF!</v>
      </c>
      <c r="AT49" s="431" t="e">
        <f>#REF!*TableauProduit[[#This Row],[Total (kg) N6]]</f>
        <v>#REF!</v>
      </c>
      <c r="AU49" s="431" t="e">
        <f>TableauProduit[[#This Row],[Prix de vente/kg]]*TableauProduit[[#This Row],[Total (kg) N6]]</f>
        <v>#REF!</v>
      </c>
      <c r="AV49" s="345" t="e">
        <f>#REF!-#REF!-TableauProduit[[#This Row],[Conditionnement N6]]</f>
        <v>#REF!</v>
      </c>
      <c r="AW49" s="333">
        <v>68</v>
      </c>
      <c r="AX49" s="333" t="e">
        <f>#REF!*#REF!/1000</f>
        <v>#REF!</v>
      </c>
      <c r="AY49" s="425" t="e">
        <f>#REF!*#REF!</f>
        <v>#REF!</v>
      </c>
      <c r="AZ49" s="425" t="e">
        <f>#REF!*TableauProduit[[#This Row],[Total (kg) N7]]</f>
        <v>#REF!</v>
      </c>
      <c r="BA49" s="425" t="e">
        <f>TableauProduit[[#This Row],[Prix de vente/kg]]*TableauProduit[[#This Row],[Total (kg) N7]]</f>
        <v>#REF!</v>
      </c>
      <c r="BB49" s="432" t="e">
        <f>#REF!-#REF!-TableauProduit[[#This Row],[Conditionnement N7]]</f>
        <v>#REF!</v>
      </c>
      <c r="BC49" s="414">
        <v>68</v>
      </c>
      <c r="BD49" s="348" t="e">
        <f>#REF!*#REF!/1000</f>
        <v>#REF!</v>
      </c>
      <c r="BE49" s="433" t="e">
        <f>#REF!*#REF!</f>
        <v>#REF!</v>
      </c>
      <c r="BF49" s="433" t="e">
        <f>#REF!*TableauProduit[[#This Row],[Total (kg) N8]]</f>
        <v>#REF!</v>
      </c>
      <c r="BG49" s="433" t="e">
        <f>TableauProduit[[#This Row],[Prix de vente/kg]]*TableauProduit[[#This Row],[Total (kg) N8]]</f>
        <v>#REF!</v>
      </c>
      <c r="BH49" s="434" t="e">
        <f>#REF!-#REF!-TableauProduit[[#This Row],[Conditionnement N8]]</f>
        <v>#REF!</v>
      </c>
      <c r="BI49" s="401">
        <v>68</v>
      </c>
      <c r="BJ49" s="350" t="e">
        <f>#REF!*#REF!/1000</f>
        <v>#REF!</v>
      </c>
      <c r="BK49" s="435" t="e">
        <f>#REF!*#REF!</f>
        <v>#REF!</v>
      </c>
      <c r="BL49" s="435" t="e">
        <f>#REF!*TableauProduit[[#This Row],[Total (kg) N9]]</f>
        <v>#REF!</v>
      </c>
      <c r="BM49" s="435" t="e">
        <f>TableauProduit[[#This Row],[Prix de vente/kg]]*TableauProduit[[#This Row],[Total (kg) N9]]</f>
        <v>#REF!</v>
      </c>
      <c r="BN49" s="350" t="e">
        <f>#REF!-#REF!-TableauProduit[[#This Row],[Conditionnement N9]]</f>
        <v>#REF!</v>
      </c>
    </row>
    <row r="50" spans="1:66" x14ac:dyDescent="0.2">
      <c r="A50" s="13" t="s">
        <v>123</v>
      </c>
      <c r="B50" s="54" t="str">
        <f>TableauProduit[[#This Row],[Recette]]&amp;TableauProduit[[#This Row],[Conditionnement]]</f>
        <v>Épices guacamoleEpice 100ml</v>
      </c>
      <c r="C50" s="11">
        <v>1</v>
      </c>
      <c r="D50" s="11">
        <v>40</v>
      </c>
      <c r="E50" s="6" t="s">
        <v>73</v>
      </c>
      <c r="F50" s="7">
        <f>IFERROR(VLOOKUP(TableauProduit[[#This Row],[Conditionnement]],TableauConditionnement[[Nom]:[Contenance]],4,FALSE),"")</f>
        <v>0.64</v>
      </c>
      <c r="G50" s="463">
        <f>IFERROR(SUMIFS(TableauRecette[Prix d''achat / kg],TableauRecette[Recette],TableauProduit[[#This Row],[Recette]],TableauRecette[Conditionnement],TableauProduit[[#This Row],[Conditionnement]]),0)</f>
        <v>0</v>
      </c>
      <c r="H50" s="464">
        <v>4</v>
      </c>
      <c r="I50" s="465">
        <f>TableauProduit[[#This Row],[Prix de vente/U]]/TableauProduit[[#This Row],[Poids (g) / unite]]*1000</f>
        <v>100</v>
      </c>
      <c r="J50" s="466">
        <f>SUMIFS(TableauConcurence[PRIX_KG],TableauConcurence[PRODUIT],TableauProduit[[#This Row],[Recette]],TableauConcurence[DISTRIBUTION],"magasin NON BIO")</f>
        <v>0</v>
      </c>
      <c r="K50" s="467">
        <f>SUMIFS(TableauConcurence[PRIX_KG],TableauConcurence[PRODUIT],TableauProduit[[#This Row],[Recette]],TableauConcurence[DISTRIBUTION],"magasin BIO")</f>
        <v>0</v>
      </c>
      <c r="L50" s="468">
        <f>SUMIFS(TableauConcurence[PRIX_KG],TableauConcurence[PRODUIT],TableauProduit[[#This Row],[Recette]],TableauConcurence[DISTRIBUTION],"artisanale BIO")</f>
        <v>0</v>
      </c>
      <c r="M50" s="410">
        <v>0</v>
      </c>
      <c r="N50" s="333">
        <f>TableauProduit[[#This Row],[Objectif de vente en unite N1]]*TableauProduit[[#This Row],[Poids (g) / unite]]/1000</f>
        <v>0</v>
      </c>
      <c r="O50" s="425">
        <f>TableauProduit[[#This Row],[Packaging / unite]]*TableauProduit[[#This Row],[Objectif de vente en unite N1]]</f>
        <v>0</v>
      </c>
      <c r="P50" s="425">
        <f>SUMIF(TableauRecette[[#This Row],[Recette]],TableauProduit[[#This Row],[Recette]],TableauRecette[[#This Row],[Prix pour kg/ de melange]])</f>
        <v>0</v>
      </c>
      <c r="Q50" s="425">
        <f>TableauProduit[[#This Row],[Prix de vente/kg]]*TableauProduit[[#This Row],[Total (kg) N1]]</f>
        <v>0</v>
      </c>
      <c r="R50" s="428" t="e">
        <f>#REF!-#REF!-TableauProduit[[#This Row],[Conditionnement N1]]</f>
        <v>#REF!</v>
      </c>
      <c r="S50" s="336">
        <v>0</v>
      </c>
      <c r="T50" s="335" t="e">
        <f>#REF!*#REF!/1000</f>
        <v>#REF!</v>
      </c>
      <c r="U50" s="417" t="e">
        <f>#REF!*#REF!</f>
        <v>#REF!</v>
      </c>
      <c r="V50" s="417" t="e">
        <f>#REF!*TableauProduit[[#This Row],[Total (kg) N2]]</f>
        <v>#REF!</v>
      </c>
      <c r="W50" s="417" t="e">
        <f>TableauProduit[[#This Row],[Prix de vente/kg]]*TableauProduit[[#This Row],[Total (kg) N2]]</f>
        <v>#REF!</v>
      </c>
      <c r="X50" s="411" t="e">
        <f>#REF!-#REF!-TableauProduit[[#This Row],[Conditionnement N2]]</f>
        <v>#REF!</v>
      </c>
      <c r="Y50" s="412">
        <v>0</v>
      </c>
      <c r="Z50" s="339" t="e">
        <f>#REF!*#REF!/1000</f>
        <v>#REF!</v>
      </c>
      <c r="AA50" s="420" t="e">
        <f>#REF!*#REF!</f>
        <v>#REF!</v>
      </c>
      <c r="AB50" s="420" t="e">
        <f>#REF!*TableauProduit[[#This Row],[Total (kg) N3]]</f>
        <v>#REF!</v>
      </c>
      <c r="AC50" s="420" t="e">
        <f>TableauProduit[[#This Row],[Prix de vente/kg]]*TableauProduit[[#This Row],[Total (kg) N3]]</f>
        <v>#REF!</v>
      </c>
      <c r="AD50" s="429" t="e">
        <f>#REF!-#REF!-TableauProduit[[#This Row],[Conditionnement N3]]</f>
        <v>#REF!</v>
      </c>
      <c r="AE50" s="341">
        <v>50</v>
      </c>
      <c r="AF50" s="341" t="e">
        <f>#REF!*#REF!/1000</f>
        <v>#REF!</v>
      </c>
      <c r="AG50" s="423" t="e">
        <f>#REF!*#REF!</f>
        <v>#REF!</v>
      </c>
      <c r="AH50" s="423" t="e">
        <f>#REF!*TableauProduit[[#This Row],[Total (kg) N4]]</f>
        <v>#REF!</v>
      </c>
      <c r="AI50" s="423" t="e">
        <f>TableauProduit[[#This Row],[Prix de vente/kg]]*TableauProduit[[#This Row],[Total (kg) N4]]</f>
        <v>#REF!</v>
      </c>
      <c r="AJ50" s="341" t="e">
        <f>#REF!-#REF!-TableauProduit[[#This Row],[Conditionnement N4]]</f>
        <v>#REF!</v>
      </c>
      <c r="AK50" s="343">
        <v>60</v>
      </c>
      <c r="AL50" s="343" t="e">
        <f>#REF!*#REF!/1000</f>
        <v>#REF!</v>
      </c>
      <c r="AM50" s="430" t="e">
        <f>#REF!*#REF!</f>
        <v>#REF!</v>
      </c>
      <c r="AN50" s="430" t="e">
        <f>#REF!*TableauProduit[[#This Row],[Total (kg) N5]]</f>
        <v>#REF!</v>
      </c>
      <c r="AO50" s="430" t="e">
        <f>TableauProduit[[#This Row],[Prix de vente/kg]]*TableauProduit[[#This Row],[Total (kg) N5]]</f>
        <v>#REF!</v>
      </c>
      <c r="AP50" s="343" t="e">
        <f>#REF!-#REF!-TableauProduit[[#This Row],[Conditionnement N5]]</f>
        <v>#REF!</v>
      </c>
      <c r="AQ50" s="345">
        <v>65</v>
      </c>
      <c r="AR50" s="345" t="e">
        <f>#REF!*#REF!/1000</f>
        <v>#REF!</v>
      </c>
      <c r="AS50" s="431" t="e">
        <f>#REF!*#REF!</f>
        <v>#REF!</v>
      </c>
      <c r="AT50" s="431" t="e">
        <f>#REF!*TableauProduit[[#This Row],[Total (kg) N6]]</f>
        <v>#REF!</v>
      </c>
      <c r="AU50" s="431" t="e">
        <f>TableauProduit[[#This Row],[Prix de vente/kg]]*TableauProduit[[#This Row],[Total (kg) N6]]</f>
        <v>#REF!</v>
      </c>
      <c r="AV50" s="345" t="e">
        <f>#REF!-#REF!-TableauProduit[[#This Row],[Conditionnement N6]]</f>
        <v>#REF!</v>
      </c>
      <c r="AW50" s="333">
        <v>68</v>
      </c>
      <c r="AX50" s="333" t="e">
        <f>#REF!*#REF!/1000</f>
        <v>#REF!</v>
      </c>
      <c r="AY50" s="425" t="e">
        <f>#REF!*#REF!</f>
        <v>#REF!</v>
      </c>
      <c r="AZ50" s="425" t="e">
        <f>#REF!*TableauProduit[[#This Row],[Total (kg) N7]]</f>
        <v>#REF!</v>
      </c>
      <c r="BA50" s="425" t="e">
        <f>TableauProduit[[#This Row],[Prix de vente/kg]]*TableauProduit[[#This Row],[Total (kg) N7]]</f>
        <v>#REF!</v>
      </c>
      <c r="BB50" s="432" t="e">
        <f>#REF!-#REF!-TableauProduit[[#This Row],[Conditionnement N7]]</f>
        <v>#REF!</v>
      </c>
      <c r="BC50" s="414">
        <v>68</v>
      </c>
      <c r="BD50" s="348" t="e">
        <f>#REF!*#REF!/1000</f>
        <v>#REF!</v>
      </c>
      <c r="BE50" s="433" t="e">
        <f>#REF!*#REF!</f>
        <v>#REF!</v>
      </c>
      <c r="BF50" s="433" t="e">
        <f>#REF!*TableauProduit[[#This Row],[Total (kg) N8]]</f>
        <v>#REF!</v>
      </c>
      <c r="BG50" s="433" t="e">
        <f>TableauProduit[[#This Row],[Prix de vente/kg]]*TableauProduit[[#This Row],[Total (kg) N8]]</f>
        <v>#REF!</v>
      </c>
      <c r="BH50" s="434" t="e">
        <f>#REF!-#REF!-TableauProduit[[#This Row],[Conditionnement N8]]</f>
        <v>#REF!</v>
      </c>
      <c r="BI50" s="401">
        <v>68</v>
      </c>
      <c r="BJ50" s="350" t="e">
        <f>#REF!*#REF!/1000</f>
        <v>#REF!</v>
      </c>
      <c r="BK50" s="435" t="e">
        <f>#REF!*#REF!</f>
        <v>#REF!</v>
      </c>
      <c r="BL50" s="435" t="e">
        <f>#REF!*TableauProduit[[#This Row],[Total (kg) N9]]</f>
        <v>#REF!</v>
      </c>
      <c r="BM50" s="435" t="e">
        <f>TableauProduit[[#This Row],[Prix de vente/kg]]*TableauProduit[[#This Row],[Total (kg) N9]]</f>
        <v>#REF!</v>
      </c>
      <c r="BN50" s="350" t="e">
        <f>#REF!-#REF!-TableauProduit[[#This Row],[Conditionnement N9]]</f>
        <v>#REF!</v>
      </c>
    </row>
    <row r="51" spans="1:66" x14ac:dyDescent="0.2">
      <c r="A51" s="13" t="s">
        <v>124</v>
      </c>
      <c r="B51" s="54" t="str">
        <f>TableauProduit[[#This Row],[Recette]]&amp;TableauProduit[[#This Row],[Conditionnement]]</f>
        <v>Huile massage anti-arthriteHuile 1L</v>
      </c>
      <c r="C51" s="11">
        <v>1</v>
      </c>
      <c r="D51" s="11">
        <v>500</v>
      </c>
      <c r="E51" s="6" t="s">
        <v>125</v>
      </c>
      <c r="F51" s="7">
        <f>IFERROR(VLOOKUP(TableauProduit[[#This Row],[Conditionnement]],TableauConditionnement[[Nom]:[Contenance]],4,FALSE),"")</f>
        <v>1.56</v>
      </c>
      <c r="G51" s="463">
        <f>IFERROR(SUMIFS(TableauRecette[Prix d''achat / kg],TableauRecette[Recette],TableauProduit[[#This Row],[Recette]],TableauRecette[Conditionnement],TableauProduit[[#This Row],[Conditionnement]]),0)</f>
        <v>0</v>
      </c>
      <c r="H51" s="464">
        <v>5</v>
      </c>
      <c r="I51" s="465">
        <f>TableauProduit[[#This Row],[Prix de vente/U]]/TableauProduit[[#This Row],[Poids (g) / unite]]*1000</f>
        <v>10</v>
      </c>
      <c r="J51" s="466">
        <f>SUMIFS(TableauConcurence[PRIX_KG],TableauConcurence[PRODUIT],TableauProduit[[#This Row],[Recette]],TableauConcurence[DISTRIBUTION],"magasin NON BIO")</f>
        <v>0</v>
      </c>
      <c r="K51" s="467">
        <f>SUMIFS(TableauConcurence[PRIX_KG],TableauConcurence[PRODUIT],TableauProduit[[#This Row],[Recette]],TableauConcurence[DISTRIBUTION],"magasin BIO")</f>
        <v>0</v>
      </c>
      <c r="L51" s="468">
        <f>SUMIFS(TableauConcurence[PRIX_KG],TableauConcurence[PRODUIT],TableauProduit[[#This Row],[Recette]],TableauConcurence[DISTRIBUTION],"artisanale BIO")</f>
        <v>0</v>
      </c>
      <c r="M51" s="410">
        <v>0</v>
      </c>
      <c r="N51" s="333">
        <f>TableauProduit[[#This Row],[Objectif de vente en unite N1]]*TableauProduit[[#This Row],[Poids (g) / unite]]/1000</f>
        <v>0</v>
      </c>
      <c r="O51" s="425">
        <f>TableauProduit[[#This Row],[Packaging / unite]]*TableauProduit[[#This Row],[Objectif de vente en unite N1]]</f>
        <v>0</v>
      </c>
      <c r="P51" s="425">
        <f>SUMIF(TableauRecette[[#This Row],[Recette]],TableauProduit[[#This Row],[Recette]],TableauRecette[[#This Row],[Prix pour kg/ de melange]])</f>
        <v>0</v>
      </c>
      <c r="Q51" s="425">
        <f>TableauProduit[[#This Row],[Prix de vente/kg]]*TableauProduit[[#This Row],[Total (kg) N1]]</f>
        <v>0</v>
      </c>
      <c r="R51" s="428" t="e">
        <f>#REF!-#REF!-TableauProduit[[#This Row],[Conditionnement N1]]</f>
        <v>#REF!</v>
      </c>
      <c r="S51" s="336">
        <v>0</v>
      </c>
      <c r="T51" s="335" t="e">
        <f>#REF!*#REF!/1000</f>
        <v>#REF!</v>
      </c>
      <c r="U51" s="417" t="e">
        <f>#REF!*#REF!</f>
        <v>#REF!</v>
      </c>
      <c r="V51" s="417" t="e">
        <f>#REF!*TableauProduit[[#This Row],[Total (kg) N2]]</f>
        <v>#REF!</v>
      </c>
      <c r="W51" s="417" t="e">
        <f>TableauProduit[[#This Row],[Prix de vente/kg]]*TableauProduit[[#This Row],[Total (kg) N2]]</f>
        <v>#REF!</v>
      </c>
      <c r="X51" s="411" t="e">
        <f>#REF!-#REF!-TableauProduit[[#This Row],[Conditionnement N2]]</f>
        <v>#REF!</v>
      </c>
      <c r="Y51" s="412">
        <v>0</v>
      </c>
      <c r="Z51" s="339" t="e">
        <f>#REF!*#REF!/1000</f>
        <v>#REF!</v>
      </c>
      <c r="AA51" s="420" t="e">
        <f>#REF!*#REF!</f>
        <v>#REF!</v>
      </c>
      <c r="AB51" s="420" t="e">
        <f>#REF!*TableauProduit[[#This Row],[Total (kg) N3]]</f>
        <v>#REF!</v>
      </c>
      <c r="AC51" s="420" t="e">
        <f>TableauProduit[[#This Row],[Prix de vente/kg]]*TableauProduit[[#This Row],[Total (kg) N3]]</f>
        <v>#REF!</v>
      </c>
      <c r="AD51" s="429" t="e">
        <f>#REF!-#REF!-TableauProduit[[#This Row],[Conditionnement N3]]</f>
        <v>#REF!</v>
      </c>
      <c r="AE51" s="341">
        <v>0</v>
      </c>
      <c r="AF51" s="341" t="e">
        <f>#REF!*#REF!/1000</f>
        <v>#REF!</v>
      </c>
      <c r="AG51" s="423" t="e">
        <f>#REF!*#REF!</f>
        <v>#REF!</v>
      </c>
      <c r="AH51" s="423" t="e">
        <f>#REF!*TableauProduit[[#This Row],[Total (kg) N4]]</f>
        <v>#REF!</v>
      </c>
      <c r="AI51" s="423" t="e">
        <f>TableauProduit[[#This Row],[Prix de vente/kg]]*TableauProduit[[#This Row],[Total (kg) N4]]</f>
        <v>#REF!</v>
      </c>
      <c r="AJ51" s="341" t="e">
        <f>#REF!-#REF!-TableauProduit[[#This Row],[Conditionnement N4]]</f>
        <v>#REF!</v>
      </c>
      <c r="AK51" s="343">
        <v>25</v>
      </c>
      <c r="AL51" s="343" t="e">
        <f>#REF!*#REF!/1000</f>
        <v>#REF!</v>
      </c>
      <c r="AM51" s="430" t="e">
        <f>#REF!*#REF!</f>
        <v>#REF!</v>
      </c>
      <c r="AN51" s="430" t="e">
        <f>#REF!*TableauProduit[[#This Row],[Total (kg) N5]]</f>
        <v>#REF!</v>
      </c>
      <c r="AO51" s="430" t="e">
        <f>TableauProduit[[#This Row],[Prix de vente/kg]]*TableauProduit[[#This Row],[Total (kg) N5]]</f>
        <v>#REF!</v>
      </c>
      <c r="AP51" s="343" t="e">
        <f>#REF!-#REF!-TableauProduit[[#This Row],[Conditionnement N5]]</f>
        <v>#REF!</v>
      </c>
      <c r="AQ51" s="345">
        <v>29</v>
      </c>
      <c r="AR51" s="345" t="e">
        <f>#REF!*#REF!/1000</f>
        <v>#REF!</v>
      </c>
      <c r="AS51" s="431" t="e">
        <f>#REF!*#REF!</f>
        <v>#REF!</v>
      </c>
      <c r="AT51" s="431" t="e">
        <f>#REF!*TableauProduit[[#This Row],[Total (kg) N6]]</f>
        <v>#REF!</v>
      </c>
      <c r="AU51" s="431" t="e">
        <f>TableauProduit[[#This Row],[Prix de vente/kg]]*TableauProduit[[#This Row],[Total (kg) N6]]</f>
        <v>#REF!</v>
      </c>
      <c r="AV51" s="345" t="e">
        <f>#REF!-#REF!-TableauProduit[[#This Row],[Conditionnement N6]]</f>
        <v>#REF!</v>
      </c>
      <c r="AW51" s="333">
        <v>30</v>
      </c>
      <c r="AX51" s="333" t="e">
        <f>#REF!*#REF!/1000</f>
        <v>#REF!</v>
      </c>
      <c r="AY51" s="425" t="e">
        <f>#REF!*#REF!</f>
        <v>#REF!</v>
      </c>
      <c r="AZ51" s="425" t="e">
        <f>#REF!*TableauProduit[[#This Row],[Total (kg) N7]]</f>
        <v>#REF!</v>
      </c>
      <c r="BA51" s="425" t="e">
        <f>TableauProduit[[#This Row],[Prix de vente/kg]]*TableauProduit[[#This Row],[Total (kg) N7]]</f>
        <v>#REF!</v>
      </c>
      <c r="BB51" s="432" t="e">
        <f>#REF!-#REF!-TableauProduit[[#This Row],[Conditionnement N7]]</f>
        <v>#REF!</v>
      </c>
      <c r="BC51" s="414">
        <v>30</v>
      </c>
      <c r="BD51" s="348" t="e">
        <f>#REF!*#REF!/1000</f>
        <v>#REF!</v>
      </c>
      <c r="BE51" s="433" t="e">
        <f>#REF!*#REF!</f>
        <v>#REF!</v>
      </c>
      <c r="BF51" s="433" t="e">
        <f>#REF!*TableauProduit[[#This Row],[Total (kg) N8]]</f>
        <v>#REF!</v>
      </c>
      <c r="BG51" s="433" t="e">
        <f>TableauProduit[[#This Row],[Prix de vente/kg]]*TableauProduit[[#This Row],[Total (kg) N8]]</f>
        <v>#REF!</v>
      </c>
      <c r="BH51" s="434" t="e">
        <f>#REF!-#REF!-TableauProduit[[#This Row],[Conditionnement N8]]</f>
        <v>#REF!</v>
      </c>
      <c r="BI51" s="401">
        <v>30</v>
      </c>
      <c r="BJ51" s="350" t="e">
        <f>#REF!*#REF!/1000</f>
        <v>#REF!</v>
      </c>
      <c r="BK51" s="435" t="e">
        <f>#REF!*#REF!</f>
        <v>#REF!</v>
      </c>
      <c r="BL51" s="435" t="e">
        <f>#REF!*TableauProduit[[#This Row],[Total (kg) N9]]</f>
        <v>#REF!</v>
      </c>
      <c r="BM51" s="435" t="e">
        <f>TableauProduit[[#This Row],[Prix de vente/kg]]*TableauProduit[[#This Row],[Total (kg) N9]]</f>
        <v>#REF!</v>
      </c>
      <c r="BN51" s="350" t="e">
        <f>#REF!-#REF!-TableauProduit[[#This Row],[Conditionnement N9]]</f>
        <v>#REF!</v>
      </c>
    </row>
    <row r="52" spans="1:66" x14ac:dyDescent="0.2">
      <c r="A52" s="13" t="s">
        <v>126</v>
      </c>
      <c r="B52" s="54" t="str">
        <f>TableauProduit[[#This Row],[Recette]]&amp;TableauProduit[[#This Row],[Conditionnement]]</f>
        <v>SrirachaPiment liquide 250ml</v>
      </c>
      <c r="C52" s="11">
        <v>1</v>
      </c>
      <c r="D52" s="11">
        <v>230</v>
      </c>
      <c r="E52" s="6" t="s">
        <v>107</v>
      </c>
      <c r="F52" s="7">
        <f>IFERROR(VLOOKUP(TableauProduit[[#This Row],[Conditionnement]],TableauConditionnement[[Nom]:[Contenance]],4,FALSE),"")</f>
        <v>1.68</v>
      </c>
      <c r="G52" s="463">
        <f>IFERROR(SUMIFS(TableauRecette[Prix d''achat / kg],TableauRecette[Recette],TableauProduit[[#This Row],[Recette]],TableauRecette[Conditionnement],TableauProduit[[#This Row],[Conditionnement]]),0)</f>
        <v>0</v>
      </c>
      <c r="H52" s="464">
        <v>5</v>
      </c>
      <c r="I52" s="465">
        <f>TableauProduit[[#This Row],[Prix de vente/U]]/TableauProduit[[#This Row],[Poids (g) / unite]]*1000</f>
        <v>21.739130434782609</v>
      </c>
      <c r="J52" s="466">
        <f>SUMIFS(TableauConcurence[PRIX_KG],TableauConcurence[PRODUIT],TableauProduit[[#This Row],[Recette]],TableauConcurence[DISTRIBUTION],"magasin NON BIO")</f>
        <v>0</v>
      </c>
      <c r="K52" s="467">
        <f>SUMIFS(TableauConcurence[PRIX_KG],TableauConcurence[PRODUIT],TableauProduit[[#This Row],[Recette]],TableauConcurence[DISTRIBUTION],"magasin BIO")</f>
        <v>0</v>
      </c>
      <c r="L52" s="468">
        <f>SUMIFS(TableauConcurence[PRIX_KG],TableauConcurence[PRODUIT],TableauProduit[[#This Row],[Recette]],TableauConcurence[DISTRIBUTION],"artisanale BIO")</f>
        <v>0</v>
      </c>
      <c r="M52" s="410">
        <v>0</v>
      </c>
      <c r="N52" s="333">
        <f>TableauProduit[[#This Row],[Objectif de vente en unite N1]]*TableauProduit[[#This Row],[Poids (g) / unite]]/1000</f>
        <v>0</v>
      </c>
      <c r="O52" s="425">
        <f>TableauProduit[[#This Row],[Packaging / unite]]*TableauProduit[[#This Row],[Objectif de vente en unite N1]]</f>
        <v>0</v>
      </c>
      <c r="P52" s="425">
        <f>SUMIF(TableauRecette[[#This Row],[Recette]],TableauProduit[[#This Row],[Recette]],TableauRecette[[#This Row],[Prix pour kg/ de melange]])</f>
        <v>0</v>
      </c>
      <c r="Q52" s="425">
        <f>TableauProduit[[#This Row],[Prix de vente/kg]]*TableauProduit[[#This Row],[Total (kg) N1]]</f>
        <v>0</v>
      </c>
      <c r="R52" s="428" t="e">
        <f>#REF!-#REF!-TableauProduit[[#This Row],[Conditionnement N1]]</f>
        <v>#REF!</v>
      </c>
      <c r="S52" s="336">
        <v>0</v>
      </c>
      <c r="T52" s="335" t="e">
        <f>#REF!*#REF!/1000</f>
        <v>#REF!</v>
      </c>
      <c r="U52" s="417" t="e">
        <f>#REF!*#REF!</f>
        <v>#REF!</v>
      </c>
      <c r="V52" s="417" t="e">
        <f>#REF!*TableauProduit[[#This Row],[Total (kg) N2]]</f>
        <v>#REF!</v>
      </c>
      <c r="W52" s="417" t="e">
        <f>TableauProduit[[#This Row],[Prix de vente/kg]]*TableauProduit[[#This Row],[Total (kg) N2]]</f>
        <v>#REF!</v>
      </c>
      <c r="X52" s="411" t="e">
        <f>#REF!-#REF!-TableauProduit[[#This Row],[Conditionnement N2]]</f>
        <v>#REF!</v>
      </c>
      <c r="Y52" s="412">
        <v>0</v>
      </c>
      <c r="Z52" s="339" t="e">
        <f>#REF!*#REF!/1000</f>
        <v>#REF!</v>
      </c>
      <c r="AA52" s="420" t="e">
        <f>#REF!*#REF!</f>
        <v>#REF!</v>
      </c>
      <c r="AB52" s="420" t="e">
        <f>#REF!*TableauProduit[[#This Row],[Total (kg) N3]]</f>
        <v>#REF!</v>
      </c>
      <c r="AC52" s="420" t="e">
        <f>TableauProduit[[#This Row],[Prix de vente/kg]]*TableauProduit[[#This Row],[Total (kg) N3]]</f>
        <v>#REF!</v>
      </c>
      <c r="AD52" s="429" t="e">
        <f>#REF!-#REF!-TableauProduit[[#This Row],[Conditionnement N3]]</f>
        <v>#REF!</v>
      </c>
      <c r="AE52" s="341">
        <v>50</v>
      </c>
      <c r="AF52" s="341" t="e">
        <f>#REF!*#REF!/1000</f>
        <v>#REF!</v>
      </c>
      <c r="AG52" s="423" t="e">
        <f>#REF!*#REF!</f>
        <v>#REF!</v>
      </c>
      <c r="AH52" s="423" t="e">
        <f>#REF!*TableauProduit[[#This Row],[Total (kg) N4]]</f>
        <v>#REF!</v>
      </c>
      <c r="AI52" s="423" t="e">
        <f>TableauProduit[[#This Row],[Prix de vente/kg]]*TableauProduit[[#This Row],[Total (kg) N4]]</f>
        <v>#REF!</v>
      </c>
      <c r="AJ52" s="341" t="e">
        <f>#REF!-#REF!-TableauProduit[[#This Row],[Conditionnement N4]]</f>
        <v>#REF!</v>
      </c>
      <c r="AK52" s="343">
        <v>57</v>
      </c>
      <c r="AL52" s="343" t="e">
        <f>#REF!*#REF!/1000</f>
        <v>#REF!</v>
      </c>
      <c r="AM52" s="430" t="e">
        <f>#REF!*#REF!</f>
        <v>#REF!</v>
      </c>
      <c r="AN52" s="430" t="e">
        <f>#REF!*TableauProduit[[#This Row],[Total (kg) N5]]</f>
        <v>#REF!</v>
      </c>
      <c r="AO52" s="430" t="e">
        <f>TableauProduit[[#This Row],[Prix de vente/kg]]*TableauProduit[[#This Row],[Total (kg) N5]]</f>
        <v>#REF!</v>
      </c>
      <c r="AP52" s="343" t="e">
        <f>#REF!-#REF!-TableauProduit[[#This Row],[Conditionnement N5]]</f>
        <v>#REF!</v>
      </c>
      <c r="AQ52" s="345">
        <v>62</v>
      </c>
      <c r="AR52" s="345" t="e">
        <f>#REF!*#REF!/1000</f>
        <v>#REF!</v>
      </c>
      <c r="AS52" s="431" t="e">
        <f>#REF!*#REF!</f>
        <v>#REF!</v>
      </c>
      <c r="AT52" s="431" t="e">
        <f>#REF!*TableauProduit[[#This Row],[Total (kg) N6]]</f>
        <v>#REF!</v>
      </c>
      <c r="AU52" s="431" t="e">
        <f>TableauProduit[[#This Row],[Prix de vente/kg]]*TableauProduit[[#This Row],[Total (kg) N6]]</f>
        <v>#REF!</v>
      </c>
      <c r="AV52" s="345" t="e">
        <f>#REF!-#REF!-TableauProduit[[#This Row],[Conditionnement N6]]</f>
        <v>#REF!</v>
      </c>
      <c r="AW52" s="333">
        <v>62</v>
      </c>
      <c r="AX52" s="333" t="e">
        <f>#REF!*#REF!/1000</f>
        <v>#REF!</v>
      </c>
      <c r="AY52" s="425" t="e">
        <f>#REF!*#REF!</f>
        <v>#REF!</v>
      </c>
      <c r="AZ52" s="425" t="e">
        <f>#REF!*TableauProduit[[#This Row],[Total (kg) N7]]</f>
        <v>#REF!</v>
      </c>
      <c r="BA52" s="425" t="e">
        <f>TableauProduit[[#This Row],[Prix de vente/kg]]*TableauProduit[[#This Row],[Total (kg) N7]]</f>
        <v>#REF!</v>
      </c>
      <c r="BB52" s="432" t="e">
        <f>#REF!-#REF!-TableauProduit[[#This Row],[Conditionnement N7]]</f>
        <v>#REF!</v>
      </c>
      <c r="BC52" s="414">
        <v>62</v>
      </c>
      <c r="BD52" s="348" t="e">
        <f>#REF!*#REF!/1000</f>
        <v>#REF!</v>
      </c>
      <c r="BE52" s="433" t="e">
        <f>#REF!*#REF!</f>
        <v>#REF!</v>
      </c>
      <c r="BF52" s="433" t="e">
        <f>#REF!*TableauProduit[[#This Row],[Total (kg) N8]]</f>
        <v>#REF!</v>
      </c>
      <c r="BG52" s="433" t="e">
        <f>TableauProduit[[#This Row],[Prix de vente/kg]]*TableauProduit[[#This Row],[Total (kg) N8]]</f>
        <v>#REF!</v>
      </c>
      <c r="BH52" s="434" t="e">
        <f>#REF!-#REF!-TableauProduit[[#This Row],[Conditionnement N8]]</f>
        <v>#REF!</v>
      </c>
      <c r="BI52" s="401">
        <v>62</v>
      </c>
      <c r="BJ52" s="350" t="e">
        <f>#REF!*#REF!/1000</f>
        <v>#REF!</v>
      </c>
      <c r="BK52" s="435" t="e">
        <f>#REF!*#REF!</f>
        <v>#REF!</v>
      </c>
      <c r="BL52" s="435" t="e">
        <f>#REF!*TableauProduit[[#This Row],[Total (kg) N9]]</f>
        <v>#REF!</v>
      </c>
      <c r="BM52" s="435" t="e">
        <f>TableauProduit[[#This Row],[Prix de vente/kg]]*TableauProduit[[#This Row],[Total (kg) N9]]</f>
        <v>#REF!</v>
      </c>
      <c r="BN52" s="350" t="e">
        <f>#REF!-#REF!-TableauProduit[[#This Row],[Conditionnement N9]]</f>
        <v>#REF!</v>
      </c>
    </row>
    <row r="53" spans="1:66" x14ac:dyDescent="0.2">
      <c r="A53" s="13" t="s">
        <v>127</v>
      </c>
      <c r="B53" s="54" t="str">
        <f>TableauProduit[[#This Row],[Recette]]&amp;TableauProduit[[#This Row],[Conditionnement]]</f>
        <v>Ras el hanoutEpice 100ml</v>
      </c>
      <c r="C53" s="11">
        <v>1</v>
      </c>
      <c r="D53" s="11">
        <v>50</v>
      </c>
      <c r="E53" s="6" t="s">
        <v>73</v>
      </c>
      <c r="F53" s="7">
        <f>IFERROR(VLOOKUP(TableauProduit[[#This Row],[Conditionnement]],TableauConditionnement[[Nom]:[Contenance]],4,FALSE),"")</f>
        <v>0.64</v>
      </c>
      <c r="G53" s="463">
        <f>IFERROR(SUMIFS(TableauRecette[Prix d''achat / kg],TableauRecette[Recette],TableauProduit[[#This Row],[Recette]],TableauRecette[Conditionnement],TableauProduit[[#This Row],[Conditionnement]]),0)</f>
        <v>0</v>
      </c>
      <c r="H53" s="464">
        <v>5</v>
      </c>
      <c r="I53" s="465">
        <f>TableauProduit[[#This Row],[Prix de vente/U]]/TableauProduit[[#This Row],[Poids (g) / unite]]*1000</f>
        <v>100</v>
      </c>
      <c r="J53" s="466">
        <f>SUMIFS(TableauConcurence[PRIX_KG],TableauConcurence[PRODUIT],TableauProduit[[#This Row],[Recette]],TableauConcurence[DISTRIBUTION],"magasin NON BIO")</f>
        <v>0</v>
      </c>
      <c r="K53" s="467">
        <f>SUMIFS(TableauConcurence[PRIX_KG],TableauConcurence[PRODUIT],TableauProduit[[#This Row],[Recette]],TableauConcurence[DISTRIBUTION],"magasin BIO")</f>
        <v>0</v>
      </c>
      <c r="L53" s="468">
        <f>SUMIFS(TableauConcurence[PRIX_KG],TableauConcurence[PRODUIT],TableauProduit[[#This Row],[Recette]],TableauConcurence[DISTRIBUTION],"artisanale BIO")</f>
        <v>0</v>
      </c>
      <c r="M53" s="410">
        <v>0</v>
      </c>
      <c r="N53" s="333">
        <f>TableauProduit[[#This Row],[Objectif de vente en unite N1]]*TableauProduit[[#This Row],[Poids (g) / unite]]/1000</f>
        <v>0</v>
      </c>
      <c r="O53" s="425">
        <f>TableauProduit[[#This Row],[Packaging / unite]]*TableauProduit[[#This Row],[Objectif de vente en unite N1]]</f>
        <v>0</v>
      </c>
      <c r="P53" s="425">
        <f>SUMIF(TableauRecette[[#This Row],[Recette]],TableauProduit[[#This Row],[Recette]],TableauRecette[[#This Row],[Prix pour kg/ de melange]])</f>
        <v>0</v>
      </c>
      <c r="Q53" s="425">
        <f>TableauProduit[[#This Row],[Prix de vente/kg]]*TableauProduit[[#This Row],[Total (kg) N1]]</f>
        <v>0</v>
      </c>
      <c r="R53" s="432" t="e">
        <f>#REF!-#REF!-TableauProduit[[#This Row],[Conditionnement N1]]</f>
        <v>#REF!</v>
      </c>
      <c r="S53" s="336">
        <v>0</v>
      </c>
      <c r="T53" s="335" t="e">
        <f>#REF!*#REF!/1000</f>
        <v>#REF!</v>
      </c>
      <c r="U53" s="417" t="e">
        <f>#REF!*#REF!</f>
        <v>#REF!</v>
      </c>
      <c r="V53" s="417" t="e">
        <f>#REF!*TableauProduit[[#This Row],[Total (kg) N2]]</f>
        <v>#REF!</v>
      </c>
      <c r="W53" s="417" t="e">
        <f>TableauProduit[[#This Row],[Prix de vente/kg]]*TableauProduit[[#This Row],[Total (kg) N2]]</f>
        <v>#REF!</v>
      </c>
      <c r="X53" s="411" t="e">
        <f>#REF!-#REF!-TableauProduit[[#This Row],[Conditionnement N2]]</f>
        <v>#REF!</v>
      </c>
      <c r="Y53" s="412">
        <v>70</v>
      </c>
      <c r="Z53" s="339" t="e">
        <f>#REF!*#REF!/1000</f>
        <v>#REF!</v>
      </c>
      <c r="AA53" s="420" t="e">
        <f>#REF!*#REF!</f>
        <v>#REF!</v>
      </c>
      <c r="AB53" s="420" t="e">
        <f>#REF!*TableauProduit[[#This Row],[Total (kg) N3]]</f>
        <v>#REF!</v>
      </c>
      <c r="AC53" s="420" t="e">
        <f>TableauProduit[[#This Row],[Prix de vente/kg]]*TableauProduit[[#This Row],[Total (kg) N3]]</f>
        <v>#REF!</v>
      </c>
      <c r="AD53" s="429" t="e">
        <f>#REF!-#REF!-TableauProduit[[#This Row],[Conditionnement N3]]</f>
        <v>#REF!</v>
      </c>
      <c r="AE53" s="341">
        <v>88</v>
      </c>
      <c r="AF53" s="341" t="e">
        <f>#REF!*#REF!/1000</f>
        <v>#REF!</v>
      </c>
      <c r="AG53" s="423" t="e">
        <f>#REF!*#REF!</f>
        <v>#REF!</v>
      </c>
      <c r="AH53" s="423" t="e">
        <f>#REF!*TableauProduit[[#This Row],[Total (kg) N4]]</f>
        <v>#REF!</v>
      </c>
      <c r="AI53" s="423" t="e">
        <f>TableauProduit[[#This Row],[Prix de vente/kg]]*TableauProduit[[#This Row],[Total (kg) N4]]</f>
        <v>#REF!</v>
      </c>
      <c r="AJ53" s="341" t="e">
        <f>#REF!-#REF!-TableauProduit[[#This Row],[Conditionnement N4]]</f>
        <v>#REF!</v>
      </c>
      <c r="AK53" s="343">
        <v>98</v>
      </c>
      <c r="AL53" s="343" t="e">
        <f>#REF!*#REF!/1000</f>
        <v>#REF!</v>
      </c>
      <c r="AM53" s="430" t="e">
        <f>#REF!*#REF!</f>
        <v>#REF!</v>
      </c>
      <c r="AN53" s="430" t="e">
        <f>#REF!*TableauProduit[[#This Row],[Total (kg) N5]]</f>
        <v>#REF!</v>
      </c>
      <c r="AO53" s="430" t="e">
        <f>TableauProduit[[#This Row],[Prix de vente/kg]]*TableauProduit[[#This Row],[Total (kg) N5]]</f>
        <v>#REF!</v>
      </c>
      <c r="AP53" s="343" t="e">
        <f>#REF!-#REF!-TableauProduit[[#This Row],[Conditionnement N5]]</f>
        <v>#REF!</v>
      </c>
      <c r="AQ53" s="345">
        <v>102</v>
      </c>
      <c r="AR53" s="345" t="e">
        <f>#REF!*#REF!/1000</f>
        <v>#REF!</v>
      </c>
      <c r="AS53" s="431" t="e">
        <f>#REF!*#REF!</f>
        <v>#REF!</v>
      </c>
      <c r="AT53" s="431" t="e">
        <f>#REF!*TableauProduit[[#This Row],[Total (kg) N6]]</f>
        <v>#REF!</v>
      </c>
      <c r="AU53" s="431" t="e">
        <f>TableauProduit[[#This Row],[Prix de vente/kg]]*TableauProduit[[#This Row],[Total (kg) N6]]</f>
        <v>#REF!</v>
      </c>
      <c r="AV53" s="345" t="e">
        <f>#REF!-#REF!-TableauProduit[[#This Row],[Conditionnement N6]]</f>
        <v>#REF!</v>
      </c>
      <c r="AW53" s="333">
        <v>102</v>
      </c>
      <c r="AX53" s="333" t="e">
        <f>#REF!*#REF!/1000</f>
        <v>#REF!</v>
      </c>
      <c r="AY53" s="425" t="e">
        <f>#REF!*#REF!</f>
        <v>#REF!</v>
      </c>
      <c r="AZ53" s="425" t="e">
        <f>#REF!*TableauProduit[[#This Row],[Total (kg) N7]]</f>
        <v>#REF!</v>
      </c>
      <c r="BA53" s="425" t="e">
        <f>TableauProduit[[#This Row],[Prix de vente/kg]]*TableauProduit[[#This Row],[Total (kg) N7]]</f>
        <v>#REF!</v>
      </c>
      <c r="BB53" s="432" t="e">
        <f>#REF!-#REF!-TableauProduit[[#This Row],[Conditionnement N7]]</f>
        <v>#REF!</v>
      </c>
      <c r="BC53" s="414">
        <v>102</v>
      </c>
      <c r="BD53" s="348" t="e">
        <f>#REF!*#REF!/1000</f>
        <v>#REF!</v>
      </c>
      <c r="BE53" s="433" t="e">
        <f>#REF!*#REF!</f>
        <v>#REF!</v>
      </c>
      <c r="BF53" s="433" t="e">
        <f>#REF!*TableauProduit[[#This Row],[Total (kg) N8]]</f>
        <v>#REF!</v>
      </c>
      <c r="BG53" s="433" t="e">
        <f>TableauProduit[[#This Row],[Prix de vente/kg]]*TableauProduit[[#This Row],[Total (kg) N8]]</f>
        <v>#REF!</v>
      </c>
      <c r="BH53" s="434" t="e">
        <f>#REF!-#REF!-TableauProduit[[#This Row],[Conditionnement N8]]</f>
        <v>#REF!</v>
      </c>
      <c r="BI53" s="401">
        <v>102</v>
      </c>
      <c r="BJ53" s="350" t="e">
        <f>#REF!*#REF!/1000</f>
        <v>#REF!</v>
      </c>
      <c r="BK53" s="435" t="e">
        <f>#REF!*#REF!</f>
        <v>#REF!</v>
      </c>
      <c r="BL53" s="435" t="e">
        <f>#REF!*TableauProduit[[#This Row],[Total (kg) N9]]</f>
        <v>#REF!</v>
      </c>
      <c r="BM53" s="435" t="e">
        <f>TableauProduit[[#This Row],[Prix de vente/kg]]*TableauProduit[[#This Row],[Total (kg) N9]]</f>
        <v>#REF!</v>
      </c>
      <c r="BN53" s="350" t="e">
        <f>#REF!-#REF!-TableauProduit[[#This Row],[Conditionnement N9]]</f>
        <v>#REF!</v>
      </c>
    </row>
    <row r="54" spans="1:66" x14ac:dyDescent="0.2">
      <c r="A54" s="13" t="s">
        <v>128</v>
      </c>
      <c r="B54" s="54" t="str">
        <f>TableauProduit[[#This Row],[Recette]]&amp;TableauProduit[[#This Row],[Conditionnement]]</f>
        <v>Jamaican JerkEpice 100ml</v>
      </c>
      <c r="C54" s="11">
        <v>1</v>
      </c>
      <c r="D54" s="11">
        <v>50</v>
      </c>
      <c r="E54" s="6" t="s">
        <v>73</v>
      </c>
      <c r="F54" s="7">
        <f>IFERROR(VLOOKUP(TableauProduit[[#This Row],[Conditionnement]],TableauConditionnement[[Nom]:[Contenance]],4,FALSE),"")</f>
        <v>0.64</v>
      </c>
      <c r="G54" s="463">
        <f>IFERROR(SUMIFS(TableauRecette[Prix d''achat / kg],TableauRecette[Recette],TableauProduit[[#This Row],[Recette]],TableauRecette[Conditionnement],TableauProduit[[#This Row],[Conditionnement]]),0)</f>
        <v>0</v>
      </c>
      <c r="H54" s="464">
        <v>5</v>
      </c>
      <c r="I54" s="465">
        <f>TableauProduit[[#This Row],[Prix de vente/U]]/TableauProduit[[#This Row],[Poids (g) / unite]]*1000</f>
        <v>100</v>
      </c>
      <c r="J54" s="466">
        <f>SUMIFS(TableauConcurence[PRIX_KG],TableauConcurence[PRODUIT],TableauProduit[[#This Row],[Recette]],TableauConcurence[DISTRIBUTION],"magasin NON BIO")</f>
        <v>0</v>
      </c>
      <c r="K54" s="467">
        <f>SUMIFS(TableauConcurence[PRIX_KG],TableauConcurence[PRODUIT],TableauProduit[[#This Row],[Recette]],TableauConcurence[DISTRIBUTION],"magasin BIO")</f>
        <v>0</v>
      </c>
      <c r="L54" s="468">
        <f>SUMIFS(TableauConcurence[PRIX_KG],TableauConcurence[PRODUIT],TableauProduit[[#This Row],[Recette]],TableauConcurence[DISTRIBUTION],"artisanale BIO")</f>
        <v>0</v>
      </c>
      <c r="M54" s="410">
        <v>0</v>
      </c>
      <c r="N54" s="333">
        <f>TableauProduit[[#This Row],[Objectif de vente en unite N1]]*TableauProduit[[#This Row],[Poids (g) / unite]]/1000</f>
        <v>0</v>
      </c>
      <c r="O54" s="425">
        <f>TableauProduit[[#This Row],[Packaging / unite]]*TableauProduit[[#This Row],[Objectif de vente en unite N1]]</f>
        <v>0</v>
      </c>
      <c r="P54" s="425">
        <f>SUMIF(TableauRecette[[#This Row],[Recette]],TableauProduit[[#This Row],[Recette]],TableauRecette[[#This Row],[Prix pour kg/ de melange]])</f>
        <v>0</v>
      </c>
      <c r="Q54" s="425">
        <f>TableauProduit[[#This Row],[Prix de vente/kg]]*TableauProduit[[#This Row],[Total (kg) N1]]</f>
        <v>0</v>
      </c>
      <c r="R54" s="432" t="e">
        <f>#REF!-#REF!-TableauProduit[[#This Row],[Conditionnement N1]]</f>
        <v>#REF!</v>
      </c>
      <c r="S54" s="336">
        <v>0</v>
      </c>
      <c r="T54" s="335" t="e">
        <f>#REF!*#REF!/1000</f>
        <v>#REF!</v>
      </c>
      <c r="U54" s="417" t="e">
        <f>#REF!*#REF!</f>
        <v>#REF!</v>
      </c>
      <c r="V54" s="417" t="e">
        <f>#REF!*TableauProduit[[#This Row],[Total (kg) N2]]</f>
        <v>#REF!</v>
      </c>
      <c r="W54" s="417" t="e">
        <f>TableauProduit[[#This Row],[Prix de vente/kg]]*TableauProduit[[#This Row],[Total (kg) N2]]</f>
        <v>#REF!</v>
      </c>
      <c r="X54" s="411" t="e">
        <f>#REF!-#REF!-TableauProduit[[#This Row],[Conditionnement N2]]</f>
        <v>#REF!</v>
      </c>
      <c r="Y54" s="412">
        <v>0</v>
      </c>
      <c r="Z54" s="339" t="e">
        <f>#REF!*#REF!/1000</f>
        <v>#REF!</v>
      </c>
      <c r="AA54" s="420" t="e">
        <f>#REF!*#REF!</f>
        <v>#REF!</v>
      </c>
      <c r="AB54" s="420" t="e">
        <f>#REF!*TableauProduit[[#This Row],[Total (kg) N3]]</f>
        <v>#REF!</v>
      </c>
      <c r="AC54" s="420" t="e">
        <f>TableauProduit[[#This Row],[Prix de vente/kg]]*TableauProduit[[#This Row],[Total (kg) N3]]</f>
        <v>#REF!</v>
      </c>
      <c r="AD54" s="429" t="e">
        <f>#REF!-#REF!-TableauProduit[[#This Row],[Conditionnement N3]]</f>
        <v>#REF!</v>
      </c>
      <c r="AE54" s="341">
        <v>50</v>
      </c>
      <c r="AF54" s="341" t="e">
        <f>#REF!*#REF!/1000</f>
        <v>#REF!</v>
      </c>
      <c r="AG54" s="423" t="e">
        <f>#REF!*#REF!</f>
        <v>#REF!</v>
      </c>
      <c r="AH54" s="423" t="e">
        <f>#REF!*TableauProduit[[#This Row],[Total (kg) N4]]</f>
        <v>#REF!</v>
      </c>
      <c r="AI54" s="423" t="e">
        <f>TableauProduit[[#This Row],[Prix de vente/kg]]*TableauProduit[[#This Row],[Total (kg) N4]]</f>
        <v>#REF!</v>
      </c>
      <c r="AJ54" s="341" t="e">
        <f>#REF!-#REF!-TableauProduit[[#This Row],[Conditionnement N4]]</f>
        <v>#REF!</v>
      </c>
      <c r="AK54" s="343">
        <v>60</v>
      </c>
      <c r="AL54" s="343" t="e">
        <f>#REF!*#REF!/1000</f>
        <v>#REF!</v>
      </c>
      <c r="AM54" s="430" t="e">
        <f>#REF!*#REF!</f>
        <v>#REF!</v>
      </c>
      <c r="AN54" s="430" t="e">
        <f>#REF!*TableauProduit[[#This Row],[Total (kg) N5]]</f>
        <v>#REF!</v>
      </c>
      <c r="AO54" s="430" t="e">
        <f>TableauProduit[[#This Row],[Prix de vente/kg]]*TableauProduit[[#This Row],[Total (kg) N5]]</f>
        <v>#REF!</v>
      </c>
      <c r="AP54" s="343" t="e">
        <f>#REF!-#REF!-TableauProduit[[#This Row],[Conditionnement N5]]</f>
        <v>#REF!</v>
      </c>
      <c r="AQ54" s="345">
        <v>65</v>
      </c>
      <c r="AR54" s="345" t="e">
        <f>#REF!*#REF!/1000</f>
        <v>#REF!</v>
      </c>
      <c r="AS54" s="431" t="e">
        <f>#REF!*#REF!</f>
        <v>#REF!</v>
      </c>
      <c r="AT54" s="431" t="e">
        <f>#REF!*TableauProduit[[#This Row],[Total (kg) N6]]</f>
        <v>#REF!</v>
      </c>
      <c r="AU54" s="431" t="e">
        <f>TableauProduit[[#This Row],[Prix de vente/kg]]*TableauProduit[[#This Row],[Total (kg) N6]]</f>
        <v>#REF!</v>
      </c>
      <c r="AV54" s="345" t="e">
        <f>#REF!-#REF!-TableauProduit[[#This Row],[Conditionnement N6]]</f>
        <v>#REF!</v>
      </c>
      <c r="AW54" s="333">
        <v>68</v>
      </c>
      <c r="AX54" s="333" t="e">
        <f>#REF!*#REF!/1000</f>
        <v>#REF!</v>
      </c>
      <c r="AY54" s="425" t="e">
        <f>#REF!*#REF!</f>
        <v>#REF!</v>
      </c>
      <c r="AZ54" s="425" t="e">
        <f>#REF!*TableauProduit[[#This Row],[Total (kg) N7]]</f>
        <v>#REF!</v>
      </c>
      <c r="BA54" s="425" t="e">
        <f>TableauProduit[[#This Row],[Prix de vente/kg]]*TableauProduit[[#This Row],[Total (kg) N7]]</f>
        <v>#REF!</v>
      </c>
      <c r="BB54" s="432" t="e">
        <f>#REF!-#REF!-TableauProduit[[#This Row],[Conditionnement N7]]</f>
        <v>#REF!</v>
      </c>
      <c r="BC54" s="414">
        <v>68</v>
      </c>
      <c r="BD54" s="348" t="e">
        <f>#REF!*#REF!/1000</f>
        <v>#REF!</v>
      </c>
      <c r="BE54" s="433" t="e">
        <f>#REF!*#REF!</f>
        <v>#REF!</v>
      </c>
      <c r="BF54" s="433" t="e">
        <f>#REF!*TableauProduit[[#This Row],[Total (kg) N8]]</f>
        <v>#REF!</v>
      </c>
      <c r="BG54" s="433" t="e">
        <f>TableauProduit[[#This Row],[Prix de vente/kg]]*TableauProduit[[#This Row],[Total (kg) N8]]</f>
        <v>#REF!</v>
      </c>
      <c r="BH54" s="434" t="e">
        <f>#REF!-#REF!-TableauProduit[[#This Row],[Conditionnement N8]]</f>
        <v>#REF!</v>
      </c>
      <c r="BI54" s="401">
        <v>68</v>
      </c>
      <c r="BJ54" s="350" t="e">
        <f>#REF!*#REF!/1000</f>
        <v>#REF!</v>
      </c>
      <c r="BK54" s="435" t="e">
        <f>#REF!*#REF!</f>
        <v>#REF!</v>
      </c>
      <c r="BL54" s="435" t="e">
        <f>#REF!*TableauProduit[[#This Row],[Total (kg) N9]]</f>
        <v>#REF!</v>
      </c>
      <c r="BM54" s="435" t="e">
        <f>TableauProduit[[#This Row],[Prix de vente/kg]]*TableauProduit[[#This Row],[Total (kg) N9]]</f>
        <v>#REF!</v>
      </c>
      <c r="BN54" s="350" t="e">
        <f>#REF!-#REF!-TableauProduit[[#This Row],[Conditionnement N9]]</f>
        <v>#REF!</v>
      </c>
    </row>
    <row r="55" spans="1:66" x14ac:dyDescent="0.2">
      <c r="A55" s="402" t="s">
        <v>129</v>
      </c>
      <c r="B55" s="54" t="str">
        <f>TableauProduit[[#This Row],[Recette]]&amp;TableauProduit[[#This Row],[Conditionnement]]</f>
        <v>Durban masalaEpice 100ml</v>
      </c>
      <c r="C55" s="11">
        <v>1</v>
      </c>
      <c r="D55" s="11">
        <v>50</v>
      </c>
      <c r="E55" s="6" t="s">
        <v>73</v>
      </c>
      <c r="F55" s="7">
        <f>IFERROR(VLOOKUP(TableauProduit[[#This Row],[Conditionnement]],TableauConditionnement[[Nom]:[Contenance]],4,FALSE),"")</f>
        <v>0.64</v>
      </c>
      <c r="G55" s="463">
        <f>IFERROR(SUMIFS(TableauRecette[Prix d''achat / kg],TableauRecette[Recette],TableauProduit[[#This Row],[Recette]],TableauRecette[Conditionnement],TableauProduit[[#This Row],[Conditionnement]]),0)</f>
        <v>0</v>
      </c>
      <c r="H55" s="469">
        <v>4</v>
      </c>
      <c r="I55" s="465">
        <f>TableauProduit[[#This Row],[Prix de vente/U]]/TableauProduit[[#This Row],[Poids (g) / unite]]*1000</f>
        <v>80</v>
      </c>
      <c r="J55" s="466">
        <f>SUMIFS(TableauConcurence[PRIX_KG],TableauConcurence[PRODUIT],TableauProduit[[#This Row],[Recette]],TableauConcurence[DISTRIBUTION],"magasin NON BIO")</f>
        <v>0</v>
      </c>
      <c r="K55" s="467">
        <f>SUMIFS(TableauConcurence[PRIX_KG],TableauConcurence[PRODUIT],TableauProduit[[#This Row],[Recette]],TableauConcurence[DISTRIBUTION],"magasin BIO")</f>
        <v>0</v>
      </c>
      <c r="L55" s="468">
        <f>SUMIFS(TableauConcurence[PRIX_KG],TableauConcurence[PRODUIT],TableauProduit[[#This Row],[Recette]],TableauConcurence[DISTRIBUTION],"artisanale BIO")</f>
        <v>0</v>
      </c>
      <c r="M55" s="410">
        <v>0</v>
      </c>
      <c r="N55" s="333">
        <f>TableauProduit[[#This Row],[Objectif de vente en unite N1]]*TableauProduit[[#This Row],[Poids (g) / unite]]/1000</f>
        <v>0</v>
      </c>
      <c r="O55" s="425">
        <f>TableauProduit[[#This Row],[Packaging / unite]]*TableauProduit[[#This Row],[Objectif de vente en unite N1]]</f>
        <v>0</v>
      </c>
      <c r="P55" s="425">
        <f>SUMIF(TableauRecette[[#This Row],[Recette]],TableauProduit[[#This Row],[Recette]],TableauRecette[[#This Row],[Prix pour kg/ de melange]])</f>
        <v>0</v>
      </c>
      <c r="Q55" s="425">
        <f>TableauProduit[[#This Row],[Prix de vente/kg]]*TableauProduit[[#This Row],[Total (kg) N1]]</f>
        <v>0</v>
      </c>
      <c r="R55" s="432" t="e">
        <f>#REF!-#REF!-TableauProduit[[#This Row],[Conditionnement N1]]</f>
        <v>#REF!</v>
      </c>
      <c r="S55" s="411">
        <v>0</v>
      </c>
      <c r="T55" s="394" t="e">
        <f>#REF!*#REF!/1000</f>
        <v>#REF!</v>
      </c>
      <c r="U55" s="418" t="e">
        <f>#REF!*#REF!</f>
        <v>#REF!</v>
      </c>
      <c r="V55" s="417" t="e">
        <f>#REF!*TableauProduit[[#This Row],[Total (kg) N2]]</f>
        <v>#REF!</v>
      </c>
      <c r="W55" s="419" t="e">
        <f>TableauProduit[[#This Row],[Prix de vente/kg]]*TableauProduit[[#This Row],[Total (kg) N2]]</f>
        <v>#REF!</v>
      </c>
      <c r="X55" s="454" t="e">
        <f>#REF!-#REF!-TableauProduit[[#This Row],[Conditionnement N2]]</f>
        <v>#REF!</v>
      </c>
      <c r="Y55" s="413">
        <v>0</v>
      </c>
      <c r="Z55" s="395" t="e">
        <f>#REF!*#REF!/1000</f>
        <v>#REF!</v>
      </c>
      <c r="AA55" s="421" t="e">
        <f>#REF!*#REF!</f>
        <v>#REF!</v>
      </c>
      <c r="AB55" s="420" t="e">
        <f>#REF!*TableauProduit[[#This Row],[Total (kg) N3]]</f>
        <v>#REF!</v>
      </c>
      <c r="AC55" s="422" t="e">
        <f>TableauProduit[[#This Row],[Prix de vente/kg]]*TableauProduit[[#This Row],[Total (kg) N3]]</f>
        <v>#REF!</v>
      </c>
      <c r="AD55" s="455" t="e">
        <f>#REF!-#REF!-TableauProduit[[#This Row],[Conditionnement N3]]</f>
        <v>#REF!</v>
      </c>
      <c r="AE55" s="456">
        <v>50</v>
      </c>
      <c r="AF55" s="396" t="e">
        <f>#REF!*#REF!/1000</f>
        <v>#REF!</v>
      </c>
      <c r="AG55" s="424" t="e">
        <f>#REF!*#REF!</f>
        <v>#REF!</v>
      </c>
      <c r="AH55" s="423" t="e">
        <f>#REF!*TableauProduit[[#This Row],[Total (kg) N4]]</f>
        <v>#REF!</v>
      </c>
      <c r="AI55" s="436" t="e">
        <f>TableauProduit[[#This Row],[Prix de vente/kg]]*TableauProduit[[#This Row],[Total (kg) N4]]</f>
        <v>#REF!</v>
      </c>
      <c r="AJ55" s="437" t="e">
        <f>#REF!-#REF!-TableauProduit[[#This Row],[Conditionnement N4]]</f>
        <v>#REF!</v>
      </c>
      <c r="AK55" s="457">
        <v>60</v>
      </c>
      <c r="AL55" s="397" t="e">
        <f>#REF!*#REF!/1000</f>
        <v>#REF!</v>
      </c>
      <c r="AM55" s="438" t="e">
        <f>#REF!*#REF!</f>
        <v>#REF!</v>
      </c>
      <c r="AN55" s="430" t="e">
        <f>#REF!*TableauProduit[[#This Row],[Total (kg) N5]]</f>
        <v>#REF!</v>
      </c>
      <c r="AO55" s="439" t="e">
        <f>TableauProduit[[#This Row],[Prix de vente/kg]]*TableauProduit[[#This Row],[Total (kg) N5]]</f>
        <v>#REF!</v>
      </c>
      <c r="AP55" s="440" t="e">
        <f>#REF!-#REF!-TableauProduit[[#This Row],[Conditionnement N5]]</f>
        <v>#REF!</v>
      </c>
      <c r="AQ55" s="458">
        <v>65</v>
      </c>
      <c r="AR55" s="398" t="e">
        <f>#REF!*#REF!/1000</f>
        <v>#REF!</v>
      </c>
      <c r="AS55" s="441" t="e">
        <f>#REF!*#REF!</f>
        <v>#REF!</v>
      </c>
      <c r="AT55" s="431" t="e">
        <f>#REF!*TableauProduit[[#This Row],[Total (kg) N6]]</f>
        <v>#REF!</v>
      </c>
      <c r="AU55" s="442" t="e">
        <f>TableauProduit[[#This Row],[Prix de vente/kg]]*TableauProduit[[#This Row],[Total (kg) N6]]</f>
        <v>#REF!</v>
      </c>
      <c r="AV55" s="443" t="e">
        <f>#REF!-#REF!-TableauProduit[[#This Row],[Conditionnement N6]]</f>
        <v>#REF!</v>
      </c>
      <c r="AW55" s="453">
        <v>68</v>
      </c>
      <c r="AX55" s="399" t="e">
        <f>#REF!*#REF!/1000</f>
        <v>#REF!</v>
      </c>
      <c r="AY55" s="426" t="e">
        <f>#REF!*#REF!</f>
        <v>#REF!</v>
      </c>
      <c r="AZ55" s="425" t="e">
        <f>#REF!*TableauProduit[[#This Row],[Total (kg) N7]]</f>
        <v>#REF!</v>
      </c>
      <c r="BA55" s="427" t="e">
        <f>TableauProduit[[#This Row],[Prix de vente/kg]]*TableauProduit[[#This Row],[Total (kg) N7]]</f>
        <v>#REF!</v>
      </c>
      <c r="BB55" s="432" t="e">
        <f>#REF!-#REF!-TableauProduit[[#This Row],[Conditionnement N7]]</f>
        <v>#REF!</v>
      </c>
      <c r="BC55" s="415">
        <v>68</v>
      </c>
      <c r="BD55" s="400" t="e">
        <f>#REF!*#REF!/1000</f>
        <v>#REF!</v>
      </c>
      <c r="BE55" s="444" t="e">
        <f>#REF!*#REF!</f>
        <v>#REF!</v>
      </c>
      <c r="BF55" s="433" t="e">
        <f>#REF!*TableauProduit[[#This Row],[Total (kg) N8]]</f>
        <v>#REF!</v>
      </c>
      <c r="BG55" s="445" t="e">
        <f>TableauProduit[[#This Row],[Prix de vente/kg]]*TableauProduit[[#This Row],[Total (kg) N8]]</f>
        <v>#REF!</v>
      </c>
      <c r="BH55" s="446" t="e">
        <f>#REF!-#REF!-TableauProduit[[#This Row],[Conditionnement N8]]</f>
        <v>#REF!</v>
      </c>
      <c r="BI55" s="460">
        <v>68</v>
      </c>
      <c r="BJ55" s="401" t="e">
        <f>#REF!*#REF!/1000</f>
        <v>#REF!</v>
      </c>
      <c r="BK55" s="447" t="e">
        <f>#REF!*#REF!</f>
        <v>#REF!</v>
      </c>
      <c r="BL55" s="435" t="e">
        <f>#REF!*TableauProduit[[#This Row],[Total (kg) N9]]</f>
        <v>#REF!</v>
      </c>
      <c r="BM55" s="448" t="e">
        <f>TableauProduit[[#This Row],[Prix de vente/kg]]*TableauProduit[[#This Row],[Total (kg) N9]]</f>
        <v>#REF!</v>
      </c>
      <c r="BN55" s="350" t="e">
        <f>#REF!-#REF!-TableauProduit[[#This Row],[Conditionnement N9]]</f>
        <v>#REF!</v>
      </c>
    </row>
    <row r="56" spans="1:66" x14ac:dyDescent="0.2">
      <c r="A56" s="402" t="s">
        <v>130</v>
      </c>
      <c r="B56" s="54" t="str">
        <f>TableauProduit[[#This Row],[Recette]]&amp;TableauProduit[[#This Row],[Conditionnement]]</f>
        <v>Curry japonaisEpice 100ml</v>
      </c>
      <c r="C56" s="11">
        <v>1</v>
      </c>
      <c r="D56" s="11">
        <v>40</v>
      </c>
      <c r="E56" s="6" t="s">
        <v>73</v>
      </c>
      <c r="F56" s="7">
        <f>IFERROR(VLOOKUP(TableauProduit[[#This Row],[Conditionnement]],TableauConditionnement[[Nom]:[Contenance]],4,FALSE),"")</f>
        <v>0.64</v>
      </c>
      <c r="G56" s="463">
        <f>IFERROR(SUMIFS(TableauRecette[Prix d''achat / kg],TableauRecette[Recette],TableauProduit[[#This Row],[Recette]],TableauRecette[Conditionnement],TableauProduit[[#This Row],[Conditionnement]]),0)</f>
        <v>0</v>
      </c>
      <c r="H56" s="469">
        <v>4</v>
      </c>
      <c r="I56" s="465">
        <f>TableauProduit[[#This Row],[Prix de vente/U]]/TableauProduit[[#This Row],[Poids (g) / unite]]*1000</f>
        <v>100</v>
      </c>
      <c r="J56" s="466">
        <f>SUMIFS(TableauConcurence[PRIX_KG],TableauConcurence[PRODUIT],TableauProduit[[#This Row],[Recette]],TableauConcurence[DISTRIBUTION],"magasin NON BIO")</f>
        <v>0</v>
      </c>
      <c r="K56" s="467">
        <f>SUMIFS(TableauConcurence[PRIX_KG],TableauConcurence[PRODUIT],TableauProduit[[#This Row],[Recette]],TableauConcurence[DISTRIBUTION],"magasin BIO")</f>
        <v>0</v>
      </c>
      <c r="L56" s="468">
        <f>SUMIFS(TableauConcurence[PRIX_KG],TableauConcurence[PRODUIT],TableauProduit[[#This Row],[Recette]],TableauConcurence[DISTRIBUTION],"artisanale BIO")</f>
        <v>0</v>
      </c>
      <c r="M56" s="410">
        <v>0</v>
      </c>
      <c r="N56" s="333">
        <f>TableauProduit[[#This Row],[Objectif de vente en unite N1]]*TableauProduit[[#This Row],[Poids (g) / unite]]/1000</f>
        <v>0</v>
      </c>
      <c r="O56" s="425">
        <f>TableauProduit[[#This Row],[Packaging / unite]]*TableauProduit[[#This Row],[Objectif de vente en unite N1]]</f>
        <v>0</v>
      </c>
      <c r="P56" s="425">
        <f>SUMIF(TableauRecette[[#This Row],[Recette]],TableauProduit[[#This Row],[Recette]],TableauRecette[[#This Row],[Prix pour kg/ de melange]])</f>
        <v>0</v>
      </c>
      <c r="Q56" s="425">
        <f>TableauProduit[[#This Row],[Prix de vente/kg]]*TableauProduit[[#This Row],[Total (kg) N1]]</f>
        <v>0</v>
      </c>
      <c r="R56" s="432" t="e">
        <f>#REF!-#REF!-TableauProduit[[#This Row],[Conditionnement N1]]</f>
        <v>#REF!</v>
      </c>
      <c r="S56" s="411">
        <v>0</v>
      </c>
      <c r="T56" s="394" t="e">
        <f>#REF!*#REF!/1000</f>
        <v>#REF!</v>
      </c>
      <c r="U56" s="418" t="e">
        <f>#REF!*#REF!</f>
        <v>#REF!</v>
      </c>
      <c r="V56" s="417" t="e">
        <f>#REF!*TableauProduit[[#This Row],[Total (kg) N2]]</f>
        <v>#REF!</v>
      </c>
      <c r="W56" s="419" t="e">
        <f>TableauProduit[[#This Row],[Prix de vente/kg]]*TableauProduit[[#This Row],[Total (kg) N2]]</f>
        <v>#REF!</v>
      </c>
      <c r="X56" s="454" t="e">
        <f>#REF!-#REF!-TableauProduit[[#This Row],[Conditionnement N2]]</f>
        <v>#REF!</v>
      </c>
      <c r="Y56" s="413">
        <v>0</v>
      </c>
      <c r="Z56" s="395" t="e">
        <f>#REF!*#REF!/1000</f>
        <v>#REF!</v>
      </c>
      <c r="AA56" s="421" t="e">
        <f>#REF!*#REF!</f>
        <v>#REF!</v>
      </c>
      <c r="AB56" s="420" t="e">
        <f>#REF!*TableauProduit[[#This Row],[Total (kg) N3]]</f>
        <v>#REF!</v>
      </c>
      <c r="AC56" s="422" t="e">
        <f>TableauProduit[[#This Row],[Prix de vente/kg]]*TableauProduit[[#This Row],[Total (kg) N3]]</f>
        <v>#REF!</v>
      </c>
      <c r="AD56" s="455" t="e">
        <f>#REF!-#REF!-TableauProduit[[#This Row],[Conditionnement N3]]</f>
        <v>#REF!</v>
      </c>
      <c r="AE56" s="456">
        <v>50</v>
      </c>
      <c r="AF56" s="396" t="e">
        <f>#REF!*#REF!/1000</f>
        <v>#REF!</v>
      </c>
      <c r="AG56" s="424" t="e">
        <f>#REF!*#REF!</f>
        <v>#REF!</v>
      </c>
      <c r="AH56" s="423" t="e">
        <f>#REF!*TableauProduit[[#This Row],[Total (kg) N4]]</f>
        <v>#REF!</v>
      </c>
      <c r="AI56" s="436" t="e">
        <f>TableauProduit[[#This Row],[Prix de vente/kg]]*TableauProduit[[#This Row],[Total (kg) N4]]</f>
        <v>#REF!</v>
      </c>
      <c r="AJ56" s="437" t="e">
        <f>#REF!-#REF!-TableauProduit[[#This Row],[Conditionnement N4]]</f>
        <v>#REF!</v>
      </c>
      <c r="AK56" s="457">
        <v>60</v>
      </c>
      <c r="AL56" s="397" t="e">
        <f>#REF!*#REF!/1000</f>
        <v>#REF!</v>
      </c>
      <c r="AM56" s="438" t="e">
        <f>#REF!*#REF!</f>
        <v>#REF!</v>
      </c>
      <c r="AN56" s="430" t="e">
        <f>#REF!*TableauProduit[[#This Row],[Total (kg) N5]]</f>
        <v>#REF!</v>
      </c>
      <c r="AO56" s="439" t="e">
        <f>TableauProduit[[#This Row],[Prix de vente/kg]]*TableauProduit[[#This Row],[Total (kg) N5]]</f>
        <v>#REF!</v>
      </c>
      <c r="AP56" s="440" t="e">
        <f>#REF!-#REF!-TableauProduit[[#This Row],[Conditionnement N5]]</f>
        <v>#REF!</v>
      </c>
      <c r="AQ56" s="458">
        <v>65</v>
      </c>
      <c r="AR56" s="398" t="e">
        <f>#REF!*#REF!/1000</f>
        <v>#REF!</v>
      </c>
      <c r="AS56" s="441" t="e">
        <f>#REF!*#REF!</f>
        <v>#REF!</v>
      </c>
      <c r="AT56" s="431" t="e">
        <f>#REF!*TableauProduit[[#This Row],[Total (kg) N6]]</f>
        <v>#REF!</v>
      </c>
      <c r="AU56" s="442" t="e">
        <f>TableauProduit[[#This Row],[Prix de vente/kg]]*TableauProduit[[#This Row],[Total (kg) N6]]</f>
        <v>#REF!</v>
      </c>
      <c r="AV56" s="443" t="e">
        <f>#REF!-#REF!-TableauProduit[[#This Row],[Conditionnement N6]]</f>
        <v>#REF!</v>
      </c>
      <c r="AW56" s="453">
        <v>68</v>
      </c>
      <c r="AX56" s="399" t="e">
        <f>#REF!*#REF!/1000</f>
        <v>#REF!</v>
      </c>
      <c r="AY56" s="426" t="e">
        <f>#REF!*#REF!</f>
        <v>#REF!</v>
      </c>
      <c r="AZ56" s="425" t="e">
        <f>#REF!*TableauProduit[[#This Row],[Total (kg) N7]]</f>
        <v>#REF!</v>
      </c>
      <c r="BA56" s="427" t="e">
        <f>TableauProduit[[#This Row],[Prix de vente/kg]]*TableauProduit[[#This Row],[Total (kg) N7]]</f>
        <v>#REF!</v>
      </c>
      <c r="BB56" s="432" t="e">
        <f>#REF!-#REF!-TableauProduit[[#This Row],[Conditionnement N7]]</f>
        <v>#REF!</v>
      </c>
      <c r="BC56" s="415">
        <v>68</v>
      </c>
      <c r="BD56" s="400" t="e">
        <f>#REF!*#REF!/1000</f>
        <v>#REF!</v>
      </c>
      <c r="BE56" s="444" t="e">
        <f>#REF!*#REF!</f>
        <v>#REF!</v>
      </c>
      <c r="BF56" s="433" t="e">
        <f>#REF!*TableauProduit[[#This Row],[Total (kg) N8]]</f>
        <v>#REF!</v>
      </c>
      <c r="BG56" s="445" t="e">
        <f>TableauProduit[[#This Row],[Prix de vente/kg]]*TableauProduit[[#This Row],[Total (kg) N8]]</f>
        <v>#REF!</v>
      </c>
      <c r="BH56" s="446" t="e">
        <f>#REF!-#REF!-TableauProduit[[#This Row],[Conditionnement N8]]</f>
        <v>#REF!</v>
      </c>
      <c r="BI56" s="460">
        <v>68</v>
      </c>
      <c r="BJ56" s="401" t="e">
        <f>#REF!*#REF!/1000</f>
        <v>#REF!</v>
      </c>
      <c r="BK56" s="447" t="e">
        <f>#REF!*#REF!</f>
        <v>#REF!</v>
      </c>
      <c r="BL56" s="435" t="e">
        <f>#REF!*TableauProduit[[#This Row],[Total (kg) N9]]</f>
        <v>#REF!</v>
      </c>
      <c r="BM56" s="448" t="e">
        <f>TableauProduit[[#This Row],[Prix de vente/kg]]*TableauProduit[[#This Row],[Total (kg) N9]]</f>
        <v>#REF!</v>
      </c>
      <c r="BN56" s="350" t="e">
        <f>#REF!-#REF!-TableauProduit[[#This Row],[Conditionnement N9]]</f>
        <v>#REF!</v>
      </c>
    </row>
    <row r="57" spans="1:66" x14ac:dyDescent="0.2">
      <c r="A57" s="402" t="s">
        <v>131</v>
      </c>
      <c r="B57" s="54" t="str">
        <f>TableauProduit[[#This Row],[Recette]]&amp;TableauProduit[[#This Row],[Conditionnement]]</f>
        <v>Chaat masalaEpice 100ml</v>
      </c>
      <c r="C57" s="11">
        <v>1</v>
      </c>
      <c r="D57" s="11">
        <v>50</v>
      </c>
      <c r="E57" s="6" t="s">
        <v>73</v>
      </c>
      <c r="F57" s="7">
        <f>IFERROR(VLOOKUP(TableauProduit[[#This Row],[Conditionnement]],TableauConditionnement[[Nom]:[Contenance]],4,FALSE),"")</f>
        <v>0.64</v>
      </c>
      <c r="G57" s="463">
        <f>IFERROR(SUMIFS(TableauRecette[Prix d''achat / kg],TableauRecette[Recette],TableauProduit[[#This Row],[Recette]],TableauRecette[Conditionnement],TableauProduit[[#This Row],[Conditionnement]]),0)</f>
        <v>0</v>
      </c>
      <c r="H57" s="469">
        <v>4.2249999999999996</v>
      </c>
      <c r="I57" s="465">
        <f>TableauProduit[[#This Row],[Prix de vente/U]]/TableauProduit[[#This Row],[Poids (g) / unite]]*1000</f>
        <v>84.499999999999986</v>
      </c>
      <c r="J57" s="466">
        <f>SUMIFS(TableauConcurence[PRIX_KG],TableauConcurence[PRODUIT],TableauProduit[[#This Row],[Recette]],TableauConcurence[DISTRIBUTION],"magasin NON BIO")</f>
        <v>0</v>
      </c>
      <c r="K57" s="467">
        <f>SUMIFS(TableauConcurence[PRIX_KG],TableauConcurence[PRODUIT],TableauProduit[[#This Row],[Recette]],TableauConcurence[DISTRIBUTION],"magasin BIO")</f>
        <v>0</v>
      </c>
      <c r="L57" s="468">
        <f>SUMIFS(TableauConcurence[PRIX_KG],TableauConcurence[PRODUIT],TableauProduit[[#This Row],[Recette]],TableauConcurence[DISTRIBUTION],"artisanale BIO")</f>
        <v>0</v>
      </c>
      <c r="M57" s="410">
        <v>0</v>
      </c>
      <c r="N57" s="333">
        <f>TableauProduit[[#This Row],[Objectif de vente en unite N1]]*TableauProduit[[#This Row],[Poids (g) / unite]]/1000</f>
        <v>0</v>
      </c>
      <c r="O57" s="425">
        <f>TableauProduit[[#This Row],[Packaging / unite]]*TableauProduit[[#This Row],[Objectif de vente en unite N1]]</f>
        <v>0</v>
      </c>
      <c r="P57" s="425">
        <f>SUMIF(TableauRecette[[#This Row],[Recette]],TableauProduit[[#This Row],[Recette]],TableauRecette[[#This Row],[Prix pour kg/ de melange]])</f>
        <v>0</v>
      </c>
      <c r="Q57" s="425">
        <f>TableauProduit[[#This Row],[Prix de vente/kg]]*TableauProduit[[#This Row],[Total (kg) N1]]</f>
        <v>0</v>
      </c>
      <c r="R57" s="432" t="e">
        <f>#REF!-#REF!-TableauProduit[[#This Row],[Conditionnement N1]]</f>
        <v>#REF!</v>
      </c>
      <c r="S57" s="411">
        <v>0</v>
      </c>
      <c r="T57" s="394" t="e">
        <f>#REF!*#REF!/1000</f>
        <v>#REF!</v>
      </c>
      <c r="U57" s="418" t="e">
        <f>#REF!*#REF!</f>
        <v>#REF!</v>
      </c>
      <c r="V57" s="417" t="e">
        <f>#REF!*TableauProduit[[#This Row],[Total (kg) N2]]</f>
        <v>#REF!</v>
      </c>
      <c r="W57" s="419" t="e">
        <f>TableauProduit[[#This Row],[Prix de vente/kg]]*TableauProduit[[#This Row],[Total (kg) N2]]</f>
        <v>#REF!</v>
      </c>
      <c r="X57" s="454" t="e">
        <f>#REF!-#REF!-TableauProduit[[#This Row],[Conditionnement N2]]</f>
        <v>#REF!</v>
      </c>
      <c r="Y57" s="413">
        <v>0</v>
      </c>
      <c r="Z57" s="395" t="e">
        <f>#REF!*#REF!/1000</f>
        <v>#REF!</v>
      </c>
      <c r="AA57" s="421" t="e">
        <f>#REF!*#REF!</f>
        <v>#REF!</v>
      </c>
      <c r="AB57" s="420" t="e">
        <f>#REF!*TableauProduit[[#This Row],[Total (kg) N3]]</f>
        <v>#REF!</v>
      </c>
      <c r="AC57" s="422" t="e">
        <f>TableauProduit[[#This Row],[Prix de vente/kg]]*TableauProduit[[#This Row],[Total (kg) N3]]</f>
        <v>#REF!</v>
      </c>
      <c r="AD57" s="455" t="e">
        <f>#REF!-#REF!-TableauProduit[[#This Row],[Conditionnement N3]]</f>
        <v>#REF!</v>
      </c>
      <c r="AE57" s="456">
        <v>50</v>
      </c>
      <c r="AF57" s="396" t="e">
        <f>#REF!*#REF!/1000</f>
        <v>#REF!</v>
      </c>
      <c r="AG57" s="424" t="e">
        <f>#REF!*#REF!</f>
        <v>#REF!</v>
      </c>
      <c r="AH57" s="423" t="e">
        <f>#REF!*TableauProduit[[#This Row],[Total (kg) N4]]</f>
        <v>#REF!</v>
      </c>
      <c r="AI57" s="436" t="e">
        <f>TableauProduit[[#This Row],[Prix de vente/kg]]*TableauProduit[[#This Row],[Total (kg) N4]]</f>
        <v>#REF!</v>
      </c>
      <c r="AJ57" s="437" t="e">
        <f>#REF!-#REF!-TableauProduit[[#This Row],[Conditionnement N4]]</f>
        <v>#REF!</v>
      </c>
      <c r="AK57" s="457">
        <v>60</v>
      </c>
      <c r="AL57" s="397" t="e">
        <f>#REF!*#REF!/1000</f>
        <v>#REF!</v>
      </c>
      <c r="AM57" s="438" t="e">
        <f>#REF!*#REF!</f>
        <v>#REF!</v>
      </c>
      <c r="AN57" s="430" t="e">
        <f>#REF!*TableauProduit[[#This Row],[Total (kg) N5]]</f>
        <v>#REF!</v>
      </c>
      <c r="AO57" s="439" t="e">
        <f>TableauProduit[[#This Row],[Prix de vente/kg]]*TableauProduit[[#This Row],[Total (kg) N5]]</f>
        <v>#REF!</v>
      </c>
      <c r="AP57" s="440" t="e">
        <f>#REF!-#REF!-TableauProduit[[#This Row],[Conditionnement N5]]</f>
        <v>#REF!</v>
      </c>
      <c r="AQ57" s="458">
        <v>65</v>
      </c>
      <c r="AR57" s="398" t="e">
        <f>#REF!*#REF!/1000</f>
        <v>#REF!</v>
      </c>
      <c r="AS57" s="441" t="e">
        <f>#REF!*#REF!</f>
        <v>#REF!</v>
      </c>
      <c r="AT57" s="431" t="e">
        <f>#REF!*TableauProduit[[#This Row],[Total (kg) N6]]</f>
        <v>#REF!</v>
      </c>
      <c r="AU57" s="442" t="e">
        <f>TableauProduit[[#This Row],[Prix de vente/kg]]*TableauProduit[[#This Row],[Total (kg) N6]]</f>
        <v>#REF!</v>
      </c>
      <c r="AV57" s="443" t="e">
        <f>#REF!-#REF!-TableauProduit[[#This Row],[Conditionnement N6]]</f>
        <v>#REF!</v>
      </c>
      <c r="AW57" s="453">
        <v>68</v>
      </c>
      <c r="AX57" s="399" t="e">
        <f>#REF!*#REF!/1000</f>
        <v>#REF!</v>
      </c>
      <c r="AY57" s="426" t="e">
        <f>#REF!*#REF!</f>
        <v>#REF!</v>
      </c>
      <c r="AZ57" s="425" t="e">
        <f>#REF!*TableauProduit[[#This Row],[Total (kg) N7]]</f>
        <v>#REF!</v>
      </c>
      <c r="BA57" s="427" t="e">
        <f>TableauProduit[[#This Row],[Prix de vente/kg]]*TableauProduit[[#This Row],[Total (kg) N7]]</f>
        <v>#REF!</v>
      </c>
      <c r="BB57" s="432" t="e">
        <f>#REF!-#REF!-TableauProduit[[#This Row],[Conditionnement N7]]</f>
        <v>#REF!</v>
      </c>
      <c r="BC57" s="415">
        <v>68</v>
      </c>
      <c r="BD57" s="400" t="e">
        <f>#REF!*#REF!/1000</f>
        <v>#REF!</v>
      </c>
      <c r="BE57" s="444" t="e">
        <f>#REF!*#REF!</f>
        <v>#REF!</v>
      </c>
      <c r="BF57" s="433" t="e">
        <f>#REF!*TableauProduit[[#This Row],[Total (kg) N8]]</f>
        <v>#REF!</v>
      </c>
      <c r="BG57" s="445" t="e">
        <f>TableauProduit[[#This Row],[Prix de vente/kg]]*TableauProduit[[#This Row],[Total (kg) N8]]</f>
        <v>#REF!</v>
      </c>
      <c r="BH57" s="446" t="e">
        <f>#REF!-#REF!-TableauProduit[[#This Row],[Conditionnement N8]]</f>
        <v>#REF!</v>
      </c>
      <c r="BI57" s="460">
        <v>68</v>
      </c>
      <c r="BJ57" s="401" t="e">
        <f>#REF!*#REF!/1000</f>
        <v>#REF!</v>
      </c>
      <c r="BK57" s="447" t="e">
        <f>#REF!*#REF!</f>
        <v>#REF!</v>
      </c>
      <c r="BL57" s="435" t="e">
        <f>#REF!*TableauProduit[[#This Row],[Total (kg) N9]]</f>
        <v>#REF!</v>
      </c>
      <c r="BM57" s="448" t="e">
        <f>TableauProduit[[#This Row],[Prix de vente/kg]]*TableauProduit[[#This Row],[Total (kg) N9]]</f>
        <v>#REF!</v>
      </c>
      <c r="BN57" s="350" t="e">
        <f>#REF!-#REF!-TableauProduit[[#This Row],[Conditionnement N9]]</f>
        <v>#REF!</v>
      </c>
    </row>
    <row r="58" spans="1:66" x14ac:dyDescent="0.2">
      <c r="A58" s="402" t="s">
        <v>132</v>
      </c>
      <c r="B58" s="54" t="str">
        <f>TableauProduit[[#This Row],[Recette]]&amp;TableauProduit[[#This Row],[Conditionnement]]</f>
        <v>HawaijEpice 100ml</v>
      </c>
      <c r="C58" s="11">
        <v>1</v>
      </c>
      <c r="D58" s="11">
        <v>50</v>
      </c>
      <c r="E58" s="6" t="s">
        <v>73</v>
      </c>
      <c r="F58" s="7">
        <f>IFERROR(VLOOKUP(TableauProduit[[#This Row],[Conditionnement]],TableauConditionnement[[Nom]:[Contenance]],4,FALSE),"")</f>
        <v>0.64</v>
      </c>
      <c r="G58" s="463">
        <f>IFERROR(SUMIFS(TableauRecette[Prix d''achat / kg],TableauRecette[Recette],TableauProduit[[#This Row],[Recette]],TableauRecette[Conditionnement],TableauProduit[[#This Row],[Conditionnement]]),0)</f>
        <v>0</v>
      </c>
      <c r="H58" s="469">
        <v>5</v>
      </c>
      <c r="I58" s="465">
        <f>TableauProduit[[#This Row],[Prix de vente/U]]/TableauProduit[[#This Row],[Poids (g) / unite]]*1000</f>
        <v>100</v>
      </c>
      <c r="J58" s="466">
        <f>SUMIFS(TableauConcurence[PRIX_KG],TableauConcurence[PRODUIT],TableauProduit[[#This Row],[Recette]],TableauConcurence[DISTRIBUTION],"magasin NON BIO")</f>
        <v>0</v>
      </c>
      <c r="K58" s="467">
        <f>SUMIFS(TableauConcurence[PRIX_KG],TableauConcurence[PRODUIT],TableauProduit[[#This Row],[Recette]],TableauConcurence[DISTRIBUTION],"magasin BIO")</f>
        <v>0</v>
      </c>
      <c r="L58" s="468">
        <f>SUMIFS(TableauConcurence[PRIX_KG],TableauConcurence[PRODUIT],TableauProduit[[#This Row],[Recette]],TableauConcurence[DISTRIBUTION],"artisanale BIO")</f>
        <v>0</v>
      </c>
      <c r="M58" s="410">
        <v>0</v>
      </c>
      <c r="N58" s="333">
        <f>TableauProduit[[#This Row],[Objectif de vente en unite N1]]*TableauProduit[[#This Row],[Poids (g) / unite]]/1000</f>
        <v>0</v>
      </c>
      <c r="O58" s="425">
        <f>TableauProduit[[#This Row],[Packaging / unite]]*TableauProduit[[#This Row],[Objectif de vente en unite N1]]</f>
        <v>0</v>
      </c>
      <c r="P58" s="425">
        <f>SUMIF(TableauRecette[[#This Row],[Recette]],TableauProduit[[#This Row],[Recette]],TableauRecette[[#This Row],[Prix pour kg/ de melange]])</f>
        <v>0</v>
      </c>
      <c r="Q58" s="425">
        <f>TableauProduit[[#This Row],[Prix de vente/kg]]*TableauProduit[[#This Row],[Total (kg) N1]]</f>
        <v>0</v>
      </c>
      <c r="R58" s="432" t="e">
        <f>#REF!-#REF!-TableauProduit[[#This Row],[Conditionnement N1]]</f>
        <v>#REF!</v>
      </c>
      <c r="S58" s="411">
        <v>0</v>
      </c>
      <c r="T58" s="394" t="e">
        <f>#REF!*#REF!/1000</f>
        <v>#REF!</v>
      </c>
      <c r="U58" s="418" t="e">
        <f>#REF!*#REF!</f>
        <v>#REF!</v>
      </c>
      <c r="V58" s="417" t="e">
        <f>#REF!*TableauProduit[[#This Row],[Total (kg) N2]]</f>
        <v>#REF!</v>
      </c>
      <c r="W58" s="419" t="e">
        <f>TableauProduit[[#This Row],[Prix de vente/kg]]*TableauProduit[[#This Row],[Total (kg) N2]]</f>
        <v>#REF!</v>
      </c>
      <c r="X58" s="454" t="e">
        <f>#REF!-#REF!-TableauProduit[[#This Row],[Conditionnement N2]]</f>
        <v>#REF!</v>
      </c>
      <c r="Y58" s="413">
        <v>0</v>
      </c>
      <c r="Z58" s="395" t="e">
        <f>#REF!*#REF!/1000</f>
        <v>#REF!</v>
      </c>
      <c r="AA58" s="421" t="e">
        <f>#REF!*#REF!</f>
        <v>#REF!</v>
      </c>
      <c r="AB58" s="420" t="e">
        <f>#REF!*TableauProduit[[#This Row],[Total (kg) N3]]</f>
        <v>#REF!</v>
      </c>
      <c r="AC58" s="422" t="e">
        <f>TableauProduit[[#This Row],[Prix de vente/kg]]*TableauProduit[[#This Row],[Total (kg) N3]]</f>
        <v>#REF!</v>
      </c>
      <c r="AD58" s="455" t="e">
        <f>#REF!-#REF!-TableauProduit[[#This Row],[Conditionnement N3]]</f>
        <v>#REF!</v>
      </c>
      <c r="AE58" s="456">
        <v>50</v>
      </c>
      <c r="AF58" s="396" t="e">
        <f>#REF!*#REF!/1000</f>
        <v>#REF!</v>
      </c>
      <c r="AG58" s="424" t="e">
        <f>#REF!*#REF!</f>
        <v>#REF!</v>
      </c>
      <c r="AH58" s="423" t="e">
        <f>#REF!*TableauProduit[[#This Row],[Total (kg) N4]]</f>
        <v>#REF!</v>
      </c>
      <c r="AI58" s="436" t="e">
        <f>TableauProduit[[#This Row],[Prix de vente/kg]]*TableauProduit[[#This Row],[Total (kg) N4]]</f>
        <v>#REF!</v>
      </c>
      <c r="AJ58" s="437" t="e">
        <f>#REF!-#REF!-TableauProduit[[#This Row],[Conditionnement N4]]</f>
        <v>#REF!</v>
      </c>
      <c r="AK58" s="457">
        <v>60</v>
      </c>
      <c r="AL58" s="397" t="e">
        <f>#REF!*#REF!/1000</f>
        <v>#REF!</v>
      </c>
      <c r="AM58" s="438" t="e">
        <f>#REF!*#REF!</f>
        <v>#REF!</v>
      </c>
      <c r="AN58" s="430" t="e">
        <f>#REF!*TableauProduit[[#This Row],[Total (kg) N5]]</f>
        <v>#REF!</v>
      </c>
      <c r="AO58" s="439" t="e">
        <f>TableauProduit[[#This Row],[Prix de vente/kg]]*TableauProduit[[#This Row],[Total (kg) N5]]</f>
        <v>#REF!</v>
      </c>
      <c r="AP58" s="440" t="e">
        <f>#REF!-#REF!-TableauProduit[[#This Row],[Conditionnement N5]]</f>
        <v>#REF!</v>
      </c>
      <c r="AQ58" s="458">
        <v>65</v>
      </c>
      <c r="AR58" s="398" t="e">
        <f>#REF!*#REF!/1000</f>
        <v>#REF!</v>
      </c>
      <c r="AS58" s="441" t="e">
        <f>#REF!*#REF!</f>
        <v>#REF!</v>
      </c>
      <c r="AT58" s="431" t="e">
        <f>#REF!*TableauProduit[[#This Row],[Total (kg) N6]]</f>
        <v>#REF!</v>
      </c>
      <c r="AU58" s="442" t="e">
        <f>TableauProduit[[#This Row],[Prix de vente/kg]]*TableauProduit[[#This Row],[Total (kg) N6]]</f>
        <v>#REF!</v>
      </c>
      <c r="AV58" s="443" t="e">
        <f>#REF!-#REF!-TableauProduit[[#This Row],[Conditionnement N6]]</f>
        <v>#REF!</v>
      </c>
      <c r="AW58" s="453">
        <v>68</v>
      </c>
      <c r="AX58" s="399" t="e">
        <f>#REF!*#REF!/1000</f>
        <v>#REF!</v>
      </c>
      <c r="AY58" s="426" t="e">
        <f>#REF!*#REF!</f>
        <v>#REF!</v>
      </c>
      <c r="AZ58" s="425" t="e">
        <f>#REF!*TableauProduit[[#This Row],[Total (kg) N7]]</f>
        <v>#REF!</v>
      </c>
      <c r="BA58" s="427" t="e">
        <f>TableauProduit[[#This Row],[Prix de vente/kg]]*TableauProduit[[#This Row],[Total (kg) N7]]</f>
        <v>#REF!</v>
      </c>
      <c r="BB58" s="432" t="e">
        <f>#REF!-#REF!-TableauProduit[[#This Row],[Conditionnement N7]]</f>
        <v>#REF!</v>
      </c>
      <c r="BC58" s="415">
        <v>68</v>
      </c>
      <c r="BD58" s="400" t="e">
        <f>#REF!*#REF!/1000</f>
        <v>#REF!</v>
      </c>
      <c r="BE58" s="444" t="e">
        <f>#REF!*#REF!</f>
        <v>#REF!</v>
      </c>
      <c r="BF58" s="433" t="e">
        <f>#REF!*TableauProduit[[#This Row],[Total (kg) N8]]</f>
        <v>#REF!</v>
      </c>
      <c r="BG58" s="445" t="e">
        <f>TableauProduit[[#This Row],[Prix de vente/kg]]*TableauProduit[[#This Row],[Total (kg) N8]]</f>
        <v>#REF!</v>
      </c>
      <c r="BH58" s="446" t="e">
        <f>#REF!-#REF!-TableauProduit[[#This Row],[Conditionnement N8]]</f>
        <v>#REF!</v>
      </c>
      <c r="BI58" s="460">
        <v>68</v>
      </c>
      <c r="BJ58" s="401" t="e">
        <f>#REF!*#REF!/1000</f>
        <v>#REF!</v>
      </c>
      <c r="BK58" s="447" t="e">
        <f>#REF!*#REF!</f>
        <v>#REF!</v>
      </c>
      <c r="BL58" s="435" t="e">
        <f>#REF!*TableauProduit[[#This Row],[Total (kg) N9]]</f>
        <v>#REF!</v>
      </c>
      <c r="BM58" s="448" t="e">
        <f>TableauProduit[[#This Row],[Prix de vente/kg]]*TableauProduit[[#This Row],[Total (kg) N9]]</f>
        <v>#REF!</v>
      </c>
      <c r="BN58" s="350" t="e">
        <f>#REF!-#REF!-TableauProduit[[#This Row],[Conditionnement N9]]</f>
        <v>#REF!</v>
      </c>
    </row>
    <row r="59" spans="1:66" x14ac:dyDescent="0.2">
      <c r="A59" s="402" t="s">
        <v>133</v>
      </c>
      <c r="B59" s="54" t="str">
        <f>TableauProduit[[#This Row],[Recette]]&amp;TableauProduit[[#This Row],[Conditionnement]]</f>
        <v>Carvi mouluEpice 100ml</v>
      </c>
      <c r="C59" s="11">
        <v>1</v>
      </c>
      <c r="D59" s="11">
        <v>65</v>
      </c>
      <c r="E59" s="6" t="s">
        <v>73</v>
      </c>
      <c r="F59" s="7">
        <f>IFERROR(VLOOKUP(TableauProduit[[#This Row],[Conditionnement]],TableauConditionnement[[Nom]:[Contenance]],4,FALSE),"")</f>
        <v>0.64</v>
      </c>
      <c r="G59" s="463">
        <f>IFERROR(SUMIFS(TableauRecette[Prix d''achat / kg],TableauRecette[Recette],TableauProduit[[#This Row],[Recette]],TableauRecette[Conditionnement],TableauProduit[[#This Row],[Conditionnement]]),0)</f>
        <v>0</v>
      </c>
      <c r="H59" s="469">
        <v>4.2249999999999996</v>
      </c>
      <c r="I59" s="465">
        <f>TableauProduit[[#This Row],[Prix de vente/U]]/TableauProduit[[#This Row],[Poids (g) / unite]]*1000</f>
        <v>64.999999999999986</v>
      </c>
      <c r="J59" s="466">
        <f>SUMIFS(TableauConcurence[PRIX_KG],TableauConcurence[PRODUIT],TableauProduit[[#This Row],[Recette]],TableauConcurence[DISTRIBUTION],"magasin NON BIO")</f>
        <v>20.69</v>
      </c>
      <c r="K59" s="467">
        <f>SUMIFS(TableauConcurence[PRIX_KG],TableauConcurence[PRODUIT],TableauProduit[[#This Row],[Recette]],TableauConcurence[DISTRIBUTION],"magasin BIO")</f>
        <v>27</v>
      </c>
      <c r="L59" s="468">
        <f>SUMIFS(TableauConcurence[PRIX_KG],TableauConcurence[PRODUIT],TableauProduit[[#This Row],[Recette]],TableauConcurence[DISTRIBUTION],"artisanale BIO")</f>
        <v>44.8</v>
      </c>
      <c r="M59" s="410">
        <v>0</v>
      </c>
      <c r="N59" s="333">
        <f>TableauProduit[[#This Row],[Objectif de vente en unite N1]]*TableauProduit[[#This Row],[Poids (g) / unite]]/1000</f>
        <v>0</v>
      </c>
      <c r="O59" s="425">
        <f>TableauProduit[[#This Row],[Packaging / unite]]*TableauProduit[[#This Row],[Objectif de vente en unite N1]]</f>
        <v>0</v>
      </c>
      <c r="P59" s="425">
        <f>SUMIF(TableauRecette[[#This Row],[Recette]],TableauProduit[[#This Row],[Recette]],TableauRecette[[#This Row],[Prix pour kg/ de melange]])</f>
        <v>0</v>
      </c>
      <c r="Q59" s="425">
        <f>TableauProduit[[#This Row],[Prix de vente/kg]]*TableauProduit[[#This Row],[Total (kg) N1]]</f>
        <v>0</v>
      </c>
      <c r="R59" s="432" t="e">
        <f>#REF!-#REF!-TableauProduit[[#This Row],[Conditionnement N1]]</f>
        <v>#REF!</v>
      </c>
      <c r="S59" s="411">
        <v>120</v>
      </c>
      <c r="T59" s="394" t="e">
        <f>#REF!*#REF!/1000</f>
        <v>#REF!</v>
      </c>
      <c r="U59" s="418" t="e">
        <f>#REF!*#REF!</f>
        <v>#REF!</v>
      </c>
      <c r="V59" s="417" t="e">
        <f>#REF!*TableauProduit[[#This Row],[Total (kg) N2]]</f>
        <v>#REF!</v>
      </c>
      <c r="W59" s="419" t="e">
        <f>TableauProduit[[#This Row],[Prix de vente/kg]]*TableauProduit[[#This Row],[Total (kg) N2]]</f>
        <v>#REF!</v>
      </c>
      <c r="X59" s="454" t="e">
        <f>#REF!-#REF!-TableauProduit[[#This Row],[Conditionnement N2]]</f>
        <v>#REF!</v>
      </c>
      <c r="Y59" s="413">
        <v>156</v>
      </c>
      <c r="Z59" s="395" t="e">
        <f>#REF!*#REF!/1000</f>
        <v>#REF!</v>
      </c>
      <c r="AA59" s="421" t="e">
        <f>#REF!*#REF!</f>
        <v>#REF!</v>
      </c>
      <c r="AB59" s="420" t="e">
        <f>#REF!*TableauProduit[[#This Row],[Total (kg) N3]]</f>
        <v>#REF!</v>
      </c>
      <c r="AC59" s="422" t="e">
        <f>TableauProduit[[#This Row],[Prix de vente/kg]]*TableauProduit[[#This Row],[Total (kg) N3]]</f>
        <v>#REF!</v>
      </c>
      <c r="AD59" s="455" t="e">
        <f>#REF!-#REF!-TableauProduit[[#This Row],[Conditionnement N3]]</f>
        <v>#REF!</v>
      </c>
      <c r="AE59" s="456">
        <v>174</v>
      </c>
      <c r="AF59" s="396" t="e">
        <f>#REF!*#REF!/1000</f>
        <v>#REF!</v>
      </c>
      <c r="AG59" s="424" t="e">
        <f>#REF!*#REF!</f>
        <v>#REF!</v>
      </c>
      <c r="AH59" s="423" t="e">
        <f>#REF!*TableauProduit[[#This Row],[Total (kg) N4]]</f>
        <v>#REF!</v>
      </c>
      <c r="AI59" s="436" t="e">
        <f>TableauProduit[[#This Row],[Prix de vente/kg]]*TableauProduit[[#This Row],[Total (kg) N4]]</f>
        <v>#REF!</v>
      </c>
      <c r="AJ59" s="437" t="e">
        <f>#REF!-#REF!-TableauProduit[[#This Row],[Conditionnement N4]]</f>
        <v>#REF!</v>
      </c>
      <c r="AK59" s="457">
        <v>180</v>
      </c>
      <c r="AL59" s="397" t="e">
        <f>#REF!*#REF!/1000</f>
        <v>#REF!</v>
      </c>
      <c r="AM59" s="438" t="e">
        <f>#REF!*#REF!</f>
        <v>#REF!</v>
      </c>
      <c r="AN59" s="430" t="e">
        <f>#REF!*TableauProduit[[#This Row],[Total (kg) N5]]</f>
        <v>#REF!</v>
      </c>
      <c r="AO59" s="439" t="e">
        <f>TableauProduit[[#This Row],[Prix de vente/kg]]*TableauProduit[[#This Row],[Total (kg) N5]]</f>
        <v>#REF!</v>
      </c>
      <c r="AP59" s="440" t="e">
        <f>#REF!-#REF!-TableauProduit[[#This Row],[Conditionnement N5]]</f>
        <v>#REF!</v>
      </c>
      <c r="AQ59" s="458">
        <v>180</v>
      </c>
      <c r="AR59" s="398" t="e">
        <f>#REF!*#REF!/1000</f>
        <v>#REF!</v>
      </c>
      <c r="AS59" s="441" t="e">
        <f>#REF!*#REF!</f>
        <v>#REF!</v>
      </c>
      <c r="AT59" s="431" t="e">
        <f>#REF!*TableauProduit[[#This Row],[Total (kg) N6]]</f>
        <v>#REF!</v>
      </c>
      <c r="AU59" s="442" t="e">
        <f>TableauProduit[[#This Row],[Prix de vente/kg]]*TableauProduit[[#This Row],[Total (kg) N6]]</f>
        <v>#REF!</v>
      </c>
      <c r="AV59" s="443" t="e">
        <f>#REF!-#REF!-TableauProduit[[#This Row],[Conditionnement N6]]</f>
        <v>#REF!</v>
      </c>
      <c r="AW59" s="453">
        <v>180</v>
      </c>
      <c r="AX59" s="399" t="e">
        <f>#REF!*#REF!/1000</f>
        <v>#REF!</v>
      </c>
      <c r="AY59" s="426" t="e">
        <f>#REF!*#REF!</f>
        <v>#REF!</v>
      </c>
      <c r="AZ59" s="425" t="e">
        <f>#REF!*TableauProduit[[#This Row],[Total (kg) N7]]</f>
        <v>#REF!</v>
      </c>
      <c r="BA59" s="427" t="e">
        <f>TableauProduit[[#This Row],[Prix de vente/kg]]*TableauProduit[[#This Row],[Total (kg) N7]]</f>
        <v>#REF!</v>
      </c>
      <c r="BB59" s="432" t="e">
        <f>#REF!-#REF!-TableauProduit[[#This Row],[Conditionnement N7]]</f>
        <v>#REF!</v>
      </c>
      <c r="BC59" s="415">
        <v>180</v>
      </c>
      <c r="BD59" s="400" t="e">
        <f>#REF!*#REF!/1000</f>
        <v>#REF!</v>
      </c>
      <c r="BE59" s="444" t="e">
        <f>#REF!*#REF!</f>
        <v>#REF!</v>
      </c>
      <c r="BF59" s="433" t="e">
        <f>#REF!*TableauProduit[[#This Row],[Total (kg) N8]]</f>
        <v>#REF!</v>
      </c>
      <c r="BG59" s="445" t="e">
        <f>TableauProduit[[#This Row],[Prix de vente/kg]]*TableauProduit[[#This Row],[Total (kg) N8]]</f>
        <v>#REF!</v>
      </c>
      <c r="BH59" s="446" t="e">
        <f>#REF!-#REF!-TableauProduit[[#This Row],[Conditionnement N8]]</f>
        <v>#REF!</v>
      </c>
      <c r="BI59" s="460">
        <v>180</v>
      </c>
      <c r="BJ59" s="401" t="e">
        <f>#REF!*#REF!/1000</f>
        <v>#REF!</v>
      </c>
      <c r="BK59" s="447" t="e">
        <f>#REF!*#REF!</f>
        <v>#REF!</v>
      </c>
      <c r="BL59" s="435" t="e">
        <f>#REF!*TableauProduit[[#This Row],[Total (kg) N9]]</f>
        <v>#REF!</v>
      </c>
      <c r="BM59" s="448" t="e">
        <f>TableauProduit[[#This Row],[Prix de vente/kg]]*TableauProduit[[#This Row],[Total (kg) N9]]</f>
        <v>#REF!</v>
      </c>
      <c r="BN59" s="350" t="e">
        <f>#REF!-#REF!-TableauProduit[[#This Row],[Conditionnement N9]]</f>
        <v>#REF!</v>
      </c>
    </row>
    <row r="60" spans="1:66" x14ac:dyDescent="0.2">
      <c r="A60" s="402" t="s">
        <v>134</v>
      </c>
      <c r="B60" s="54" t="str">
        <f>TableauProduit[[#This Row],[Recette]]&amp;TableauProduit[[#This Row],[Conditionnement]]</f>
        <v>Baharat arabeEpice 100ml</v>
      </c>
      <c r="C60" s="11">
        <v>1</v>
      </c>
      <c r="D60" s="11">
        <v>45</v>
      </c>
      <c r="E60" s="6" t="s">
        <v>73</v>
      </c>
      <c r="F60" s="7">
        <f>IFERROR(VLOOKUP(TableauProduit[[#This Row],[Conditionnement]],TableauConditionnement[[Nom]:[Contenance]],4,FALSE),"")</f>
        <v>0.64</v>
      </c>
      <c r="G60" s="463">
        <f>IFERROR(SUMIFS(TableauRecette[Prix d''achat / kg],TableauRecette[Recette],TableauProduit[[#This Row],[Recette]],TableauRecette[Conditionnement],TableauProduit[[#This Row],[Conditionnement]]),0)</f>
        <v>0</v>
      </c>
      <c r="H60" s="469">
        <v>7.3125</v>
      </c>
      <c r="I60" s="465">
        <f>TableauProduit[[#This Row],[Prix de vente/U]]/TableauProduit[[#This Row],[Poids (g) / unite]]*1000</f>
        <v>162.5</v>
      </c>
      <c r="J60" s="466">
        <f>SUMIFS(TableauConcurence[PRIX_KG],TableauConcurence[PRODUIT],TableauProduit[[#This Row],[Recette]],TableauConcurence[DISTRIBUTION],"magasin NON BIO")</f>
        <v>69.900000000000006</v>
      </c>
      <c r="K60" s="467">
        <f>SUMIFS(TableauConcurence[PRIX_KG],TableauConcurence[PRODUIT],TableauProduit[[#This Row],[Recette]],TableauConcurence[DISTRIBUTION],"magasin BIO")</f>
        <v>110</v>
      </c>
      <c r="L60" s="468">
        <f>SUMIFS(TableauConcurence[PRIX_KG],TableauConcurence[PRODUIT],TableauProduit[[#This Row],[Recette]],TableauConcurence[DISTRIBUTION],"artisanale BIO")</f>
        <v>75</v>
      </c>
      <c r="M60" s="410">
        <v>0</v>
      </c>
      <c r="N60" s="333">
        <f>TableauProduit[[#This Row],[Objectif de vente en unite N1]]*TableauProduit[[#This Row],[Poids (g) / unite]]/1000</f>
        <v>0</v>
      </c>
      <c r="O60" s="425">
        <f>TableauProduit[[#This Row],[Packaging / unite]]*TableauProduit[[#This Row],[Objectif de vente en unite N1]]</f>
        <v>0</v>
      </c>
      <c r="P60" s="425">
        <f>SUMIF(TableauRecette[[#This Row],[Recette]],TableauProduit[[#This Row],[Recette]],TableauRecette[[#This Row],[Prix pour kg/ de melange]])</f>
        <v>0</v>
      </c>
      <c r="Q60" s="425">
        <f>TableauProduit[[#This Row],[Prix de vente/kg]]*TableauProduit[[#This Row],[Total (kg) N1]]</f>
        <v>0</v>
      </c>
      <c r="R60" s="432" t="e">
        <f>#REF!-#REF!-TableauProduit[[#This Row],[Conditionnement N1]]</f>
        <v>#REF!</v>
      </c>
      <c r="S60" s="411">
        <v>0</v>
      </c>
      <c r="T60" s="394" t="e">
        <f>#REF!*#REF!/1000</f>
        <v>#REF!</v>
      </c>
      <c r="U60" s="418" t="e">
        <f>#REF!*#REF!</f>
        <v>#REF!</v>
      </c>
      <c r="V60" s="417" t="e">
        <f>#REF!*TableauProduit[[#This Row],[Total (kg) N2]]</f>
        <v>#REF!</v>
      </c>
      <c r="W60" s="419" t="e">
        <f>TableauProduit[[#This Row],[Prix de vente/kg]]*TableauProduit[[#This Row],[Total (kg) N2]]</f>
        <v>#REF!</v>
      </c>
      <c r="X60" s="454" t="e">
        <f>#REF!-#REF!-TableauProduit[[#This Row],[Conditionnement N2]]</f>
        <v>#REF!</v>
      </c>
      <c r="Y60" s="413">
        <v>70</v>
      </c>
      <c r="Z60" s="395" t="e">
        <f>#REF!*#REF!/1000</f>
        <v>#REF!</v>
      </c>
      <c r="AA60" s="421" t="e">
        <f>#REF!*#REF!</f>
        <v>#REF!</v>
      </c>
      <c r="AB60" s="420" t="e">
        <f>#REF!*TableauProduit[[#This Row],[Total (kg) N3]]</f>
        <v>#REF!</v>
      </c>
      <c r="AC60" s="422" t="e">
        <f>TableauProduit[[#This Row],[Prix de vente/kg]]*TableauProduit[[#This Row],[Total (kg) N3]]</f>
        <v>#REF!</v>
      </c>
      <c r="AD60" s="455" t="e">
        <f>#REF!-#REF!-TableauProduit[[#This Row],[Conditionnement N3]]</f>
        <v>#REF!</v>
      </c>
      <c r="AE60" s="456">
        <v>88</v>
      </c>
      <c r="AF60" s="396" t="e">
        <f>#REF!*#REF!/1000</f>
        <v>#REF!</v>
      </c>
      <c r="AG60" s="424" t="e">
        <f>#REF!*#REF!</f>
        <v>#REF!</v>
      </c>
      <c r="AH60" s="423" t="e">
        <f>#REF!*TableauProduit[[#This Row],[Total (kg) N4]]</f>
        <v>#REF!</v>
      </c>
      <c r="AI60" s="436" t="e">
        <f>TableauProduit[[#This Row],[Prix de vente/kg]]*TableauProduit[[#This Row],[Total (kg) N4]]</f>
        <v>#REF!</v>
      </c>
      <c r="AJ60" s="437" t="e">
        <f>#REF!-#REF!-TableauProduit[[#This Row],[Conditionnement N4]]</f>
        <v>#REF!</v>
      </c>
      <c r="AK60" s="457">
        <v>98</v>
      </c>
      <c r="AL60" s="397" t="e">
        <f>#REF!*#REF!/1000</f>
        <v>#REF!</v>
      </c>
      <c r="AM60" s="438" t="e">
        <f>#REF!*#REF!</f>
        <v>#REF!</v>
      </c>
      <c r="AN60" s="430" t="e">
        <f>#REF!*TableauProduit[[#This Row],[Total (kg) N5]]</f>
        <v>#REF!</v>
      </c>
      <c r="AO60" s="439" t="e">
        <f>TableauProduit[[#This Row],[Prix de vente/kg]]*TableauProduit[[#This Row],[Total (kg) N5]]</f>
        <v>#REF!</v>
      </c>
      <c r="AP60" s="440" t="e">
        <f>#REF!-#REF!-TableauProduit[[#This Row],[Conditionnement N5]]</f>
        <v>#REF!</v>
      </c>
      <c r="AQ60" s="458">
        <v>102</v>
      </c>
      <c r="AR60" s="398" t="e">
        <f>#REF!*#REF!/1000</f>
        <v>#REF!</v>
      </c>
      <c r="AS60" s="441" t="e">
        <f>#REF!*#REF!</f>
        <v>#REF!</v>
      </c>
      <c r="AT60" s="431" t="e">
        <f>#REF!*TableauProduit[[#This Row],[Total (kg) N6]]</f>
        <v>#REF!</v>
      </c>
      <c r="AU60" s="442" t="e">
        <f>TableauProduit[[#This Row],[Prix de vente/kg]]*TableauProduit[[#This Row],[Total (kg) N6]]</f>
        <v>#REF!</v>
      </c>
      <c r="AV60" s="443" t="e">
        <f>#REF!-#REF!-TableauProduit[[#This Row],[Conditionnement N6]]</f>
        <v>#REF!</v>
      </c>
      <c r="AW60" s="453">
        <v>102</v>
      </c>
      <c r="AX60" s="399" t="e">
        <f>#REF!*#REF!/1000</f>
        <v>#REF!</v>
      </c>
      <c r="AY60" s="426" t="e">
        <f>#REF!*#REF!</f>
        <v>#REF!</v>
      </c>
      <c r="AZ60" s="425" t="e">
        <f>#REF!*TableauProduit[[#This Row],[Total (kg) N7]]</f>
        <v>#REF!</v>
      </c>
      <c r="BA60" s="427" t="e">
        <f>TableauProduit[[#This Row],[Prix de vente/kg]]*TableauProduit[[#This Row],[Total (kg) N7]]</f>
        <v>#REF!</v>
      </c>
      <c r="BB60" s="432" t="e">
        <f>#REF!-#REF!-TableauProduit[[#This Row],[Conditionnement N7]]</f>
        <v>#REF!</v>
      </c>
      <c r="BC60" s="415">
        <v>102</v>
      </c>
      <c r="BD60" s="400" t="e">
        <f>#REF!*#REF!/1000</f>
        <v>#REF!</v>
      </c>
      <c r="BE60" s="444" t="e">
        <f>#REF!*#REF!</f>
        <v>#REF!</v>
      </c>
      <c r="BF60" s="433" t="e">
        <f>#REF!*TableauProduit[[#This Row],[Total (kg) N8]]</f>
        <v>#REF!</v>
      </c>
      <c r="BG60" s="445" t="e">
        <f>TableauProduit[[#This Row],[Prix de vente/kg]]*TableauProduit[[#This Row],[Total (kg) N8]]</f>
        <v>#REF!</v>
      </c>
      <c r="BH60" s="446" t="e">
        <f>#REF!-#REF!-TableauProduit[[#This Row],[Conditionnement N8]]</f>
        <v>#REF!</v>
      </c>
      <c r="BI60" s="460">
        <v>102</v>
      </c>
      <c r="BJ60" s="401" t="e">
        <f>#REF!*#REF!/1000</f>
        <v>#REF!</v>
      </c>
      <c r="BK60" s="447" t="e">
        <f>#REF!*#REF!</f>
        <v>#REF!</v>
      </c>
      <c r="BL60" s="435" t="e">
        <f>#REF!*TableauProduit[[#This Row],[Total (kg) N9]]</f>
        <v>#REF!</v>
      </c>
      <c r="BM60" s="448" t="e">
        <f>TableauProduit[[#This Row],[Prix de vente/kg]]*TableauProduit[[#This Row],[Total (kg) N9]]</f>
        <v>#REF!</v>
      </c>
      <c r="BN60" s="350" t="e">
        <f>#REF!-#REF!-TableauProduit[[#This Row],[Conditionnement N9]]</f>
        <v>#REF!</v>
      </c>
    </row>
    <row r="61" spans="1:66" x14ac:dyDescent="0.2">
      <c r="A61" s="402" t="s">
        <v>135</v>
      </c>
      <c r="B61" s="54" t="str">
        <f>TableauProduit[[#This Row],[Recette]]&amp;TableauProduit[[#This Row],[Conditionnement]]</f>
        <v>Pâte vindalooEpice 100ml</v>
      </c>
      <c r="C61" s="11">
        <v>1</v>
      </c>
      <c r="D61" s="11">
        <v>50</v>
      </c>
      <c r="E61" s="6" t="s">
        <v>73</v>
      </c>
      <c r="F61" s="7">
        <f>IFERROR(VLOOKUP(TableauProduit[[#This Row],[Conditionnement]],TableauConditionnement[[Nom]:[Contenance]],4,FALSE),"")</f>
        <v>0.64</v>
      </c>
      <c r="G61" s="463">
        <f>IFERROR(SUMIFS(TableauRecette[Prix d''achat / kg],TableauRecette[Recette],TableauProduit[[#This Row],[Recette]],TableauRecette[Conditionnement],TableauProduit[[#This Row],[Conditionnement]]),0)</f>
        <v>0</v>
      </c>
      <c r="H61" s="469">
        <v>5</v>
      </c>
      <c r="I61" s="465">
        <f>TableauProduit[[#This Row],[Prix de vente/U]]/TableauProduit[[#This Row],[Poids (g) / unite]]*1000</f>
        <v>100</v>
      </c>
      <c r="J61" s="466">
        <f>SUMIFS(TableauConcurence[PRIX_KG],TableauConcurence[PRODUIT],TableauProduit[[#This Row],[Recette]],TableauConcurence[DISTRIBUTION],"magasin NON BIO")</f>
        <v>0</v>
      </c>
      <c r="K61" s="467">
        <f>SUMIFS(TableauConcurence[PRIX_KG],TableauConcurence[PRODUIT],TableauProduit[[#This Row],[Recette]],TableauConcurence[DISTRIBUTION],"magasin BIO")</f>
        <v>0</v>
      </c>
      <c r="L61" s="468">
        <f>SUMIFS(TableauConcurence[PRIX_KG],TableauConcurence[PRODUIT],TableauProduit[[#This Row],[Recette]],TableauConcurence[DISTRIBUTION],"artisanale BIO")</f>
        <v>0</v>
      </c>
      <c r="M61" s="410">
        <v>0</v>
      </c>
      <c r="N61" s="333">
        <f>TableauProduit[[#This Row],[Objectif de vente en unite N1]]*TableauProduit[[#This Row],[Poids (g) / unite]]/1000</f>
        <v>0</v>
      </c>
      <c r="O61" s="425">
        <f>TableauProduit[[#This Row],[Packaging / unite]]*TableauProduit[[#This Row],[Objectif de vente en unite N1]]</f>
        <v>0</v>
      </c>
      <c r="P61" s="425">
        <f>SUMIF(TableauRecette[[#This Row],[Recette]],TableauProduit[[#This Row],[Recette]],TableauRecette[[#This Row],[Prix pour kg/ de melange]])</f>
        <v>0</v>
      </c>
      <c r="Q61" s="425">
        <f>TableauProduit[[#This Row],[Prix de vente/kg]]*TableauProduit[[#This Row],[Total (kg) N1]]</f>
        <v>0</v>
      </c>
      <c r="R61" s="432" t="e">
        <f>#REF!-#REF!-TableauProduit[[#This Row],[Conditionnement N1]]</f>
        <v>#REF!</v>
      </c>
      <c r="S61" s="411">
        <v>0</v>
      </c>
      <c r="T61" s="394" t="e">
        <f>#REF!*#REF!/1000</f>
        <v>#REF!</v>
      </c>
      <c r="U61" s="418" t="e">
        <f>#REF!*#REF!</f>
        <v>#REF!</v>
      </c>
      <c r="V61" s="417" t="e">
        <f>#REF!*TableauProduit[[#This Row],[Total (kg) N2]]</f>
        <v>#REF!</v>
      </c>
      <c r="W61" s="419" t="e">
        <f>TableauProduit[[#This Row],[Prix de vente/kg]]*TableauProduit[[#This Row],[Total (kg) N2]]</f>
        <v>#REF!</v>
      </c>
      <c r="X61" s="454" t="e">
        <f>#REF!-#REF!-TableauProduit[[#This Row],[Conditionnement N2]]</f>
        <v>#REF!</v>
      </c>
      <c r="Y61" s="413">
        <v>0</v>
      </c>
      <c r="Z61" s="395" t="e">
        <f>#REF!*#REF!/1000</f>
        <v>#REF!</v>
      </c>
      <c r="AA61" s="421" t="e">
        <f>#REF!*#REF!</f>
        <v>#REF!</v>
      </c>
      <c r="AB61" s="420" t="e">
        <f>#REF!*TableauProduit[[#This Row],[Total (kg) N3]]</f>
        <v>#REF!</v>
      </c>
      <c r="AC61" s="422" t="e">
        <f>TableauProduit[[#This Row],[Prix de vente/kg]]*TableauProduit[[#This Row],[Total (kg) N3]]</f>
        <v>#REF!</v>
      </c>
      <c r="AD61" s="455" t="e">
        <f>#REF!-#REF!-TableauProduit[[#This Row],[Conditionnement N3]]</f>
        <v>#REF!</v>
      </c>
      <c r="AE61" s="456">
        <v>50</v>
      </c>
      <c r="AF61" s="396" t="e">
        <f>#REF!*#REF!/1000</f>
        <v>#REF!</v>
      </c>
      <c r="AG61" s="424" t="e">
        <f>#REF!*#REF!</f>
        <v>#REF!</v>
      </c>
      <c r="AH61" s="423" t="e">
        <f>#REF!*TableauProduit[[#This Row],[Total (kg) N4]]</f>
        <v>#REF!</v>
      </c>
      <c r="AI61" s="436" t="e">
        <f>TableauProduit[[#This Row],[Prix de vente/kg]]*TableauProduit[[#This Row],[Total (kg) N4]]</f>
        <v>#REF!</v>
      </c>
      <c r="AJ61" s="437" t="e">
        <f>#REF!-#REF!-TableauProduit[[#This Row],[Conditionnement N4]]</f>
        <v>#REF!</v>
      </c>
      <c r="AK61" s="457">
        <v>60</v>
      </c>
      <c r="AL61" s="397" t="e">
        <f>#REF!*#REF!/1000</f>
        <v>#REF!</v>
      </c>
      <c r="AM61" s="438" t="e">
        <f>#REF!*#REF!</f>
        <v>#REF!</v>
      </c>
      <c r="AN61" s="430" t="e">
        <f>#REF!*TableauProduit[[#This Row],[Total (kg) N5]]</f>
        <v>#REF!</v>
      </c>
      <c r="AO61" s="439" t="e">
        <f>TableauProduit[[#This Row],[Prix de vente/kg]]*TableauProduit[[#This Row],[Total (kg) N5]]</f>
        <v>#REF!</v>
      </c>
      <c r="AP61" s="440" t="e">
        <f>#REF!-#REF!-TableauProduit[[#This Row],[Conditionnement N5]]</f>
        <v>#REF!</v>
      </c>
      <c r="AQ61" s="458">
        <v>65</v>
      </c>
      <c r="AR61" s="398" t="e">
        <f>#REF!*#REF!/1000</f>
        <v>#REF!</v>
      </c>
      <c r="AS61" s="441" t="e">
        <f>#REF!*#REF!</f>
        <v>#REF!</v>
      </c>
      <c r="AT61" s="431" t="e">
        <f>#REF!*TableauProduit[[#This Row],[Total (kg) N6]]</f>
        <v>#REF!</v>
      </c>
      <c r="AU61" s="442" t="e">
        <f>TableauProduit[[#This Row],[Prix de vente/kg]]*TableauProduit[[#This Row],[Total (kg) N6]]</f>
        <v>#REF!</v>
      </c>
      <c r="AV61" s="443" t="e">
        <f>#REF!-#REF!-TableauProduit[[#This Row],[Conditionnement N6]]</f>
        <v>#REF!</v>
      </c>
      <c r="AW61" s="453">
        <v>68</v>
      </c>
      <c r="AX61" s="399" t="e">
        <f>#REF!*#REF!/1000</f>
        <v>#REF!</v>
      </c>
      <c r="AY61" s="426" t="e">
        <f>#REF!*#REF!</f>
        <v>#REF!</v>
      </c>
      <c r="AZ61" s="425" t="e">
        <f>#REF!*TableauProduit[[#This Row],[Total (kg) N7]]</f>
        <v>#REF!</v>
      </c>
      <c r="BA61" s="427" t="e">
        <f>TableauProduit[[#This Row],[Prix de vente/kg]]*TableauProduit[[#This Row],[Total (kg) N7]]</f>
        <v>#REF!</v>
      </c>
      <c r="BB61" s="432" t="e">
        <f>#REF!-#REF!-TableauProduit[[#This Row],[Conditionnement N7]]</f>
        <v>#REF!</v>
      </c>
      <c r="BC61" s="415">
        <v>68</v>
      </c>
      <c r="BD61" s="400" t="e">
        <f>#REF!*#REF!/1000</f>
        <v>#REF!</v>
      </c>
      <c r="BE61" s="444" t="e">
        <f>#REF!*#REF!</f>
        <v>#REF!</v>
      </c>
      <c r="BF61" s="433" t="e">
        <f>#REF!*TableauProduit[[#This Row],[Total (kg) N8]]</f>
        <v>#REF!</v>
      </c>
      <c r="BG61" s="445" t="e">
        <f>TableauProduit[[#This Row],[Prix de vente/kg]]*TableauProduit[[#This Row],[Total (kg) N8]]</f>
        <v>#REF!</v>
      </c>
      <c r="BH61" s="446" t="e">
        <f>#REF!-#REF!-TableauProduit[[#This Row],[Conditionnement N8]]</f>
        <v>#REF!</v>
      </c>
      <c r="BI61" s="460">
        <v>68</v>
      </c>
      <c r="BJ61" s="401" t="e">
        <f>#REF!*#REF!/1000</f>
        <v>#REF!</v>
      </c>
      <c r="BK61" s="447" t="e">
        <f>#REF!*#REF!</f>
        <v>#REF!</v>
      </c>
      <c r="BL61" s="435" t="e">
        <f>#REF!*TableauProduit[[#This Row],[Total (kg) N9]]</f>
        <v>#REF!</v>
      </c>
      <c r="BM61" s="448" t="e">
        <f>TableauProduit[[#This Row],[Prix de vente/kg]]*TableauProduit[[#This Row],[Total (kg) N9]]</f>
        <v>#REF!</v>
      </c>
      <c r="BN61" s="350" t="e">
        <f>#REF!-#REF!-TableauProduit[[#This Row],[Conditionnement N9]]</f>
        <v>#REF!</v>
      </c>
    </row>
    <row r="62" spans="1:66" x14ac:dyDescent="0.2">
      <c r="A62" s="402" t="s">
        <v>136</v>
      </c>
      <c r="B62" s="54" t="str">
        <f>TableauProduit[[#This Row],[Recette]]&amp;TableauProduit[[#This Row],[Conditionnement]]</f>
        <v>Baharat turcEpice 100ml</v>
      </c>
      <c r="C62" s="11">
        <v>1</v>
      </c>
      <c r="D62" s="11">
        <v>65</v>
      </c>
      <c r="E62" s="6" t="s">
        <v>73</v>
      </c>
      <c r="F62" s="7">
        <f>IFERROR(VLOOKUP(TableauProduit[[#This Row],[Conditionnement]],TableauConditionnement[[Nom]:[Contenance]],4,FALSE),"")</f>
        <v>0.64</v>
      </c>
      <c r="G62" s="463">
        <f>IFERROR(SUMIFS(TableauRecette[Prix d''achat / kg],TableauRecette[Recette],TableauProduit[[#This Row],[Recette]],TableauRecette[Conditionnement],TableauProduit[[#This Row],[Conditionnement]]),0)</f>
        <v>0</v>
      </c>
      <c r="H62" s="469">
        <v>7.8</v>
      </c>
      <c r="I62" s="465">
        <f>TableauProduit[[#This Row],[Prix de vente/U]]/TableauProduit[[#This Row],[Poids (g) / unite]]*1000</f>
        <v>120</v>
      </c>
      <c r="J62" s="466">
        <f>SUMIFS(TableauConcurence[PRIX_KG],TableauConcurence[PRODUIT],TableauProduit[[#This Row],[Recette]],TableauConcurence[DISTRIBUTION],"magasin NON BIO")</f>
        <v>69.900000000000006</v>
      </c>
      <c r="K62" s="467">
        <f>SUMIFS(TableauConcurence[PRIX_KG],TableauConcurence[PRODUIT],TableauProduit[[#This Row],[Recette]],TableauConcurence[DISTRIBUTION],"magasin BIO")</f>
        <v>110</v>
      </c>
      <c r="L62" s="468">
        <f>SUMIFS(TableauConcurence[PRIX_KG],TableauConcurence[PRODUIT],TableauProduit[[#This Row],[Recette]],TableauConcurence[DISTRIBUTION],"artisanale BIO")</f>
        <v>75</v>
      </c>
      <c r="M62" s="410">
        <v>0</v>
      </c>
      <c r="N62" s="333">
        <f>TableauProduit[[#This Row],[Objectif de vente en unite N1]]*TableauProduit[[#This Row],[Poids (g) / unite]]/1000</f>
        <v>0</v>
      </c>
      <c r="O62" s="425">
        <f>TableauProduit[[#This Row],[Packaging / unite]]*TableauProduit[[#This Row],[Objectif de vente en unite N1]]</f>
        <v>0</v>
      </c>
      <c r="P62" s="425">
        <f>SUMIF(TableauRecette[[#This Row],[Recette]],TableauProduit[[#This Row],[Recette]],TableauRecette[[#This Row],[Prix pour kg/ de melange]])</f>
        <v>0</v>
      </c>
      <c r="Q62" s="425">
        <f>TableauProduit[[#This Row],[Prix de vente/kg]]*TableauProduit[[#This Row],[Total (kg) N1]]</f>
        <v>0</v>
      </c>
      <c r="R62" s="432" t="e">
        <f>#REF!-#REF!-TableauProduit[[#This Row],[Conditionnement N1]]</f>
        <v>#REF!</v>
      </c>
      <c r="S62" s="411">
        <v>0</v>
      </c>
      <c r="T62" s="394" t="e">
        <f>#REF!*#REF!/1000</f>
        <v>#REF!</v>
      </c>
      <c r="U62" s="418" t="e">
        <f>#REF!*#REF!</f>
        <v>#REF!</v>
      </c>
      <c r="V62" s="417" t="e">
        <f>#REF!*TableauProduit[[#This Row],[Total (kg) N2]]</f>
        <v>#REF!</v>
      </c>
      <c r="W62" s="419" t="e">
        <f>TableauProduit[[#This Row],[Prix de vente/kg]]*TableauProduit[[#This Row],[Total (kg) N2]]</f>
        <v>#REF!</v>
      </c>
      <c r="X62" s="454" t="e">
        <f>#REF!-#REF!-TableauProduit[[#This Row],[Conditionnement N2]]</f>
        <v>#REF!</v>
      </c>
      <c r="Y62" s="413">
        <v>0</v>
      </c>
      <c r="Z62" s="395" t="e">
        <f>#REF!*#REF!/1000</f>
        <v>#REF!</v>
      </c>
      <c r="AA62" s="421" t="e">
        <f>#REF!*#REF!</f>
        <v>#REF!</v>
      </c>
      <c r="AB62" s="420" t="e">
        <f>#REF!*TableauProduit[[#This Row],[Total (kg) N3]]</f>
        <v>#REF!</v>
      </c>
      <c r="AC62" s="422" t="e">
        <f>TableauProduit[[#This Row],[Prix de vente/kg]]*TableauProduit[[#This Row],[Total (kg) N3]]</f>
        <v>#REF!</v>
      </c>
      <c r="AD62" s="455" t="e">
        <f>#REF!-#REF!-TableauProduit[[#This Row],[Conditionnement N3]]</f>
        <v>#REF!</v>
      </c>
      <c r="AE62" s="456">
        <v>50</v>
      </c>
      <c r="AF62" s="396" t="e">
        <f>#REF!*#REF!/1000</f>
        <v>#REF!</v>
      </c>
      <c r="AG62" s="424" t="e">
        <f>#REF!*#REF!</f>
        <v>#REF!</v>
      </c>
      <c r="AH62" s="423" t="e">
        <f>#REF!*TableauProduit[[#This Row],[Total (kg) N4]]</f>
        <v>#REF!</v>
      </c>
      <c r="AI62" s="436" t="e">
        <f>TableauProduit[[#This Row],[Prix de vente/kg]]*TableauProduit[[#This Row],[Total (kg) N4]]</f>
        <v>#REF!</v>
      </c>
      <c r="AJ62" s="437" t="e">
        <f>#REF!-#REF!-TableauProduit[[#This Row],[Conditionnement N4]]</f>
        <v>#REF!</v>
      </c>
      <c r="AK62" s="457">
        <v>60</v>
      </c>
      <c r="AL62" s="397" t="e">
        <f>#REF!*#REF!/1000</f>
        <v>#REF!</v>
      </c>
      <c r="AM62" s="438" t="e">
        <f>#REF!*#REF!</f>
        <v>#REF!</v>
      </c>
      <c r="AN62" s="430" t="e">
        <f>#REF!*TableauProduit[[#This Row],[Total (kg) N5]]</f>
        <v>#REF!</v>
      </c>
      <c r="AO62" s="439" t="e">
        <f>TableauProduit[[#This Row],[Prix de vente/kg]]*TableauProduit[[#This Row],[Total (kg) N5]]</f>
        <v>#REF!</v>
      </c>
      <c r="AP62" s="440" t="e">
        <f>#REF!-#REF!-TableauProduit[[#This Row],[Conditionnement N5]]</f>
        <v>#REF!</v>
      </c>
      <c r="AQ62" s="458">
        <v>65</v>
      </c>
      <c r="AR62" s="398" t="e">
        <f>#REF!*#REF!/1000</f>
        <v>#REF!</v>
      </c>
      <c r="AS62" s="441" t="e">
        <f>#REF!*#REF!</f>
        <v>#REF!</v>
      </c>
      <c r="AT62" s="431" t="e">
        <f>#REF!*TableauProduit[[#This Row],[Total (kg) N6]]</f>
        <v>#REF!</v>
      </c>
      <c r="AU62" s="442" t="e">
        <f>TableauProduit[[#This Row],[Prix de vente/kg]]*TableauProduit[[#This Row],[Total (kg) N6]]</f>
        <v>#REF!</v>
      </c>
      <c r="AV62" s="443" t="e">
        <f>#REF!-#REF!-TableauProduit[[#This Row],[Conditionnement N6]]</f>
        <v>#REF!</v>
      </c>
      <c r="AW62" s="453">
        <v>68</v>
      </c>
      <c r="AX62" s="399" t="e">
        <f>#REF!*#REF!/1000</f>
        <v>#REF!</v>
      </c>
      <c r="AY62" s="426" t="e">
        <f>#REF!*#REF!</f>
        <v>#REF!</v>
      </c>
      <c r="AZ62" s="425" t="e">
        <f>#REF!*TableauProduit[[#This Row],[Total (kg) N7]]</f>
        <v>#REF!</v>
      </c>
      <c r="BA62" s="427" t="e">
        <f>TableauProduit[[#This Row],[Prix de vente/kg]]*TableauProduit[[#This Row],[Total (kg) N7]]</f>
        <v>#REF!</v>
      </c>
      <c r="BB62" s="432" t="e">
        <f>#REF!-#REF!-TableauProduit[[#This Row],[Conditionnement N7]]</f>
        <v>#REF!</v>
      </c>
      <c r="BC62" s="415">
        <v>68</v>
      </c>
      <c r="BD62" s="400" t="e">
        <f>#REF!*#REF!/1000</f>
        <v>#REF!</v>
      </c>
      <c r="BE62" s="444" t="e">
        <f>#REF!*#REF!</f>
        <v>#REF!</v>
      </c>
      <c r="BF62" s="433" t="e">
        <f>#REF!*TableauProduit[[#This Row],[Total (kg) N8]]</f>
        <v>#REF!</v>
      </c>
      <c r="BG62" s="445" t="e">
        <f>TableauProduit[[#This Row],[Prix de vente/kg]]*TableauProduit[[#This Row],[Total (kg) N8]]</f>
        <v>#REF!</v>
      </c>
      <c r="BH62" s="446" t="e">
        <f>#REF!-#REF!-TableauProduit[[#This Row],[Conditionnement N8]]</f>
        <v>#REF!</v>
      </c>
      <c r="BI62" s="460">
        <v>68</v>
      </c>
      <c r="BJ62" s="401" t="e">
        <f>#REF!*#REF!/1000</f>
        <v>#REF!</v>
      </c>
      <c r="BK62" s="447" t="e">
        <f>#REF!*#REF!</f>
        <v>#REF!</v>
      </c>
      <c r="BL62" s="435" t="e">
        <f>#REF!*TableauProduit[[#This Row],[Total (kg) N9]]</f>
        <v>#REF!</v>
      </c>
      <c r="BM62" s="448" t="e">
        <f>TableauProduit[[#This Row],[Prix de vente/kg]]*TableauProduit[[#This Row],[Total (kg) N9]]</f>
        <v>#REF!</v>
      </c>
      <c r="BN62" s="350" t="e">
        <f>#REF!-#REF!-TableauProduit[[#This Row],[Conditionnement N9]]</f>
        <v>#REF!</v>
      </c>
    </row>
    <row r="63" spans="1:66" x14ac:dyDescent="0.2">
      <c r="A63" s="462" t="s">
        <v>137</v>
      </c>
      <c r="B63" s="54" t="str">
        <f>TableauProduit[[#This Row],[Recette]]&amp;TableauProduit[[#This Row],[Conditionnement]]</f>
        <v>AdviehEpice 100ml</v>
      </c>
      <c r="C63" s="11">
        <v>1</v>
      </c>
      <c r="D63" s="11">
        <v>45</v>
      </c>
      <c r="E63" s="6" t="s">
        <v>73</v>
      </c>
      <c r="F63" s="7">
        <f>IFERROR(VLOOKUP(TableauProduit[[#This Row],[Conditionnement]],TableauConditionnement[[Nom]:[Contenance]],4,FALSE),"")</f>
        <v>0.64</v>
      </c>
      <c r="G63" s="471">
        <f>IFERROR(SUMIFS(TableauRecette[Prix d''achat / kg],TableauRecette[Recette],TableauProduit[[#This Row],[Recette]],TableauRecette[Conditionnement],TableauProduit[[#This Row],[Conditionnement]]),0)</f>
        <v>0</v>
      </c>
      <c r="H63" s="469">
        <v>7.2</v>
      </c>
      <c r="I63" s="465">
        <f>TableauProduit[[#This Row],[Prix de vente/U]]/TableauProduit[[#This Row],[Poids (g) / unite]]*1000</f>
        <v>160</v>
      </c>
      <c r="J63" s="466">
        <f>SUMIFS(TableauConcurence[PRIX_KG],TableauConcurence[PRODUIT],TableauProduit[[#This Row],[Recette]],TableauConcurence[DISTRIBUTION],"magasin NON BIO")</f>
        <v>69.900000000000006</v>
      </c>
      <c r="K63" s="472">
        <f>SUMIFS(TableauConcurence[PRIX_KG],TableauConcurence[PRODUIT],TableauProduit[[#This Row],[Recette]],TableauConcurence[DISTRIBUTION],"magasin BIO")</f>
        <v>100</v>
      </c>
      <c r="L63" s="473">
        <f>SUMIFS(TableauConcurence[PRIX_KG],TableauConcurence[PRODUIT],TableauProduit[[#This Row],[Recette]],TableauConcurence[DISTRIBUTION],"artisanale BIO")</f>
        <v>75</v>
      </c>
      <c r="M63" s="453">
        <v>0</v>
      </c>
      <c r="N63" s="333">
        <f>TableauProduit[[#This Row],[Objectif de vente en unite N1]]*TableauProduit[[#This Row],[Poids (g) / unite]]/1000</f>
        <v>0</v>
      </c>
      <c r="O63" s="425">
        <f>TableauProduit[[#This Row],[Packaging / unite]]*TableauProduit[[#This Row],[Objectif de vente en unite N1]]</f>
        <v>0</v>
      </c>
      <c r="P63" s="425">
        <f>SUMIF(TableauRecette[[#This Row],[Recette]],TableauProduit[[#This Row],[Recette]],TableauRecette[[#This Row],[Prix pour kg/ de melange]])</f>
        <v>0</v>
      </c>
      <c r="Q63" s="425">
        <f>TableauProduit[[#This Row],[Prix de vente/kg]]*TableauProduit[[#This Row],[Total (kg) N1]]</f>
        <v>0</v>
      </c>
      <c r="R63" s="432" t="e">
        <f>#REF!-#REF!-TableauProduit[[#This Row],[Conditionnement N1]]</f>
        <v>#REF!</v>
      </c>
      <c r="S63" s="454">
        <v>0</v>
      </c>
      <c r="T63" s="394" t="e">
        <f>#REF!*#REF!/1000</f>
        <v>#REF!</v>
      </c>
      <c r="U63" s="418" t="e">
        <f>#REF!*#REF!</f>
        <v>#REF!</v>
      </c>
      <c r="V63" s="417" t="e">
        <f>#REF!*TableauProduit[[#This Row],[Total (kg) N2]]</f>
        <v>#REF!</v>
      </c>
      <c r="W63" s="419" t="e">
        <f>TableauProduit[[#This Row],[Prix de vente/kg]]*TableauProduit[[#This Row],[Total (kg) N2]]</f>
        <v>#REF!</v>
      </c>
      <c r="X63" s="454" t="e">
        <f>#REF!-#REF!-TableauProduit[[#This Row],[Conditionnement N2]]</f>
        <v>#REF!</v>
      </c>
      <c r="Y63" s="455">
        <v>0</v>
      </c>
      <c r="Z63" s="395" t="e">
        <f>#REF!*#REF!/1000</f>
        <v>#REF!</v>
      </c>
      <c r="AA63" s="421" t="e">
        <f>#REF!*#REF!</f>
        <v>#REF!</v>
      </c>
      <c r="AB63" s="420" t="e">
        <f>#REF!*TableauProduit[[#This Row],[Total (kg) N3]]</f>
        <v>#REF!</v>
      </c>
      <c r="AC63" s="422" t="e">
        <f>TableauProduit[[#This Row],[Prix de vente/kg]]*TableauProduit[[#This Row],[Total (kg) N3]]</f>
        <v>#REF!</v>
      </c>
      <c r="AD63" s="455" t="e">
        <f>#REF!-#REF!-TableauProduit[[#This Row],[Conditionnement N3]]</f>
        <v>#REF!</v>
      </c>
      <c r="AE63" s="456">
        <v>50</v>
      </c>
      <c r="AF63" s="396" t="e">
        <f>#REF!*#REF!/1000</f>
        <v>#REF!</v>
      </c>
      <c r="AG63" s="424" t="e">
        <f>#REF!*#REF!</f>
        <v>#REF!</v>
      </c>
      <c r="AH63" s="423" t="e">
        <f>#REF!*TableauProduit[[#This Row],[Total (kg) N4]]</f>
        <v>#REF!</v>
      </c>
      <c r="AI63" s="436" t="e">
        <f>TableauProduit[[#This Row],[Prix de vente/kg]]*TableauProduit[[#This Row],[Total (kg) N4]]</f>
        <v>#REF!</v>
      </c>
      <c r="AJ63" s="437" t="e">
        <f>#REF!-#REF!-TableauProduit[[#This Row],[Conditionnement N4]]</f>
        <v>#REF!</v>
      </c>
      <c r="AK63" s="457">
        <v>60</v>
      </c>
      <c r="AL63" s="397" t="e">
        <f>#REF!*#REF!/1000</f>
        <v>#REF!</v>
      </c>
      <c r="AM63" s="438" t="e">
        <f>#REF!*#REF!</f>
        <v>#REF!</v>
      </c>
      <c r="AN63" s="430" t="e">
        <f>#REF!*TableauProduit[[#This Row],[Total (kg) N5]]</f>
        <v>#REF!</v>
      </c>
      <c r="AO63" s="439" t="e">
        <f>TableauProduit[[#This Row],[Prix de vente/kg]]*TableauProduit[[#This Row],[Total (kg) N5]]</f>
        <v>#REF!</v>
      </c>
      <c r="AP63" s="440" t="e">
        <f>#REF!-#REF!-TableauProduit[[#This Row],[Conditionnement N5]]</f>
        <v>#REF!</v>
      </c>
      <c r="AQ63" s="458">
        <v>65</v>
      </c>
      <c r="AR63" s="398" t="e">
        <f>#REF!*#REF!/1000</f>
        <v>#REF!</v>
      </c>
      <c r="AS63" s="441" t="e">
        <f>#REF!*#REF!</f>
        <v>#REF!</v>
      </c>
      <c r="AT63" s="431" t="e">
        <f>#REF!*TableauProduit[[#This Row],[Total (kg) N6]]</f>
        <v>#REF!</v>
      </c>
      <c r="AU63" s="442" t="e">
        <f>TableauProduit[[#This Row],[Prix de vente/kg]]*TableauProduit[[#This Row],[Total (kg) N6]]</f>
        <v>#REF!</v>
      </c>
      <c r="AV63" s="443" t="e">
        <f>#REF!-#REF!-TableauProduit[[#This Row],[Conditionnement N6]]</f>
        <v>#REF!</v>
      </c>
      <c r="AW63" s="453">
        <v>68</v>
      </c>
      <c r="AX63" s="399" t="e">
        <f>#REF!*#REF!/1000</f>
        <v>#REF!</v>
      </c>
      <c r="AY63" s="426" t="e">
        <f>#REF!*#REF!</f>
        <v>#REF!</v>
      </c>
      <c r="AZ63" s="425" t="e">
        <f>#REF!*TableauProduit[[#This Row],[Total (kg) N7]]</f>
        <v>#REF!</v>
      </c>
      <c r="BA63" s="427" t="e">
        <f>TableauProduit[[#This Row],[Prix de vente/kg]]*TableauProduit[[#This Row],[Total (kg) N7]]</f>
        <v>#REF!</v>
      </c>
      <c r="BB63" s="452" t="e">
        <f>#REF!-#REF!-TableauProduit[[#This Row],[Conditionnement N7]]</f>
        <v>#REF!</v>
      </c>
      <c r="BC63" s="459">
        <v>68</v>
      </c>
      <c r="BD63" s="400" t="e">
        <f>#REF!*#REF!/1000</f>
        <v>#REF!</v>
      </c>
      <c r="BE63" s="444" t="e">
        <f>#REF!*#REF!</f>
        <v>#REF!</v>
      </c>
      <c r="BF63" s="433" t="e">
        <f>#REF!*TableauProduit[[#This Row],[Total (kg) N8]]</f>
        <v>#REF!</v>
      </c>
      <c r="BG63" s="445" t="e">
        <f>TableauProduit[[#This Row],[Prix de vente/kg]]*TableauProduit[[#This Row],[Total (kg) N8]]</f>
        <v>#REF!</v>
      </c>
      <c r="BH63" s="446" t="e">
        <f>#REF!-#REF!-TableauProduit[[#This Row],[Conditionnement N8]]</f>
        <v>#REF!</v>
      </c>
      <c r="BI63" s="460">
        <v>68</v>
      </c>
      <c r="BJ63" s="401" t="e">
        <f>#REF!*#REF!/1000</f>
        <v>#REF!</v>
      </c>
      <c r="BK63" s="447" t="e">
        <f>#REF!*#REF!</f>
        <v>#REF!</v>
      </c>
      <c r="BL63" s="435" t="e">
        <f>#REF!*TableauProduit[[#This Row],[Total (kg) N9]]</f>
        <v>#REF!</v>
      </c>
      <c r="BM63" s="448" t="e">
        <f>TableauProduit[[#This Row],[Prix de vente/kg]]*TableauProduit[[#This Row],[Total (kg) N9]]</f>
        <v>#REF!</v>
      </c>
      <c r="BN63" s="350" t="e">
        <f>#REF!-#REF!-TableauProduit[[#This Row],[Conditionnement N9]]</f>
        <v>#REF!</v>
      </c>
    </row>
    <row r="64" spans="1:66" x14ac:dyDescent="0.2">
      <c r="A64" s="461" t="s">
        <v>138</v>
      </c>
      <c r="B64" s="54" t="str">
        <f>TableauProduit[[#This Row],[Recette]]&amp;TableauProduit[[#This Row],[Conditionnement]]</f>
        <v>Garam masala birmanEpice 100ml</v>
      </c>
      <c r="C64" s="11">
        <v>1</v>
      </c>
      <c r="D64" s="11">
        <v>50</v>
      </c>
      <c r="E64" s="6" t="s">
        <v>73</v>
      </c>
      <c r="F64" s="7">
        <f>IFERROR(VLOOKUP(TableauProduit[[#This Row],[Conditionnement]],TableauConditionnement[[Nom]:[Contenance]],4,FALSE),"")</f>
        <v>0.64</v>
      </c>
      <c r="G64" s="471">
        <f>IFERROR(SUMIFS(TableauRecette[Prix d''achat / kg],TableauRecette[Recette],TableauProduit[[#This Row],[Recette]],TableauRecette[Conditionnement],TableauProduit[[#This Row],[Conditionnement]]),0)</f>
        <v>0</v>
      </c>
      <c r="H64" s="469">
        <v>5</v>
      </c>
      <c r="I64" s="465">
        <f>TableauProduit[[#This Row],[Prix de vente/U]]/TableauProduit[[#This Row],[Poids (g) / unite]]*1000</f>
        <v>100</v>
      </c>
      <c r="J64" s="466">
        <f>SUMIFS(TableauConcurence[PRIX_KG],TableauConcurence[PRODUIT],TableauProduit[[#This Row],[Recette]],TableauConcurence[DISTRIBUTION],"magasin NON BIO")</f>
        <v>0</v>
      </c>
      <c r="K64" s="472">
        <f>SUMIFS(TableauConcurence[PRIX_KG],TableauConcurence[PRODUIT],TableauProduit[[#This Row],[Recette]],TableauConcurence[DISTRIBUTION],"magasin BIO")</f>
        <v>0</v>
      </c>
      <c r="L64" s="473">
        <f>SUMIFS(TableauConcurence[PRIX_KG],TableauConcurence[PRODUIT],TableauProduit[[#This Row],[Recette]],TableauConcurence[DISTRIBUTION],"artisanale BIO")</f>
        <v>0</v>
      </c>
      <c r="M64" s="453">
        <v>0</v>
      </c>
      <c r="N64" s="333">
        <f>TableauProduit[[#This Row],[Objectif de vente en unite N1]]*TableauProduit[[#This Row],[Poids (g) / unite]]/1000</f>
        <v>0</v>
      </c>
      <c r="O64" s="425">
        <f>TableauProduit[[#This Row],[Packaging / unite]]*TableauProduit[[#This Row],[Objectif de vente en unite N1]]</f>
        <v>0</v>
      </c>
      <c r="P64" s="425">
        <f>SUMIF(TableauRecette[[#This Row],[Recette]],TableauProduit[[#This Row],[Recette]],TableauRecette[[#This Row],[Prix pour kg/ de melange]])</f>
        <v>0</v>
      </c>
      <c r="Q64" s="427">
        <f>TableauProduit[[#This Row],[Prix de vente/kg]]*TableauProduit[[#This Row],[Total (kg) N1]]</f>
        <v>0</v>
      </c>
      <c r="R64" s="432" t="e">
        <f>#REF!-#REF!-TableauProduit[[#This Row],[Conditionnement N1]]</f>
        <v>#REF!</v>
      </c>
      <c r="S64" s="454">
        <v>0</v>
      </c>
      <c r="T64" s="394" t="e">
        <f>#REF!*#REF!/1000</f>
        <v>#REF!</v>
      </c>
      <c r="U64" s="418" t="e">
        <f>#REF!*#REF!</f>
        <v>#REF!</v>
      </c>
      <c r="V64" s="417" t="e">
        <f>#REF!*TableauProduit[[#This Row],[Total (kg) N2]]</f>
        <v>#REF!</v>
      </c>
      <c r="W64" s="419" t="e">
        <f>TableauProduit[[#This Row],[Prix de vente/kg]]*TableauProduit[[#This Row],[Total (kg) N2]]</f>
        <v>#REF!</v>
      </c>
      <c r="X64" s="454" t="e">
        <f>#REF!-#REF!-TableauProduit[[#This Row],[Conditionnement N2]]</f>
        <v>#REF!</v>
      </c>
      <c r="Y64" s="455">
        <v>0</v>
      </c>
      <c r="Z64" s="395" t="e">
        <f>#REF!*#REF!/1000</f>
        <v>#REF!</v>
      </c>
      <c r="AA64" s="421" t="e">
        <f>#REF!*#REF!</f>
        <v>#REF!</v>
      </c>
      <c r="AB64" s="420" t="e">
        <f>#REF!*TableauProduit[[#This Row],[Total (kg) N3]]</f>
        <v>#REF!</v>
      </c>
      <c r="AC64" s="422" t="e">
        <f>TableauProduit[[#This Row],[Prix de vente/kg]]*TableauProduit[[#This Row],[Total (kg) N3]]</f>
        <v>#REF!</v>
      </c>
      <c r="AD64" s="455" t="e">
        <f>#REF!-#REF!-TableauProduit[[#This Row],[Conditionnement N3]]</f>
        <v>#REF!</v>
      </c>
      <c r="AE64" s="456">
        <v>50</v>
      </c>
      <c r="AF64" s="396" t="e">
        <f>#REF!*#REF!/1000</f>
        <v>#REF!</v>
      </c>
      <c r="AG64" s="424" t="e">
        <f>#REF!*#REF!</f>
        <v>#REF!</v>
      </c>
      <c r="AH64" s="423" t="e">
        <f>#REF!*TableauProduit[[#This Row],[Total (kg) N4]]</f>
        <v>#REF!</v>
      </c>
      <c r="AI64" s="436" t="e">
        <f>TableauProduit[[#This Row],[Prix de vente/kg]]*TableauProduit[[#This Row],[Total (kg) N4]]</f>
        <v>#REF!</v>
      </c>
      <c r="AJ64" s="437" t="e">
        <f>#REF!-#REF!-TableauProduit[[#This Row],[Conditionnement N4]]</f>
        <v>#REF!</v>
      </c>
      <c r="AK64" s="457">
        <v>60</v>
      </c>
      <c r="AL64" s="397" t="e">
        <f>#REF!*#REF!/1000</f>
        <v>#REF!</v>
      </c>
      <c r="AM64" s="438" t="e">
        <f>#REF!*#REF!</f>
        <v>#REF!</v>
      </c>
      <c r="AN64" s="430" t="e">
        <f>#REF!*TableauProduit[[#This Row],[Total (kg) N5]]</f>
        <v>#REF!</v>
      </c>
      <c r="AO64" s="439" t="e">
        <f>TableauProduit[[#This Row],[Prix de vente/kg]]*TableauProduit[[#This Row],[Total (kg) N5]]</f>
        <v>#REF!</v>
      </c>
      <c r="AP64" s="440" t="e">
        <f>#REF!-#REF!-TableauProduit[[#This Row],[Conditionnement N5]]</f>
        <v>#REF!</v>
      </c>
      <c r="AQ64" s="458">
        <v>65</v>
      </c>
      <c r="AR64" s="398" t="e">
        <f>#REF!*#REF!/1000</f>
        <v>#REF!</v>
      </c>
      <c r="AS64" s="441" t="e">
        <f>#REF!*#REF!</f>
        <v>#REF!</v>
      </c>
      <c r="AT64" s="431" t="e">
        <f>#REF!*TableauProduit[[#This Row],[Total (kg) N6]]</f>
        <v>#REF!</v>
      </c>
      <c r="AU64" s="442" t="e">
        <f>TableauProduit[[#This Row],[Prix de vente/kg]]*TableauProduit[[#This Row],[Total (kg) N6]]</f>
        <v>#REF!</v>
      </c>
      <c r="AV64" s="443" t="e">
        <f>#REF!-#REF!-TableauProduit[[#This Row],[Conditionnement N6]]</f>
        <v>#REF!</v>
      </c>
      <c r="AW64" s="453">
        <v>68</v>
      </c>
      <c r="AX64" s="399" t="e">
        <f>#REF!*#REF!/1000</f>
        <v>#REF!</v>
      </c>
      <c r="AY64" s="426" t="e">
        <f>#REF!*#REF!</f>
        <v>#REF!</v>
      </c>
      <c r="AZ64" s="425" t="e">
        <f>#REF!*TableauProduit[[#This Row],[Total (kg) N7]]</f>
        <v>#REF!</v>
      </c>
      <c r="BA64" s="427" t="e">
        <f>TableauProduit[[#This Row],[Prix de vente/kg]]*TableauProduit[[#This Row],[Total (kg) N7]]</f>
        <v>#REF!</v>
      </c>
      <c r="BB64" s="452" t="e">
        <f>#REF!-#REF!-TableauProduit[[#This Row],[Conditionnement N7]]</f>
        <v>#REF!</v>
      </c>
      <c r="BC64" s="459">
        <v>68</v>
      </c>
      <c r="BD64" s="400" t="e">
        <f>#REF!*#REF!/1000</f>
        <v>#REF!</v>
      </c>
      <c r="BE64" s="444" t="e">
        <f>#REF!*#REF!</f>
        <v>#REF!</v>
      </c>
      <c r="BF64" s="433" t="e">
        <f>#REF!*TableauProduit[[#This Row],[Total (kg) N8]]</f>
        <v>#REF!</v>
      </c>
      <c r="BG64" s="445" t="e">
        <f>TableauProduit[[#This Row],[Prix de vente/kg]]*TableauProduit[[#This Row],[Total (kg) N8]]</f>
        <v>#REF!</v>
      </c>
      <c r="BH64" s="446" t="e">
        <f>#REF!-#REF!-TableauProduit[[#This Row],[Conditionnement N8]]</f>
        <v>#REF!</v>
      </c>
      <c r="BI64" s="460">
        <v>68</v>
      </c>
      <c r="BJ64" s="401" t="e">
        <f>#REF!*#REF!/1000</f>
        <v>#REF!</v>
      </c>
      <c r="BK64" s="447" t="e">
        <f>#REF!*#REF!</f>
        <v>#REF!</v>
      </c>
      <c r="BL64" s="435" t="e">
        <f>#REF!*TableauProduit[[#This Row],[Total (kg) N9]]</f>
        <v>#REF!</v>
      </c>
      <c r="BM64" s="448" t="e">
        <f>TableauProduit[[#This Row],[Prix de vente/kg]]*TableauProduit[[#This Row],[Total (kg) N9]]</f>
        <v>#REF!</v>
      </c>
      <c r="BN64" s="350" t="e">
        <f>#REF!-#REF!-TableauProduit[[#This Row],[Conditionnement N9]]</f>
        <v>#REF!</v>
      </c>
    </row>
    <row r="65" spans="1:66" x14ac:dyDescent="0.2">
      <c r="A65" s="461" t="s">
        <v>139</v>
      </c>
      <c r="B65" s="54" t="str">
        <f>TableauProduit[[#This Row],[Recette]]&amp;TableauProduit[[#This Row],[Conditionnement]]</f>
        <v>Quatre épicesEpice 100ml</v>
      </c>
      <c r="C65" s="11">
        <v>1</v>
      </c>
      <c r="D65" s="11">
        <v>50</v>
      </c>
      <c r="E65" s="6" t="s">
        <v>73</v>
      </c>
      <c r="F65" s="7">
        <f>IFERROR(VLOOKUP(TableauProduit[[#This Row],[Conditionnement]],TableauConditionnement[[Nom]:[Contenance]],4,FALSE),"")</f>
        <v>0.64</v>
      </c>
      <c r="G65" s="471">
        <f>IFERROR(SUMIFS(TableauRecette[Prix d''achat / kg],TableauRecette[Recette],TableauProduit[[#This Row],[Recette]],TableauRecette[Conditionnement],TableauProduit[[#This Row],[Conditionnement]]),0)</f>
        <v>0</v>
      </c>
      <c r="H65" s="469">
        <v>5</v>
      </c>
      <c r="I65" s="465">
        <f>TableauProduit[[#This Row],[Prix de vente/U]]/TableauProduit[[#This Row],[Poids (g) / unite]]*1000</f>
        <v>100</v>
      </c>
      <c r="J65" s="466">
        <f>SUMIFS(TableauConcurence[PRIX_KG],TableauConcurence[PRODUIT],TableauProduit[[#This Row],[Recette]],TableauConcurence[DISTRIBUTION],"magasin NON BIO")</f>
        <v>0</v>
      </c>
      <c r="K65" s="472">
        <f>SUMIFS(TableauConcurence[PRIX_KG],TableauConcurence[PRODUIT],TableauProduit[[#This Row],[Recette]],TableauConcurence[DISTRIBUTION],"magasin BIO")</f>
        <v>0</v>
      </c>
      <c r="L65" s="473">
        <f>SUMIFS(TableauConcurence[PRIX_KG],TableauConcurence[PRODUIT],TableauProduit[[#This Row],[Recette]],TableauConcurence[DISTRIBUTION],"artisanale BIO")</f>
        <v>0</v>
      </c>
      <c r="M65" s="453">
        <v>0</v>
      </c>
      <c r="N65" s="333">
        <f>TableauProduit[[#This Row],[Objectif de vente en unite N1]]*TableauProduit[[#This Row],[Poids (g) / unite]]/1000</f>
        <v>0</v>
      </c>
      <c r="O65" s="425">
        <f>TableauProduit[[#This Row],[Packaging / unite]]*TableauProduit[[#This Row],[Objectif de vente en unite N1]]</f>
        <v>0</v>
      </c>
      <c r="P65" s="425">
        <f>SUMIF(TableauRecette[[#This Row],[Recette]],TableauProduit[[#This Row],[Recette]],TableauRecette[[#This Row],[Prix pour kg/ de melange]])</f>
        <v>0</v>
      </c>
      <c r="Q65" s="427">
        <f>TableauProduit[[#This Row],[Prix de vente/kg]]*TableauProduit[[#This Row],[Total (kg) N1]]</f>
        <v>0</v>
      </c>
      <c r="R65" s="432" t="e">
        <f>#REF!-#REF!-TableauProduit[[#This Row],[Conditionnement N1]]</f>
        <v>#REF!</v>
      </c>
      <c r="S65" s="454">
        <v>0</v>
      </c>
      <c r="T65" s="394" t="e">
        <f>#REF!*#REF!/1000</f>
        <v>#REF!</v>
      </c>
      <c r="U65" s="418" t="e">
        <f>#REF!*#REF!</f>
        <v>#REF!</v>
      </c>
      <c r="V65" s="417" t="e">
        <f>#REF!*TableauProduit[[#This Row],[Total (kg) N2]]</f>
        <v>#REF!</v>
      </c>
      <c r="W65" s="419" t="e">
        <f>TableauProduit[[#This Row],[Prix de vente/kg]]*TableauProduit[[#This Row],[Total (kg) N2]]</f>
        <v>#REF!</v>
      </c>
      <c r="X65" s="454" t="e">
        <f>#REF!-#REF!-TableauProduit[[#This Row],[Conditionnement N2]]</f>
        <v>#REF!</v>
      </c>
      <c r="Y65" s="455">
        <v>70</v>
      </c>
      <c r="Z65" s="395" t="e">
        <f>#REF!*#REF!/1000</f>
        <v>#REF!</v>
      </c>
      <c r="AA65" s="421" t="e">
        <f>#REF!*#REF!</f>
        <v>#REF!</v>
      </c>
      <c r="AB65" s="420" t="e">
        <f>#REF!*TableauProduit[[#This Row],[Total (kg) N3]]</f>
        <v>#REF!</v>
      </c>
      <c r="AC65" s="422" t="e">
        <f>TableauProduit[[#This Row],[Prix de vente/kg]]*TableauProduit[[#This Row],[Total (kg) N3]]</f>
        <v>#REF!</v>
      </c>
      <c r="AD65" s="455" t="e">
        <f>#REF!-#REF!-TableauProduit[[#This Row],[Conditionnement N3]]</f>
        <v>#REF!</v>
      </c>
      <c r="AE65" s="456">
        <v>88</v>
      </c>
      <c r="AF65" s="396" t="e">
        <f>#REF!*#REF!/1000</f>
        <v>#REF!</v>
      </c>
      <c r="AG65" s="424" t="e">
        <f>#REF!*#REF!</f>
        <v>#REF!</v>
      </c>
      <c r="AH65" s="423" t="e">
        <f>#REF!*TableauProduit[[#This Row],[Total (kg) N4]]</f>
        <v>#REF!</v>
      </c>
      <c r="AI65" s="436" t="e">
        <f>TableauProduit[[#This Row],[Prix de vente/kg]]*TableauProduit[[#This Row],[Total (kg) N4]]</f>
        <v>#REF!</v>
      </c>
      <c r="AJ65" s="437" t="e">
        <f>#REF!-#REF!-TableauProduit[[#This Row],[Conditionnement N4]]</f>
        <v>#REF!</v>
      </c>
      <c r="AK65" s="457">
        <v>98</v>
      </c>
      <c r="AL65" s="397" t="e">
        <f>#REF!*#REF!/1000</f>
        <v>#REF!</v>
      </c>
      <c r="AM65" s="438" t="e">
        <f>#REF!*#REF!</f>
        <v>#REF!</v>
      </c>
      <c r="AN65" s="430" t="e">
        <f>#REF!*TableauProduit[[#This Row],[Total (kg) N5]]</f>
        <v>#REF!</v>
      </c>
      <c r="AO65" s="439" t="e">
        <f>TableauProduit[[#This Row],[Prix de vente/kg]]*TableauProduit[[#This Row],[Total (kg) N5]]</f>
        <v>#REF!</v>
      </c>
      <c r="AP65" s="440" t="e">
        <f>#REF!-#REF!-TableauProduit[[#This Row],[Conditionnement N5]]</f>
        <v>#REF!</v>
      </c>
      <c r="AQ65" s="458">
        <v>102</v>
      </c>
      <c r="AR65" s="398" t="e">
        <f>#REF!*#REF!/1000</f>
        <v>#REF!</v>
      </c>
      <c r="AS65" s="441" t="e">
        <f>#REF!*#REF!</f>
        <v>#REF!</v>
      </c>
      <c r="AT65" s="431" t="e">
        <f>#REF!*TableauProduit[[#This Row],[Total (kg) N6]]</f>
        <v>#REF!</v>
      </c>
      <c r="AU65" s="442" t="e">
        <f>TableauProduit[[#This Row],[Prix de vente/kg]]*TableauProduit[[#This Row],[Total (kg) N6]]</f>
        <v>#REF!</v>
      </c>
      <c r="AV65" s="443" t="e">
        <f>#REF!-#REF!-TableauProduit[[#This Row],[Conditionnement N6]]</f>
        <v>#REF!</v>
      </c>
      <c r="AW65" s="453">
        <v>102</v>
      </c>
      <c r="AX65" s="399" t="e">
        <f>#REF!*#REF!/1000</f>
        <v>#REF!</v>
      </c>
      <c r="AY65" s="426" t="e">
        <f>#REF!*#REF!</f>
        <v>#REF!</v>
      </c>
      <c r="AZ65" s="425" t="e">
        <f>#REF!*TableauProduit[[#This Row],[Total (kg) N7]]</f>
        <v>#REF!</v>
      </c>
      <c r="BA65" s="427" t="e">
        <f>TableauProduit[[#This Row],[Prix de vente/kg]]*TableauProduit[[#This Row],[Total (kg) N7]]</f>
        <v>#REF!</v>
      </c>
      <c r="BB65" s="452" t="e">
        <f>#REF!-#REF!-TableauProduit[[#This Row],[Conditionnement N7]]</f>
        <v>#REF!</v>
      </c>
      <c r="BC65" s="459">
        <v>102</v>
      </c>
      <c r="BD65" s="400" t="e">
        <f>#REF!*#REF!/1000</f>
        <v>#REF!</v>
      </c>
      <c r="BE65" s="444" t="e">
        <f>#REF!*#REF!</f>
        <v>#REF!</v>
      </c>
      <c r="BF65" s="433" t="e">
        <f>#REF!*TableauProduit[[#This Row],[Total (kg) N8]]</f>
        <v>#REF!</v>
      </c>
      <c r="BG65" s="445" t="e">
        <f>TableauProduit[[#This Row],[Prix de vente/kg]]*TableauProduit[[#This Row],[Total (kg) N8]]</f>
        <v>#REF!</v>
      </c>
      <c r="BH65" s="446" t="e">
        <f>#REF!-#REF!-TableauProduit[[#This Row],[Conditionnement N8]]</f>
        <v>#REF!</v>
      </c>
      <c r="BI65" s="460">
        <v>102</v>
      </c>
      <c r="BJ65" s="401" t="e">
        <f>#REF!*#REF!/1000</f>
        <v>#REF!</v>
      </c>
      <c r="BK65" s="447" t="e">
        <f>#REF!*#REF!</f>
        <v>#REF!</v>
      </c>
      <c r="BL65" s="435" t="e">
        <f>#REF!*TableauProduit[[#This Row],[Total (kg) N9]]</f>
        <v>#REF!</v>
      </c>
      <c r="BM65" s="448" t="e">
        <f>TableauProduit[[#This Row],[Prix de vente/kg]]*TableauProduit[[#This Row],[Total (kg) N9]]</f>
        <v>#REF!</v>
      </c>
      <c r="BN65" s="350" t="e">
        <f>#REF!-#REF!-TableauProduit[[#This Row],[Conditionnement N9]]</f>
        <v>#REF!</v>
      </c>
    </row>
    <row r="66" spans="1:66" x14ac:dyDescent="0.2">
      <c r="A66" s="13" t="s">
        <v>140</v>
      </c>
      <c r="B66" s="54" t="str">
        <f>TableauProduit[[#This Row],[Recette]]&amp;TableauProduit[[#This Row],[Conditionnement]]</f>
        <v>Garam masalaEpice 100ml</v>
      </c>
      <c r="C66" s="11">
        <v>1</v>
      </c>
      <c r="D66" s="11">
        <v>50</v>
      </c>
      <c r="E66" s="6" t="s">
        <v>73</v>
      </c>
      <c r="F66" s="488">
        <f>IFERROR(VLOOKUP(TableauProduit[[#This Row],[Conditionnement]],TableauConditionnement[[Nom]:[Contenance]],4,FALSE),"")</f>
        <v>0.64</v>
      </c>
      <c r="G66" s="471">
        <f>IFERROR(SUMIFS(TableauRecette[Prix d''achat / kg],TableauRecette[Recette],TableauProduit[[#This Row],[Recette]],TableauRecette[Conditionnement],TableauProduit[[#This Row],[Conditionnement]]),0)</f>
        <v>0</v>
      </c>
      <c r="H66" s="469">
        <v>5</v>
      </c>
      <c r="I66" s="465">
        <f>TableauProduit[[#This Row],[Prix de vente/U]]/TableauProduit[[#This Row],[Poids (g) / unite]]*1000</f>
        <v>100</v>
      </c>
      <c r="J66" s="466">
        <f>SUMIFS(TableauConcurence[PRIX_KG],TableauConcurence[PRODUIT],TableauProduit[[#This Row],[Recette]],TableauConcurence[DISTRIBUTION],"magasin NON BIO")</f>
        <v>0</v>
      </c>
      <c r="K66" s="472">
        <f>SUMIFS(TableauConcurence[PRIX_KG],TableauConcurence[PRODUIT],TableauProduit[[#This Row],[Recette]],TableauConcurence[DISTRIBUTION],"magasin BIO")</f>
        <v>0</v>
      </c>
      <c r="L66" s="473">
        <f>SUMIFS(TableauConcurence[PRIX_KG],TableauConcurence[PRODUIT],TableauProduit[[#This Row],[Recette]],TableauConcurence[DISTRIBUTION],"artisanale BIO")</f>
        <v>0</v>
      </c>
      <c r="M66" s="453">
        <v>0</v>
      </c>
      <c r="N66" s="333">
        <f>TableauProduit[[#This Row],[Objectif de vente en unite N1]]*TableauProduit[[#This Row],[Poids (g) / unite]]/1000</f>
        <v>0</v>
      </c>
      <c r="O66" s="425">
        <f>TableauProduit[[#This Row],[Packaging / unite]]*TableauProduit[[#This Row],[Objectif de vente en unite N1]]</f>
        <v>0</v>
      </c>
      <c r="P66" s="425">
        <f>SUMIF(TableauRecette[[#This Row],[Recette]],TableauProduit[[#This Row],[Recette]],TableauRecette[[#This Row],[Prix pour kg/ de melange]])</f>
        <v>0</v>
      </c>
      <c r="Q66" s="427">
        <f>TableauProduit[[#This Row],[Prix de vente/kg]]*TableauProduit[[#This Row],[Total (kg) N1]]</f>
        <v>0</v>
      </c>
      <c r="R66" s="432" t="e">
        <f>#REF!-#REF!-TableauProduit[[#This Row],[Conditionnement N1]]</f>
        <v>#REF!</v>
      </c>
      <c r="S66" s="454">
        <v>0</v>
      </c>
      <c r="T66" s="394" t="e">
        <f>#REF!*#REF!/1000</f>
        <v>#REF!</v>
      </c>
      <c r="U66" s="418" t="e">
        <f>#REF!*#REF!</f>
        <v>#REF!</v>
      </c>
      <c r="V66" s="417" t="e">
        <f>#REF!*TableauProduit[[#This Row],[Total (kg) N2]]</f>
        <v>#REF!</v>
      </c>
      <c r="W66" s="419" t="e">
        <f>TableauProduit[[#This Row],[Prix de vente/kg]]*TableauProduit[[#This Row],[Total (kg) N2]]</f>
        <v>#REF!</v>
      </c>
      <c r="X66" s="454" t="e">
        <f>#REF!-#REF!-TableauProduit[[#This Row],[Conditionnement N2]]</f>
        <v>#REF!</v>
      </c>
      <c r="Y66" s="455">
        <v>70</v>
      </c>
      <c r="Z66" s="395" t="e">
        <f>#REF!*#REF!/1000</f>
        <v>#REF!</v>
      </c>
      <c r="AA66" s="421" t="e">
        <f>#REF!*#REF!</f>
        <v>#REF!</v>
      </c>
      <c r="AB66" s="420" t="e">
        <f>#REF!*TableauProduit[[#This Row],[Total (kg) N3]]</f>
        <v>#REF!</v>
      </c>
      <c r="AC66" s="422" t="e">
        <f>TableauProduit[[#This Row],[Prix de vente/kg]]*TableauProduit[[#This Row],[Total (kg) N3]]</f>
        <v>#REF!</v>
      </c>
      <c r="AD66" s="455" t="e">
        <f>#REF!-#REF!-TableauProduit[[#This Row],[Conditionnement N3]]</f>
        <v>#REF!</v>
      </c>
      <c r="AE66" s="456">
        <v>88</v>
      </c>
      <c r="AF66" s="396" t="e">
        <f>#REF!*#REF!/1000</f>
        <v>#REF!</v>
      </c>
      <c r="AG66" s="424" t="e">
        <f>#REF!*#REF!</f>
        <v>#REF!</v>
      </c>
      <c r="AH66" s="423" t="e">
        <f>#REF!*TableauProduit[[#This Row],[Total (kg) N4]]</f>
        <v>#REF!</v>
      </c>
      <c r="AI66" s="436" t="e">
        <f>TableauProduit[[#This Row],[Prix de vente/kg]]*TableauProduit[[#This Row],[Total (kg) N4]]</f>
        <v>#REF!</v>
      </c>
      <c r="AJ66" s="437" t="e">
        <f>#REF!-#REF!-TableauProduit[[#This Row],[Conditionnement N4]]</f>
        <v>#REF!</v>
      </c>
      <c r="AK66" s="457">
        <v>98</v>
      </c>
      <c r="AL66" s="397" t="e">
        <f>#REF!*#REF!/1000</f>
        <v>#REF!</v>
      </c>
      <c r="AM66" s="438" t="e">
        <f>#REF!*#REF!</f>
        <v>#REF!</v>
      </c>
      <c r="AN66" s="430" t="e">
        <f>#REF!*TableauProduit[[#This Row],[Total (kg) N5]]</f>
        <v>#REF!</v>
      </c>
      <c r="AO66" s="439" t="e">
        <f>TableauProduit[[#This Row],[Prix de vente/kg]]*TableauProduit[[#This Row],[Total (kg) N5]]</f>
        <v>#REF!</v>
      </c>
      <c r="AP66" s="440" t="e">
        <f>#REF!-#REF!-TableauProduit[[#This Row],[Conditionnement N5]]</f>
        <v>#REF!</v>
      </c>
      <c r="AQ66" s="458">
        <v>102</v>
      </c>
      <c r="AR66" s="398" t="e">
        <f>#REF!*#REF!/1000</f>
        <v>#REF!</v>
      </c>
      <c r="AS66" s="441" t="e">
        <f>#REF!*#REF!</f>
        <v>#REF!</v>
      </c>
      <c r="AT66" s="431" t="e">
        <f>#REF!*TableauProduit[[#This Row],[Total (kg) N6]]</f>
        <v>#REF!</v>
      </c>
      <c r="AU66" s="442" t="e">
        <f>TableauProduit[[#This Row],[Prix de vente/kg]]*TableauProduit[[#This Row],[Total (kg) N6]]</f>
        <v>#REF!</v>
      </c>
      <c r="AV66" s="443" t="e">
        <f>#REF!-#REF!-TableauProduit[[#This Row],[Conditionnement N6]]</f>
        <v>#REF!</v>
      </c>
      <c r="AW66" s="453">
        <v>102</v>
      </c>
      <c r="AX66" s="399" t="e">
        <f>#REF!*#REF!/1000</f>
        <v>#REF!</v>
      </c>
      <c r="AY66" s="426" t="e">
        <f>#REF!*#REF!</f>
        <v>#REF!</v>
      </c>
      <c r="AZ66" s="425" t="e">
        <f>#REF!*TableauProduit[[#This Row],[Total (kg) N7]]</f>
        <v>#REF!</v>
      </c>
      <c r="BA66" s="427" t="e">
        <f>TableauProduit[[#This Row],[Prix de vente/kg]]*TableauProduit[[#This Row],[Total (kg) N7]]</f>
        <v>#REF!</v>
      </c>
      <c r="BB66" s="452" t="e">
        <f>#REF!-#REF!-TableauProduit[[#This Row],[Conditionnement N7]]</f>
        <v>#REF!</v>
      </c>
      <c r="BC66" s="459">
        <v>102</v>
      </c>
      <c r="BD66" s="400" t="e">
        <f>#REF!*#REF!/1000</f>
        <v>#REF!</v>
      </c>
      <c r="BE66" s="444" t="e">
        <f>#REF!*#REF!</f>
        <v>#REF!</v>
      </c>
      <c r="BF66" s="433" t="e">
        <f>#REF!*TableauProduit[[#This Row],[Total (kg) N8]]</f>
        <v>#REF!</v>
      </c>
      <c r="BG66" s="445" t="e">
        <f>TableauProduit[[#This Row],[Prix de vente/kg]]*TableauProduit[[#This Row],[Total (kg) N8]]</f>
        <v>#REF!</v>
      </c>
      <c r="BH66" s="446" t="e">
        <f>#REF!-#REF!-TableauProduit[[#This Row],[Conditionnement N8]]</f>
        <v>#REF!</v>
      </c>
      <c r="BI66" s="460">
        <v>102</v>
      </c>
      <c r="BJ66" s="401" t="e">
        <f>#REF!*#REF!/1000</f>
        <v>#REF!</v>
      </c>
      <c r="BK66" s="447" t="e">
        <f>#REF!*#REF!</f>
        <v>#REF!</v>
      </c>
      <c r="BL66" s="435" t="e">
        <f>#REF!*TableauProduit[[#This Row],[Total (kg) N9]]</f>
        <v>#REF!</v>
      </c>
      <c r="BM66" s="448" t="e">
        <f>TableauProduit[[#This Row],[Prix de vente/kg]]*TableauProduit[[#This Row],[Total (kg) N9]]</f>
        <v>#REF!</v>
      </c>
      <c r="BN66" s="350" t="e">
        <f>#REF!-#REF!-TableauProduit[[#This Row],[Conditionnement N9]]</f>
        <v>#REF!</v>
      </c>
    </row>
    <row r="67" spans="1:66" x14ac:dyDescent="0.2">
      <c r="A67" s="13" t="s">
        <v>141</v>
      </c>
      <c r="B67" s="54" t="str">
        <f>TableauProduit[[#This Row],[Recette]]&amp;TableauProduit[[#This Row],[Conditionnement]]</f>
        <v>Garam masala entierEpice 100ml</v>
      </c>
      <c r="C67" s="11">
        <v>1</v>
      </c>
      <c r="D67" s="11">
        <v>50</v>
      </c>
      <c r="E67" s="6" t="s">
        <v>73</v>
      </c>
      <c r="F67" s="488">
        <f>IFERROR(VLOOKUP(TableauProduit[[#This Row],[Conditionnement]],TableauConditionnement[[Nom]:[Contenance]],4,FALSE),"")</f>
        <v>0.64</v>
      </c>
      <c r="G67" s="471">
        <f>IFERROR(SUMIFS(TableauRecette[Prix d''achat / kg],TableauRecette[Recette],TableauProduit[[#This Row],[Recette]],TableauRecette[Conditionnement],TableauProduit[[#This Row],[Conditionnement]]),0)</f>
        <v>0</v>
      </c>
      <c r="H67" s="469">
        <v>5</v>
      </c>
      <c r="I67" s="465">
        <f>TableauProduit[[#This Row],[Prix de vente/U]]/TableauProduit[[#This Row],[Poids (g) / unite]]*1000</f>
        <v>100</v>
      </c>
      <c r="J67" s="466">
        <f>SUMIFS(TableauConcurence[PRIX_KG],TableauConcurence[PRODUIT],TableauProduit[[#This Row],[Recette]],TableauConcurence[DISTRIBUTION],"magasin NON BIO")</f>
        <v>0</v>
      </c>
      <c r="K67" s="472">
        <f>SUMIFS(TableauConcurence[PRIX_KG],TableauConcurence[PRODUIT],TableauProduit[[#This Row],[Recette]],TableauConcurence[DISTRIBUTION],"magasin BIO")</f>
        <v>0</v>
      </c>
      <c r="L67" s="473">
        <f>SUMIFS(TableauConcurence[PRIX_KG],TableauConcurence[PRODUIT],TableauProduit[[#This Row],[Recette]],TableauConcurence[DISTRIBUTION],"artisanale BIO")</f>
        <v>0</v>
      </c>
      <c r="M67" s="453">
        <v>0</v>
      </c>
      <c r="N67" s="333">
        <f>TableauProduit[[#This Row],[Objectif de vente en unite N1]]*TableauProduit[[#This Row],[Poids (g) / unite]]/1000</f>
        <v>0</v>
      </c>
      <c r="O67" s="425">
        <f>TableauProduit[[#This Row],[Packaging / unite]]*TableauProduit[[#This Row],[Objectif de vente en unite N1]]</f>
        <v>0</v>
      </c>
      <c r="P67" s="425">
        <f>SUMIF(TableauRecette[[#This Row],[Recette]],TableauProduit[[#This Row],[Recette]],TableauRecette[[#This Row],[Prix pour kg/ de melange]])</f>
        <v>0</v>
      </c>
      <c r="Q67" s="427">
        <f>TableauProduit[[#This Row],[Prix de vente/kg]]*TableauProduit[[#This Row],[Total (kg) N1]]</f>
        <v>0</v>
      </c>
      <c r="R67" s="432" t="e">
        <f>#REF!-#REF!-TableauProduit[[#This Row],[Conditionnement N1]]</f>
        <v>#REF!</v>
      </c>
      <c r="S67" s="454">
        <v>0</v>
      </c>
      <c r="T67" s="394" t="e">
        <f>#REF!*#REF!/1000</f>
        <v>#REF!</v>
      </c>
      <c r="U67" s="418" t="e">
        <f>#REF!*#REF!</f>
        <v>#REF!</v>
      </c>
      <c r="V67" s="417" t="e">
        <f>#REF!*TableauProduit[[#This Row],[Total (kg) N2]]</f>
        <v>#REF!</v>
      </c>
      <c r="W67" s="419" t="e">
        <f>TableauProduit[[#This Row],[Prix de vente/kg]]*TableauProduit[[#This Row],[Total (kg) N2]]</f>
        <v>#REF!</v>
      </c>
      <c r="X67" s="454" t="e">
        <f>#REF!-#REF!-TableauProduit[[#This Row],[Conditionnement N2]]</f>
        <v>#REF!</v>
      </c>
      <c r="Y67" s="455">
        <v>0</v>
      </c>
      <c r="Z67" s="395" t="e">
        <f>#REF!*#REF!/1000</f>
        <v>#REF!</v>
      </c>
      <c r="AA67" s="421" t="e">
        <f>#REF!*#REF!</f>
        <v>#REF!</v>
      </c>
      <c r="AB67" s="420" t="e">
        <f>#REF!*TableauProduit[[#This Row],[Total (kg) N3]]</f>
        <v>#REF!</v>
      </c>
      <c r="AC67" s="422" t="e">
        <f>TableauProduit[[#This Row],[Prix de vente/kg]]*TableauProduit[[#This Row],[Total (kg) N3]]</f>
        <v>#REF!</v>
      </c>
      <c r="AD67" s="455" t="e">
        <f>#REF!-#REF!-TableauProduit[[#This Row],[Conditionnement N3]]</f>
        <v>#REF!</v>
      </c>
      <c r="AE67" s="456">
        <v>50</v>
      </c>
      <c r="AF67" s="396" t="e">
        <f>#REF!*#REF!/1000</f>
        <v>#REF!</v>
      </c>
      <c r="AG67" s="424" t="e">
        <f>#REF!*#REF!</f>
        <v>#REF!</v>
      </c>
      <c r="AH67" s="423" t="e">
        <f>#REF!*TableauProduit[[#This Row],[Total (kg) N4]]</f>
        <v>#REF!</v>
      </c>
      <c r="AI67" s="436" t="e">
        <f>TableauProduit[[#This Row],[Prix de vente/kg]]*TableauProduit[[#This Row],[Total (kg) N4]]</f>
        <v>#REF!</v>
      </c>
      <c r="AJ67" s="437" t="e">
        <f>#REF!-#REF!-TableauProduit[[#This Row],[Conditionnement N4]]</f>
        <v>#REF!</v>
      </c>
      <c r="AK67" s="457">
        <v>60</v>
      </c>
      <c r="AL67" s="397" t="e">
        <f>#REF!*#REF!/1000</f>
        <v>#REF!</v>
      </c>
      <c r="AM67" s="438" t="e">
        <f>#REF!*#REF!</f>
        <v>#REF!</v>
      </c>
      <c r="AN67" s="430" t="e">
        <f>#REF!*TableauProduit[[#This Row],[Total (kg) N5]]</f>
        <v>#REF!</v>
      </c>
      <c r="AO67" s="439" t="e">
        <f>TableauProduit[[#This Row],[Prix de vente/kg]]*TableauProduit[[#This Row],[Total (kg) N5]]</f>
        <v>#REF!</v>
      </c>
      <c r="AP67" s="440" t="e">
        <f>#REF!-#REF!-TableauProduit[[#This Row],[Conditionnement N5]]</f>
        <v>#REF!</v>
      </c>
      <c r="AQ67" s="458">
        <v>65</v>
      </c>
      <c r="AR67" s="398" t="e">
        <f>#REF!*#REF!/1000</f>
        <v>#REF!</v>
      </c>
      <c r="AS67" s="441" t="e">
        <f>#REF!*#REF!</f>
        <v>#REF!</v>
      </c>
      <c r="AT67" s="431" t="e">
        <f>#REF!*TableauProduit[[#This Row],[Total (kg) N6]]</f>
        <v>#REF!</v>
      </c>
      <c r="AU67" s="442" t="e">
        <f>TableauProduit[[#This Row],[Prix de vente/kg]]*TableauProduit[[#This Row],[Total (kg) N6]]</f>
        <v>#REF!</v>
      </c>
      <c r="AV67" s="443" t="e">
        <f>#REF!-#REF!-TableauProduit[[#This Row],[Conditionnement N6]]</f>
        <v>#REF!</v>
      </c>
      <c r="AW67" s="453">
        <v>68</v>
      </c>
      <c r="AX67" s="399" t="e">
        <f>#REF!*#REF!/1000</f>
        <v>#REF!</v>
      </c>
      <c r="AY67" s="426" t="e">
        <f>#REF!*#REF!</f>
        <v>#REF!</v>
      </c>
      <c r="AZ67" s="425" t="e">
        <f>#REF!*TableauProduit[[#This Row],[Total (kg) N7]]</f>
        <v>#REF!</v>
      </c>
      <c r="BA67" s="427" t="e">
        <f>TableauProduit[[#This Row],[Prix de vente/kg]]*TableauProduit[[#This Row],[Total (kg) N7]]</f>
        <v>#REF!</v>
      </c>
      <c r="BB67" s="452" t="e">
        <f>#REF!-#REF!-TableauProduit[[#This Row],[Conditionnement N7]]</f>
        <v>#REF!</v>
      </c>
      <c r="BC67" s="459">
        <v>68</v>
      </c>
      <c r="BD67" s="400" t="e">
        <f>#REF!*#REF!/1000</f>
        <v>#REF!</v>
      </c>
      <c r="BE67" s="444" t="e">
        <f>#REF!*#REF!</f>
        <v>#REF!</v>
      </c>
      <c r="BF67" s="433" t="e">
        <f>#REF!*TableauProduit[[#This Row],[Total (kg) N8]]</f>
        <v>#REF!</v>
      </c>
      <c r="BG67" s="445" t="e">
        <f>TableauProduit[[#This Row],[Prix de vente/kg]]*TableauProduit[[#This Row],[Total (kg) N8]]</f>
        <v>#REF!</v>
      </c>
      <c r="BH67" s="446" t="e">
        <f>#REF!-#REF!-TableauProduit[[#This Row],[Conditionnement N8]]</f>
        <v>#REF!</v>
      </c>
      <c r="BI67" s="460">
        <v>68</v>
      </c>
      <c r="BJ67" s="401" t="e">
        <f>#REF!*#REF!/1000</f>
        <v>#REF!</v>
      </c>
      <c r="BK67" s="447" t="e">
        <f>#REF!*#REF!</f>
        <v>#REF!</v>
      </c>
      <c r="BL67" s="435" t="e">
        <f>#REF!*TableauProduit[[#This Row],[Total (kg) N9]]</f>
        <v>#REF!</v>
      </c>
      <c r="BM67" s="448" t="e">
        <f>TableauProduit[[#This Row],[Prix de vente/kg]]*TableauProduit[[#This Row],[Total (kg) N9]]</f>
        <v>#REF!</v>
      </c>
      <c r="BN67" s="350" t="e">
        <f>#REF!-#REF!-TableauProduit[[#This Row],[Conditionnement N9]]</f>
        <v>#REF!</v>
      </c>
    </row>
    <row r="68" spans="1:66" x14ac:dyDescent="0.2">
      <c r="A68" t="s">
        <v>142</v>
      </c>
      <c r="B68" t="str">
        <f>TableauProduit[[#This Row],[Recette]]&amp;TableauProduit[[#This Row],[Conditionnement]]</f>
        <v>Sucre de roseEpice 100ml</v>
      </c>
      <c r="C68">
        <v>1</v>
      </c>
      <c r="D68">
        <v>75</v>
      </c>
      <c r="E68" t="s">
        <v>73</v>
      </c>
      <c r="F68">
        <f>IFERROR(VLOOKUP(TableauProduit[[#This Row],[Conditionnement]],TableauConditionnement[[Nom]:[Contenance]],4,FALSE),"")</f>
        <v>0.64</v>
      </c>
      <c r="G68">
        <f>IFERROR(SUMIFS(TableauRecette[Prix d''achat / kg],TableauRecette[Recette],TableauProduit[[#This Row],[Recette]],TableauRecette[Conditionnement],TableauProduit[[#This Row],[Conditionnement]]),0)</f>
        <v>0</v>
      </c>
      <c r="H68">
        <v>5</v>
      </c>
      <c r="I68" s="465">
        <f>TableauProduit[[#This Row],[Prix de vente/U]]/TableauProduit[[#This Row],[Poids (g) / unite]]*1000</f>
        <v>66.666666666666671</v>
      </c>
      <c r="J68">
        <f>SUMIFS(TableauConcurence[PRIX_KG],TableauConcurence[PRODUIT],TableauProduit[[#This Row],[Recette]],TableauConcurence[DISTRIBUTION],"magasin NON BIO")</f>
        <v>35</v>
      </c>
      <c r="K68">
        <f>SUMIFS(TableauConcurence[PRIX_KG],TableauConcurence[PRODUIT],TableauProduit[[#This Row],[Recette]],TableauConcurence[DISTRIBUTION],"magasin BIO")</f>
        <v>50</v>
      </c>
      <c r="L68">
        <f>SUMIFS(TableauConcurence[PRIX_KG],TableauConcurence[PRODUIT],TableauProduit[[#This Row],[Recette]],TableauConcurence[DISTRIBUTION],"artisanale BIO")</f>
        <v>70</v>
      </c>
      <c r="M68">
        <v>0</v>
      </c>
      <c r="N68" s="333">
        <f>TableauProduit[[#This Row],[Objectif de vente en unite N1]]*TableauProduit[[#This Row],[Poids (g) / unite]]/1000</f>
        <v>0</v>
      </c>
      <c r="O68" s="425">
        <f>TableauProduit[[#This Row],[Packaging / unite]]*TableauProduit[[#This Row],[Objectif de vente en unite N1]]</f>
        <v>0</v>
      </c>
      <c r="P68" s="425">
        <f>SUMIF(TableauRecette[[#This Row],[Recette]],TableauProduit[[#This Row],[Recette]],TableauRecette[[#This Row],[Prix pour kg/ de melange]])</f>
        <v>0</v>
      </c>
      <c r="Q68">
        <f>TableauProduit[[#This Row],[Prix de vente/kg]]*TableauProduit[[#This Row],[Total (kg) N1]]</f>
        <v>0</v>
      </c>
      <c r="R68" t="e">
        <f>#REF!-#REF!-TableauProduit[[#This Row],[Conditionnement N1]]</f>
        <v>#REF!</v>
      </c>
      <c r="S68">
        <v>100</v>
      </c>
      <c r="T68" t="e">
        <f>#REF!*#REF!/1000</f>
        <v>#REF!</v>
      </c>
      <c r="U68" t="e">
        <f>#REF!*#REF!</f>
        <v>#REF!</v>
      </c>
      <c r="V68" t="e">
        <f>#REF!*TableauProduit[[#This Row],[Total (kg) N2]]</f>
        <v>#REF!</v>
      </c>
      <c r="W68" t="e">
        <f>TableauProduit[[#This Row],[Prix de vente/kg]]*TableauProduit[[#This Row],[Total (kg) N2]]</f>
        <v>#REF!</v>
      </c>
      <c r="X68" t="e">
        <f>#REF!-#REF!-TableauProduit[[#This Row],[Conditionnement N2]]</f>
        <v>#REF!</v>
      </c>
      <c r="Y68">
        <v>130</v>
      </c>
      <c r="Z68" t="e">
        <f>#REF!*#REF!/1000</f>
        <v>#REF!</v>
      </c>
      <c r="AA68" t="e">
        <f>#REF!*#REF!</f>
        <v>#REF!</v>
      </c>
      <c r="AB68" t="e">
        <f>#REF!*TableauProduit[[#This Row],[Total (kg) N3]]</f>
        <v>#REF!</v>
      </c>
      <c r="AC68" t="e">
        <f>TableauProduit[[#This Row],[Prix de vente/kg]]*TableauProduit[[#This Row],[Total (kg) N3]]</f>
        <v>#REF!</v>
      </c>
      <c r="AD68" t="e">
        <f>#REF!-#REF!-TableauProduit[[#This Row],[Conditionnement N3]]</f>
        <v>#REF!</v>
      </c>
      <c r="AE68">
        <v>145</v>
      </c>
      <c r="AF68" t="e">
        <f>#REF!*#REF!/1000</f>
        <v>#REF!</v>
      </c>
      <c r="AG68" t="e">
        <f>#REF!*#REF!</f>
        <v>#REF!</v>
      </c>
      <c r="AH68" t="e">
        <f>#REF!*TableauProduit[[#This Row],[Total (kg) N4]]</f>
        <v>#REF!</v>
      </c>
      <c r="AI68" t="e">
        <f>TableauProduit[[#This Row],[Prix de vente/kg]]*TableauProduit[[#This Row],[Total (kg) N4]]</f>
        <v>#REF!</v>
      </c>
      <c r="AJ68" t="e">
        <f>#REF!-#REF!-TableauProduit[[#This Row],[Conditionnement N4]]</f>
        <v>#REF!</v>
      </c>
      <c r="AK68">
        <v>150</v>
      </c>
      <c r="AL68" t="e">
        <f>#REF!*#REF!/1000</f>
        <v>#REF!</v>
      </c>
      <c r="AM68" t="e">
        <f>#REF!*#REF!</f>
        <v>#REF!</v>
      </c>
      <c r="AN68" t="e">
        <f>#REF!*TableauProduit[[#This Row],[Total (kg) N5]]</f>
        <v>#REF!</v>
      </c>
      <c r="AO68" t="e">
        <f>TableauProduit[[#This Row],[Prix de vente/kg]]*TableauProduit[[#This Row],[Total (kg) N5]]</f>
        <v>#REF!</v>
      </c>
      <c r="AP68" t="e">
        <f>#REF!-#REF!-TableauProduit[[#This Row],[Conditionnement N5]]</f>
        <v>#REF!</v>
      </c>
      <c r="AQ68">
        <v>150</v>
      </c>
      <c r="AR68" t="e">
        <f>#REF!*#REF!/1000</f>
        <v>#REF!</v>
      </c>
      <c r="AS68" t="e">
        <f>#REF!*#REF!</f>
        <v>#REF!</v>
      </c>
      <c r="AT68" t="e">
        <f>#REF!*TableauProduit[[#This Row],[Total (kg) N6]]</f>
        <v>#REF!</v>
      </c>
      <c r="AU68" t="e">
        <f>TableauProduit[[#This Row],[Prix de vente/kg]]*TableauProduit[[#This Row],[Total (kg) N6]]</f>
        <v>#REF!</v>
      </c>
      <c r="AV68" t="e">
        <f>#REF!-#REF!-TableauProduit[[#This Row],[Conditionnement N6]]</f>
        <v>#REF!</v>
      </c>
      <c r="AW68">
        <v>150</v>
      </c>
      <c r="AX68" t="e">
        <f>#REF!*#REF!/1000</f>
        <v>#REF!</v>
      </c>
      <c r="AY68" t="e">
        <f>#REF!*#REF!</f>
        <v>#REF!</v>
      </c>
      <c r="AZ68" t="e">
        <f>#REF!*TableauProduit[[#This Row],[Total (kg) N7]]</f>
        <v>#REF!</v>
      </c>
      <c r="BA68" t="e">
        <f>TableauProduit[[#This Row],[Prix de vente/kg]]*TableauProduit[[#This Row],[Total (kg) N7]]</f>
        <v>#REF!</v>
      </c>
      <c r="BB68" t="e">
        <f>#REF!-#REF!-TableauProduit[[#This Row],[Conditionnement N7]]</f>
        <v>#REF!</v>
      </c>
      <c r="BC68">
        <v>150</v>
      </c>
      <c r="BD68" t="e">
        <f>#REF!*#REF!/1000</f>
        <v>#REF!</v>
      </c>
      <c r="BE68" t="e">
        <f>#REF!*#REF!</f>
        <v>#REF!</v>
      </c>
      <c r="BF68" t="e">
        <f>#REF!*TableauProduit[[#This Row],[Total (kg) N8]]</f>
        <v>#REF!</v>
      </c>
      <c r="BG68" t="e">
        <f>TableauProduit[[#This Row],[Prix de vente/kg]]*TableauProduit[[#This Row],[Total (kg) N8]]</f>
        <v>#REF!</v>
      </c>
      <c r="BH68" t="e">
        <f>#REF!-#REF!-TableauProduit[[#This Row],[Conditionnement N8]]</f>
        <v>#REF!</v>
      </c>
      <c r="BI68">
        <v>150</v>
      </c>
      <c r="BJ68" t="e">
        <f>#REF!*#REF!/1000</f>
        <v>#REF!</v>
      </c>
      <c r="BK68" t="e">
        <f>#REF!*#REF!</f>
        <v>#REF!</v>
      </c>
      <c r="BL68" t="e">
        <f>#REF!*TableauProduit[[#This Row],[Total (kg) N9]]</f>
        <v>#REF!</v>
      </c>
      <c r="BM68" t="e">
        <f>TableauProduit[[#This Row],[Prix de vente/kg]]*TableauProduit[[#This Row],[Total (kg) N9]]</f>
        <v>#REF!</v>
      </c>
      <c r="BN68" t="e">
        <f>#REF!-#REF!-TableauProduit[[#This Row],[Conditionnement N9]]</f>
        <v>#REF!</v>
      </c>
    </row>
    <row r="69" spans="1:66" x14ac:dyDescent="0.2">
      <c r="A69" t="s">
        <v>143</v>
      </c>
      <c r="B69" t="str">
        <f>TableauProduit[[#This Row],[Recette]]&amp;TableauProduit[[#This Row],[Conditionnement]]</f>
        <v>Huile massage musculaireHuile 1L</v>
      </c>
      <c r="C69">
        <v>1</v>
      </c>
      <c r="D69">
        <v>250</v>
      </c>
      <c r="E69" t="s">
        <v>125</v>
      </c>
      <c r="F69">
        <f>IFERROR(VLOOKUP(TableauProduit[[#This Row],[Conditionnement]],TableauConditionnement[[Nom]:[Contenance]],4,FALSE),"")</f>
        <v>1.56</v>
      </c>
      <c r="G69">
        <f>IFERROR(SUMIFS(TableauRecette[Prix d''achat / kg],TableauRecette[Recette],TableauProduit[[#This Row],[Recette]],TableauRecette[Conditionnement],TableauProduit[[#This Row],[Conditionnement]]),0)</f>
        <v>0</v>
      </c>
      <c r="H69">
        <v>15</v>
      </c>
      <c r="I69" s="465">
        <f>TableauProduit[[#This Row],[Prix de vente/U]]/TableauProduit[[#This Row],[Poids (g) / unite]]*1000</f>
        <v>60</v>
      </c>
      <c r="J69">
        <f>SUMIFS(TableauConcurence[PRIX_KG],TableauConcurence[PRODUIT],TableauProduit[[#This Row],[Recette]],TableauConcurence[DISTRIBUTION],"magasin NON BIO")</f>
        <v>80</v>
      </c>
      <c r="K69">
        <f>SUMIFS(TableauConcurence[PRIX_KG],TableauConcurence[PRODUIT],TableauProduit[[#This Row],[Recette]],TableauConcurence[DISTRIBUTION],"magasin BIO")</f>
        <v>120</v>
      </c>
      <c r="L69">
        <f>SUMIFS(TableauConcurence[PRIX_KG],TableauConcurence[PRODUIT],TableauProduit[[#This Row],[Recette]],TableauConcurence[DISTRIBUTION],"artisanale BIO")</f>
        <v>180</v>
      </c>
      <c r="M69">
        <v>0</v>
      </c>
      <c r="N69" s="333">
        <f>TableauProduit[[#This Row],[Objectif de vente en unite N1]]*TableauProduit[[#This Row],[Poids (g) / unite]]/1000</f>
        <v>0</v>
      </c>
      <c r="O69" s="425">
        <f>TableauProduit[[#This Row],[Packaging / unite]]*TableauProduit[[#This Row],[Objectif de vente en unite N1]]</f>
        <v>0</v>
      </c>
      <c r="P69" s="425">
        <f>SUMIF(TableauRecette[[#This Row],[Recette]],TableauProduit[[#This Row],[Recette]],TableauRecette[[#This Row],[Prix pour kg/ de melange]])</f>
        <v>0</v>
      </c>
      <c r="Q69">
        <f>TableauProduit[[#This Row],[Prix de vente/kg]]*TableauProduit[[#This Row],[Total (kg) N1]]</f>
        <v>0</v>
      </c>
      <c r="R69" t="e">
        <f>#REF!-#REF!-TableauProduit[[#This Row],[Conditionnement N1]]</f>
        <v>#REF!</v>
      </c>
      <c r="S69">
        <v>0</v>
      </c>
      <c r="T69" t="e">
        <f>#REF!*#REF!/1000</f>
        <v>#REF!</v>
      </c>
      <c r="U69" t="e">
        <f>#REF!*#REF!</f>
        <v>#REF!</v>
      </c>
      <c r="V69" t="e">
        <f>#REF!*TableauProduit[[#This Row],[Total (kg) N2]]</f>
        <v>#REF!</v>
      </c>
      <c r="W69" t="e">
        <f>TableauProduit[[#This Row],[Prix de vente/kg]]*TableauProduit[[#This Row],[Total (kg) N2]]</f>
        <v>#REF!</v>
      </c>
      <c r="X69" t="e">
        <f>#REF!-#REF!-TableauProduit[[#This Row],[Conditionnement N2]]</f>
        <v>#REF!</v>
      </c>
      <c r="Y69">
        <v>0</v>
      </c>
      <c r="Z69" t="e">
        <f>#REF!*#REF!/1000</f>
        <v>#REF!</v>
      </c>
      <c r="AA69" t="e">
        <f>#REF!*#REF!</f>
        <v>#REF!</v>
      </c>
      <c r="AB69" t="e">
        <f>#REF!*TableauProduit[[#This Row],[Total (kg) N3]]</f>
        <v>#REF!</v>
      </c>
      <c r="AC69" t="e">
        <f>TableauProduit[[#This Row],[Prix de vente/kg]]*TableauProduit[[#This Row],[Total (kg) N3]]</f>
        <v>#REF!</v>
      </c>
      <c r="AD69" t="e">
        <f>#REF!-#REF!-TableauProduit[[#This Row],[Conditionnement N3]]</f>
        <v>#REF!</v>
      </c>
      <c r="AE69">
        <v>0</v>
      </c>
      <c r="AF69" t="e">
        <f>#REF!*#REF!/1000</f>
        <v>#REF!</v>
      </c>
      <c r="AG69" t="e">
        <f>#REF!*#REF!</f>
        <v>#REF!</v>
      </c>
      <c r="AH69" t="e">
        <f>#REF!*TableauProduit[[#This Row],[Total (kg) N4]]</f>
        <v>#REF!</v>
      </c>
      <c r="AI69" t="e">
        <f>TableauProduit[[#This Row],[Prix de vente/kg]]*TableauProduit[[#This Row],[Total (kg) N4]]</f>
        <v>#REF!</v>
      </c>
      <c r="AJ69" t="e">
        <f>#REF!-#REF!-TableauProduit[[#This Row],[Conditionnement N4]]</f>
        <v>#REF!</v>
      </c>
      <c r="AK69">
        <v>25</v>
      </c>
      <c r="AL69" t="e">
        <f>#REF!*#REF!/1000</f>
        <v>#REF!</v>
      </c>
      <c r="AM69" t="e">
        <f>#REF!*#REF!</f>
        <v>#REF!</v>
      </c>
      <c r="AN69" t="e">
        <f>#REF!*TableauProduit[[#This Row],[Total (kg) N5]]</f>
        <v>#REF!</v>
      </c>
      <c r="AO69" t="e">
        <f>TableauProduit[[#This Row],[Prix de vente/kg]]*TableauProduit[[#This Row],[Total (kg) N5]]</f>
        <v>#REF!</v>
      </c>
      <c r="AP69" t="e">
        <f>#REF!-#REF!-TableauProduit[[#This Row],[Conditionnement N5]]</f>
        <v>#REF!</v>
      </c>
      <c r="AQ69">
        <v>29</v>
      </c>
      <c r="AR69" t="e">
        <f>#REF!*#REF!/1000</f>
        <v>#REF!</v>
      </c>
      <c r="AS69" t="e">
        <f>#REF!*#REF!</f>
        <v>#REF!</v>
      </c>
      <c r="AT69" t="e">
        <f>#REF!*TableauProduit[[#This Row],[Total (kg) N6]]</f>
        <v>#REF!</v>
      </c>
      <c r="AU69" t="e">
        <f>TableauProduit[[#This Row],[Prix de vente/kg]]*TableauProduit[[#This Row],[Total (kg) N6]]</f>
        <v>#REF!</v>
      </c>
      <c r="AV69" t="e">
        <f>#REF!-#REF!-TableauProduit[[#This Row],[Conditionnement N6]]</f>
        <v>#REF!</v>
      </c>
      <c r="AW69">
        <v>30</v>
      </c>
      <c r="AX69" t="e">
        <f>#REF!*#REF!/1000</f>
        <v>#REF!</v>
      </c>
      <c r="AY69" t="e">
        <f>#REF!*#REF!</f>
        <v>#REF!</v>
      </c>
      <c r="AZ69" t="e">
        <f>#REF!*TableauProduit[[#This Row],[Total (kg) N7]]</f>
        <v>#REF!</v>
      </c>
      <c r="BA69" t="e">
        <f>TableauProduit[[#This Row],[Prix de vente/kg]]*TableauProduit[[#This Row],[Total (kg) N7]]</f>
        <v>#REF!</v>
      </c>
      <c r="BB69" t="e">
        <f>#REF!-#REF!-TableauProduit[[#This Row],[Conditionnement N7]]</f>
        <v>#REF!</v>
      </c>
      <c r="BC69">
        <v>30</v>
      </c>
      <c r="BD69" t="e">
        <f>#REF!*#REF!/1000</f>
        <v>#REF!</v>
      </c>
      <c r="BE69" t="e">
        <f>#REF!*#REF!</f>
        <v>#REF!</v>
      </c>
      <c r="BF69" t="e">
        <f>#REF!*TableauProduit[[#This Row],[Total (kg) N8]]</f>
        <v>#REF!</v>
      </c>
      <c r="BG69" t="e">
        <f>TableauProduit[[#This Row],[Prix de vente/kg]]*TableauProduit[[#This Row],[Total (kg) N8]]</f>
        <v>#REF!</v>
      </c>
      <c r="BH69" t="e">
        <f>#REF!-#REF!-TableauProduit[[#This Row],[Conditionnement N8]]</f>
        <v>#REF!</v>
      </c>
      <c r="BI69">
        <v>30</v>
      </c>
      <c r="BJ69" t="e">
        <f>#REF!*#REF!/1000</f>
        <v>#REF!</v>
      </c>
      <c r="BK69" t="e">
        <f>#REF!*#REF!</f>
        <v>#REF!</v>
      </c>
      <c r="BL69" t="e">
        <f>#REF!*TableauProduit[[#This Row],[Total (kg) N9]]</f>
        <v>#REF!</v>
      </c>
      <c r="BM69" t="e">
        <f>TableauProduit[[#This Row],[Prix de vente/kg]]*TableauProduit[[#This Row],[Total (kg) N9]]</f>
        <v>#REF!</v>
      </c>
      <c r="BN69" t="e">
        <f>#REF!-#REF!-TableauProduit[[#This Row],[Conditionnement N9]]</f>
        <v>#REF!</v>
      </c>
    </row>
    <row r="70" spans="1:66" x14ac:dyDescent="0.2">
      <c r="A70" t="s">
        <v>144</v>
      </c>
      <c r="B70" t="str">
        <f>TableauProduit[[#This Row],[Recette]]&amp;TableauProduit[[#This Row],[Conditionnement]]</f>
        <v>Sel de garrigueEpice 100ml</v>
      </c>
      <c r="C70">
        <v>1</v>
      </c>
      <c r="D70">
        <v>80</v>
      </c>
      <c r="E70" t="s">
        <v>73</v>
      </c>
      <c r="F70">
        <f>IFERROR(VLOOKUP(TableauProduit[[#This Row],[Conditionnement]],TableauConditionnement[[Nom]:[Contenance]],4,FALSE),"")</f>
        <v>0.64</v>
      </c>
      <c r="G70">
        <f>IFERROR(SUMIFS(TableauRecette[Prix d''achat / kg],TableauRecette[Recette],TableauProduit[[#This Row],[Recette]],TableauRecette[Conditionnement],TableauProduit[[#This Row],[Conditionnement]]),0)</f>
        <v>0</v>
      </c>
      <c r="H70">
        <v>4.5</v>
      </c>
      <c r="I70" s="465">
        <f>TableauProduit[[#This Row],[Prix de vente/U]]/TableauProduit[[#This Row],[Poids (g) / unite]]*1000</f>
        <v>56.25</v>
      </c>
      <c r="J70">
        <f>SUMIFS(TableauConcurence[PRIX_KG],TableauConcurence[PRODUIT],TableauProduit[[#This Row],[Recette]],TableauConcurence[DISTRIBUTION],"magasin NON BIO")</f>
        <v>31.43</v>
      </c>
      <c r="K70">
        <f>SUMIFS(TableauConcurence[PRIX_KG],TableauConcurence[PRODUIT],TableauProduit[[#This Row],[Recette]],TableauConcurence[DISTRIBUTION],"magasin BIO")</f>
        <v>35</v>
      </c>
      <c r="L70">
        <f>SUMIFS(TableauConcurence[PRIX_KG],TableauConcurence[PRODUIT],TableauProduit[[#This Row],[Recette]],TableauConcurence[DISTRIBUTION],"artisanale BIO")</f>
        <v>50</v>
      </c>
      <c r="M70">
        <v>0</v>
      </c>
      <c r="N70" s="333">
        <f>TableauProduit[[#This Row],[Objectif de vente en unite N1]]*TableauProduit[[#This Row],[Poids (g) / unite]]/1000</f>
        <v>0</v>
      </c>
      <c r="O70" s="425">
        <f>TableauProduit[[#This Row],[Packaging / unite]]*TableauProduit[[#This Row],[Objectif de vente en unite N1]]</f>
        <v>0</v>
      </c>
      <c r="P70" s="425">
        <f>SUMIF(TableauRecette[[#This Row],[Recette]],TableauProduit[[#This Row],[Recette]],TableauRecette[[#This Row],[Prix pour kg/ de melange]])</f>
        <v>0</v>
      </c>
      <c r="Q70">
        <f>TableauProduit[[#This Row],[Prix de vente/kg]]*TableauProduit[[#This Row],[Total (kg) N1]]</f>
        <v>0</v>
      </c>
      <c r="R70" t="e">
        <f>#REF!-#REF!-TableauProduit[[#This Row],[Conditionnement N1]]</f>
        <v>#REF!</v>
      </c>
      <c r="S70">
        <v>200</v>
      </c>
      <c r="T70" t="e">
        <f>#REF!*#REF!/1000</f>
        <v>#REF!</v>
      </c>
      <c r="U70" t="e">
        <f>#REF!*#REF!</f>
        <v>#REF!</v>
      </c>
      <c r="V70" t="e">
        <f>#REF!*TableauProduit[[#This Row],[Total (kg) N2]]</f>
        <v>#REF!</v>
      </c>
      <c r="W70" t="e">
        <f>TableauProduit[[#This Row],[Prix de vente/kg]]*TableauProduit[[#This Row],[Total (kg) N2]]</f>
        <v>#REF!</v>
      </c>
      <c r="X70" t="e">
        <f>#REF!-#REF!-TableauProduit[[#This Row],[Conditionnement N2]]</f>
        <v>#REF!</v>
      </c>
      <c r="Y70">
        <v>270</v>
      </c>
      <c r="Z70" t="e">
        <f>#REF!*#REF!/1000</f>
        <v>#REF!</v>
      </c>
      <c r="AA70" t="e">
        <f>#REF!*#REF!</f>
        <v>#REF!</v>
      </c>
      <c r="AB70" t="e">
        <f>#REF!*TableauProduit[[#This Row],[Total (kg) N3]]</f>
        <v>#REF!</v>
      </c>
      <c r="AC70" t="e">
        <f>TableauProduit[[#This Row],[Prix de vente/kg]]*TableauProduit[[#This Row],[Total (kg) N3]]</f>
        <v>#REF!</v>
      </c>
      <c r="AD70" t="e">
        <f>#REF!-#REF!-TableauProduit[[#This Row],[Conditionnement N3]]</f>
        <v>#REF!</v>
      </c>
      <c r="AE70">
        <v>310</v>
      </c>
      <c r="AF70" t="e">
        <f>#REF!*#REF!/1000</f>
        <v>#REF!</v>
      </c>
      <c r="AG70" t="e">
        <f>#REF!*#REF!</f>
        <v>#REF!</v>
      </c>
      <c r="AH70" t="e">
        <f>#REF!*TableauProduit[[#This Row],[Total (kg) N4]]</f>
        <v>#REF!</v>
      </c>
      <c r="AI70" t="e">
        <f>TableauProduit[[#This Row],[Prix de vente/kg]]*TableauProduit[[#This Row],[Total (kg) N4]]</f>
        <v>#REF!</v>
      </c>
      <c r="AJ70" t="e">
        <f>#REF!-#REF!-TableauProduit[[#This Row],[Conditionnement N4]]</f>
        <v>#REF!</v>
      </c>
      <c r="AK70">
        <v>330</v>
      </c>
      <c r="AL70" t="e">
        <f>#REF!*#REF!/1000</f>
        <v>#REF!</v>
      </c>
      <c r="AM70" t="e">
        <f>#REF!*#REF!</f>
        <v>#REF!</v>
      </c>
      <c r="AN70" t="e">
        <f>#REF!*TableauProduit[[#This Row],[Total (kg) N5]]</f>
        <v>#REF!</v>
      </c>
      <c r="AO70" t="e">
        <f>TableauProduit[[#This Row],[Prix de vente/kg]]*TableauProduit[[#This Row],[Total (kg) N5]]</f>
        <v>#REF!</v>
      </c>
      <c r="AP70" t="e">
        <f>#REF!-#REF!-TableauProduit[[#This Row],[Conditionnement N5]]</f>
        <v>#REF!</v>
      </c>
      <c r="AQ70">
        <v>330</v>
      </c>
      <c r="AR70" t="e">
        <f>#REF!*#REF!/1000</f>
        <v>#REF!</v>
      </c>
      <c r="AS70" t="e">
        <f>#REF!*#REF!</f>
        <v>#REF!</v>
      </c>
      <c r="AT70" t="e">
        <f>#REF!*TableauProduit[[#This Row],[Total (kg) N6]]</f>
        <v>#REF!</v>
      </c>
      <c r="AU70" t="e">
        <f>TableauProduit[[#This Row],[Prix de vente/kg]]*TableauProduit[[#This Row],[Total (kg) N6]]</f>
        <v>#REF!</v>
      </c>
      <c r="AV70" t="e">
        <f>#REF!-#REF!-TableauProduit[[#This Row],[Conditionnement N6]]</f>
        <v>#REF!</v>
      </c>
      <c r="AW70">
        <v>330</v>
      </c>
      <c r="AX70" t="e">
        <f>#REF!*#REF!/1000</f>
        <v>#REF!</v>
      </c>
      <c r="AY70" t="e">
        <f>#REF!*#REF!</f>
        <v>#REF!</v>
      </c>
      <c r="AZ70" t="e">
        <f>#REF!*TableauProduit[[#This Row],[Total (kg) N7]]</f>
        <v>#REF!</v>
      </c>
      <c r="BA70" t="e">
        <f>TableauProduit[[#This Row],[Prix de vente/kg]]*TableauProduit[[#This Row],[Total (kg) N7]]</f>
        <v>#REF!</v>
      </c>
      <c r="BB70" t="e">
        <f>#REF!-#REF!-TableauProduit[[#This Row],[Conditionnement N7]]</f>
        <v>#REF!</v>
      </c>
      <c r="BC70">
        <v>330</v>
      </c>
      <c r="BD70" t="e">
        <f>#REF!*#REF!/1000</f>
        <v>#REF!</v>
      </c>
      <c r="BE70" t="e">
        <f>#REF!*#REF!</f>
        <v>#REF!</v>
      </c>
      <c r="BF70" t="e">
        <f>#REF!*TableauProduit[[#This Row],[Total (kg) N8]]</f>
        <v>#REF!</v>
      </c>
      <c r="BG70" t="e">
        <f>TableauProduit[[#This Row],[Prix de vente/kg]]*TableauProduit[[#This Row],[Total (kg) N8]]</f>
        <v>#REF!</v>
      </c>
      <c r="BH70" t="e">
        <f>#REF!-#REF!-TableauProduit[[#This Row],[Conditionnement N8]]</f>
        <v>#REF!</v>
      </c>
      <c r="BI70">
        <v>330</v>
      </c>
      <c r="BJ70" t="e">
        <f>#REF!*#REF!/1000</f>
        <v>#REF!</v>
      </c>
      <c r="BK70" t="e">
        <f>#REF!*#REF!</f>
        <v>#REF!</v>
      </c>
      <c r="BL70" t="e">
        <f>#REF!*TableauProduit[[#This Row],[Total (kg) N9]]</f>
        <v>#REF!</v>
      </c>
      <c r="BM70" t="e">
        <f>TableauProduit[[#This Row],[Prix de vente/kg]]*TableauProduit[[#This Row],[Total (kg) N9]]</f>
        <v>#REF!</v>
      </c>
      <c r="BN70" t="e">
        <f>#REF!-#REF!-TableauProduit[[#This Row],[Conditionnement N9]]</f>
        <v>#REF!</v>
      </c>
    </row>
    <row r="71" spans="1:66" x14ac:dyDescent="0.2">
      <c r="A71" t="s">
        <v>145</v>
      </c>
      <c r="B71" t="str">
        <f>TableauProduit[[#This Row],[Recette]]&amp;TableauProduit[[#This Row],[Conditionnement]]</f>
        <v>Tisane d'hiverRecharge craft 100ml</v>
      </c>
      <c r="C71">
        <v>1</v>
      </c>
      <c r="D71">
        <v>40</v>
      </c>
      <c r="E71" t="s">
        <v>146</v>
      </c>
      <c r="F71">
        <f>IFERROR(VLOOKUP(TableauProduit[[#This Row],[Conditionnement]],TableauConditionnement[[Nom]:[Contenance]],4,FALSE),"")</f>
        <v>0.18</v>
      </c>
      <c r="G71">
        <f>IFERROR(SUMIFS(TableauRecette[Prix d''achat / kg],TableauRecette[Recette],TableauProduit[[#This Row],[Recette]],TableauRecette[Conditionnement],TableauProduit[[#This Row],[Conditionnement]]),0)</f>
        <v>0</v>
      </c>
      <c r="H71">
        <v>5.5</v>
      </c>
      <c r="I71" s="465">
        <f>TableauProduit[[#This Row],[Prix de vente/U]]/TableauProduit[[#This Row],[Poids (g) / unite]]*1000</f>
        <v>137.5</v>
      </c>
      <c r="J71">
        <f>SUMIFS(TableauConcurence[PRIX_KG],TableauConcurence[PRODUIT],TableauProduit[[#This Row],[Recette]],TableauConcurence[DISTRIBUTION],"magasin NON BIO")</f>
        <v>93.33</v>
      </c>
      <c r="K71">
        <f>SUMIFS(TableauConcurence[PRIX_KG],TableauConcurence[PRODUIT],TableauProduit[[#This Row],[Recette]],TableauConcurence[DISTRIBUTION],"magasin BIO")</f>
        <v>110</v>
      </c>
      <c r="L71">
        <f>SUMIFS(TableauConcurence[PRIX_KG],TableauConcurence[PRODUIT],TableauProduit[[#This Row],[Recette]],TableauConcurence[DISTRIBUTION],"artisanale BIO")</f>
        <v>140</v>
      </c>
      <c r="M71">
        <v>0</v>
      </c>
      <c r="N71" s="333">
        <f>TableauProduit[[#This Row],[Objectif de vente en unite N1]]*TableauProduit[[#This Row],[Poids (g) / unite]]/1000</f>
        <v>0</v>
      </c>
      <c r="O71" s="425">
        <f>TableauProduit[[#This Row],[Packaging / unite]]*TableauProduit[[#This Row],[Objectif de vente en unite N1]]</f>
        <v>0</v>
      </c>
      <c r="P71" s="425">
        <f>SUMIF(TableauRecette[[#This Row],[Recette]],TableauProduit[[#This Row],[Recette]],TableauRecette[[#This Row],[Prix pour kg/ de melange]])</f>
        <v>0</v>
      </c>
      <c r="Q71">
        <f>TableauProduit[[#This Row],[Prix de vente/kg]]*TableauProduit[[#This Row],[Total (kg) N1]]</f>
        <v>0</v>
      </c>
      <c r="R71" t="e">
        <f>#REF!-#REF!-TableauProduit[[#This Row],[Conditionnement N1]]</f>
        <v>#REF!</v>
      </c>
      <c r="S71">
        <v>160</v>
      </c>
      <c r="T71" t="e">
        <f>#REF!*#REF!/1000</f>
        <v>#REF!</v>
      </c>
      <c r="U71" t="e">
        <f>#REF!*#REF!</f>
        <v>#REF!</v>
      </c>
      <c r="V71" t="e">
        <f>#REF!*TableauProduit[[#This Row],[Total (kg) N2]]</f>
        <v>#REF!</v>
      </c>
      <c r="W71" t="e">
        <f>TableauProduit[[#This Row],[Prix de vente/kg]]*TableauProduit[[#This Row],[Total (kg) N2]]</f>
        <v>#REF!</v>
      </c>
      <c r="X71" t="e">
        <f>#REF!-#REF!-TableauProduit[[#This Row],[Conditionnement N2]]</f>
        <v>#REF!</v>
      </c>
      <c r="Y71">
        <v>216</v>
      </c>
      <c r="Z71" t="e">
        <f>#REF!*#REF!/1000</f>
        <v>#REF!</v>
      </c>
      <c r="AA71" t="e">
        <f>#REF!*#REF!</f>
        <v>#REF!</v>
      </c>
      <c r="AB71" t="e">
        <f>#REF!*TableauProduit[[#This Row],[Total (kg) N3]]</f>
        <v>#REF!</v>
      </c>
      <c r="AC71" t="e">
        <f>TableauProduit[[#This Row],[Prix de vente/kg]]*TableauProduit[[#This Row],[Total (kg) N3]]</f>
        <v>#REF!</v>
      </c>
      <c r="AD71" t="e">
        <f>#REF!-#REF!-TableauProduit[[#This Row],[Conditionnement N3]]</f>
        <v>#REF!</v>
      </c>
      <c r="AE71">
        <v>248</v>
      </c>
      <c r="AF71" t="e">
        <f>#REF!*#REF!/1000</f>
        <v>#REF!</v>
      </c>
      <c r="AG71" t="e">
        <f>#REF!*#REF!</f>
        <v>#REF!</v>
      </c>
      <c r="AH71" t="e">
        <f>#REF!*TableauProduit[[#This Row],[Total (kg) N4]]</f>
        <v>#REF!</v>
      </c>
      <c r="AI71" t="e">
        <f>TableauProduit[[#This Row],[Prix de vente/kg]]*TableauProduit[[#This Row],[Total (kg) N4]]</f>
        <v>#REF!</v>
      </c>
      <c r="AJ71" t="e">
        <f>#REF!-#REF!-TableauProduit[[#This Row],[Conditionnement N4]]</f>
        <v>#REF!</v>
      </c>
      <c r="AK71">
        <v>264</v>
      </c>
      <c r="AL71" t="e">
        <f>#REF!*#REF!/1000</f>
        <v>#REF!</v>
      </c>
      <c r="AM71" t="e">
        <f>#REF!*#REF!</f>
        <v>#REF!</v>
      </c>
      <c r="AN71" t="e">
        <f>#REF!*TableauProduit[[#This Row],[Total (kg) N5]]</f>
        <v>#REF!</v>
      </c>
      <c r="AO71" t="e">
        <f>TableauProduit[[#This Row],[Prix de vente/kg]]*TableauProduit[[#This Row],[Total (kg) N5]]</f>
        <v>#REF!</v>
      </c>
      <c r="AP71" t="e">
        <f>#REF!-#REF!-TableauProduit[[#This Row],[Conditionnement N5]]</f>
        <v>#REF!</v>
      </c>
      <c r="AQ71">
        <v>264</v>
      </c>
      <c r="AR71" t="e">
        <f>#REF!*#REF!/1000</f>
        <v>#REF!</v>
      </c>
      <c r="AS71" t="e">
        <f>#REF!*#REF!</f>
        <v>#REF!</v>
      </c>
      <c r="AT71" t="e">
        <f>#REF!*TableauProduit[[#This Row],[Total (kg) N6]]</f>
        <v>#REF!</v>
      </c>
      <c r="AU71" t="e">
        <f>TableauProduit[[#This Row],[Prix de vente/kg]]*TableauProduit[[#This Row],[Total (kg) N6]]</f>
        <v>#REF!</v>
      </c>
      <c r="AV71" t="e">
        <f>#REF!-#REF!-TableauProduit[[#This Row],[Conditionnement N6]]</f>
        <v>#REF!</v>
      </c>
      <c r="AW71">
        <v>264</v>
      </c>
      <c r="AX71" t="e">
        <f>#REF!*#REF!/1000</f>
        <v>#REF!</v>
      </c>
      <c r="AY71" t="e">
        <f>#REF!*#REF!</f>
        <v>#REF!</v>
      </c>
      <c r="AZ71" t="e">
        <f>#REF!*TableauProduit[[#This Row],[Total (kg) N7]]</f>
        <v>#REF!</v>
      </c>
      <c r="BA71" t="e">
        <f>TableauProduit[[#This Row],[Prix de vente/kg]]*TableauProduit[[#This Row],[Total (kg) N7]]</f>
        <v>#REF!</v>
      </c>
      <c r="BB71" t="e">
        <f>#REF!-#REF!-TableauProduit[[#This Row],[Conditionnement N7]]</f>
        <v>#REF!</v>
      </c>
      <c r="BC71">
        <v>264</v>
      </c>
      <c r="BD71" t="e">
        <f>#REF!*#REF!/1000</f>
        <v>#REF!</v>
      </c>
      <c r="BE71" t="e">
        <f>#REF!*#REF!</f>
        <v>#REF!</v>
      </c>
      <c r="BF71" t="e">
        <f>#REF!*TableauProduit[[#This Row],[Total (kg) N8]]</f>
        <v>#REF!</v>
      </c>
      <c r="BG71" t="e">
        <f>TableauProduit[[#This Row],[Prix de vente/kg]]*TableauProduit[[#This Row],[Total (kg) N8]]</f>
        <v>#REF!</v>
      </c>
      <c r="BH71" t="e">
        <f>#REF!-#REF!-TableauProduit[[#This Row],[Conditionnement N8]]</f>
        <v>#REF!</v>
      </c>
      <c r="BI71">
        <v>264</v>
      </c>
      <c r="BJ71" t="e">
        <f>#REF!*#REF!/1000</f>
        <v>#REF!</v>
      </c>
      <c r="BK71" t="e">
        <f>#REF!*#REF!</f>
        <v>#REF!</v>
      </c>
      <c r="BL71" t="e">
        <f>#REF!*TableauProduit[[#This Row],[Total (kg) N9]]</f>
        <v>#REF!</v>
      </c>
      <c r="BM71" t="e">
        <f>TableauProduit[[#This Row],[Prix de vente/kg]]*TableauProduit[[#This Row],[Total (kg) N9]]</f>
        <v>#REF!</v>
      </c>
      <c r="BN71" t="e">
        <f>#REF!-#REF!-TableauProduit[[#This Row],[Conditionnement N9]]</f>
        <v>#REF!</v>
      </c>
    </row>
    <row r="72" spans="1:66" x14ac:dyDescent="0.2">
      <c r="A72" t="s">
        <v>147</v>
      </c>
      <c r="B72" t="str">
        <f>TableauProduit[[#This Row],[Recette]]&amp;TableauProduit[[#This Row],[Conditionnement]]</f>
        <v>Tisane digestiveRecharge craft 100ml</v>
      </c>
      <c r="C72">
        <v>1</v>
      </c>
      <c r="D72">
        <v>40</v>
      </c>
      <c r="E72" t="s">
        <v>146</v>
      </c>
      <c r="F72">
        <f>IFERROR(VLOOKUP(TableauProduit[[#This Row],[Conditionnement]],TableauConditionnement[[Nom]:[Contenance]],4,FALSE),"")</f>
        <v>0.18</v>
      </c>
      <c r="G72">
        <f>IFERROR(SUMIFS(TableauRecette[Prix d''achat / kg],TableauRecette[Recette],TableauProduit[[#This Row],[Recette]],TableauRecette[Conditionnement],TableauProduit[[#This Row],[Conditionnement]]),0)</f>
        <v>0</v>
      </c>
      <c r="H72">
        <v>5.5</v>
      </c>
      <c r="I72" s="465">
        <f>TableauProduit[[#This Row],[Prix de vente/U]]/TableauProduit[[#This Row],[Poids (g) / unite]]*1000</f>
        <v>137.5</v>
      </c>
      <c r="J72">
        <f>SUMIFS(TableauConcurence[PRIX_KG],TableauConcurence[PRODUIT],TableauProduit[[#This Row],[Recette]],TableauConcurence[DISTRIBUTION],"magasin NON BIO")</f>
        <v>93.33</v>
      </c>
      <c r="K72">
        <f>SUMIFS(TableauConcurence[PRIX_KG],TableauConcurence[PRODUIT],TableauProduit[[#This Row],[Recette]],TableauConcurence[DISTRIBUTION],"magasin BIO")</f>
        <v>110</v>
      </c>
      <c r="L72">
        <f>SUMIFS(TableauConcurence[PRIX_KG],TableauConcurence[PRODUIT],TableauProduit[[#This Row],[Recette]],TableauConcurence[DISTRIBUTION],"artisanale BIO")</f>
        <v>140</v>
      </c>
      <c r="M72">
        <v>0</v>
      </c>
      <c r="N72" s="333">
        <f>TableauProduit[[#This Row],[Objectif de vente en unite N1]]*TableauProduit[[#This Row],[Poids (g) / unite]]/1000</f>
        <v>0</v>
      </c>
      <c r="O72" s="425">
        <f>TableauProduit[[#This Row],[Packaging / unite]]*TableauProduit[[#This Row],[Objectif de vente en unite N1]]</f>
        <v>0</v>
      </c>
      <c r="P72" s="425">
        <f>SUMIF(TableauRecette[[#This Row],[Recette]],TableauProduit[[#This Row],[Recette]],TableauRecette[[#This Row],[Prix pour kg/ de melange]])</f>
        <v>0</v>
      </c>
      <c r="Q72">
        <f>TableauProduit[[#This Row],[Prix de vente/kg]]*TableauProduit[[#This Row],[Total (kg) N1]]</f>
        <v>0</v>
      </c>
      <c r="R72" t="e">
        <f>#REF!-#REF!-TableauProduit[[#This Row],[Conditionnement N1]]</f>
        <v>#REF!</v>
      </c>
      <c r="S72">
        <v>160</v>
      </c>
      <c r="T72" t="e">
        <f>#REF!*#REF!/1000</f>
        <v>#REF!</v>
      </c>
      <c r="U72" t="e">
        <f>#REF!*#REF!</f>
        <v>#REF!</v>
      </c>
      <c r="V72" t="e">
        <f>#REF!*TableauProduit[[#This Row],[Total (kg) N2]]</f>
        <v>#REF!</v>
      </c>
      <c r="W72" t="e">
        <f>TableauProduit[[#This Row],[Prix de vente/kg]]*TableauProduit[[#This Row],[Total (kg) N2]]</f>
        <v>#REF!</v>
      </c>
      <c r="X72" t="e">
        <f>#REF!-#REF!-TableauProduit[[#This Row],[Conditionnement N2]]</f>
        <v>#REF!</v>
      </c>
      <c r="Y72">
        <v>216</v>
      </c>
      <c r="Z72" t="e">
        <f>#REF!*#REF!/1000</f>
        <v>#REF!</v>
      </c>
      <c r="AA72" t="e">
        <f>#REF!*#REF!</f>
        <v>#REF!</v>
      </c>
      <c r="AB72" t="e">
        <f>#REF!*TableauProduit[[#This Row],[Total (kg) N3]]</f>
        <v>#REF!</v>
      </c>
      <c r="AC72" t="e">
        <f>TableauProduit[[#This Row],[Prix de vente/kg]]*TableauProduit[[#This Row],[Total (kg) N3]]</f>
        <v>#REF!</v>
      </c>
      <c r="AD72" t="e">
        <f>#REF!-#REF!-TableauProduit[[#This Row],[Conditionnement N3]]</f>
        <v>#REF!</v>
      </c>
      <c r="AE72">
        <v>248</v>
      </c>
      <c r="AF72" t="e">
        <f>#REF!*#REF!/1000</f>
        <v>#REF!</v>
      </c>
      <c r="AG72" t="e">
        <f>#REF!*#REF!</f>
        <v>#REF!</v>
      </c>
      <c r="AH72" t="e">
        <f>#REF!*TableauProduit[[#This Row],[Total (kg) N4]]</f>
        <v>#REF!</v>
      </c>
      <c r="AI72" t="e">
        <f>TableauProduit[[#This Row],[Prix de vente/kg]]*TableauProduit[[#This Row],[Total (kg) N4]]</f>
        <v>#REF!</v>
      </c>
      <c r="AJ72" t="e">
        <f>#REF!-#REF!-TableauProduit[[#This Row],[Conditionnement N4]]</f>
        <v>#REF!</v>
      </c>
      <c r="AK72">
        <v>264</v>
      </c>
      <c r="AL72" t="e">
        <f>#REF!*#REF!/1000</f>
        <v>#REF!</v>
      </c>
      <c r="AM72" t="e">
        <f>#REF!*#REF!</f>
        <v>#REF!</v>
      </c>
      <c r="AN72" t="e">
        <f>#REF!*TableauProduit[[#This Row],[Total (kg) N5]]</f>
        <v>#REF!</v>
      </c>
      <c r="AO72" t="e">
        <f>TableauProduit[[#This Row],[Prix de vente/kg]]*TableauProduit[[#This Row],[Total (kg) N5]]</f>
        <v>#REF!</v>
      </c>
      <c r="AP72" t="e">
        <f>#REF!-#REF!-TableauProduit[[#This Row],[Conditionnement N5]]</f>
        <v>#REF!</v>
      </c>
      <c r="AQ72">
        <v>264</v>
      </c>
      <c r="AR72" t="e">
        <f>#REF!*#REF!/1000</f>
        <v>#REF!</v>
      </c>
      <c r="AS72" t="e">
        <f>#REF!*#REF!</f>
        <v>#REF!</v>
      </c>
      <c r="AT72" t="e">
        <f>#REF!*TableauProduit[[#This Row],[Total (kg) N6]]</f>
        <v>#REF!</v>
      </c>
      <c r="AU72" t="e">
        <f>TableauProduit[[#This Row],[Prix de vente/kg]]*TableauProduit[[#This Row],[Total (kg) N6]]</f>
        <v>#REF!</v>
      </c>
      <c r="AV72" t="e">
        <f>#REF!-#REF!-TableauProduit[[#This Row],[Conditionnement N6]]</f>
        <v>#REF!</v>
      </c>
      <c r="AW72">
        <v>264</v>
      </c>
      <c r="AX72" t="e">
        <f>#REF!*#REF!/1000</f>
        <v>#REF!</v>
      </c>
      <c r="AY72" t="e">
        <f>#REF!*#REF!</f>
        <v>#REF!</v>
      </c>
      <c r="AZ72" t="e">
        <f>#REF!*TableauProduit[[#This Row],[Total (kg) N7]]</f>
        <v>#REF!</v>
      </c>
      <c r="BA72" t="e">
        <f>TableauProduit[[#This Row],[Prix de vente/kg]]*TableauProduit[[#This Row],[Total (kg) N7]]</f>
        <v>#REF!</v>
      </c>
      <c r="BB72" t="e">
        <f>#REF!-#REF!-TableauProduit[[#This Row],[Conditionnement N7]]</f>
        <v>#REF!</v>
      </c>
      <c r="BC72">
        <v>264</v>
      </c>
      <c r="BD72" t="e">
        <f>#REF!*#REF!/1000</f>
        <v>#REF!</v>
      </c>
      <c r="BE72" t="e">
        <f>#REF!*#REF!</f>
        <v>#REF!</v>
      </c>
      <c r="BF72" t="e">
        <f>#REF!*TableauProduit[[#This Row],[Total (kg) N8]]</f>
        <v>#REF!</v>
      </c>
      <c r="BG72" t="e">
        <f>TableauProduit[[#This Row],[Prix de vente/kg]]*TableauProduit[[#This Row],[Total (kg) N8]]</f>
        <v>#REF!</v>
      </c>
      <c r="BH72" t="e">
        <f>#REF!-#REF!-TableauProduit[[#This Row],[Conditionnement N8]]</f>
        <v>#REF!</v>
      </c>
      <c r="BI72">
        <v>264</v>
      </c>
      <c r="BJ72" t="e">
        <f>#REF!*#REF!/1000</f>
        <v>#REF!</v>
      </c>
      <c r="BK72" t="e">
        <f>#REF!*#REF!</f>
        <v>#REF!</v>
      </c>
      <c r="BL72" t="e">
        <f>#REF!*TableauProduit[[#This Row],[Total (kg) N9]]</f>
        <v>#REF!</v>
      </c>
      <c r="BM72" t="e">
        <f>TableauProduit[[#This Row],[Prix de vente/kg]]*TableauProduit[[#This Row],[Total (kg) N9]]</f>
        <v>#REF!</v>
      </c>
      <c r="BN72" t="e">
        <f>#REF!-#REF!-TableauProduit[[#This Row],[Conditionnement N9]]</f>
        <v>#REF!</v>
      </c>
    </row>
  </sheetData>
  <conditionalFormatting sqref="G1:G104857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72">
    <cfRule type="expression" dxfId="7" priority="2">
      <formula>I2 &gt;L2</formula>
    </cfRule>
    <cfRule type="expression" dxfId="6" priority="3">
      <formula>I2 &lt; L2</formula>
    </cfRule>
    <cfRule type="expression" dxfId="5" priority="4">
      <formula>I2 &lt; K2</formula>
    </cfRule>
    <cfRule type="expression" dxfId="4" priority="5">
      <formula>I2 &gt; K2</formula>
    </cfRule>
  </conditionalFormatting>
  <conditionalFormatting sqref="J2:L71">
    <cfRule type="cellIs" dxfId="3" priority="1" operator="equal">
      <formula>0</formula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3"/>
  <dimension ref="A1:G172"/>
  <sheetViews>
    <sheetView workbookViewId="0">
      <pane ySplit="1" topLeftCell="A126" activePane="bottomLeft" state="frozen"/>
      <selection pane="bottomLeft" activeCell="E118" sqref="E118"/>
    </sheetView>
  </sheetViews>
  <sheetFormatPr baseColWidth="10" defaultColWidth="11" defaultRowHeight="16" x14ac:dyDescent="0.2"/>
  <cols>
    <col min="1" max="1" width="30.1640625" customWidth="1"/>
    <col min="2" max="2" width="8.83203125" style="404" customWidth="1"/>
    <col min="3" max="3" width="7.33203125" customWidth="1"/>
    <col min="4" max="4" width="18.33203125" customWidth="1"/>
    <col min="5" max="5" width="8.33203125" customWidth="1"/>
    <col min="7" max="7" width="14.6640625" style="3" customWidth="1"/>
  </cols>
  <sheetData>
    <row r="1" spans="1:7" ht="83" customHeight="1" x14ac:dyDescent="0.2">
      <c r="A1" s="14" t="s">
        <v>148</v>
      </c>
      <c r="B1" s="403" t="s">
        <v>149</v>
      </c>
      <c r="C1" s="15" t="s">
        <v>150</v>
      </c>
      <c r="D1" s="15" t="s">
        <v>151</v>
      </c>
      <c r="E1" s="15" t="s">
        <v>152</v>
      </c>
      <c r="F1" s="14" t="s">
        <v>153</v>
      </c>
      <c r="G1" s="14" t="s">
        <v>154</v>
      </c>
    </row>
    <row r="2" spans="1:7" x14ac:dyDescent="0.2">
      <c r="A2" t="str">
        <f>IFERROR(PROPER(TableauIngredients[[#This Row],[Nom de la Production]]), "")</f>
        <v>Ail</v>
      </c>
      <c r="B2" s="404">
        <f>IF(IFERROR((100-TableauIngredients[[#This Row],[% eau]])/100, 1) &lt; 0.2,0.2,IFERROR((100-TableauIngredients[[#This Row],[% eau]])/100, 1))</f>
        <v>1</v>
      </c>
      <c r="C2">
        <v>0</v>
      </c>
      <c r="D2" t="s">
        <v>155</v>
      </c>
      <c r="E2">
        <v>14</v>
      </c>
      <c r="F2" s="475"/>
    </row>
    <row r="3" spans="1:7" x14ac:dyDescent="0.2">
      <c r="A3" t="str">
        <f>IFERROR(PROPER(TableauIngredients[[#This Row],[Nom de la Production]]), "")</f>
        <v>Ail</v>
      </c>
      <c r="B3" s="404">
        <f>IF(IFERROR((100-TableauIngredients[[#This Row],[% eau]])/100, 1) &lt; 0.2,0.2,IFERROR((100-TableauIngredients[[#This Row],[% eau]])/100, 1))</f>
        <v>0.4</v>
      </c>
      <c r="C3">
        <v>60</v>
      </c>
      <c r="D3" t="s">
        <v>155</v>
      </c>
      <c r="F3" s="475"/>
    </row>
    <row r="4" spans="1:7" x14ac:dyDescent="0.2">
      <c r="A4" t="str">
        <f>IFERROR(PROPER(TableauIngredients[[#This Row],[Nom de la Production]]), "")</f>
        <v>Amande Douce</v>
      </c>
      <c r="B4" s="404">
        <f>IF(IFERROR((100-TableauIngredients[[#This Row],[% eau]])/100, 1) &lt; 0.2,0.2,IFERROR((100-TableauIngredients[[#This Row],[% eau]])/100, 1))</f>
        <v>0.8</v>
      </c>
      <c r="C4">
        <v>20</v>
      </c>
      <c r="D4" t="s">
        <v>156</v>
      </c>
      <c r="F4" s="475">
        <v>22.16</v>
      </c>
      <c r="G4" s="2" t="s">
        <v>157</v>
      </c>
    </row>
    <row r="5" spans="1:7" x14ac:dyDescent="0.2">
      <c r="A5" t="str">
        <f>IFERROR(PROPER(TableauIngredients[[#This Row],[Nom de la Production]]), "")</f>
        <v>Amchur</v>
      </c>
      <c r="B5" s="404">
        <f>IF(IFERROR((100-TableauIngredients[[#This Row],[% eau]])/100, 1) &lt; 0.2,0.2,IFERROR((100-TableauIngredients[[#This Row],[% eau]])/100, 1))</f>
        <v>0.2</v>
      </c>
      <c r="C5">
        <v>97</v>
      </c>
      <c r="D5" t="s">
        <v>158</v>
      </c>
      <c r="F5" s="475">
        <v>5.26</v>
      </c>
      <c r="G5" s="2" t="s">
        <v>159</v>
      </c>
    </row>
    <row r="6" spans="1:7" x14ac:dyDescent="0.2">
      <c r="A6" t="str">
        <f>IFERROR(PROPER(TableauIngredients[[#This Row],[Nom de la Production]]), "")</f>
        <v>Aneth</v>
      </c>
      <c r="B6" s="404">
        <f>IF(IFERROR((100-TableauIngredients[[#This Row],[% eau]])/100, 1) &lt; 0.2,0.2,IFERROR((100-TableauIngredients[[#This Row],[% eau]])/100, 1))</f>
        <v>0.2</v>
      </c>
      <c r="C6">
        <v>90</v>
      </c>
      <c r="D6" t="s">
        <v>160</v>
      </c>
      <c r="F6" s="475"/>
    </row>
    <row r="7" spans="1:7" x14ac:dyDescent="0.2">
      <c r="A7" t="str">
        <f>IFERROR(PROPER(TableauIngredients[[#This Row],[Nom de la Production]]), "")</f>
        <v>Anis Etoile</v>
      </c>
      <c r="B7" s="404">
        <f>IF(IFERROR((100-TableauIngredients[[#This Row],[% eau]])/100, 1) &lt; 0.2,0.2,IFERROR((100-TableauIngredients[[#This Row],[% eau]])/100, 1))</f>
        <v>0.9</v>
      </c>
      <c r="C7">
        <v>10</v>
      </c>
      <c r="D7" t="s">
        <v>161</v>
      </c>
      <c r="F7" s="475">
        <v>32</v>
      </c>
      <c r="G7" s="2" t="s">
        <v>162</v>
      </c>
    </row>
    <row r="8" spans="1:7" x14ac:dyDescent="0.2">
      <c r="A8" t="str">
        <f>IFERROR(PROPER(TableauIngredients[[#This Row],[Nom de la Production]]), "")</f>
        <v>Asafoetida</v>
      </c>
      <c r="B8" s="404">
        <f>IF(IFERROR((100-TableauIngredients[[#This Row],[% eau]])/100, 1) &lt; 0.2,0.2,IFERROR((100-TableauIngredients[[#This Row],[% eau]])/100, 1))</f>
        <v>0.2</v>
      </c>
      <c r="C8">
        <v>97</v>
      </c>
      <c r="D8" t="s">
        <v>163</v>
      </c>
      <c r="F8" s="475">
        <v>100</v>
      </c>
      <c r="G8" s="1"/>
    </row>
    <row r="9" spans="1:7" x14ac:dyDescent="0.2">
      <c r="A9" t="str">
        <f>IFERROR(PROPER(TableauIngredients[[#This Row],[Nom de la Production]]), "")</f>
        <v>Basilic</v>
      </c>
      <c r="B9" s="404">
        <f>IF(IFERROR((100-TableauIngredients[[#This Row],[% eau]])/100, 1) &lt; 0.2,0.2,IFERROR((100-TableauIngredients[[#This Row],[% eau]])/100, 1))</f>
        <v>1</v>
      </c>
      <c r="C9">
        <v>0</v>
      </c>
      <c r="D9" t="s">
        <v>164</v>
      </c>
      <c r="E9">
        <v>12</v>
      </c>
      <c r="F9" s="475"/>
    </row>
    <row r="10" spans="1:7" x14ac:dyDescent="0.2">
      <c r="A10" t="str">
        <f>IFERROR(PROPER(TableauIngredients[[#This Row],[Nom de la Production]]), "")</f>
        <v>Basilic</v>
      </c>
      <c r="B10" s="404">
        <f>IF(IFERROR((100-TableauIngredients[[#This Row],[% eau]])/100, 1) &lt; 0.2,0.2,IFERROR((100-TableauIngredients[[#This Row],[% eau]])/100, 1))</f>
        <v>0.2</v>
      </c>
      <c r="C10">
        <v>92</v>
      </c>
      <c r="D10" t="s">
        <v>164</v>
      </c>
      <c r="E10">
        <v>12</v>
      </c>
      <c r="F10" s="475"/>
      <c r="G10" s="1"/>
    </row>
    <row r="11" spans="1:7" x14ac:dyDescent="0.2">
      <c r="A11" t="str">
        <f>IFERROR(PROPER(TableauIngredients[[#This Row],[Nom de la Production]]), "")</f>
        <v>Basilic Thaï</v>
      </c>
      <c r="B11" s="404">
        <f>IF(IFERROR((100-TableauIngredients[[#This Row],[% eau]])/100, 1) &lt; 0.2,0.2,IFERROR((100-TableauIngredients[[#This Row],[% eau]])/100, 1))</f>
        <v>1</v>
      </c>
      <c r="C11">
        <v>0</v>
      </c>
      <c r="D11" t="s">
        <v>165</v>
      </c>
      <c r="E11">
        <v>12</v>
      </c>
      <c r="F11" s="475"/>
    </row>
    <row r="12" spans="1:7" x14ac:dyDescent="0.2">
      <c r="A12" t="str">
        <f>IFERROR(PROPER(TableauIngredients[[#This Row],[Nom de la Production]]), "")</f>
        <v>Basilic Thaï</v>
      </c>
      <c r="B12" s="404">
        <f>IF(IFERROR((100-TableauIngredients[[#This Row],[% eau]])/100, 1) &lt; 0.2,0.2,IFERROR((100-TableauIngredients[[#This Row],[% eau]])/100, 1))</f>
        <v>0.2</v>
      </c>
      <c r="C12">
        <v>97</v>
      </c>
      <c r="D12" t="s">
        <v>165</v>
      </c>
      <c r="E12">
        <v>12</v>
      </c>
      <c r="F12" s="475"/>
    </row>
    <row r="13" spans="1:7" x14ac:dyDescent="0.2">
      <c r="A13" t="str">
        <f>IFERROR(PROPER(TableauIngredients[[#This Row],[Nom de la Production]]), "")</f>
        <v>Cannelle</v>
      </c>
      <c r="B13" s="404">
        <f>IF(IFERROR((100-TableauIngredients[[#This Row],[% eau]])/100, 1) &lt; 0.2,0.2,IFERROR((100-TableauIngredients[[#This Row],[% eau]])/100, 1))</f>
        <v>0.2</v>
      </c>
      <c r="C13">
        <v>97</v>
      </c>
      <c r="D13" t="s">
        <v>166</v>
      </c>
      <c r="F13" s="475">
        <v>22</v>
      </c>
      <c r="G13" s="1"/>
    </row>
    <row r="14" spans="1:7" x14ac:dyDescent="0.2">
      <c r="A14" t="str">
        <f>IFERROR(PROPER(TableauIngredients[[#This Row],[Nom de la Production]]), "")</f>
        <v>Bleuet</v>
      </c>
      <c r="B14" s="404">
        <f>IF(IFERROR((100-TableauIngredients[[#This Row],[% eau]])/100, 1) &lt; 0.2,0.2,IFERROR((100-TableauIngredients[[#This Row],[% eau]])/100, 1))</f>
        <v>1</v>
      </c>
      <c r="C14">
        <v>0</v>
      </c>
      <c r="D14" t="s">
        <v>167</v>
      </c>
      <c r="F14" s="475"/>
    </row>
    <row r="15" spans="1:7" x14ac:dyDescent="0.2">
      <c r="A15" t="str">
        <f>IFERROR(PROPER(TableauIngredients[[#This Row],[Nom de la Production]]), "")</f>
        <v>Bleuet</v>
      </c>
      <c r="B15" s="404">
        <f>IF(IFERROR((100-TableauIngredients[[#This Row],[% eau]])/100, 1) &lt; 0.2,0.2,IFERROR((100-TableauIngredients[[#This Row],[% eau]])/100, 1))</f>
        <v>0.2</v>
      </c>
      <c r="C15">
        <v>97</v>
      </c>
      <c r="D15" t="s">
        <v>167</v>
      </c>
      <c r="F15" s="475"/>
    </row>
    <row r="16" spans="1:7" x14ac:dyDescent="0.2">
      <c r="A16" t="str">
        <f>IFERROR(PROPER(TableauIngredients[[#This Row],[Nom de la Production]]), "")</f>
        <v/>
      </c>
      <c r="B16" s="404">
        <f>IF(IFERROR((100-TableauIngredients[[#This Row],[% eau]])/100, 1) &lt; 0.2,0.2,IFERROR((100-TableauIngredients[[#This Row],[% eau]])/100, 1))</f>
        <v>1</v>
      </c>
      <c r="F16" s="475">
        <v>28</v>
      </c>
      <c r="G16" s="3" t="s">
        <v>168</v>
      </c>
    </row>
    <row r="17" spans="1:7" x14ac:dyDescent="0.2">
      <c r="A17" t="str">
        <f>IFERROR(PROPER(TableauIngredients[[#This Row],[Nom de la Production]]), "")</f>
        <v>Cacahuètes Grillees</v>
      </c>
      <c r="B17" s="404">
        <f>IF(IFERROR((100-TableauIngredients[[#This Row],[% eau]])/100, 1) &lt; 0.2,0.2,IFERROR((100-TableauIngredients[[#This Row],[% eau]])/100, 1))</f>
        <v>1</v>
      </c>
      <c r="D17" t="s">
        <v>169</v>
      </c>
      <c r="F17" s="475">
        <v>7.9</v>
      </c>
      <c r="G17" s="16" t="s">
        <v>170</v>
      </c>
    </row>
    <row r="18" spans="1:7" x14ac:dyDescent="0.2">
      <c r="A18" t="str">
        <f>IFERROR(PROPER(TableauIngredients[[#This Row],[Nom de la Production]]), "")</f>
        <v>Camomille Romaine</v>
      </c>
      <c r="B18" s="404">
        <f>IF(IFERROR((100-TableauIngredients[[#This Row],[% eau]])/100, 1) &lt; 0.2,0.2,IFERROR((100-TableauIngredients[[#This Row],[% eau]])/100, 1))</f>
        <v>1</v>
      </c>
      <c r="C18">
        <v>0</v>
      </c>
      <c r="D18" t="s">
        <v>171</v>
      </c>
      <c r="F18" s="475"/>
    </row>
    <row r="19" spans="1:7" x14ac:dyDescent="0.2">
      <c r="A19" t="str">
        <f>IFERROR(PROPER(TableauIngredients[[#This Row],[Nom de la Production]]), "")</f>
        <v>Camomille Romaine</v>
      </c>
      <c r="B19" s="404">
        <f>IF(IFERROR((100-TableauIngredients[[#This Row],[% eau]])/100, 1) &lt; 0.2,0.2,IFERROR((100-TableauIngredients[[#This Row],[% eau]])/100, 1))</f>
        <v>0.2</v>
      </c>
      <c r="C19">
        <v>97</v>
      </c>
      <c r="D19" t="s">
        <v>171</v>
      </c>
      <c r="F19" s="475"/>
    </row>
    <row r="20" spans="1:7" x14ac:dyDescent="0.2">
      <c r="A20" t="str">
        <f>IFERROR(PROPER(TableauIngredients[[#This Row],[Nom de la Production]]), "")</f>
        <v>Cannelle</v>
      </c>
      <c r="B20" s="404">
        <f>IF(IFERROR((100-TableauIngredients[[#This Row],[% eau]])/100, 1) &lt; 0.2,0.2,IFERROR((100-TableauIngredients[[#This Row],[% eau]])/100, 1))</f>
        <v>0.2</v>
      </c>
      <c r="C20">
        <v>97</v>
      </c>
      <c r="D20" t="s">
        <v>166</v>
      </c>
      <c r="F20" s="475">
        <v>22</v>
      </c>
      <c r="G20" s="2" t="s">
        <v>172</v>
      </c>
    </row>
    <row r="21" spans="1:7" x14ac:dyDescent="0.2">
      <c r="A21" t="str">
        <f>IFERROR(PROPER(TableauIngredients[[#This Row],[Nom de la Production]]), "")</f>
        <v>Cannelle</v>
      </c>
      <c r="B21" s="404">
        <f>IF(IFERROR((100-TableauIngredients[[#This Row],[% eau]])/100, 1) &lt; 0.2,0.2,IFERROR((100-TableauIngredients[[#This Row],[% eau]])/100, 1))</f>
        <v>0.2</v>
      </c>
      <c r="C21">
        <v>97</v>
      </c>
      <c r="D21" t="s">
        <v>166</v>
      </c>
      <c r="F21" s="475">
        <v>22</v>
      </c>
    </row>
    <row r="22" spans="1:7" x14ac:dyDescent="0.2">
      <c r="A22" t="str">
        <f>IFERROR(PROPER(TableauIngredients[[#This Row],[Nom de la Production]]), "")</f>
        <v>Graine De Carvi</v>
      </c>
      <c r="B22" s="404">
        <f>IF(IFERROR((100-TableauIngredients[[#This Row],[% eau]])/100, 1) &lt; 0.2,0.2,IFERROR((100-TableauIngredients[[#This Row],[% eau]])/100, 1))</f>
        <v>0.9</v>
      </c>
      <c r="C22">
        <v>10</v>
      </c>
      <c r="D22" t="s">
        <v>173</v>
      </c>
      <c r="F22" s="475">
        <v>20.75</v>
      </c>
      <c r="G22" s="2" t="s">
        <v>174</v>
      </c>
    </row>
    <row r="23" spans="1:7" x14ac:dyDescent="0.2">
      <c r="A23" t="str">
        <f>IFERROR(PROPER(TableauIngredients[[#This Row],[Nom de la Production]]), "")</f>
        <v>Casse</v>
      </c>
      <c r="B23" s="404">
        <f>IF(IFERROR((100-TableauIngredients[[#This Row],[% eau]])/100, 1) &lt; 0.2,0.2,IFERROR((100-TableauIngredients[[#This Row],[% eau]])/100, 1))</f>
        <v>0.2</v>
      </c>
      <c r="C23">
        <v>97</v>
      </c>
      <c r="D23" t="s">
        <v>175</v>
      </c>
      <c r="F23" s="475">
        <v>59</v>
      </c>
      <c r="G23" s="1"/>
    </row>
    <row r="24" spans="1:7" x14ac:dyDescent="0.2">
      <c r="A24" t="str">
        <f>IFERROR(PROPER(TableauIngredients[[#This Row],[Nom de la Production]]), "")</f>
        <v>Cassonade</v>
      </c>
      <c r="B24" s="404">
        <f>IF(IFERROR((100-TableauIngredients[[#This Row],[% eau]])/100, 1) &lt; 0.2,0.2,IFERROR((100-TableauIngredients[[#This Row],[% eau]])/100, 1))</f>
        <v>1</v>
      </c>
      <c r="D24" s="1" t="s">
        <v>176</v>
      </c>
      <c r="E24" s="1"/>
      <c r="F24" s="475"/>
    </row>
    <row r="25" spans="1:7" x14ac:dyDescent="0.2">
      <c r="A25" t="str">
        <f>IFERROR(PROPER(TableauIngredients[[#This Row],[Nom de la Production]]), "")</f>
        <v>Celeri</v>
      </c>
      <c r="B25" s="404">
        <f>IF(IFERROR((100-TableauIngredients[[#This Row],[% eau]])/100, 1) &lt; 0.2,0.2,IFERROR((100-TableauIngredients[[#This Row],[% eau]])/100, 1))</f>
        <v>0.2</v>
      </c>
      <c r="C25">
        <v>97</v>
      </c>
      <c r="D25" s="1" t="s">
        <v>177</v>
      </c>
      <c r="E25" s="1"/>
      <c r="F25" s="475"/>
    </row>
    <row r="26" spans="1:7" x14ac:dyDescent="0.2">
      <c r="A26" t="str">
        <f>IFERROR(PROPER(TableauIngredients[[#This Row],[Nom de la Production]]), "")</f>
        <v>Celeri En Poudre</v>
      </c>
      <c r="B26" s="404">
        <f>IF(IFERROR((100-TableauIngredients[[#This Row],[% eau]])/100, 1) &lt; 0.2,0.2,IFERROR((100-TableauIngredients[[#This Row],[% eau]])/100, 1))</f>
        <v>0.3</v>
      </c>
      <c r="C26">
        <v>70</v>
      </c>
      <c r="D26" s="1" t="s">
        <v>178</v>
      </c>
      <c r="E26" s="1"/>
      <c r="F26" s="475"/>
    </row>
    <row r="27" spans="1:7" x14ac:dyDescent="0.2">
      <c r="A27" t="str">
        <f>IFERROR(PROPER(TableauIngredients[[#This Row],[Nom de la Production]]), "")</f>
        <v>Chenpi (Peau De Mandarine Sechee)</v>
      </c>
      <c r="B27" s="404">
        <f>IF(IFERROR((100-TableauIngredients[[#This Row],[% eau]])/100, 1) &lt; 0.2,0.2,IFERROR((100-TableauIngredients[[#This Row],[% eau]])/100, 1))</f>
        <v>1</v>
      </c>
      <c r="D27" t="s">
        <v>179</v>
      </c>
      <c r="F27" s="475">
        <v>76.73</v>
      </c>
      <c r="G27" s="2" t="s">
        <v>180</v>
      </c>
    </row>
    <row r="28" spans="1:7" x14ac:dyDescent="0.2">
      <c r="A28" t="str">
        <f>IFERROR(PROPER(TableauIngredients[[#This Row],[Nom de la Production]]), "")</f>
        <v>Citron Jaune</v>
      </c>
      <c r="B28" s="404">
        <f>IF(IFERROR((100-TableauIngredients[[#This Row],[% eau]])/100, 1) &lt; 0.2,0.2,IFERROR((100-TableauIngredients[[#This Row],[% eau]])/100, 1))</f>
        <v>0.2</v>
      </c>
      <c r="C28">
        <v>90</v>
      </c>
      <c r="D28" t="s">
        <v>181</v>
      </c>
      <c r="F28" s="475">
        <v>12</v>
      </c>
      <c r="G28" s="2" t="s">
        <v>182</v>
      </c>
    </row>
    <row r="29" spans="1:7" x14ac:dyDescent="0.2">
      <c r="A29" t="str">
        <f>IFERROR(PROPER(TableauIngredients[[#This Row],[Nom de la Production]]), "")</f>
        <v>Citron Vert</v>
      </c>
      <c r="B29" s="404">
        <f>IF(IFERROR((100-TableauIngredients[[#This Row],[% eau]])/100, 1) &lt; 0.2,0.2,IFERROR((100-TableauIngredients[[#This Row],[% eau]])/100, 1))</f>
        <v>0.2</v>
      </c>
      <c r="C29">
        <v>90</v>
      </c>
      <c r="D29" t="s">
        <v>183</v>
      </c>
      <c r="F29" s="475">
        <v>7</v>
      </c>
      <c r="G29" s="2" t="s">
        <v>184</v>
      </c>
    </row>
    <row r="30" spans="1:7" x14ac:dyDescent="0.2">
      <c r="A30" t="str">
        <f>IFERROR(PROPER(TableauIngredients[[#This Row],[Nom de la Production]]), "")</f>
        <v>Clous De Girofle</v>
      </c>
      <c r="B30" s="404">
        <f>IF(IFERROR((100-TableauIngredients[[#This Row],[% eau]])/100, 1) &lt; 0.2,0.2,IFERROR((100-TableauIngredients[[#This Row],[% eau]])/100, 1))</f>
        <v>0.2</v>
      </c>
      <c r="C30">
        <v>97</v>
      </c>
      <c r="D30" t="s">
        <v>185</v>
      </c>
      <c r="F30" s="475">
        <v>36</v>
      </c>
      <c r="G30" s="2" t="s">
        <v>186</v>
      </c>
    </row>
    <row r="31" spans="1:7" x14ac:dyDescent="0.2">
      <c r="A31" t="str">
        <f>IFERROR(PROPER(TableauIngredients[[#This Row],[Nom de la Production]]), "")</f>
        <v>Tomate Rouge</v>
      </c>
      <c r="B31" s="404">
        <f>IF(IFERROR((100-TableauIngredients[[#This Row],[% eau]])/100, 1) &lt; 0.2,0.2,IFERROR((100-TableauIngredients[[#This Row],[% eau]])/100, 1))</f>
        <v>0.2</v>
      </c>
      <c r="C31">
        <v>90</v>
      </c>
      <c r="D31" t="s">
        <v>187</v>
      </c>
      <c r="E31">
        <v>5</v>
      </c>
      <c r="F31" s="475"/>
    </row>
    <row r="32" spans="1:7" x14ac:dyDescent="0.2">
      <c r="A32" t="str">
        <f>IFERROR(PROPER(TableauIngredients[[#This Row],[Nom de la Production]]), "")</f>
        <v>Coriandre Feuille</v>
      </c>
      <c r="B32" s="404">
        <f>IF(IFERROR((100-TableauIngredients[[#This Row],[% eau]])/100, 1) &lt; 0.2,0.2,IFERROR((100-TableauIngredients[[#This Row],[% eau]])/100, 1))</f>
        <v>1</v>
      </c>
      <c r="C32">
        <v>0</v>
      </c>
      <c r="D32" t="s">
        <v>188</v>
      </c>
      <c r="F32" s="475"/>
    </row>
    <row r="33" spans="1:7" x14ac:dyDescent="0.2">
      <c r="A33" t="str">
        <f>IFERROR(PROPER(TableauIngredients[[#This Row],[Nom de la Production]]), "")</f>
        <v>Coriandre Feuille</v>
      </c>
      <c r="B33" s="404">
        <f>IF(IFERROR((100-TableauIngredients[[#This Row],[% eau]])/100, 1) &lt; 0.2,0.2,IFERROR((100-TableauIngredients[[#This Row],[% eau]])/100, 1))</f>
        <v>0.2</v>
      </c>
      <c r="C33">
        <v>92</v>
      </c>
      <c r="D33" t="s">
        <v>188</v>
      </c>
      <c r="E33">
        <v>12</v>
      </c>
      <c r="F33" s="475"/>
      <c r="G33" s="1"/>
    </row>
    <row r="34" spans="1:7" x14ac:dyDescent="0.2">
      <c r="A34" t="str">
        <f>IFERROR(PROPER(TableauIngredients[[#This Row],[Nom de la Production]]), "")</f>
        <v>Coriandre Graine</v>
      </c>
      <c r="B34" s="404">
        <f>IF(IFERROR((100-TableauIngredients[[#This Row],[% eau]])/100, 1) &lt; 0.2,0.2,IFERROR((100-TableauIngredients[[#This Row],[% eau]])/100, 1))</f>
        <v>0.7</v>
      </c>
      <c r="C34">
        <v>30</v>
      </c>
      <c r="D34" t="s">
        <v>189</v>
      </c>
      <c r="E34">
        <f>12.05*1.055</f>
        <v>12.71275</v>
      </c>
      <c r="F34" s="475"/>
      <c r="G34" s="2" t="s">
        <v>190</v>
      </c>
    </row>
    <row r="35" spans="1:7" x14ac:dyDescent="0.2">
      <c r="A35" t="str">
        <f>IFERROR(PROPER(TableauIngredients[[#This Row],[Nom de la Production]]), "")</f>
        <v>Coriandre Graine</v>
      </c>
      <c r="B35" s="404">
        <f>IF(IFERROR((100-TableauIngredients[[#This Row],[% eau]])/100, 1) &lt; 0.2,0.2,IFERROR((100-TableauIngredients[[#This Row],[% eau]])/100, 1))</f>
        <v>1</v>
      </c>
      <c r="D35" t="s">
        <v>189</v>
      </c>
      <c r="E35">
        <f>12.05*1.055</f>
        <v>12.71275</v>
      </c>
      <c r="F35" s="475"/>
    </row>
    <row r="36" spans="1:7" x14ac:dyDescent="0.2">
      <c r="A36" t="str">
        <f>IFERROR(PROPER(TableauIngredients[[#This Row],[Nom de la Production]]), "")</f>
        <v>Graine Cumin</v>
      </c>
      <c r="B36" s="404">
        <f>IF(IFERROR((100-TableauIngredients[[#This Row],[% eau]])/100, 1) &lt; 0.2,0.2,IFERROR((100-TableauIngredients[[#This Row],[% eau]])/100, 1))</f>
        <v>0.7</v>
      </c>
      <c r="C36">
        <v>30</v>
      </c>
      <c r="D36" t="s">
        <v>191</v>
      </c>
      <c r="E36">
        <f>42.9*1.055</f>
        <v>45.259499999999996</v>
      </c>
      <c r="F36" s="475"/>
      <c r="G36" s="2" t="s">
        <v>192</v>
      </c>
    </row>
    <row r="37" spans="1:7" x14ac:dyDescent="0.2">
      <c r="A37" t="str">
        <f>IFERROR(PROPER(TableauIngredients[[#This Row],[Nom de la Production]]), "")</f>
        <v>Graine Cumin Noir</v>
      </c>
      <c r="B37" s="404">
        <f>IF(IFERROR((100-TableauIngredients[[#This Row],[% eau]])/100, 1) &lt; 0.2,0.2,IFERROR((100-TableauIngredients[[#This Row],[% eau]])/100, 1))</f>
        <v>0.9</v>
      </c>
      <c r="C37">
        <v>10</v>
      </c>
      <c r="D37" t="s">
        <v>193</v>
      </c>
      <c r="E37">
        <v>21.95</v>
      </c>
      <c r="F37" s="475"/>
      <c r="G37" s="2" t="s">
        <v>194</v>
      </c>
    </row>
    <row r="38" spans="1:7" x14ac:dyDescent="0.2">
      <c r="A38" t="str">
        <f>IFERROR(PROPER(TableauIngredients[[#This Row],[Nom de la Production]]), "")</f>
        <v>Curcuma</v>
      </c>
      <c r="B38" s="404">
        <f>IF(IFERROR((100-TableauIngredients[[#This Row],[% eau]])/100, 1) &lt; 0.2,0.2,IFERROR((100-TableauIngredients[[#This Row],[% eau]])/100, 1))</f>
        <v>0.85</v>
      </c>
      <c r="C38">
        <v>15</v>
      </c>
      <c r="D38" t="s">
        <v>195</v>
      </c>
      <c r="F38" s="475"/>
      <c r="G38" s="2" t="s">
        <v>196</v>
      </c>
    </row>
    <row r="39" spans="1:7" x14ac:dyDescent="0.2">
      <c r="A39" t="str">
        <f>IFERROR(PROPER(TableauIngredients[[#This Row],[Nom de la Production]]), "")</f>
        <v>Eau</v>
      </c>
      <c r="B39" s="404">
        <v>1</v>
      </c>
      <c r="C39">
        <v>100</v>
      </c>
      <c r="D39" t="s">
        <v>197</v>
      </c>
      <c r="E39">
        <v>1E-3</v>
      </c>
      <c r="F39" s="475"/>
      <c r="G39" s="2" t="s">
        <v>198</v>
      </c>
    </row>
    <row r="40" spans="1:7" x14ac:dyDescent="0.2">
      <c r="A40" t="str">
        <f>IFERROR(PROPER(TableauIngredients[[#This Row],[Nom de la Production]]), "")</f>
        <v>Graine De Fenugrec</v>
      </c>
      <c r="B40" s="404">
        <f>IF(IFERROR((100-TableauIngredients[[#This Row],[% eau]])/100, 1) &lt; 0.2,0.2,IFERROR((100-TableauIngredients[[#This Row],[% eau]])/100, 1))</f>
        <v>0.9</v>
      </c>
      <c r="C40">
        <v>10</v>
      </c>
      <c r="D40" t="s">
        <v>199</v>
      </c>
      <c r="E40">
        <v>12.55</v>
      </c>
      <c r="F40" s="475"/>
      <c r="G40" s="2" t="s">
        <v>200</v>
      </c>
    </row>
    <row r="41" spans="1:7" x14ac:dyDescent="0.2">
      <c r="A41" t="str">
        <f>IFERROR(PROPER(TableauIngredients[[#This Row],[Nom de la Production]]), "")</f>
        <v>Feuille De 4 Epices</v>
      </c>
      <c r="B41" s="404">
        <f>IF(IFERROR((100-TableauIngredients[[#This Row],[% eau]])/100, 1) &lt; 0.2,0.2,IFERROR((100-TableauIngredients[[#This Row],[% eau]])/100, 1))</f>
        <v>0.2</v>
      </c>
      <c r="C41">
        <v>97</v>
      </c>
      <c r="D41" t="s">
        <v>201</v>
      </c>
      <c r="F41" s="475">
        <v>19.170000000000002</v>
      </c>
      <c r="G41" s="2" t="s">
        <v>202</v>
      </c>
    </row>
    <row r="42" spans="1:7" x14ac:dyDescent="0.2">
      <c r="A42" t="str">
        <f>IFERROR(PROPER(TableauIngredients[[#This Row],[Nom de la Production]]), "")</f>
        <v>Feuilles De Cannelier</v>
      </c>
      <c r="B42" s="404">
        <f>IF(IFERROR((100-TableauIngredients[[#This Row],[% eau]])/100, 1) &lt; 0.2,0.2,IFERROR((100-TableauIngredients[[#This Row],[% eau]])/100, 1))</f>
        <v>0.2</v>
      </c>
      <c r="C42">
        <v>97</v>
      </c>
      <c r="D42" s="1" t="s">
        <v>203</v>
      </c>
      <c r="E42" s="1"/>
      <c r="F42" s="475"/>
    </row>
    <row r="43" spans="1:7" x14ac:dyDescent="0.2">
      <c r="A43" t="str">
        <f>IFERROR(PROPER(TableauIngredients[[#This Row],[Nom de la Production]]), "")</f>
        <v>Feuilles De Curry</v>
      </c>
      <c r="B43" s="404">
        <f>IF(IFERROR((100-TableauIngredients[[#This Row],[% eau]])/100, 1) &lt; 0.2,0.2,IFERROR((100-TableauIngredients[[#This Row],[% eau]])/100, 1))</f>
        <v>0.2</v>
      </c>
      <c r="C43">
        <v>97</v>
      </c>
      <c r="D43" s="1" t="s">
        <v>204</v>
      </c>
      <c r="E43" s="1"/>
      <c r="F43" s="475"/>
    </row>
    <row r="44" spans="1:7" x14ac:dyDescent="0.2">
      <c r="A44" t="str">
        <f>IFERROR(PROPER(TableauIngredients[[#This Row],[Nom de la Production]]), "")</f>
        <v>Feuilles De Laurier</v>
      </c>
      <c r="B44" s="404">
        <f>IF(IFERROR((100-TableauIngredients[[#This Row],[% eau]])/100, 1) &lt; 0.2,0.2,IFERROR((100-TableauIngredients[[#This Row],[% eau]])/100, 1))</f>
        <v>1</v>
      </c>
      <c r="C44">
        <v>0</v>
      </c>
      <c r="D44" t="s">
        <v>205</v>
      </c>
      <c r="E44" s="1"/>
      <c r="F44" s="475"/>
    </row>
    <row r="45" spans="1:7" x14ac:dyDescent="0.2">
      <c r="A45" t="str">
        <f>IFERROR(PROPER(TableauIngredients[[#This Row],[Nom de la Production]]), "")</f>
        <v>Feuilles De Laurier</v>
      </c>
      <c r="B45" s="404">
        <f>IF(IFERROR((100-TableauIngredients[[#This Row],[% eau]])/100, 1) &lt; 0.2,0.2,IFERROR((100-TableauIngredients[[#This Row],[% eau]])/100, 1))</f>
        <v>0.35</v>
      </c>
      <c r="C45">
        <v>65</v>
      </c>
      <c r="D45" t="s">
        <v>205</v>
      </c>
      <c r="E45">
        <f>47.4*1.055</f>
        <v>50.006999999999998</v>
      </c>
      <c r="F45" s="475"/>
      <c r="G45" s="2" t="s">
        <v>206</v>
      </c>
    </row>
    <row r="46" spans="1:7" x14ac:dyDescent="0.2">
      <c r="A46" t="str">
        <f>IFERROR(PROPER(TableauIngredients[[#This Row],[Nom de la Production]]), "")</f>
        <v>Figue</v>
      </c>
      <c r="B46" s="404">
        <f>IF(IFERROR((100-TableauIngredients[[#This Row],[% eau]])/100, 1) &lt; 0.2,0.2,IFERROR((100-TableauIngredients[[#This Row],[% eau]])/100, 1))</f>
        <v>1</v>
      </c>
      <c r="C46">
        <v>0</v>
      </c>
      <c r="D46" t="s">
        <v>207</v>
      </c>
      <c r="F46" s="475"/>
      <c r="G46" s="2"/>
    </row>
    <row r="47" spans="1:7" x14ac:dyDescent="0.2">
      <c r="A47" t="str">
        <f>IFERROR(PROPER(TableauIngredients[[#This Row],[Nom de la Production]]), "")</f>
        <v>Figue</v>
      </c>
      <c r="B47" s="404">
        <f>IF(IFERROR((100-TableauIngredients[[#This Row],[% eau]])/100, 1) &lt; 0.2,0.2,IFERROR((100-TableauIngredients[[#This Row],[% eau]])/100, 1))</f>
        <v>0.2</v>
      </c>
      <c r="C47">
        <v>80</v>
      </c>
      <c r="D47" t="s">
        <v>207</v>
      </c>
      <c r="F47" s="475"/>
    </row>
    <row r="48" spans="1:7" x14ac:dyDescent="0.2">
      <c r="A48" t="str">
        <f>IFERROR(PROPER(TableauIngredients[[#This Row],[Nom de la Production]]), "")</f>
        <v>Fleur Helichrysum</v>
      </c>
      <c r="B48" s="404">
        <f>IF(IFERROR((100-TableauIngredients[[#This Row],[% eau]])/100, 1) &lt; 0.2,0.2,IFERROR((100-TableauIngredients[[#This Row],[% eau]])/100, 1))</f>
        <v>1</v>
      </c>
      <c r="C48">
        <v>0</v>
      </c>
      <c r="D48" t="s">
        <v>208</v>
      </c>
      <c r="F48" s="475"/>
    </row>
    <row r="49" spans="1:7" x14ac:dyDescent="0.2">
      <c r="A49" t="str">
        <f>IFERROR(PROPER(TableauIngredients[[#This Row],[Nom de la Production]]), "")</f>
        <v>Fleur Helichrysum</v>
      </c>
      <c r="B49" s="404">
        <f>IF(IFERROR((100-TableauIngredients[[#This Row],[% eau]])/100, 1) &lt; 0.2,0.2,IFERROR((100-TableauIngredients[[#This Row],[% eau]])/100, 1))</f>
        <v>0.2</v>
      </c>
      <c r="C49">
        <v>90</v>
      </c>
      <c r="D49" t="s">
        <v>208</v>
      </c>
      <c r="F49" s="475"/>
    </row>
    <row r="50" spans="1:7" x14ac:dyDescent="0.2">
      <c r="A50" t="str">
        <f>IFERROR(PROPER(TableauIngredients[[#This Row],[Nom de la Production]]), "")</f>
        <v>Gaultheria Procumbens Leaf Oil</v>
      </c>
      <c r="B50" s="404">
        <f>IF(IFERROR((100-TableauIngredients[[#This Row],[% eau]])/100, 1) &lt; 0.2,0.2,IFERROR((100-TableauIngredients[[#This Row],[% eau]])/100, 1))</f>
        <v>0.2</v>
      </c>
      <c r="C50">
        <v>99</v>
      </c>
      <c r="D50" t="s">
        <v>209</v>
      </c>
      <c r="F50" s="475"/>
    </row>
    <row r="51" spans="1:7" x14ac:dyDescent="0.2">
      <c r="A51" t="str">
        <f>IFERROR(PROPER(TableauIngredients[[#This Row],[Nom de la Production]]), "")</f>
        <v>Gingembre</v>
      </c>
      <c r="B51" s="404">
        <f>IF(IFERROR((100-TableauIngredients[[#This Row],[% eau]])/100, 1) &lt; 0.2,0.2,IFERROR((100-TableauIngredients[[#This Row],[% eau]])/100, 1))</f>
        <v>1</v>
      </c>
      <c r="C51">
        <v>0</v>
      </c>
      <c r="D51" t="s">
        <v>210</v>
      </c>
      <c r="F51" s="475"/>
    </row>
    <row r="52" spans="1:7" x14ac:dyDescent="0.2">
      <c r="A52" t="str">
        <f>IFERROR(PROPER(TableauIngredients[[#This Row],[Nom de la Production]]), "")</f>
        <v>Gingembre</v>
      </c>
      <c r="B52" s="404">
        <f>IF(IFERROR((100-TableauIngredients[[#This Row],[% eau]])/100, 1) &lt; 0.2,0.2,IFERROR((100-TableauIngredients[[#This Row],[% eau]])/100, 1))</f>
        <v>0.85</v>
      </c>
      <c r="C52">
        <v>15</v>
      </c>
      <c r="D52" t="s">
        <v>210</v>
      </c>
      <c r="E52">
        <v>27.6</v>
      </c>
      <c r="F52" s="475"/>
      <c r="G52" s="2" t="s">
        <v>211</v>
      </c>
    </row>
    <row r="53" spans="1:7" x14ac:dyDescent="0.2">
      <c r="A53" t="str">
        <f>IFERROR(PROPER(TableauIngredients[[#This Row],[Nom de la Production]]), "")</f>
        <v>Ail</v>
      </c>
      <c r="B53" s="404">
        <f>IF(IFERROR((100-TableauIngredients[[#This Row],[% eau]])/100, 1) &lt; 0.2,0.2,IFERROR((100-TableauIngredients[[#This Row],[% eau]])/100, 1))</f>
        <v>1</v>
      </c>
      <c r="C53">
        <v>0</v>
      </c>
      <c r="D53" t="s">
        <v>155</v>
      </c>
      <c r="F53" s="475"/>
    </row>
    <row r="54" spans="1:7" x14ac:dyDescent="0.2">
      <c r="A54" t="str">
        <f>IFERROR(PROPER(TableauIngredients[[#This Row],[Nom de la Production]]), "")</f>
        <v>Aneth</v>
      </c>
      <c r="B54" s="404">
        <f>IF(IFERROR((100-TableauIngredients[[#This Row],[% eau]])/100, 1) &lt; 0.2,0.2,IFERROR((100-TableauIngredients[[#This Row],[% eau]])/100, 1))</f>
        <v>0.2</v>
      </c>
      <c r="C54">
        <v>80</v>
      </c>
      <c r="D54" t="s">
        <v>160</v>
      </c>
      <c r="F54" s="475"/>
    </row>
    <row r="55" spans="1:7" x14ac:dyDescent="0.2">
      <c r="A55" t="str">
        <f>IFERROR(PROPER(TableauIngredients[[#This Row],[Nom de la Production]]), "")</f>
        <v>Graine De Cardamone</v>
      </c>
      <c r="B55" s="404">
        <f>IF(IFERROR((100-TableauIngredients[[#This Row],[% eau]])/100, 1) &lt; 0.2,0.2,IFERROR((100-TableauIngredients[[#This Row],[% eau]])/100, 1))</f>
        <v>0.2</v>
      </c>
      <c r="C55">
        <v>97</v>
      </c>
      <c r="D55" t="s">
        <v>212</v>
      </c>
      <c r="F55" s="475">
        <f>108.1*1.055</f>
        <v>114.04549999999999</v>
      </c>
      <c r="G55" s="2" t="s">
        <v>213</v>
      </c>
    </row>
    <row r="56" spans="1:7" x14ac:dyDescent="0.2">
      <c r="A56" t="str">
        <f>IFERROR(PROPER(TableauIngredients[[#This Row],[Nom de la Production]]), "")</f>
        <v>Graine De Carvi</v>
      </c>
      <c r="B56" s="404">
        <f>IF(IFERROR((100-TableauIngredients[[#This Row],[% eau]])/100, 1) &lt; 0.2,0.2,IFERROR((100-TableauIngredients[[#This Row],[% eau]])/100, 1))</f>
        <v>0.7</v>
      </c>
      <c r="C56">
        <v>30</v>
      </c>
      <c r="D56" t="s">
        <v>173</v>
      </c>
      <c r="E56">
        <f>20.75*1.055</f>
        <v>21.891249999999999</v>
      </c>
      <c r="F56" s="475"/>
      <c r="G56" s="2" t="s">
        <v>214</v>
      </c>
    </row>
    <row r="57" spans="1:7" x14ac:dyDescent="0.2">
      <c r="A57" t="str">
        <f>IFERROR(PROPER(TableauIngredients[[#This Row],[Nom de la Production]]), "")</f>
        <v>Graine Cumin</v>
      </c>
      <c r="B57" s="404">
        <f>IF(IFERROR((100-TableauIngredients[[#This Row],[% eau]])/100, 1) &lt; 0.2,0.2,IFERROR((100-TableauIngredients[[#This Row],[% eau]])/100, 1))</f>
        <v>0.7</v>
      </c>
      <c r="C57">
        <v>30</v>
      </c>
      <c r="D57" t="s">
        <v>191</v>
      </c>
      <c r="E57">
        <f>42.9*1.055</f>
        <v>45.259499999999996</v>
      </c>
      <c r="F57" s="475"/>
      <c r="G57" s="2" t="s">
        <v>192</v>
      </c>
    </row>
    <row r="58" spans="1:7" x14ac:dyDescent="0.2">
      <c r="A58" t="str">
        <f>IFERROR(PROPER(TableauIngredients[[#This Row],[Nom de la Production]]), "")</f>
        <v>Graine De Fenouil</v>
      </c>
      <c r="B58" s="404">
        <f>IF(IFERROR((100-TableauIngredients[[#This Row],[% eau]])/100, 1) &lt; 0.2,0.2,IFERROR((100-TableauIngredients[[#This Row],[% eau]])/100, 1))</f>
        <v>0.7</v>
      </c>
      <c r="C58">
        <v>30</v>
      </c>
      <c r="D58" t="s">
        <v>215</v>
      </c>
      <c r="E58">
        <v>17.5</v>
      </c>
      <c r="F58" s="475"/>
      <c r="G58" s="2" t="s">
        <v>216</v>
      </c>
    </row>
    <row r="59" spans="1:7" x14ac:dyDescent="0.2">
      <c r="A59" t="str">
        <f>IFERROR(PROPER(TableauIngredients[[#This Row],[Nom de la Production]]), "")</f>
        <v>Graine De Fenugrec</v>
      </c>
      <c r="B59" s="404">
        <f>IF(IFERROR((100-TableauIngredients[[#This Row],[% eau]])/100, 1) &lt; 0.2,0.2,IFERROR((100-TableauIngredients[[#This Row],[% eau]])/100, 1))</f>
        <v>0.7</v>
      </c>
      <c r="C59">
        <v>30</v>
      </c>
      <c r="D59" t="s">
        <v>199</v>
      </c>
      <c r="E59">
        <v>12.55</v>
      </c>
      <c r="F59" s="475"/>
      <c r="G59" s="2" t="s">
        <v>217</v>
      </c>
    </row>
    <row r="60" spans="1:7" x14ac:dyDescent="0.2">
      <c r="A60" t="str">
        <f>IFERROR(PROPER(TableauIngredients[[#This Row],[Nom de la Production]]), "")</f>
        <v>Graine De Moutarde</v>
      </c>
      <c r="B60" s="404">
        <f>IF(IFERROR((100-TableauIngredients[[#This Row],[% eau]])/100, 1) &lt; 0.2,0.2,IFERROR((100-TableauIngredients[[#This Row],[% eau]])/100, 1))</f>
        <v>0.7</v>
      </c>
      <c r="C60">
        <v>30</v>
      </c>
      <c r="D60" t="s">
        <v>218</v>
      </c>
      <c r="E60">
        <v>10.85</v>
      </c>
      <c r="F60" s="475"/>
      <c r="G60" s="2" t="s">
        <v>219</v>
      </c>
    </row>
    <row r="61" spans="1:7" x14ac:dyDescent="0.2">
      <c r="A61" t="str">
        <f>IFERROR(PROPER(TableauIngredients[[#This Row],[Nom de la Production]]), "")</f>
        <v>Graine De Moutarde Noire</v>
      </c>
      <c r="B61" s="404">
        <f>IF(IFERROR((100-TableauIngredients[[#This Row],[% eau]])/100, 1) &lt; 0.2,0.2,IFERROR((100-TableauIngredients[[#This Row],[% eau]])/100, 1))</f>
        <v>0.7</v>
      </c>
      <c r="C61">
        <v>30</v>
      </c>
      <c r="D61" t="s">
        <v>220</v>
      </c>
      <c r="E61">
        <v>12.9</v>
      </c>
      <c r="F61" s="475"/>
      <c r="G61" s="2" t="s">
        <v>221</v>
      </c>
    </row>
    <row r="62" spans="1:7" x14ac:dyDescent="0.2">
      <c r="A62" t="str">
        <f>IFERROR(PROPER(TableauIngredients[[#This Row],[Nom de la Production]]), "")</f>
        <v>Graine De Nigelle</v>
      </c>
      <c r="B62" s="404">
        <f>IF(IFERROR((100-TableauIngredients[[#This Row],[% eau]])/100, 1) &lt; 0.2,0.2,IFERROR((100-TableauIngredients[[#This Row],[% eau]])/100, 1))</f>
        <v>0.7</v>
      </c>
      <c r="C62">
        <v>30</v>
      </c>
      <c r="D62" t="s">
        <v>222</v>
      </c>
      <c r="E62">
        <v>21.95</v>
      </c>
      <c r="F62" s="475"/>
      <c r="G62" s="2" t="s">
        <v>223</v>
      </c>
    </row>
    <row r="63" spans="1:7" x14ac:dyDescent="0.2">
      <c r="A63" t="str">
        <f>IFERROR(PROPER(TableauIngredients[[#This Row],[Nom de la Production]]), "")</f>
        <v>Graines De Pavot</v>
      </c>
      <c r="B63" s="404">
        <f>IF(IFERROR((100-TableauIngredients[[#This Row],[% eau]])/100, 1) &lt; 0.2,0.2,IFERROR((100-TableauIngredients[[#This Row],[% eau]])/100, 1))</f>
        <v>0.6</v>
      </c>
      <c r="C63">
        <v>40</v>
      </c>
      <c r="D63" s="1" t="s">
        <v>224</v>
      </c>
      <c r="E63" s="1"/>
      <c r="F63" s="475"/>
    </row>
    <row r="64" spans="1:7" x14ac:dyDescent="0.2">
      <c r="A64" t="str">
        <f>IFERROR(PROPER(TableauIngredients[[#This Row],[Nom de la Production]]), "")</f>
        <v>Graine De Sesame</v>
      </c>
      <c r="B64" s="404">
        <f>IF(IFERROR((100-TableauIngredients[[#This Row],[% eau]])/100, 1) &lt; 0.2,0.2,IFERROR((100-TableauIngredients[[#This Row],[% eau]])/100, 1))</f>
        <v>0.7</v>
      </c>
      <c r="C64">
        <v>30</v>
      </c>
      <c r="D64" t="s">
        <v>225</v>
      </c>
      <c r="F64" s="475"/>
    </row>
    <row r="65" spans="1:7" x14ac:dyDescent="0.2">
      <c r="A65" t="str">
        <f>IFERROR(PROPER(TableauIngredients[[#This Row],[Nom de la Production]]), "")</f>
        <v>Grande Ortie</v>
      </c>
      <c r="B65" s="404">
        <f>IF(IFERROR((100-TableauIngredients[[#This Row],[% eau]])/100, 1) &lt; 0.2,0.2,IFERROR((100-TableauIngredients[[#This Row],[% eau]])/100, 1))</f>
        <v>0.2</v>
      </c>
      <c r="C65">
        <v>95</v>
      </c>
      <c r="D65" t="s">
        <v>226</v>
      </c>
      <c r="E65">
        <v>28.55</v>
      </c>
      <c r="F65" s="475"/>
      <c r="G65" s="2" t="s">
        <v>227</v>
      </c>
    </row>
    <row r="66" spans="1:7" x14ac:dyDescent="0.2">
      <c r="A66" t="str">
        <f>IFERROR(PROPER(TableauIngredients[[#This Row],[Nom de la Production]]), "")</f>
        <v>Guimauve Feuille</v>
      </c>
      <c r="B66" s="404">
        <f>IF(IFERROR((100-TableauIngredients[[#This Row],[% eau]])/100, 1) &lt; 0.2,0.2,IFERROR((100-TableauIngredients[[#This Row],[% eau]])/100, 1))</f>
        <v>1</v>
      </c>
      <c r="C66">
        <v>0</v>
      </c>
      <c r="D66" s="1" t="s">
        <v>228</v>
      </c>
      <c r="F66" s="475"/>
    </row>
    <row r="67" spans="1:7" x14ac:dyDescent="0.2">
      <c r="A67" t="str">
        <f>IFERROR(PROPER(TableauIngredients[[#This Row],[Nom de la Production]]), "")</f>
        <v>Guimauve Feuille</v>
      </c>
      <c r="B67" s="404">
        <f>IF(IFERROR((100-TableauIngredients[[#This Row],[% eau]])/100, 1) &lt; 0.2,0.2,IFERROR((100-TableauIngredients[[#This Row],[% eau]])/100, 1))</f>
        <v>0.2</v>
      </c>
      <c r="C67">
        <v>95</v>
      </c>
      <c r="D67" s="1" t="s">
        <v>228</v>
      </c>
      <c r="F67" s="475"/>
    </row>
    <row r="68" spans="1:7" x14ac:dyDescent="0.2">
      <c r="A68" t="str">
        <f>IFERROR(PROPER(TableauIngredients[[#This Row],[Nom de la Production]]), "")</f>
        <v>Guimauve Fleur</v>
      </c>
      <c r="B68" s="404">
        <f>IF(IFERROR((100-TableauIngredients[[#This Row],[% eau]])/100, 1) &lt; 0.2,0.2,IFERROR((100-TableauIngredients[[#This Row],[% eau]])/100, 1))</f>
        <v>1</v>
      </c>
      <c r="C68">
        <v>0</v>
      </c>
      <c r="D68" s="1" t="s">
        <v>229</v>
      </c>
      <c r="F68" s="475"/>
    </row>
    <row r="69" spans="1:7" x14ac:dyDescent="0.2">
      <c r="A69" t="str">
        <f>IFERROR(PROPER(TableauIngredients[[#This Row],[Nom de la Production]]), "")</f>
        <v>Guimauve Fleur</v>
      </c>
      <c r="B69" s="404">
        <f>IF(IFERROR((100-TableauIngredients[[#This Row],[% eau]])/100, 1) &lt; 0.2,0.2,IFERROR((100-TableauIngredients[[#This Row],[% eau]])/100, 1))</f>
        <v>0.2</v>
      </c>
      <c r="C69">
        <v>97</v>
      </c>
      <c r="D69" s="1" t="s">
        <v>229</v>
      </c>
      <c r="F69" s="475"/>
    </row>
    <row r="70" spans="1:7" x14ac:dyDescent="0.2">
      <c r="A70" t="str">
        <f>IFERROR(PROPER(TableauIngredients[[#This Row],[Nom de la Production]]), "")</f>
        <v>Guimauve Racine</v>
      </c>
      <c r="B70" s="404">
        <f>IF(IFERROR((100-TableauIngredients[[#This Row],[% eau]])/100, 1) &lt; 0.2,0.2,IFERROR((100-TableauIngredients[[#This Row],[% eau]])/100, 1))</f>
        <v>1</v>
      </c>
      <c r="C70">
        <v>0</v>
      </c>
      <c r="D70" s="1" t="s">
        <v>230</v>
      </c>
      <c r="F70" s="475"/>
    </row>
    <row r="71" spans="1:7" x14ac:dyDescent="0.2">
      <c r="A71" t="str">
        <f>IFERROR(PROPER(TableauIngredients[[#This Row],[Nom de la Production]]), "")</f>
        <v>Guimauve Racine</v>
      </c>
      <c r="B71" s="404">
        <f>IF(IFERROR((100-TableauIngredients[[#This Row],[% eau]])/100, 1) &lt; 0.2,0.2,IFERROR((100-TableauIngredients[[#This Row],[% eau]])/100, 1))</f>
        <v>0.35</v>
      </c>
      <c r="C71">
        <v>65</v>
      </c>
      <c r="D71" s="1" t="s">
        <v>230</v>
      </c>
      <c r="F71" s="475"/>
    </row>
    <row r="72" spans="1:7" x14ac:dyDescent="0.2">
      <c r="A72" t="str">
        <f>IFERROR(PROPER(TableauIngredients[[#This Row],[Nom de la Production]]), "")</f>
        <v>Harpagophytum Procumbens</v>
      </c>
      <c r="B72" s="404">
        <f>IF(IFERROR((100-TableauIngredients[[#This Row],[% eau]])/100, 1) &lt; 0.2,0.2,IFERROR((100-TableauIngredients[[#This Row],[% eau]])/100, 1))</f>
        <v>0.2</v>
      </c>
      <c r="C72">
        <v>97</v>
      </c>
      <c r="D72" t="s">
        <v>231</v>
      </c>
      <c r="F72" s="475">
        <v>37.15</v>
      </c>
      <c r="G72" s="2" t="s">
        <v>232</v>
      </c>
    </row>
    <row r="73" spans="1:7" x14ac:dyDescent="0.2">
      <c r="A73" t="str">
        <f>IFERROR(PROPER(TableauIngredients[[#This Row],[Nom de la Production]]), "")</f>
        <v>Helichryse</v>
      </c>
      <c r="B73" s="404">
        <f>IF(IFERROR((100-TableauIngredients[[#This Row],[% eau]])/100, 1) &lt; 0.2,0.2,IFERROR((100-TableauIngredients[[#This Row],[% eau]])/100, 1))</f>
        <v>0.2</v>
      </c>
      <c r="C73">
        <v>98</v>
      </c>
      <c r="D73" t="s">
        <v>233</v>
      </c>
      <c r="E73">
        <f>214.5/4.9</f>
        <v>43.775510204081627</v>
      </c>
      <c r="F73" s="475"/>
      <c r="G73" s="2" t="s">
        <v>234</v>
      </c>
    </row>
    <row r="74" spans="1:7" x14ac:dyDescent="0.2">
      <c r="A74" t="str">
        <f>IFERROR(PROPER(TableauIngredients[[#This Row],[Nom de la Production]]), "")</f>
        <v>Hemerocalle</v>
      </c>
      <c r="B74" s="404">
        <f>IF(IFERROR((100-TableauIngredients[[#This Row],[% eau]])/100, 1) &lt; 0.2,0.2,IFERROR((100-TableauIngredients[[#This Row],[% eau]])/100, 1))</f>
        <v>1</v>
      </c>
      <c r="C74">
        <v>0</v>
      </c>
      <c r="D74" t="s">
        <v>235</v>
      </c>
      <c r="F74" s="475"/>
    </row>
    <row r="75" spans="1:7" x14ac:dyDescent="0.2">
      <c r="A75" t="str">
        <f>IFERROR(PROPER(TableauIngredients[[#This Row],[Nom de la Production]]), "")</f>
        <v>Hemerocalle</v>
      </c>
      <c r="B75" s="404">
        <f>IF(IFERROR((100-TableauIngredients[[#This Row],[% eau]])/100, 1) &lt; 0.2,0.2,IFERROR((100-TableauIngredients[[#This Row],[% eau]])/100, 1))</f>
        <v>0.2</v>
      </c>
      <c r="C75">
        <v>95</v>
      </c>
      <c r="D75" t="s">
        <v>235</v>
      </c>
      <c r="F75" s="475"/>
    </row>
    <row r="76" spans="1:7" x14ac:dyDescent="0.2">
      <c r="A76" t="str">
        <f>IFERROR(PROPER(TableauIngredients[[#This Row],[Nom de la Production]]), "")</f>
        <v>Hibiscus</v>
      </c>
      <c r="B76" s="404">
        <f>IF(IFERROR((100-TableauIngredients[[#This Row],[% eau]])/100, 1) &lt; 0.2,0.2,IFERROR((100-TableauIngredients[[#This Row],[% eau]])/100, 1))</f>
        <v>1</v>
      </c>
      <c r="C76">
        <v>0</v>
      </c>
      <c r="D76" t="s">
        <v>236</v>
      </c>
      <c r="F76" s="475"/>
    </row>
    <row r="77" spans="1:7" x14ac:dyDescent="0.2">
      <c r="A77" t="str">
        <f>IFERROR(PROPER(TableauIngredients[[#This Row],[Nom de la Production]]), "")</f>
        <v>Hibiscus</v>
      </c>
      <c r="B77" s="404">
        <f>IF(IFERROR((100-TableauIngredients[[#This Row],[% eau]])/100, 1) &lt; 0.2,0.2,IFERROR((100-TableauIngredients[[#This Row],[% eau]])/100, 1))</f>
        <v>0.2</v>
      </c>
      <c r="C77">
        <v>95</v>
      </c>
      <c r="D77" t="s">
        <v>236</v>
      </c>
      <c r="F77" s="475"/>
    </row>
    <row r="78" spans="1:7" x14ac:dyDescent="0.2">
      <c r="A78" t="str">
        <f>IFERROR(PROPER(TableauIngredients[[#This Row],[Nom de la Production]]), "")</f>
        <v>Huile D'Olive</v>
      </c>
      <c r="B78" s="404">
        <f>IF(IFERROR((100-TableauIngredients[[#This Row],[% eau]])/100, 1) &lt; 0.2,0.2,IFERROR((100-TableauIngredients[[#This Row],[% eau]])/100, 1))</f>
        <v>0.2</v>
      </c>
      <c r="C78">
        <v>97</v>
      </c>
      <c r="D78" s="1" t="s">
        <v>237</v>
      </c>
      <c r="E78" s="1"/>
      <c r="F78" s="475">
        <v>8</v>
      </c>
    </row>
    <row r="79" spans="1:7" x14ac:dyDescent="0.2">
      <c r="A79" t="str">
        <f>IFERROR(PROPER(TableauIngredients[[#This Row],[Nom de la Production]]), "")</f>
        <v>Huile De Sesame Grille</v>
      </c>
      <c r="B79" s="404">
        <f>IF(IFERROR((100-TableauIngredients[[#This Row],[% eau]])/100, 1) &lt; 0.2,0.2,IFERROR((100-TableauIngredients[[#This Row],[% eau]])/100, 1))</f>
        <v>1</v>
      </c>
      <c r="C79">
        <v>0</v>
      </c>
      <c r="D79" t="s">
        <v>238</v>
      </c>
      <c r="F79" s="475">
        <v>16</v>
      </c>
    </row>
    <row r="80" spans="1:7" x14ac:dyDescent="0.2">
      <c r="A80" t="str">
        <f>IFERROR(PROPER(TableauIngredients[[#This Row],[Nom de la Production]]), "")</f>
        <v>Huile De Tournesol</v>
      </c>
      <c r="B80" s="404">
        <f>IF(IFERROR((100-TableauIngredients[[#This Row],[% eau]])/100, 1) &lt; 0.2,0.2,IFERROR((100-TableauIngredients[[#This Row],[% eau]])/100, 1))</f>
        <v>1</v>
      </c>
      <c r="C80">
        <v>0</v>
      </c>
      <c r="D80" t="s">
        <v>239</v>
      </c>
      <c r="F80" s="475">
        <v>1.5</v>
      </c>
    </row>
    <row r="81" spans="1:7" x14ac:dyDescent="0.2">
      <c r="A81" t="str">
        <f>IFERROR(PROPER(TableauIngredients[[#This Row],[Nom de la Production]]), "")</f>
        <v>Jaggery</v>
      </c>
      <c r="B81" s="404">
        <f>IF(IFERROR((100-TableauIngredients[[#This Row],[% eau]])/100, 1) &lt; 0.2,0.2,IFERROR((100-TableauIngredients[[#This Row],[% eau]])/100, 1))</f>
        <v>0.7</v>
      </c>
      <c r="C81">
        <v>30</v>
      </c>
      <c r="D81" t="s">
        <v>240</v>
      </c>
      <c r="F81" s="475"/>
    </row>
    <row r="82" spans="1:7" x14ac:dyDescent="0.2">
      <c r="A82" t="str">
        <f>IFERROR(PROPER(TableauIngredients[[#This Row],[Nom de la Production]]), "")</f>
        <v>Citron Jaune</v>
      </c>
      <c r="B82" s="404">
        <f>IF(IFERROR((100-TableauIngredients[[#This Row],[% eau]])/100, 1) &lt; 0.2,0.2,IFERROR((100-TableauIngredients[[#This Row],[% eau]])/100, 1))</f>
        <v>0.35</v>
      </c>
      <c r="C82">
        <v>65</v>
      </c>
      <c r="D82" t="s">
        <v>181</v>
      </c>
      <c r="F82" s="475">
        <v>12</v>
      </c>
      <c r="G82" s="2" t="s">
        <v>182</v>
      </c>
    </row>
    <row r="83" spans="1:7" x14ac:dyDescent="0.2">
      <c r="A83" t="str">
        <f>IFERROR(PROPER(TableauIngredients[[#This Row],[Nom de la Production]]), "")</f>
        <v>Kala Namak</v>
      </c>
      <c r="B83" s="404">
        <f>IF(IFERROR((100-TableauIngredients[[#This Row],[% eau]])/100, 1) &lt; 0.2,0.2,IFERROR((100-TableauIngredients[[#This Row],[% eau]])/100, 1))</f>
        <v>0.8</v>
      </c>
      <c r="C83">
        <v>20</v>
      </c>
      <c r="D83" t="s">
        <v>241</v>
      </c>
      <c r="F83" s="475">
        <v>97</v>
      </c>
      <c r="G83" t="s">
        <v>242</v>
      </c>
    </row>
    <row r="84" spans="1:7" x14ac:dyDescent="0.2">
      <c r="A84" t="str">
        <f>IFERROR(PROPER(TableauIngredients[[#This Row],[Nom de la Production]]), "")</f>
        <v>Agastache</v>
      </c>
      <c r="B84" s="404">
        <f>IF(IFERROR((100-TableauIngredients[[#This Row],[% eau]])/100, 1) &lt; 0.2,0.2,IFERROR((100-TableauIngredients[[#This Row],[% eau]])/100, 1))</f>
        <v>1</v>
      </c>
      <c r="C84">
        <v>0</v>
      </c>
      <c r="D84" t="s">
        <v>243</v>
      </c>
      <c r="F84" s="475"/>
    </row>
    <row r="85" spans="1:7" x14ac:dyDescent="0.2">
      <c r="A85" t="str">
        <f>IFERROR(PROPER(TableauIngredients[[#This Row],[Nom de la Production]]), "")</f>
        <v>Agastache</v>
      </c>
      <c r="B85" s="404">
        <f>IF(IFERROR((100-TableauIngredients[[#This Row],[% eau]])/100, 1) &lt; 0.2,0.2,IFERROR((100-TableauIngredients[[#This Row],[% eau]])/100, 1))</f>
        <v>0.2</v>
      </c>
      <c r="C85">
        <v>95</v>
      </c>
      <c r="D85" t="s">
        <v>243</v>
      </c>
      <c r="F85" s="475"/>
    </row>
    <row r="86" spans="1:7" x14ac:dyDescent="0.2">
      <c r="A86" t="str">
        <f>IFERROR(PROPER(TableauIngredients[[#This Row],[Nom de la Production]]), "")</f>
        <v>Pensee</v>
      </c>
      <c r="B86" s="404">
        <f>IF(IFERROR((100-TableauIngredients[[#This Row],[% eau]])/100, 1) &lt; 0.2,0.2,IFERROR((100-TableauIngredients[[#This Row],[% eau]])/100, 1))</f>
        <v>1</v>
      </c>
      <c r="C86">
        <v>0</v>
      </c>
      <c r="D86" t="s">
        <v>244</v>
      </c>
      <c r="F86" s="475"/>
    </row>
    <row r="87" spans="1:7" x14ac:dyDescent="0.2">
      <c r="A87" t="str">
        <f>IFERROR(PROPER(TableauIngredients[[#This Row],[Nom de la Production]]), "")</f>
        <v>Pensee</v>
      </c>
      <c r="B87" s="404">
        <f>IF(IFERROR((100-TableauIngredients[[#This Row],[% eau]])/100, 1) &lt; 0.2,0.2,IFERROR((100-TableauIngredients[[#This Row],[% eau]])/100, 1))</f>
        <v>0.2</v>
      </c>
      <c r="C87">
        <v>97</v>
      </c>
      <c r="D87" t="s">
        <v>244</v>
      </c>
      <c r="F87" s="475"/>
    </row>
    <row r="88" spans="1:7" x14ac:dyDescent="0.2">
      <c r="A88" t="str">
        <f>IFERROR(PROPER(TableauIngredients[[#This Row],[Nom de la Production]]), "")</f>
        <v>Lavande</v>
      </c>
      <c r="B88" s="404">
        <f>IF(IFERROR((100-TableauIngredients[[#This Row],[% eau]])/100, 1) &lt; 0.2,0.2,IFERROR((100-TableauIngredients[[#This Row],[% eau]])/100, 1))</f>
        <v>0.2</v>
      </c>
      <c r="C88">
        <v>92</v>
      </c>
      <c r="D88" t="s">
        <v>245</v>
      </c>
      <c r="E88">
        <v>33.450000000000003</v>
      </c>
      <c r="F88" s="475"/>
      <c r="G88" s="2" t="s">
        <v>246</v>
      </c>
    </row>
    <row r="89" spans="1:7" x14ac:dyDescent="0.2">
      <c r="A89" t="str">
        <f>IFERROR(PROPER(TableauIngredients[[#This Row],[Nom de la Production]]), "")</f>
        <v>Lavande</v>
      </c>
      <c r="B89" s="404">
        <f>IF(IFERROR((100-TableauIngredients[[#This Row],[% eau]])/100, 1) &lt; 0.2,0.2,IFERROR((100-TableauIngredients[[#This Row],[% eau]])/100, 1))</f>
        <v>1</v>
      </c>
      <c r="C89">
        <v>0</v>
      </c>
      <c r="D89" t="s">
        <v>245</v>
      </c>
      <c r="F89" s="475"/>
    </row>
    <row r="90" spans="1:7" x14ac:dyDescent="0.2">
      <c r="A90" t="str">
        <f>IFERROR(PROPER(TableauIngredients[[#This Row],[Nom de la Production]]), "")</f>
        <v>Lavande</v>
      </c>
      <c r="B90" s="404">
        <f>IF(IFERROR((100-TableauIngredients[[#This Row],[% eau]])/100, 1) &lt; 0.2,0.2,IFERROR((100-TableauIngredients[[#This Row],[% eau]])/100, 1))</f>
        <v>0.2</v>
      </c>
      <c r="C90">
        <v>92</v>
      </c>
      <c r="D90" t="s">
        <v>245</v>
      </c>
      <c r="F90" s="475"/>
    </row>
    <row r="91" spans="1:7" x14ac:dyDescent="0.2">
      <c r="A91" t="str">
        <f>IFERROR(PROPER(TableauIngredients[[#This Row],[Nom de la Production]]), "")</f>
        <v>Lilas</v>
      </c>
      <c r="B91" s="404">
        <f>IF(IFERROR((100-TableauIngredients[[#This Row],[% eau]])/100, 1) &lt; 0.2,0.2,IFERROR((100-TableauIngredients[[#This Row],[% eau]])/100, 1))</f>
        <v>1</v>
      </c>
      <c r="C91">
        <v>0</v>
      </c>
      <c r="D91" t="s">
        <v>247</v>
      </c>
      <c r="F91" s="475"/>
    </row>
    <row r="92" spans="1:7" x14ac:dyDescent="0.2">
      <c r="A92" t="str">
        <f>IFERROR(PROPER(TableauIngredients[[#This Row],[Nom de la Production]]), "")</f>
        <v>Lilas</v>
      </c>
      <c r="B92" s="404">
        <f>IF(IFERROR((100-TableauIngredients[[#This Row],[% eau]])/100, 1) &lt; 0.2,0.2,IFERROR((100-TableauIngredients[[#This Row],[% eau]])/100, 1))</f>
        <v>0.2</v>
      </c>
      <c r="C92">
        <v>92</v>
      </c>
      <c r="D92" t="s">
        <v>247</v>
      </c>
      <c r="F92" s="475"/>
    </row>
    <row r="93" spans="1:7" x14ac:dyDescent="0.2">
      <c r="A93" t="str">
        <f>IFERROR(PROPER(TableauIngredients[[#This Row],[Nom de la Production]]), "")</f>
        <v>Macie</v>
      </c>
      <c r="B93" s="404">
        <f>IF(IFERROR((100-TableauIngredients[[#This Row],[% eau]])/100, 1) &lt; 0.2,0.2,IFERROR((100-TableauIngredients[[#This Row],[% eau]])/100, 1))</f>
        <v>0.2</v>
      </c>
      <c r="C93">
        <v>90</v>
      </c>
      <c r="D93" t="s">
        <v>248</v>
      </c>
      <c r="F93" s="475">
        <v>500</v>
      </c>
    </row>
    <row r="94" spans="1:7" x14ac:dyDescent="0.2">
      <c r="A94" t="str">
        <f>IFERROR(PROPER(TableauIngredients[[#This Row],[Nom de la Production]]), "")</f>
        <v>Marjolaine</v>
      </c>
      <c r="B94" s="404">
        <f>IF(IFERROR((100-TableauIngredients[[#This Row],[% eau]])/100, 1) &lt; 0.2,0.2,IFERROR((100-TableauIngredients[[#This Row],[% eau]])/100, 1))</f>
        <v>0.2</v>
      </c>
      <c r="C94">
        <v>90</v>
      </c>
      <c r="D94" t="s">
        <v>249</v>
      </c>
      <c r="F94" s="475"/>
    </row>
    <row r="95" spans="1:7" x14ac:dyDescent="0.2">
      <c r="A95" t="str">
        <f>IFERROR(PROPER(TableauIngredients[[#This Row],[Nom de la Production]]), "")</f>
        <v>Piments Rouge - Thunder Mountain Longhorn</v>
      </c>
      <c r="B95" s="404">
        <f>IF(IFERROR((100-TableauIngredients[[#This Row],[% eau]])/100, 1) &lt; 0.2,0.2,IFERROR((100-TableauIngredients[[#This Row],[% eau]])/100, 1))</f>
        <v>0.2</v>
      </c>
      <c r="C95">
        <v>97</v>
      </c>
      <c r="D95" t="s">
        <v>250</v>
      </c>
      <c r="F95" s="475">
        <f>9000/60</f>
        <v>150</v>
      </c>
    </row>
    <row r="96" spans="1:7" x14ac:dyDescent="0.2">
      <c r="A96" t="str">
        <f>IFERROR(PROPER(TableauIngredients[[#This Row],[Nom de la Production]]), "")</f>
        <v>Mauve</v>
      </c>
      <c r="B96" s="404">
        <f>IF(IFERROR((100-TableauIngredients[[#This Row],[% eau]])/100, 1) &lt; 0.2,0.2,IFERROR((100-TableauIngredients[[#This Row],[% eau]])/100, 1))</f>
        <v>1</v>
      </c>
      <c r="C96">
        <v>0</v>
      </c>
      <c r="D96" t="s">
        <v>251</v>
      </c>
      <c r="F96" s="475"/>
    </row>
    <row r="97" spans="1:7" x14ac:dyDescent="0.2">
      <c r="A97" t="str">
        <f>IFERROR(PROPER(TableauIngredients[[#This Row],[Nom de la Production]]), "")</f>
        <v>Mauve</v>
      </c>
      <c r="B97" s="404">
        <f>IF(IFERROR((100-TableauIngredients[[#This Row],[% eau]])/100, 1) &lt; 0.2,0.2,IFERROR((100-TableauIngredients[[#This Row],[% eau]])/100, 1))</f>
        <v>0.2</v>
      </c>
      <c r="C97">
        <v>97</v>
      </c>
      <c r="D97" t="s">
        <v>251</v>
      </c>
      <c r="F97" s="475"/>
    </row>
    <row r="98" spans="1:7" x14ac:dyDescent="0.2">
      <c r="A98" t="str">
        <f>IFERROR(PROPER(TableauIngredients[[#This Row],[Nom de la Production]]), "")</f>
        <v>Melilot</v>
      </c>
      <c r="B98" s="404">
        <f>IF(IFERROR((100-TableauIngredients[[#This Row],[% eau]])/100, 1) &lt; 0.2,0.2,IFERROR((100-TableauIngredients[[#This Row],[% eau]])/100, 1))</f>
        <v>1</v>
      </c>
      <c r="C98">
        <v>0</v>
      </c>
      <c r="D98" t="s">
        <v>252</v>
      </c>
      <c r="F98" s="475"/>
    </row>
    <row r="99" spans="1:7" x14ac:dyDescent="0.2">
      <c r="A99" t="str">
        <f>IFERROR(PROPER(TableauIngredients[[#This Row],[Nom de la Production]]), "")</f>
        <v>Melilot</v>
      </c>
      <c r="B99" s="404">
        <f>IF(IFERROR((100-TableauIngredients[[#This Row],[% eau]])/100, 1) &lt; 0.2,0.2,IFERROR((100-TableauIngredients[[#This Row],[% eau]])/100, 1))</f>
        <v>0.2</v>
      </c>
      <c r="C99">
        <v>92</v>
      </c>
      <c r="D99" t="s">
        <v>252</v>
      </c>
      <c r="F99" s="475"/>
    </row>
    <row r="100" spans="1:7" x14ac:dyDescent="0.2">
      <c r="A100" s="405" t="str">
        <f>IFERROR(PROPER(TableauIngredients[[#This Row],[Nom de la Production]]), "")</f>
        <v>Menthe Verte</v>
      </c>
      <c r="B100" s="404">
        <f>IF(IFERROR((100-TableauIngredients[[#This Row],[% eau]])/100, 1) &lt; 20,0.2)</f>
        <v>0.2</v>
      </c>
      <c r="C100">
        <v>0</v>
      </c>
      <c r="D100" t="s">
        <v>253</v>
      </c>
      <c r="F100" s="475"/>
    </row>
    <row r="101" spans="1:7" x14ac:dyDescent="0.2">
      <c r="A101" t="str">
        <f>IFERROR(PROPER(TableauIngredients[[#This Row],[Nom de la Production]]), "")</f>
        <v>Menthe Verte</v>
      </c>
      <c r="B101" s="404">
        <f>IF(IFERROR((100-TableauIngredients[[#This Row],[% eau]])/100, 1) &lt; 0.2,0.2,IFERROR((100-TableauIngredients[[#This Row],[% eau]])/100, 1))</f>
        <v>0.2</v>
      </c>
      <c r="C101">
        <v>95</v>
      </c>
      <c r="D101" t="s">
        <v>253</v>
      </c>
      <c r="F101" s="475"/>
    </row>
    <row r="102" spans="1:7" x14ac:dyDescent="0.2">
      <c r="A102" t="str">
        <f>IFERROR(PROPER(TableauIngredients[[#This Row],[Nom de la Production]]), "")</f>
        <v>Miel</v>
      </c>
      <c r="B102" s="404">
        <f>IF(IFERROR((100-TableauIngredients[[#This Row],[% eau]])/100, 1) &lt; 0.2,0.2,IFERROR((100-TableauIngredients[[#This Row],[% eau]])/100, 1))</f>
        <v>1</v>
      </c>
      <c r="C102">
        <v>0</v>
      </c>
      <c r="D102" t="s">
        <v>254</v>
      </c>
      <c r="F102" s="475">
        <v>20</v>
      </c>
      <c r="G102" t="s">
        <v>255</v>
      </c>
    </row>
    <row r="103" spans="1:7" x14ac:dyDescent="0.2">
      <c r="A103" t="str">
        <f>IFERROR(PROPER(TableauIngredients[[#This Row],[Nom de la Production]]), "")</f>
        <v>Monarde</v>
      </c>
      <c r="B103" s="404">
        <f>IF(IFERROR((100-TableauIngredients[[#This Row],[% eau]])/100, 1) &lt; 0.2,0.2,IFERROR((100-TableauIngredients[[#This Row],[% eau]])/100, 1))</f>
        <v>1</v>
      </c>
      <c r="C103">
        <v>0</v>
      </c>
      <c r="D103" t="s">
        <v>256</v>
      </c>
      <c r="F103" s="475"/>
    </row>
    <row r="104" spans="1:7" x14ac:dyDescent="0.2">
      <c r="A104" t="str">
        <f>IFERROR(PROPER(TableauIngredients[[#This Row],[Nom de la Production]]), "")</f>
        <v>Monarde</v>
      </c>
      <c r="B104" s="404">
        <f>IF(IFERROR((100-TableauIngredients[[#This Row],[% eau]])/100, 1) &lt; 0.2,0.2,IFERROR((100-TableauIngredients[[#This Row],[% eau]])/100, 1))</f>
        <v>0.2</v>
      </c>
      <c r="C104">
        <v>97</v>
      </c>
      <c r="D104" t="s">
        <v>256</v>
      </c>
      <c r="F104" s="475"/>
    </row>
    <row r="105" spans="1:7" x14ac:dyDescent="0.2">
      <c r="A105" t="str">
        <f>IFERROR(PROPER(TableauIngredients[[#This Row],[Nom de la Production]]), "")</f>
        <v>Muscade</v>
      </c>
      <c r="B105" s="404">
        <f>IF(IFERROR((100-TableauIngredients[[#This Row],[% eau]])/100, 1) &lt; 0.2,0.2,IFERROR((100-TableauIngredients[[#This Row],[% eau]])/100, 1))</f>
        <v>0.85</v>
      </c>
      <c r="C105">
        <v>15</v>
      </c>
      <c r="D105" t="s">
        <v>257</v>
      </c>
      <c r="F105" s="475">
        <v>60</v>
      </c>
      <c r="G105" t="s">
        <v>258</v>
      </c>
    </row>
    <row r="106" spans="1:7" x14ac:dyDescent="0.2">
      <c r="A106" t="str">
        <f>IFERROR(PROPER(TableauIngredients[[#This Row],[Nom de la Production]]), "")</f>
        <v>Muscade</v>
      </c>
      <c r="B106" s="404">
        <f>IF(IFERROR((100-TableauIngredients[[#This Row],[% eau]])/100, 1) &lt; 0.2,0.2,IFERROR((100-TableauIngredients[[#This Row],[% eau]])/100, 1))</f>
        <v>0.85</v>
      </c>
      <c r="C106">
        <v>15</v>
      </c>
      <c r="D106" t="s">
        <v>257</v>
      </c>
      <c r="F106" s="475">
        <v>60</v>
      </c>
      <c r="G106" t="s">
        <v>258</v>
      </c>
    </row>
    <row r="107" spans="1:7" x14ac:dyDescent="0.2">
      <c r="A107" t="str">
        <f>IFERROR(PROPER(TableauIngredients[[#This Row],[Nom de la Production]]), "")</f>
        <v>Noisette</v>
      </c>
      <c r="B107" s="404">
        <f>IF(IFERROR((100-TableauIngredients[[#This Row],[% eau]])/100, 1) &lt; 0.2,0.2,IFERROR((100-TableauIngredients[[#This Row],[% eau]])/100, 1))</f>
        <v>0.85</v>
      </c>
      <c r="C107">
        <v>15</v>
      </c>
      <c r="D107" t="s">
        <v>259</v>
      </c>
      <c r="F107" s="475">
        <v>7</v>
      </c>
      <c r="G107" t="s">
        <v>260</v>
      </c>
    </row>
    <row r="108" spans="1:7" x14ac:dyDescent="0.2">
      <c r="A108" t="str">
        <f>IFERROR(PROPER(TableauIngredients[[#This Row],[Nom de la Production]]), "")</f>
        <v>Nuoc-Mâm</v>
      </c>
      <c r="B108" s="404">
        <f>IF(IFERROR((100-TableauIngredients[[#This Row],[% eau]])/100, 1) &lt; 0.2,0.2,IFERROR((100-TableauIngredients[[#This Row],[% eau]])/100, 1))</f>
        <v>0.2</v>
      </c>
      <c r="C108">
        <v>97</v>
      </c>
      <c r="D108" s="1" t="s">
        <v>261</v>
      </c>
      <c r="E108" s="1"/>
      <c r="F108" s="475">
        <v>20</v>
      </c>
      <c r="G108" s="2" t="s">
        <v>262</v>
      </c>
    </row>
    <row r="109" spans="1:7" x14ac:dyDescent="0.2">
      <c r="A109" t="str">
        <f>IFERROR(PROPER(TableauIngredients[[#This Row],[Nom de la Production]]), "")</f>
        <v>Oeillet D’Inde</v>
      </c>
      <c r="B109" s="404">
        <f>IF(IFERROR((100-TableauIngredients[[#This Row],[% eau]])/100, 1) &lt; 0.2,0.2,IFERROR((100-TableauIngredients[[#This Row],[% eau]])/100, 1))</f>
        <v>1</v>
      </c>
      <c r="C109">
        <v>0</v>
      </c>
      <c r="D109" t="s">
        <v>263</v>
      </c>
      <c r="F109" s="475"/>
    </row>
    <row r="110" spans="1:7" x14ac:dyDescent="0.2">
      <c r="A110" t="str">
        <f>IFERROR(PROPER(TableauIngredients[[#This Row],[Nom de la Production]]), "")</f>
        <v>Oeillet D’Inde</v>
      </c>
      <c r="B110" s="404">
        <f>IF(IFERROR((100-TableauIngredients[[#This Row],[% eau]])/100, 1) &lt; 0.2,0.2,IFERROR((100-TableauIngredients[[#This Row],[% eau]])/100, 1))</f>
        <v>0.2</v>
      </c>
      <c r="C110">
        <v>95</v>
      </c>
      <c r="D110" t="s">
        <v>263</v>
      </c>
      <c r="F110" s="475"/>
    </row>
    <row r="111" spans="1:7" x14ac:dyDescent="0.2">
      <c r="A111" t="str">
        <f>IFERROR(PROPER(TableauIngredients[[#This Row],[Nom de la Production]]), "")</f>
        <v>Oignon</v>
      </c>
      <c r="B111" s="404">
        <f>IF(IFERROR((100-TableauIngredients[[#This Row],[% eau]])/100, 1) &lt; 0.2,0.2,IFERROR((100-TableauIngredients[[#This Row],[% eau]])/100, 1))</f>
        <v>1</v>
      </c>
      <c r="C111">
        <v>0</v>
      </c>
      <c r="D111" t="s">
        <v>264</v>
      </c>
      <c r="E111">
        <v>3.5</v>
      </c>
      <c r="F111" s="475"/>
    </row>
    <row r="112" spans="1:7" x14ac:dyDescent="0.2">
      <c r="A112" t="str">
        <f>IFERROR(PROPER(TableauIngredients[[#This Row],[Nom de la Production]]), "")</f>
        <v>Oignon</v>
      </c>
      <c r="B112" s="404">
        <f>IF(IFERROR((100-TableauIngredients[[#This Row],[% eau]])/100, 1) &lt; 0.2,0.2,IFERROR((100-TableauIngredients[[#This Row],[% eau]])/100, 1))</f>
        <v>0.2</v>
      </c>
      <c r="C112">
        <v>95</v>
      </c>
      <c r="D112" t="s">
        <v>264</v>
      </c>
      <c r="E112">
        <v>25</v>
      </c>
      <c r="F112" s="475"/>
    </row>
    <row r="113" spans="1:7" x14ac:dyDescent="0.2">
      <c r="A113" t="str">
        <f>IFERROR(PROPER(TableauIngredients[[#This Row],[Nom de la Production]]), "")</f>
        <v>Origan</v>
      </c>
      <c r="B113" s="404">
        <f>IF(IFERROR((100-TableauIngredients[[#This Row],[% eau]])/100, 1) &lt; 0.2,0.2,IFERROR((100-TableauIngredients[[#This Row],[% eau]])/100, 1))</f>
        <v>0.2</v>
      </c>
      <c r="C113">
        <v>95</v>
      </c>
      <c r="D113" t="s">
        <v>265</v>
      </c>
      <c r="E113">
        <v>30.2</v>
      </c>
      <c r="F113" s="475"/>
      <c r="G113" s="2" t="s">
        <v>266</v>
      </c>
    </row>
    <row r="114" spans="1:7" x14ac:dyDescent="0.2">
      <c r="A114" t="str">
        <f>IFERROR(PROPER(TableauIngredients[[#This Row],[Nom de la Production]]), "")</f>
        <v>Piment Doux Rouge</v>
      </c>
      <c r="B114" s="404">
        <f>IF(IFERROR((100-TableauIngredients[[#This Row],[% eau]])/100, 1) &lt; 0.2,0.2,IFERROR((100-TableauIngredients[[#This Row],[% eau]])/100, 1))</f>
        <v>0.2</v>
      </c>
      <c r="C114">
        <v>92</v>
      </c>
      <c r="D114" t="s">
        <v>267</v>
      </c>
      <c r="F114" s="475"/>
    </row>
    <row r="115" spans="1:7" x14ac:dyDescent="0.2">
      <c r="A115" t="str">
        <f>IFERROR(PROPER(TableauIngredients[[#This Row],[Nom de la Production]]), "")</f>
        <v>Piment Doux Rouge</v>
      </c>
      <c r="B115" s="404">
        <f>IF(IFERROR((100-TableauIngredients[[#This Row],[% eau]])/100, 1) &lt; 0.2,0.2,IFERROR((100-TableauIngredients[[#This Row],[% eau]])/100, 1))</f>
        <v>0.2</v>
      </c>
      <c r="C115">
        <v>92</v>
      </c>
      <c r="D115" t="s">
        <v>267</v>
      </c>
      <c r="F115" s="475"/>
    </row>
    <row r="116" spans="1:7" x14ac:dyDescent="0.2">
      <c r="A116" t="str">
        <f>IFERROR(PROPER(TableauIngredients[[#This Row],[Nom de la Production]]), "")</f>
        <v>Pelargonium Geranium</v>
      </c>
      <c r="B116" s="404">
        <f>IF(IFERROR((100-TableauIngredients[[#This Row],[% eau]])/100, 1) &lt; 0.2,0.2,IFERROR((100-TableauIngredients[[#This Row],[% eau]])/100, 1))</f>
        <v>1</v>
      </c>
      <c r="C116">
        <v>0</v>
      </c>
      <c r="D116" t="s">
        <v>268</v>
      </c>
      <c r="F116" s="475"/>
    </row>
    <row r="117" spans="1:7" x14ac:dyDescent="0.2">
      <c r="A117" t="str">
        <f>IFERROR(PROPER(TableauIngredients[[#This Row],[Nom de la Production]]), "")</f>
        <v>Pelargonium Geranium</v>
      </c>
      <c r="B117" s="404">
        <f>IF(IFERROR((100-TableauIngredients[[#This Row],[% eau]])/100, 1) &lt; 0.2,0.2,IFERROR((100-TableauIngredients[[#This Row],[% eau]])/100, 1))</f>
        <v>0.2</v>
      </c>
      <c r="C117">
        <v>95</v>
      </c>
      <c r="D117" t="s">
        <v>268</v>
      </c>
      <c r="F117" s="475"/>
    </row>
    <row r="118" spans="1:7" x14ac:dyDescent="0.2">
      <c r="A118" t="str">
        <f>IFERROR(PROPER(TableauIngredients[[#This Row],[Nom de la Production]]), "")</f>
        <v>Persil</v>
      </c>
      <c r="B118" s="404">
        <f>IF(IFERROR((100-TableauIngredients[[#This Row],[% eau]])/100, 1) &lt; 0.2,0.2,IFERROR((100-TableauIngredients[[#This Row],[% eau]])/100, 1))</f>
        <v>0.2</v>
      </c>
      <c r="C118">
        <v>92</v>
      </c>
      <c r="D118" t="s">
        <v>269</v>
      </c>
      <c r="F118" s="475"/>
    </row>
    <row r="119" spans="1:7" x14ac:dyDescent="0.2">
      <c r="A119" t="str">
        <f>IFERROR(PROPER(TableauIngredients[[#This Row],[Nom de la Production]]), "")</f>
        <v>Petale De Rose</v>
      </c>
      <c r="B119" s="404">
        <f>IF(IFERROR((100-TableauIngredients[[#This Row],[% eau]])/100, 1) &lt; 0.2,0.2,IFERROR((100-TableauIngredients[[#This Row],[% eau]])/100, 1))</f>
        <v>0.2</v>
      </c>
      <c r="C119">
        <v>90</v>
      </c>
      <c r="D119" t="s">
        <v>270</v>
      </c>
      <c r="F119" s="475"/>
    </row>
    <row r="120" spans="1:7" x14ac:dyDescent="0.2">
      <c r="A120" t="str">
        <f>IFERROR(PROPER(TableauIngredients[[#This Row],[Nom de la Production]]), "")</f>
        <v>Piment Ancho</v>
      </c>
      <c r="B120" s="404">
        <f>IF(IFERROR((100-TableauIngredients[[#This Row],[% eau]])/100, 1) &lt; 0.2,0.2,IFERROR((100-TableauIngredients[[#This Row],[% eau]])/100, 1))</f>
        <v>0.2</v>
      </c>
      <c r="C120">
        <v>90</v>
      </c>
      <c r="D120" s="1" t="s">
        <v>271</v>
      </c>
      <c r="F120" s="475"/>
      <c r="G120" s="2" t="s">
        <v>272</v>
      </c>
    </row>
    <row r="121" spans="1:7" x14ac:dyDescent="0.2">
      <c r="A121" t="str">
        <f>IFERROR(PROPER(TableauIngredients[[#This Row],[Nom de la Production]]), "")</f>
        <v>Piment De Cayenne Jaune</v>
      </c>
      <c r="B121" s="404">
        <f>IF(IFERROR((100-TableauIngredients[[#This Row],[% eau]])/100, 1) &lt; 0.2,0.2,IFERROR((100-TableauIngredients[[#This Row],[% eau]])/100, 1))</f>
        <v>1</v>
      </c>
      <c r="C121">
        <v>0</v>
      </c>
      <c r="D121" t="s">
        <v>273</v>
      </c>
      <c r="F121" s="475"/>
    </row>
    <row r="122" spans="1:7" x14ac:dyDescent="0.2">
      <c r="A122" t="str">
        <f>IFERROR(PROPER(TableauIngredients[[#This Row],[Nom de la Production]]), "")</f>
        <v>Piment De Cayenne Jaune</v>
      </c>
      <c r="B122" s="404">
        <f>IF(IFERROR((100-TableauIngredients[[#This Row],[% eau]])/100, 1) &lt; 0.2,0.2,IFERROR((100-TableauIngredients[[#This Row],[% eau]])/100, 1))</f>
        <v>0.2</v>
      </c>
      <c r="C122">
        <v>90</v>
      </c>
      <c r="D122" t="s">
        <v>273</v>
      </c>
      <c r="F122" s="475"/>
    </row>
    <row r="123" spans="1:7" x14ac:dyDescent="0.2">
      <c r="A123" t="str">
        <f>IFERROR(PROPER(TableauIngredients[[#This Row],[Nom de la Production]]), "")</f>
        <v>Piment De Cayenne Rouge</v>
      </c>
      <c r="B123" s="404">
        <f>IF(IFERROR((100-TableauIngredients[[#This Row],[% eau]])/100, 1) &lt; 0.2,0.2,IFERROR((100-TableauIngredients[[#This Row],[% eau]])/100, 1))</f>
        <v>0.2</v>
      </c>
      <c r="C123">
        <v>90</v>
      </c>
      <c r="D123" t="s">
        <v>274</v>
      </c>
      <c r="F123" s="475"/>
    </row>
    <row r="124" spans="1:7" x14ac:dyDescent="0.2">
      <c r="A124" t="str">
        <f>IFERROR(PROPER(TableauIngredients[[#This Row],[Nom de la Production]]), "")</f>
        <v>Piment Doux Rouge</v>
      </c>
      <c r="B124" s="404">
        <f>IF(IFERROR((100-TableauIngredients[[#This Row],[% eau]])/100, 1) &lt; 0.2,0.2,IFERROR((100-TableauIngredients[[#This Row],[% eau]])/100, 1))</f>
        <v>0.2</v>
      </c>
      <c r="C124">
        <v>92</v>
      </c>
      <c r="D124" t="s">
        <v>267</v>
      </c>
      <c r="F124" s="475"/>
      <c r="G124" s="2" t="s">
        <v>275</v>
      </c>
    </row>
    <row r="125" spans="1:7" x14ac:dyDescent="0.2">
      <c r="A125" t="str">
        <f>IFERROR(PROPER(TableauIngredients[[#This Row],[Nom de la Production]]), "")</f>
        <v>Piment Habanero Violet</v>
      </c>
      <c r="B125" s="404">
        <f>IF(IFERROR((100-TableauIngredients[[#This Row],[% eau]])/100, 1) &lt; 0.2,0.2,IFERROR((100-TableauIngredients[[#This Row],[% eau]])/100, 1))</f>
        <v>1</v>
      </c>
      <c r="C125">
        <v>0</v>
      </c>
      <c r="D125" t="s">
        <v>276</v>
      </c>
      <c r="F125" s="475"/>
      <c r="G125" s="2" t="s">
        <v>277</v>
      </c>
    </row>
    <row r="126" spans="1:7" x14ac:dyDescent="0.2">
      <c r="A126" t="str">
        <f>IFERROR(PROPER(TableauIngredients[[#This Row],[Nom de la Production]]), "")</f>
        <v>Piment Jalapeno Vert</v>
      </c>
      <c r="B126" s="404">
        <f>IF(IFERROR((100-TableauIngredients[[#This Row],[% eau]])/100, 1) &lt; 0.2,0.2,IFERROR((100-TableauIngredients[[#This Row],[% eau]])/100, 1))</f>
        <v>1</v>
      </c>
      <c r="C126">
        <v>0</v>
      </c>
      <c r="D126" t="s">
        <v>278</v>
      </c>
      <c r="F126" s="475"/>
      <c r="G126" s="2" t="s">
        <v>279</v>
      </c>
    </row>
    <row r="127" spans="1:7" x14ac:dyDescent="0.2">
      <c r="A127" t="str">
        <f>IFERROR(PROPER(TableauIngredients[[#This Row],[Nom de la Production]]), "")</f>
        <v>Piment Œil D'Oiseau</v>
      </c>
      <c r="B127" s="404">
        <f>IF(IFERROR((100-TableauIngredients[[#This Row],[% eau]])/100, 1) &lt; 0.2,0.2,IFERROR((100-TableauIngredients[[#This Row],[% eau]])/100, 1))</f>
        <v>1</v>
      </c>
      <c r="C127">
        <v>0</v>
      </c>
      <c r="D127" t="s">
        <v>280</v>
      </c>
      <c r="F127" s="475"/>
    </row>
    <row r="128" spans="1:7" x14ac:dyDescent="0.2">
      <c r="A128" t="str">
        <f>IFERROR(PROPER(TableauIngredients[[#This Row],[Nom de la Production]]), "")</f>
        <v>Piment Violet Fort - Purple Delight</v>
      </c>
      <c r="B128" s="404">
        <f>IF(IFERROR((100-TableauIngredients[[#This Row],[% eau]])/100, 1) &lt; 0.2,0.2,IFERROR((100-TableauIngredients[[#This Row],[% eau]])/100, 1))</f>
        <v>1</v>
      </c>
      <c r="C128">
        <v>0</v>
      </c>
      <c r="D128" t="s">
        <v>281</v>
      </c>
      <c r="F128" s="475"/>
    </row>
    <row r="129" spans="1:7" x14ac:dyDescent="0.2">
      <c r="A129" t="str">
        <f>IFERROR(PROPER(TableauIngredients[[#This Row],[Nom de la Production]]), "")</f>
        <v>Piments Kashmiri</v>
      </c>
      <c r="B129" s="404">
        <f>IF(IFERROR((100-TableauIngredients[[#This Row],[% eau]])/100, 1) &lt; 0.2,0.2,IFERROR((100-TableauIngredients[[#This Row],[% eau]])/100, 1))</f>
        <v>0.2</v>
      </c>
      <c r="C129">
        <v>90</v>
      </c>
      <c r="D129" t="s">
        <v>282</v>
      </c>
      <c r="F129" s="475"/>
    </row>
    <row r="130" spans="1:7" x14ac:dyDescent="0.2">
      <c r="A130" t="str">
        <f>IFERROR(PROPER(TableauIngredients[[#This Row],[Nom de la Production]]), "")</f>
        <v>Piments Rouge - Thunder Mountain Longhorn</v>
      </c>
      <c r="B130" s="404">
        <f>IF(IFERROR((100-TableauIngredients[[#This Row],[% eau]])/100, 1) &lt; 0.2,0.2,IFERROR((100-TableauIngredients[[#This Row],[% eau]])/100, 1))</f>
        <v>1</v>
      </c>
      <c r="C130">
        <v>0</v>
      </c>
      <c r="D130" t="s">
        <v>250</v>
      </c>
      <c r="F130" s="475"/>
    </row>
    <row r="131" spans="1:7" x14ac:dyDescent="0.2">
      <c r="A131" t="str">
        <f>IFERROR(PROPER(TableauIngredients[[#This Row],[Nom de la Production]]), "")</f>
        <v>Piments Rouge - Thunder Mountain Longhorn</v>
      </c>
      <c r="B131" s="404">
        <f>IF(IFERROR((100-TableauIngredients[[#This Row],[% eau]])/100, 1) &lt; 0.2,0.2,IFERROR((100-TableauIngredients[[#This Row],[% eau]])/100, 1))</f>
        <v>0.2</v>
      </c>
      <c r="C131">
        <v>90</v>
      </c>
      <c r="D131" t="s">
        <v>250</v>
      </c>
      <c r="F131" s="475"/>
    </row>
    <row r="132" spans="1:7" x14ac:dyDescent="0.2">
      <c r="A132" t="str">
        <f>IFERROR(PROPER(TableauIngredients[[#This Row],[Nom de la Production]]), "")</f>
        <v>Piments Verts</v>
      </c>
      <c r="B132" s="404">
        <f>IF(IFERROR((100-TableauIngredients[[#This Row],[% eau]])/100, 1) &lt; 0.2,0.2,IFERROR((100-TableauIngredients[[#This Row],[% eau]])/100, 1))</f>
        <v>0.2</v>
      </c>
      <c r="C132">
        <v>97</v>
      </c>
      <c r="D132" t="s">
        <v>283</v>
      </c>
      <c r="F132" s="475"/>
    </row>
    <row r="133" spans="1:7" x14ac:dyDescent="0.2">
      <c r="A133" t="str">
        <f>IFERROR(PROPER(TableauIngredients[[#This Row],[Nom de la Production]]), "")</f>
        <v>Poivre Blanc</v>
      </c>
      <c r="B133" s="404">
        <f>IF(IFERROR((100-TableauIngredients[[#This Row],[% eau]])/100, 1) &lt; 0.2,0.2,IFERROR((100-TableauIngredients[[#This Row],[% eau]])/100, 1))</f>
        <v>0.2</v>
      </c>
      <c r="C133">
        <v>97</v>
      </c>
      <c r="D133" s="1" t="s">
        <v>284</v>
      </c>
      <c r="E133" s="1"/>
      <c r="F133" s="475"/>
    </row>
    <row r="134" spans="1:7" x14ac:dyDescent="0.2">
      <c r="A134" t="str">
        <f>IFERROR(PROPER(TableauIngredients[[#This Row],[Nom de la Production]]), "")</f>
        <v>Poivre De Jamaïque</v>
      </c>
      <c r="B134" s="404">
        <f>IF(IFERROR((100-TableauIngredients[[#This Row],[% eau]])/100, 1) &lt; 0.2,0.2,IFERROR((100-TableauIngredients[[#This Row],[% eau]])/100, 1))</f>
        <v>1</v>
      </c>
      <c r="D134" s="1" t="s">
        <v>285</v>
      </c>
      <c r="E134" s="1"/>
      <c r="F134" s="475"/>
    </row>
    <row r="135" spans="1:7" x14ac:dyDescent="0.2">
      <c r="A135" t="str">
        <f>IFERROR(PROPER(TableauIngredients[[#This Row],[Nom de la Production]]), "")</f>
        <v>Poivre De Sichuan</v>
      </c>
      <c r="B135" s="404">
        <f>IF(IFERROR((100-TableauIngredients[[#This Row],[% eau]])/100, 1) &lt; 0.2,0.2,IFERROR((100-TableauIngredients[[#This Row],[% eau]])/100, 1))</f>
        <v>0.5</v>
      </c>
      <c r="C135">
        <v>50</v>
      </c>
      <c r="D135" t="s">
        <v>286</v>
      </c>
      <c r="F135" s="475"/>
    </row>
    <row r="136" spans="1:7" x14ac:dyDescent="0.2">
      <c r="A136" t="str">
        <f>IFERROR(PROPER(TableauIngredients[[#This Row],[Nom de la Production]]), "")</f>
        <v>Poivre De Timut</v>
      </c>
      <c r="B136" s="404">
        <f>IF(IFERROR((100-TableauIngredients[[#This Row],[% eau]])/100, 1) &lt; 0.2,0.2,IFERROR((100-TableauIngredients[[#This Row],[% eau]])/100, 1))</f>
        <v>0.8</v>
      </c>
      <c r="C136">
        <v>20</v>
      </c>
      <c r="D136" t="s">
        <v>287</v>
      </c>
      <c r="F136" s="475"/>
    </row>
    <row r="137" spans="1:7" x14ac:dyDescent="0.2">
      <c r="A137" t="str">
        <f>IFERROR(PROPER(TableauIngredients[[#This Row],[Nom de la Production]]), "")</f>
        <v>Poivre Des Moines</v>
      </c>
      <c r="B137" s="404">
        <f>IF(IFERROR((100-TableauIngredients[[#This Row],[% eau]])/100, 1) &lt; 0.2,0.2,IFERROR((100-TableauIngredients[[#This Row],[% eau]])/100, 1))</f>
        <v>0.8</v>
      </c>
      <c r="C137">
        <v>20</v>
      </c>
      <c r="D137" t="s">
        <v>288</v>
      </c>
      <c r="F137" s="475"/>
    </row>
    <row r="138" spans="1:7" x14ac:dyDescent="0.2">
      <c r="A138" t="str">
        <f>IFERROR(PROPER(TableauIngredients[[#This Row],[Nom de la Production]]), "")</f>
        <v>Poivre Noir</v>
      </c>
      <c r="B138" s="404">
        <f>IF(IFERROR((100-TableauIngredients[[#This Row],[% eau]])/100, 1) &lt; 0.2,0.2,IFERROR((100-TableauIngredients[[#This Row],[% eau]])/100, 1))</f>
        <v>0.2</v>
      </c>
      <c r="C138">
        <v>97</v>
      </c>
      <c r="D138" t="s">
        <v>289</v>
      </c>
      <c r="F138" s="475">
        <v>36.85</v>
      </c>
      <c r="G138" t="s">
        <v>290</v>
      </c>
    </row>
    <row r="139" spans="1:7" x14ac:dyDescent="0.2">
      <c r="A139" t="str">
        <f>IFERROR(PROPER(TableauIngredients[[#This Row],[Nom de la Production]]), "")</f>
        <v>Quatre Epices</v>
      </c>
      <c r="B139" s="404">
        <f>IF(IFERROR((100-TableauIngredients[[#This Row],[% eau]])/100, 1) &lt; 0.2,0.2,IFERROR((100-TableauIngredients[[#This Row],[% eau]])/100, 1))</f>
        <v>0.2</v>
      </c>
      <c r="C139">
        <v>97</v>
      </c>
      <c r="D139" s="1" t="s">
        <v>291</v>
      </c>
      <c r="E139" s="1"/>
      <c r="F139" s="475"/>
    </row>
    <row r="140" spans="1:7" x14ac:dyDescent="0.2">
      <c r="A140" t="str">
        <f>IFERROR(PROPER(TableauIngredients[[#This Row],[Nom de la Production]]), "")</f>
        <v>Romarin</v>
      </c>
      <c r="B140" s="404">
        <f>IF(IFERROR((100-TableauIngredients[[#This Row],[% eau]])/100, 1) &lt; 0.2,0.2,IFERROR((100-TableauIngredients[[#This Row],[% eau]])/100, 1))</f>
        <v>0.2</v>
      </c>
      <c r="C140">
        <v>85</v>
      </c>
      <c r="D140" t="s">
        <v>292</v>
      </c>
      <c r="F140" s="475"/>
    </row>
    <row r="141" spans="1:7" x14ac:dyDescent="0.2">
      <c r="A141" t="str">
        <f>IFERROR(PROPER(TableauIngredients[[#This Row],[Nom de la Production]]), "")</f>
        <v>Rose</v>
      </c>
      <c r="B141" s="404">
        <f>IF(IFERROR((100-TableauIngredients[[#This Row],[% eau]])/100, 1) &lt; 0.2,0.2,IFERROR((100-TableauIngredients[[#This Row],[% eau]])/100, 1))</f>
        <v>1</v>
      </c>
      <c r="C141">
        <v>0</v>
      </c>
      <c r="D141" t="s">
        <v>293</v>
      </c>
      <c r="F141" s="475"/>
    </row>
    <row r="142" spans="1:7" x14ac:dyDescent="0.2">
      <c r="A142" t="str">
        <f>IFERROR(PROPER(TableauIngredients[[#This Row],[Nom de la Production]]), "")</f>
        <v>Rose</v>
      </c>
      <c r="B142" s="404">
        <f>IF(IFERROR((100-TableauIngredients[[#This Row],[% eau]])/100, 1) &lt; 0.2,0.2,IFERROR((100-TableauIngredients[[#This Row],[% eau]])/100, 1))</f>
        <v>0.2</v>
      </c>
      <c r="C142">
        <v>95</v>
      </c>
      <c r="D142" t="s">
        <v>293</v>
      </c>
      <c r="F142" s="475"/>
    </row>
    <row r="143" spans="1:7" x14ac:dyDescent="0.2">
      <c r="A143" t="str">
        <f>IFERROR(PROPER(TableauIngredients[[#This Row],[Nom de la Production]]), "")</f>
        <v>Safran</v>
      </c>
      <c r="B143" s="404">
        <f>IF(IFERROR((100-TableauIngredients[[#This Row],[% eau]])/100, 1) &lt; 0.2,0.2,IFERROR((100-TableauIngredients[[#This Row],[% eau]])/100, 1))</f>
        <v>0.2</v>
      </c>
      <c r="C143">
        <v>97</v>
      </c>
      <c r="D143" s="1" t="s">
        <v>294</v>
      </c>
      <c r="E143" s="1"/>
      <c r="F143" s="475"/>
    </row>
    <row r="144" spans="1:7" x14ac:dyDescent="0.2">
      <c r="A144" t="str">
        <f>IFERROR(PROPER(TableauIngredients[[#This Row],[Nom de la Production]]), "")</f>
        <v>Sarriette</v>
      </c>
      <c r="B144" s="404">
        <f>IF(IFERROR((100-TableauIngredients[[#This Row],[% eau]])/100, 1) &lt; 0.2,0.2,IFERROR((100-TableauIngredients[[#This Row],[% eau]])/100, 1))</f>
        <v>0.35</v>
      </c>
      <c r="C144">
        <v>65</v>
      </c>
      <c r="D144" t="s">
        <v>295</v>
      </c>
      <c r="F144" s="475"/>
    </row>
    <row r="145" spans="1:7" x14ac:dyDescent="0.2">
      <c r="A145" t="str">
        <f>IFERROR(PROPER(TableauIngredients[[#This Row],[Nom de la Production]]), "")</f>
        <v>Sauce Soja</v>
      </c>
      <c r="B145" s="404">
        <f>IF(IFERROR((100-TableauIngredients[[#This Row],[% eau]])/100, 1) &lt; 0.2,0.2,IFERROR((100-TableauIngredients[[#This Row],[% eau]])/100, 1))</f>
        <v>1</v>
      </c>
      <c r="C145">
        <v>0</v>
      </c>
      <c r="D145" t="s">
        <v>296</v>
      </c>
      <c r="F145" s="475">
        <v>56.45</v>
      </c>
      <c r="G145" s="2" t="s">
        <v>297</v>
      </c>
    </row>
    <row r="146" spans="1:7" x14ac:dyDescent="0.2">
      <c r="A146" t="str">
        <f>IFERROR(PROPER(TableauIngredients[[#This Row],[Nom de la Production]]), "")</f>
        <v>Sauge</v>
      </c>
      <c r="B146" s="404">
        <f>IF(IFERROR((100-TableauIngredients[[#This Row],[% eau]])/100, 1) &lt; 0.2,0.2,IFERROR((100-TableauIngredients[[#This Row],[% eau]])/100, 1))</f>
        <v>1</v>
      </c>
      <c r="D146" t="s">
        <v>298</v>
      </c>
      <c r="F146" s="475"/>
    </row>
    <row r="147" spans="1:7" x14ac:dyDescent="0.2">
      <c r="A147" t="str">
        <f>IFERROR(PROPER(TableauIngredients[[#This Row],[Nom de la Production]]), "")</f>
        <v>Sel</v>
      </c>
      <c r="B147" s="404">
        <f>IF(IFERROR((100-TableauIngredients[[#This Row],[% eau]])/100, 1) &lt; 0.2,0.2,IFERROR((100-TableauIngredients[[#This Row],[% eau]])/100, 1))</f>
        <v>1</v>
      </c>
      <c r="C147" t="s">
        <v>299</v>
      </c>
      <c r="D147" s="1" t="s">
        <v>300</v>
      </c>
      <c r="E147" s="1"/>
      <c r="F147" s="475">
        <v>1.4</v>
      </c>
      <c r="G147" t="s">
        <v>301</v>
      </c>
    </row>
    <row r="148" spans="1:7" x14ac:dyDescent="0.2">
      <c r="A148" t="str">
        <f>IFERROR(PROPER(TableauIngredients[[#This Row],[Nom de la Production]]), "")</f>
        <v>Graines De Sesame</v>
      </c>
      <c r="B148" s="404">
        <f>IF(IFERROR((100-TableauIngredients[[#This Row],[% eau]])/100, 1) &lt; 0.2,0.2,IFERROR((100-TableauIngredients[[#This Row],[% eau]])/100, 1))</f>
        <v>0.9</v>
      </c>
      <c r="C148">
        <v>10</v>
      </c>
      <c r="D148" t="s">
        <v>302</v>
      </c>
      <c r="F148" s="475"/>
    </row>
    <row r="149" spans="1:7" x14ac:dyDescent="0.2">
      <c r="A149" t="str">
        <f>IFERROR(PROPER(TableauIngredients[[#This Row],[Nom de la Production]]), "")</f>
        <v>Souci</v>
      </c>
      <c r="B149" s="404">
        <f>IF(IFERROR((100-TableauIngredients[[#This Row],[% eau]])/100, 1) &lt; 0.2,0.2,IFERROR((100-TableauIngredients[[#This Row],[% eau]])/100, 1))</f>
        <v>1</v>
      </c>
      <c r="C149">
        <v>0</v>
      </c>
      <c r="D149" t="s">
        <v>303</v>
      </c>
      <c r="F149" s="475"/>
    </row>
    <row r="150" spans="1:7" x14ac:dyDescent="0.2">
      <c r="A150" t="str">
        <f>IFERROR(PROPER(TableauIngredients[[#This Row],[Nom de la Production]]), "")</f>
        <v>Souci</v>
      </c>
      <c r="B150" s="404">
        <f>IF(IFERROR((100-TableauIngredients[[#This Row],[% eau]])/100, 1) &lt; 0.2,0.2,IFERROR((100-TableauIngredients[[#This Row],[% eau]])/100, 1))</f>
        <v>0.2</v>
      </c>
      <c r="C150">
        <v>97</v>
      </c>
      <c r="D150" t="s">
        <v>303</v>
      </c>
      <c r="F150" s="475"/>
    </row>
    <row r="151" spans="1:7" x14ac:dyDescent="0.2">
      <c r="A151" t="str">
        <f>IFERROR(PROPER(TableauIngredients[[#This Row],[Nom de la Production]]), "")</f>
        <v/>
      </c>
      <c r="B151" s="404">
        <f>IF(IFERROR((100-TableauIngredients[[#This Row],[% eau]])/100, 1) &lt; 0.2,0.2,IFERROR((100-TableauIngredients[[#This Row],[% eau]])/100, 1))</f>
        <v>1</v>
      </c>
      <c r="C151" t="s">
        <v>299</v>
      </c>
      <c r="F151" s="407">
        <f>44/25</f>
        <v>1.76</v>
      </c>
      <c r="G151" s="3" t="s">
        <v>304</v>
      </c>
    </row>
    <row r="152" spans="1:7" x14ac:dyDescent="0.2">
      <c r="A152" t="str">
        <f>IFERROR(PROPER(TableauIngredients[[#This Row],[Nom de la Production]]), "")</f>
        <v>Sucre De Palme</v>
      </c>
      <c r="B152" s="404">
        <f>IF(IFERROR((100-TableauIngredients[[#This Row],[% eau]])/100, 1) &lt; 0.2,0.2,IFERROR((100-TableauIngredients[[#This Row],[% eau]])/100, 1))</f>
        <v>0.5</v>
      </c>
      <c r="C152">
        <v>50</v>
      </c>
      <c r="D152" s="1" t="s">
        <v>305</v>
      </c>
      <c r="E152" s="1"/>
      <c r="F152" s="475">
        <v>2.8</v>
      </c>
      <c r="G152" s="2" t="s">
        <v>306</v>
      </c>
    </row>
    <row r="153" spans="1:7" x14ac:dyDescent="0.2">
      <c r="A153" t="str">
        <f>IFERROR(PROPER(TableauIngredients[[#This Row],[Nom de la Production]]), "")</f>
        <v>Sumac</v>
      </c>
      <c r="B153" s="404">
        <f>IF(IFERROR((100-TableauIngredients[[#This Row],[% eau]])/100, 1) &lt; 0.2,0.2,IFERROR((100-TableauIngredients[[#This Row],[% eau]])/100, 1))</f>
        <v>0.9</v>
      </c>
      <c r="C153">
        <v>10</v>
      </c>
      <c r="D153" t="s">
        <v>307</v>
      </c>
      <c r="F153" s="475"/>
    </row>
    <row r="154" spans="1:7" x14ac:dyDescent="0.2">
      <c r="A154" t="str">
        <f>IFERROR(PROPER(TableauIngredients[[#This Row],[Nom de la Production]]), "")</f>
        <v>Sureau</v>
      </c>
      <c r="B154" s="404">
        <f>IF(IFERROR((100-TableauIngredients[[#This Row],[% eau]])/100, 1) &lt; 0.2,0.2,IFERROR((100-TableauIngredients[[#This Row],[% eau]])/100, 1))</f>
        <v>1</v>
      </c>
      <c r="C154">
        <v>0</v>
      </c>
      <c r="D154" t="s">
        <v>308</v>
      </c>
      <c r="F154" s="475"/>
    </row>
    <row r="155" spans="1:7" x14ac:dyDescent="0.2">
      <c r="A155" t="str">
        <f>IFERROR(PROPER(TableauIngredients[[#This Row],[Nom de la Production]]), "")</f>
        <v>Sureau</v>
      </c>
      <c r="B155" s="404">
        <f>IF(IFERROR((100-TableauIngredients[[#This Row],[% eau]])/100, 1) &lt; 0.2,0.2,IFERROR((100-TableauIngredients[[#This Row],[% eau]])/100, 1))</f>
        <v>0.2</v>
      </c>
      <c r="C155">
        <v>97</v>
      </c>
      <c r="D155" t="s">
        <v>308</v>
      </c>
      <c r="F155" s="475"/>
    </row>
    <row r="156" spans="1:7" x14ac:dyDescent="0.2">
      <c r="A156" t="str">
        <f>IFERROR(PROPER(TableauIngredients[[#This Row],[Nom de la Production]]), "")</f>
        <v>Thym</v>
      </c>
      <c r="B156" s="404">
        <f>IF(IFERROR((100-TableauIngredients[[#This Row],[% eau]])/100, 1) &lt; 0.2,0.2,IFERROR((100-TableauIngredients[[#This Row],[% eau]])/100, 1))</f>
        <v>0.35</v>
      </c>
      <c r="C156">
        <v>65</v>
      </c>
      <c r="D156" t="s">
        <v>309</v>
      </c>
      <c r="F156" s="475"/>
    </row>
    <row r="157" spans="1:7" x14ac:dyDescent="0.2">
      <c r="A157" t="str">
        <f>IFERROR(PROPER(TableauIngredients[[#This Row],[Nom de la Production]]), "")</f>
        <v>Timut</v>
      </c>
      <c r="B157" s="404">
        <f>IF(IFERROR((100-TableauIngredients[[#This Row],[% eau]])/100, 1) &lt; 0.2,0.2,IFERROR((100-TableauIngredients[[#This Row],[% eau]])/100, 1))</f>
        <v>0.5</v>
      </c>
      <c r="C157">
        <v>50</v>
      </c>
      <c r="D157" t="s">
        <v>310</v>
      </c>
      <c r="F157" s="475"/>
    </row>
    <row r="158" spans="1:7" x14ac:dyDescent="0.2">
      <c r="A158" t="str">
        <f>IFERROR(PROPER(TableauIngredients[[#This Row],[Nom de la Production]]), "")</f>
        <v>Tomate Rouge</v>
      </c>
      <c r="B158" s="404">
        <f>IF(IFERROR((100-TableauIngredients[[#This Row],[% eau]])/100, 1) &lt; 0.2,0.2,IFERROR((100-TableauIngredients[[#This Row],[% eau]])/100, 1))</f>
        <v>1</v>
      </c>
      <c r="C158">
        <v>0</v>
      </c>
      <c r="D158" t="s">
        <v>187</v>
      </c>
      <c r="F158" s="475"/>
    </row>
    <row r="159" spans="1:7" x14ac:dyDescent="0.2">
      <c r="A159" t="str">
        <f>IFERROR(PROPER(TableauIngredients[[#This Row],[Nom de la Production]]), "")</f>
        <v>Vinaigre De Cidre</v>
      </c>
      <c r="B159" s="404">
        <f>IF(IFERROR((100-TableauIngredients[[#This Row],[% eau]])/100, 1) &lt; 0.2,0.2,IFERROR((100-TableauIngredients[[#This Row],[% eau]])/100, 1))</f>
        <v>1</v>
      </c>
      <c r="C159">
        <v>0</v>
      </c>
      <c r="D159" s="1" t="s">
        <v>311</v>
      </c>
      <c r="E159" s="1"/>
      <c r="F159" s="475">
        <f>19.21/5</f>
        <v>3.8420000000000001</v>
      </c>
      <c r="G159" t="s">
        <v>312</v>
      </c>
    </row>
    <row r="160" spans="1:7" x14ac:dyDescent="0.2">
      <c r="A160" t="str">
        <f>IFERROR(PROPER(TableauIngredients[[#This Row],[Nom de la Production]]), "")</f>
        <v>Zeste D’Orange Seche</v>
      </c>
      <c r="B160" s="404">
        <f>IF(IFERROR((100-TableauIngredients[[#This Row],[% eau]])/100, 1) &lt; 0.2,0.2,IFERROR((100-TableauIngredients[[#This Row],[% eau]])/100, 1))</f>
        <v>0.5</v>
      </c>
      <c r="C160">
        <v>50</v>
      </c>
      <c r="D160" s="1" t="s">
        <v>313</v>
      </c>
      <c r="E160" s="1"/>
      <c r="F160" s="475"/>
    </row>
    <row r="161" spans="1:6" x14ac:dyDescent="0.2">
      <c r="A161" s="1" t="str">
        <f>IFERROR(PROPER(TableauIngredients[[#This Row],[Nom de la Production]]), "")</f>
        <v>Estragon</v>
      </c>
      <c r="B161" s="404">
        <v>1</v>
      </c>
      <c r="C161">
        <v>0</v>
      </c>
      <c r="D161" t="s">
        <v>314</v>
      </c>
      <c r="F161" s="475"/>
    </row>
    <row r="162" spans="1:6" x14ac:dyDescent="0.2">
      <c r="A162" s="1" t="str">
        <f>IFERROR(PROPER(TableauIngredients[[#This Row],[Nom de la Production]]), "")</f>
        <v>Estragon</v>
      </c>
      <c r="B162" s="404">
        <f>IF(IFERROR((100-TableauIngredients[[#This Row],[% eau]])/100, 1) &lt; 20,0.2)</f>
        <v>0.2</v>
      </c>
      <c r="C162">
        <v>90</v>
      </c>
      <c r="D162" t="s">
        <v>314</v>
      </c>
      <c r="F162" s="475"/>
    </row>
    <row r="163" spans="1:6" x14ac:dyDescent="0.2">
      <c r="A163" s="1" t="str">
        <f>IFERROR(PROPER(TableauIngredients[[#This Row],[Nom de la Production]]), "")</f>
        <v>Cornichon</v>
      </c>
      <c r="B163" s="404">
        <v>1</v>
      </c>
      <c r="C163">
        <v>0</v>
      </c>
      <c r="D163" t="s">
        <v>315</v>
      </c>
      <c r="F163" s="475"/>
    </row>
    <row r="164" spans="1:6" x14ac:dyDescent="0.2">
      <c r="A164" s="1" t="str">
        <f>IFERROR(PROPER(TableauIngredients[[#This Row],[Nom de la Production]]), "")</f>
        <v>Cornichon</v>
      </c>
      <c r="B164" s="404">
        <v>1</v>
      </c>
      <c r="C164">
        <v>0</v>
      </c>
      <c r="D164" t="s">
        <v>315</v>
      </c>
      <c r="F164" s="475"/>
    </row>
    <row r="165" spans="1:6" x14ac:dyDescent="0.2">
      <c r="A165" s="1" t="str">
        <f>IFERROR(PROPER(TableauIngredients[[#This Row],[Nom de la Production]]), "")</f>
        <v>Oignon Rocambole</v>
      </c>
      <c r="B165" s="404">
        <f>IF(IFERROR((100-TableauIngredients[[#This Row],[% eau]])/100, 1) &lt; 20,0.2)</f>
        <v>0.2</v>
      </c>
      <c r="D165" t="s">
        <v>316</v>
      </c>
      <c r="F165" s="475"/>
    </row>
    <row r="166" spans="1:6" x14ac:dyDescent="0.2">
      <c r="A166" s="1" t="str">
        <f>IFERROR(PROPER(TableauIngredients[[#This Row],[Nom de la Production]]), "")</f>
        <v>Choux</v>
      </c>
      <c r="B166" s="404">
        <v>1</v>
      </c>
      <c r="C166">
        <v>0</v>
      </c>
      <c r="D166" t="s">
        <v>317</v>
      </c>
      <c r="F166" s="475"/>
    </row>
    <row r="167" spans="1:6" x14ac:dyDescent="0.2">
      <c r="A167" t="str">
        <f>IFERROR(PROPER(TableauIngredients[[#This Row],[Nom de la Production]]), "")</f>
        <v>Feuille D'Algue Nori Séchée</v>
      </c>
      <c r="B167">
        <f>IF(IFERROR((100-TableauIngredients[[#This Row],[% eau]])/100, 1) &lt; 0.2,0.2,IFERROR((100-TableauIngredients[[#This Row],[% eau]])/100, 1))</f>
        <v>0.9</v>
      </c>
      <c r="C167">
        <v>10</v>
      </c>
      <c r="D167" t="s">
        <v>318</v>
      </c>
      <c r="F167">
        <v>40</v>
      </c>
    </row>
    <row r="168" spans="1:6" x14ac:dyDescent="0.2">
      <c r="A168" t="str">
        <f>IFERROR(PROPER(TableauIngredients[[#This Row],[Nom de la Production]]), "")</f>
        <v>Églantier</v>
      </c>
      <c r="B168">
        <f>IF(IFERROR((100-TableauIngredients[[#This Row],[% eau]])/100, 1) &lt; 0.2,0.2,IFERROR((100-TableauIngredients[[#This Row],[% eau]])/100, 1))</f>
        <v>0.2</v>
      </c>
      <c r="C168">
        <v>80</v>
      </c>
      <c r="D168" t="s">
        <v>319</v>
      </c>
    </row>
    <row r="169" spans="1:6" x14ac:dyDescent="0.2">
      <c r="A169" t="str">
        <f>IFERROR(PROPER(TableauIngredients[[#This Row],[Nom de la Production]]), "")</f>
        <v>Cassis</v>
      </c>
      <c r="B169">
        <f>IF(IFERROR((100-TableauIngredients[[#This Row],[% eau]])/100, 1) &lt; 0.2,0.2,IFERROR((100-TableauIngredients[[#This Row],[% eau]])/100, 1))</f>
        <v>0.2</v>
      </c>
      <c r="C169">
        <v>90</v>
      </c>
      <c r="D169" t="s">
        <v>320</v>
      </c>
    </row>
    <row r="170" spans="1:6" x14ac:dyDescent="0.2">
      <c r="A170" t="str">
        <f>IFERROR(PROPER(TableauIngredients[[#This Row],[Nom de la Production]]), "")</f>
        <v>Fenouil</v>
      </c>
      <c r="B170">
        <f>IF(IFERROR((100-TableauIngredients[[#This Row],[% eau]])/100, 1) &lt; 0.2,0.2,IFERROR((100-TableauIngredients[[#This Row],[% eau]])/100, 1))</f>
        <v>0.9</v>
      </c>
      <c r="C170">
        <v>10</v>
      </c>
      <c r="D170" t="s">
        <v>321</v>
      </c>
    </row>
    <row r="171" spans="1:6" x14ac:dyDescent="0.2">
      <c r="A171" t="str">
        <f>IFERROR(PROPER(TableauIngredients[[#This Row],[Nom de la Production]]), "")</f>
        <v>Mélisse</v>
      </c>
      <c r="B171">
        <f>IF(IFERROR((100-TableauIngredients[[#This Row],[% eau]])/100, 1) &lt; 0.2,0.2,IFERROR((100-TableauIngredients[[#This Row],[% eau]])/100, 1))</f>
        <v>0.2</v>
      </c>
      <c r="C171">
        <v>90</v>
      </c>
      <c r="D171" t="s">
        <v>322</v>
      </c>
    </row>
    <row r="172" spans="1:6" x14ac:dyDescent="0.2">
      <c r="A172" t="str">
        <f>IFERROR(PROPER(TableauIngredients[[#This Row],[Nom de la Production]]), "")</f>
        <v>Verveine Citronnelle</v>
      </c>
      <c r="B172">
        <f>IF(IFERROR((100-TableauIngredients[[#This Row],[% eau]])/100, 1) &lt; 0.2,0.2,IFERROR((100-TableauIngredients[[#This Row],[% eau]])/100, 1))</f>
        <v>0.2</v>
      </c>
      <c r="C172">
        <v>90</v>
      </c>
      <c r="D172" t="s">
        <v>323</v>
      </c>
    </row>
  </sheetData>
  <hyperlinks>
    <hyperlink ref="G4" r:id="rId1" xr:uid="{00000000-0004-0000-0100-000000000000}"/>
    <hyperlink ref="G5" r:id="rId2" xr:uid="{00000000-0004-0000-0100-000001000000}"/>
    <hyperlink ref="G7" r:id="rId3" display="https://vracbio.com/products/badiane-anis-etoile-bio-en-vrac?variant=31584511361139&amp;currency=EUR&amp;utm_medium=product_sync&amp;utm_source=google&amp;utm_content=sag_organic&amp;utm_campaign=sag_organic&amp;utm_campaign=gs-2020-05-12&amp;utm_source=google&amp;utm_medium=smart_campaign&amp;gad_source=1&amp;gclid=Cj0KCQjwwMqvBhCtARIsAIXsZpbzhzDINtZH-k_NigcEf1sWrPuGZLuWxNXCpnF2Jb13CK9238FySTMaAgwfEALw_wcB" xr:uid="{00000000-0004-0000-0100-000002000000}"/>
    <hyperlink ref="G17" r:id="rId4" display="https://www.googleadservices.com/pagead/aclk?sa=L&amp;ai=DChcSEwi8_L7IkfSEAxWWtWgJHdrGBpYYABAFGgJ3Zg&amp;ase=2&amp;gclid=Cj0KCQjwwMqvBhCtARIsAIXsZpYLT1VmI5Kq1BaXTkjkzxCxD3tRu3FW4QihyZ5AVHNacB5EEIP-EacaAtVBEALw_wcB&amp;ohost=www.google.com&amp;cid=CAESV-D25s4w_xgCt61JSCPtz_-6MB53MwZOqMSR3C53fMpAlGsUxYYNIVZyeD-U7TQmjoP8BSO5N0eb6P53Wc_pyXFm3Td7A7f5dhB2yVtf84Fpc8W6xGvNkg&amp;sig=AOD64_1j_v1y63lx74Qe3EwzAJMUknrPPQ&amp;ctype=5&amp;q=&amp;nis=4&amp;ved=2ahUKEwii3bjIkfSEAxUTUKQEHfKUBKUQ9aACKAB6BAgBECM&amp;adurl=" xr:uid="{00000000-0004-0000-0100-000003000000}"/>
    <hyperlink ref="G20" r:id="rId5" display="https://www.googleadservices.com/pagead/aclk?sa=L&amp;ai=DChcSEwichuSekfSEAxVyQUECHat2BNwYABAMGgJ3cw&amp;ase=2&amp;gclid=Cj0KCQjwwMqvBhCtARIsAIXsZpZmpmc8fHRm_JGzy1Gmr0JI0grkfyuAV2XraPO2cYJ_I7mDJZoaepwaAlFBEALw_wcB&amp;ohost=www.google.com&amp;cid=CAESV-D2fcXVl2hyBhRmKKHyR9Mar6Ywa7Gxq7dChedDWqueLOlHIrSO08ZTbW6I8tjACgEP8JedobbYSxK8ul5eMEPhhJEPba-FfAwg293CrvZFTOWQMeyZvg&amp;sig=AOD64_00twfFYjSyymtiLPJAcag4fPwi1w&amp;ctype=5&amp;q=&amp;nis=4&amp;ved=2ahUKEwjQud6ekfSEAxVXU6QEHZs-CdUQ9aACKAB6BAgEEBM&amp;adurl=" xr:uid="{00000000-0004-0000-0100-000004000000}"/>
    <hyperlink ref="G27" r:id="rId6" display="https://www.etsy.com/fr/listing/1671728644/zeste-de-mandarine-sechee-biologique?gpla=1&amp;gao=1&amp;" xr:uid="{00000000-0004-0000-0100-000005000000}"/>
    <hyperlink ref="G28" r:id="rId7" display="https://www.googleadservices.com/pagead/aclk?sa=L&amp;ai=DChcSEwjImt71kvSEAxX4qGgJHfm2DMsYABAOGgJ3Zg&amp;ase=2&amp;gclid=Cj0KCQjwwMqvBhCtARIsAIXsZpZzuxlLYPk3jEbz2sSJyN4bocZn-7fGZ1l02xJ2SChDI7pgp8LAST8aAnq9EALw_wcB&amp;ohost=www.google.com&amp;cid=CAESV-D2Uxx-XLqYE_XjwL-kVovH9HTLCB4KlP7kJAwkGppGskGIF94N5JykIfKxIhGF_WNbbGhZMrxjSTAQ4FwvjJubk8RCtjodMYrRsrubTeHFyJdngqwO-Q&amp;sig=AOD64_24hJKAn2HpOv8TAFHuCr4695zSpw&amp;ctype=5&amp;q=&amp;nis=4&amp;ved=2ahUKEwjbttj1kvSEAxXWSKQEHcVUBosQ9aACKAB6BAgBEBM&amp;adurl=" xr:uid="{00000000-0004-0000-0100-000006000000}"/>
    <hyperlink ref="G30" r:id="rId8" display="https://thesdirect.com/products/girofle-clou-entier-bio?variant=42278504759535&amp;utm_medium=paidsearch&amp;utm_source=google&amp;utm_campaign=FR-PMC-Global&amp;utm_term=&amp;utm_content=&amp;gad_source=1&amp;gclid=Cj0KCQjwwMqvBhCtARIsAIXsZpYMcYHxWw4LzdPFYu1RLdfNCwEEgQ89WYbpA_kBagvr-9lOLjM_5DwaAt_uEALw_wcB" xr:uid="{00000000-0004-0000-0100-000007000000}"/>
    <hyperlink ref="G34" r:id="rId9" xr:uid="{00000000-0004-0000-0100-000008000000}"/>
    <hyperlink ref="G36" r:id="rId10" xr:uid="{00000000-0004-0000-0100-000009000000}"/>
    <hyperlink ref="G37" r:id="rId11" xr:uid="{00000000-0004-0000-0100-00000A000000}"/>
    <hyperlink ref="G38" r:id="rId12" display="https://www.pharma5avenue.com/blog/mode-de-production-du-curcuma-longa-n63" xr:uid="{00000000-0004-0000-0100-00000B000000}"/>
    <hyperlink ref="G39" r:id="rId13" xr:uid="{00000000-0004-0000-0100-00000C000000}"/>
    <hyperlink ref="G40" r:id="rId14" display="https://www.pharma5avenue.com/blog/mode-de-production-du-curcuma-longa-n63" xr:uid="{00000000-0004-0000-0100-00000D000000}"/>
    <hyperlink ref="G41" r:id="rId15" display="https://www.pharma5avenue.com/blog/mode-de-production-du-curcuma-longa-n63" xr:uid="{00000000-0004-0000-0100-00000E000000}"/>
    <hyperlink ref="G45" r:id="rId16" xr:uid="{00000000-0004-0000-0100-00000F000000}"/>
    <hyperlink ref="G52" r:id="rId17" xr:uid="{00000000-0004-0000-0100-000010000000}"/>
    <hyperlink ref="G55" r:id="rId18" xr:uid="{00000000-0004-0000-0100-000011000000}"/>
    <hyperlink ref="G56" r:id="rId19" xr:uid="{00000000-0004-0000-0100-000012000000}"/>
    <hyperlink ref="G57" r:id="rId20" xr:uid="{00000000-0004-0000-0100-000013000000}"/>
    <hyperlink ref="G59" r:id="rId21" xr:uid="{00000000-0004-0000-0100-000014000000}"/>
    <hyperlink ref="G60" r:id="rId22" xr:uid="{00000000-0004-0000-0100-000015000000}"/>
    <hyperlink ref="G61" r:id="rId23" xr:uid="{00000000-0004-0000-0100-000016000000}"/>
    <hyperlink ref="G62" r:id="rId24" xr:uid="{00000000-0004-0000-0100-000017000000}"/>
    <hyperlink ref="G65" r:id="rId25" xr:uid="{00000000-0004-0000-0100-000018000000}"/>
    <hyperlink ref="G72" r:id="rId26" xr:uid="{00000000-0004-0000-0100-000019000000}"/>
    <hyperlink ref="G73" r:id="rId27" xr:uid="{00000000-0004-0000-0100-00001A000000}"/>
    <hyperlink ref="G82" r:id="rId28" display="https://www.googleadservices.com/pagead/aclk?sa=L&amp;ai=DChcSEwjImt71kvSEAxX4qGgJHfm2DMsYABAOGgJ3Zg&amp;ase=2&amp;gclid=Cj0KCQjwwMqvBhCtARIsAIXsZpZzuxlLYPk3jEbz2sSJyN4bocZn-7fGZ1l02xJ2SChDI7pgp8LAST8aAnq9EALw_wcB&amp;ohost=www.google.com&amp;cid=CAESV-D2Uxx-XLqYE_XjwL-kVovH9HTLCB4KlP7kJAwkGppGskGIF94N5JykIfKxIhGF_WNbbGhZMrxjSTAQ4FwvjJubk8RCtjodMYrRsrubTeHFyJdngqwO-Q&amp;sig=AOD64_24hJKAn2HpOv8TAFHuCr4695zSpw&amp;ctype=5&amp;q=&amp;nis=4&amp;ved=2ahUKEwjbttj1kvSEAxXWSKQEHcVUBosQ9aACKAB6BAgBEBM&amp;adurl=" xr:uid="{00000000-0004-0000-0100-00001B000000}"/>
    <hyperlink ref="G88" r:id="rId29" xr:uid="{00000000-0004-0000-0100-00001C000000}"/>
    <hyperlink ref="G108" r:id="rId30" xr:uid="{00000000-0004-0000-0100-00001D000000}"/>
    <hyperlink ref="G113" r:id="rId31" xr:uid="{00000000-0004-0000-0100-00001E000000}"/>
    <hyperlink ref="G120" r:id="rId32" xr:uid="{00000000-0004-0000-0100-00001F000000}"/>
    <hyperlink ref="G124" r:id="rId33" display="https://occitanie.chambre-agriculture.fr/fileadmin/user_upload/Occitanie/076_Inst-Occitanie/Documents/Productions_techniques/Agriculture_biologique/Espace_ressource_bio/Maraichage_bio/ITK-LR-PoivronVenteDirecte.pdf" xr:uid="{00000000-0004-0000-0100-000020000000}"/>
    <hyperlink ref="G125" r:id="rId34" display="https://occitanie.chambre-agriculture.fr/fileadmin/user_upload/Occitanie/076_Inst-Occitanie/Documents/Productions_techniques/Agriculture_biologique/Espace_ressource_bio/Maraichage_bio/ITK-LR-PoivronVenteDirecte.pdf" xr:uid="{00000000-0004-0000-0100-000021000000}"/>
    <hyperlink ref="G126" r:id="rId35" display="https://occitanie.chambre-agriculture.fr/fileadmin/user_upload/Occitanie/076_Inst-Occitanie/Documents/Productions_techniques/Agriculture_biologique/Espace_ressource_bio/Maraichage_bio/ITK-LR-PoivronVenteDirecte.pdf" xr:uid="{00000000-0004-0000-0100-000022000000}"/>
    <hyperlink ref="G145" r:id="rId36" xr:uid="{00000000-0004-0000-0100-000023000000}"/>
    <hyperlink ref="G152" r:id="rId37" display="https://www.apiculture.net/sirop/7606-palette-sucre-de-canne-biologique-1080kg-alimentaire-54x20kg.html?kk=a4c626f-18e411b23ef-a3fee&amp;kgclid=CjwKCAjw48-vBhBbEiwAzqrZVI_0Pn7Eoe7X5_JvZvbTWxkK5E4ji2yIrkTdaQkY6n_lq79bD6I5HBoCb08QAvD_BwE&amp;utm_source=kelkoofr&amp;utm_medium=cpc&amp;utm_campaign=kelkooclick&amp;utm_term=Apiculture.net+-+Mat%C3%A9riel+apicole+fran%C3%A7a" xr:uid="{00000000-0004-0000-0100-000024000000}"/>
  </hyperlinks>
  <pageMargins left="0.7" right="0.7" top="0.75" bottom="0.75" header="0.3" footer="0.3"/>
  <pageSetup paperSize="9" orientation="portrait" horizontalDpi="0" verticalDpi="0"/>
  <drawing r:id="rId38"/>
  <tableParts count="1">
    <tablePart r:id="rId3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1"/>
  <dimension ref="A1:T458"/>
  <sheetViews>
    <sheetView zoomScale="138" workbookViewId="0">
      <pane ySplit="1" topLeftCell="A421" activePane="bottomLeft" state="frozen"/>
      <selection pane="bottomLeft" activeCell="A2" sqref="A2"/>
    </sheetView>
  </sheetViews>
  <sheetFormatPr baseColWidth="10" defaultColWidth="11" defaultRowHeight="16" x14ac:dyDescent="0.2"/>
  <cols>
    <col min="1" max="2" width="20.33203125" style="26" customWidth="1"/>
    <col min="3" max="3" width="29.83203125" style="26" customWidth="1"/>
    <col min="4" max="4" width="9.33203125" style="27" customWidth="1"/>
    <col min="5" max="5" width="13.5" style="26" customWidth="1"/>
    <col min="6" max="6" width="12.5" style="26" customWidth="1"/>
    <col min="7" max="7" width="7.33203125" style="26" customWidth="1"/>
    <col min="8" max="8" width="8.6640625" style="26" customWidth="1"/>
    <col min="9" max="9" width="9.1640625" style="26" customWidth="1"/>
    <col min="10" max="10" width="5.33203125" style="27" customWidth="1"/>
    <col min="11" max="11" width="11" style="331" customWidth="1"/>
    <col min="12" max="12" width="5" style="332" customWidth="1"/>
    <col min="13" max="20" width="5" customWidth="1"/>
  </cols>
  <sheetData>
    <row r="1" spans="1:20" ht="127" customHeight="1" x14ac:dyDescent="0.2">
      <c r="A1" s="489" t="s">
        <v>0</v>
      </c>
      <c r="B1" s="489" t="s">
        <v>1</v>
      </c>
      <c r="C1" s="489" t="s">
        <v>148</v>
      </c>
      <c r="D1" s="490" t="s">
        <v>324</v>
      </c>
      <c r="E1" s="491" t="s">
        <v>4</v>
      </c>
      <c r="F1" s="489" t="s">
        <v>325</v>
      </c>
      <c r="G1" s="492" t="s">
        <v>153</v>
      </c>
      <c r="H1" s="490" t="s">
        <v>326</v>
      </c>
      <c r="I1" s="490" t="s">
        <v>327</v>
      </c>
      <c r="J1" s="489" t="s">
        <v>328</v>
      </c>
      <c r="K1" s="493" t="s">
        <v>329</v>
      </c>
      <c r="L1" s="494" t="s">
        <v>330</v>
      </c>
      <c r="M1" s="489" t="s">
        <v>331</v>
      </c>
      <c r="N1" s="489" t="s">
        <v>332</v>
      </c>
      <c r="O1" s="489" t="s">
        <v>333</v>
      </c>
      <c r="P1" s="489" t="s">
        <v>334</v>
      </c>
      <c r="Q1" s="489" t="s">
        <v>335</v>
      </c>
      <c r="R1" s="489" t="s">
        <v>336</v>
      </c>
      <c r="S1" s="489" t="s">
        <v>337</v>
      </c>
      <c r="T1" s="489" t="s">
        <v>338</v>
      </c>
    </row>
    <row r="2" spans="1:20" x14ac:dyDescent="0.2">
      <c r="A2" t="s">
        <v>137</v>
      </c>
      <c r="B2" t="str">
        <f>TableauRecette[[#This Row],[Recette]]&amp;TableauRecette[[#This Row],[Conditionnement]]</f>
        <v>AdviehEpice 100ml</v>
      </c>
      <c r="C2" t="s">
        <v>339</v>
      </c>
      <c r="D2">
        <v>2</v>
      </c>
      <c r="E2" t="s">
        <v>73</v>
      </c>
      <c r="F2">
        <f>IFERROR(TableauRecette[[#This Row],[Proportion]]/SUMIFS(TableauRecette[Proportion],TableauRecette[Recette],TableauRecette[[#This Row],[Recette]],TableauRecette[Conditionnement],TableauRecette[[#This Row],[Conditionnement]]),0)</f>
        <v>0.22222222222222221</v>
      </c>
      <c r="G2">
        <f>IFERROR(_xlfn.XLOOKUP(TableauRecette[[#This Row],[Ingredients]],TableauIngredients[Ingredients],#REF!,0)*#REF!,0)</f>
        <v>0</v>
      </c>
      <c r="H2">
        <f>IFERROR(SUMIFS(TableauRecette[Proportion],TableauRecette[Recette],TableauRecette[[#This Row],[Recette]],TableauRecette[Conditionnement],TableauRecette[[#This Row],[Conditionnement]]),0)</f>
        <v>9</v>
      </c>
      <c r="I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2" t="s">
        <v>340</v>
      </c>
      <c r="K2" t="s">
        <v>341</v>
      </c>
      <c r="L2">
        <f>_xlfn.XLOOKUP(TableauRecette[[#This Row],[ID]],TableauProduit[ID],TableauProduit[Total (kg) N1],0,0,1)*_xlfn.XLOOKUP(TableauRecette[[#This Row],[ID]],TableauProduit[ID],TableauProduit[Total (kg) N1],0,0,1)</f>
        <v>0</v>
      </c>
      <c r="M2" t="e">
        <f>_xlfn.XLOOKUP(TableauRecette[[#This Row],[ID]],TableauProduit[ID],TableauProduit[Total (kg) N1],0,0,1)*_xlfn.XLOOKUP(TableauRecette[[#This Row],[ID]],TableauProduit[ID],TableauProduit[Total (kg) N2],0,0,1)</f>
        <v>#REF!</v>
      </c>
      <c r="N2" t="e">
        <f>_xlfn.XLOOKUP(TableauRecette[[#This Row],[ID]],TableauProduit[ID],TableauProduit[Total (kg) N3],0,0,1)*#REF!</f>
        <v>#REF!</v>
      </c>
      <c r="O2" t="e">
        <f>_xlfn.XLOOKUP(TableauRecette[[#This Row],[ID]],TableauProduit[ID],TableauProduit[Total (kg) N4],0,0,1)*#REF!</f>
        <v>#REF!</v>
      </c>
      <c r="P2" t="e">
        <f>_xlfn.XLOOKUP(TableauRecette[[#This Row],[ID]],TableauProduit[ID],TableauProduit[Total (kg) N5],0,0,1)*#REF!</f>
        <v>#REF!</v>
      </c>
      <c r="Q2" t="e">
        <f>_xlfn.XLOOKUP(TableauRecette[[#This Row],[ID]],TableauProduit[ID],TableauProduit[Total (kg) N6],0,0,1)*#REF!</f>
        <v>#REF!</v>
      </c>
      <c r="R2" t="e">
        <f>_xlfn.XLOOKUP(TableauRecette[[#This Row],[ID]],TableauProduit[ID],TableauProduit[Total (kg) N7],0,0,1)*#REF!</f>
        <v>#REF!</v>
      </c>
      <c r="S2" t="e">
        <f>_xlfn.XLOOKUP(TableauRecette[[#This Row],[ID]],TableauProduit[ID],TableauProduit[Total (kg) N8],0,0,1)*#REF!</f>
        <v>#REF!</v>
      </c>
      <c r="T2" t="e">
        <f>_xlfn.XLOOKUP(TableauRecette[[#This Row],[ID]],TableauProduit[ID],TableauProduit[Total (kg) N9],0,0,1)*#REF!</f>
        <v>#REF!</v>
      </c>
    </row>
    <row r="3" spans="1:20" x14ac:dyDescent="0.2">
      <c r="A3" t="s">
        <v>137</v>
      </c>
      <c r="B3" t="str">
        <f>TableauRecette[[#This Row],[Recette]]&amp;TableauRecette[[#This Row],[Conditionnement]]</f>
        <v>AdviehEpice 100ml</v>
      </c>
      <c r="C3" t="s">
        <v>342</v>
      </c>
      <c r="D3">
        <v>2</v>
      </c>
      <c r="E3" t="s">
        <v>73</v>
      </c>
      <c r="F3">
        <f>IFERROR(TableauRecette[[#This Row],[Proportion]]/SUMIFS(TableauRecette[Proportion],TableauRecette[Recette],TableauRecette[[#This Row],[Recette]],TableauRecette[Conditionnement],TableauRecette[[#This Row],[Conditionnement]]),0)</f>
        <v>0.22222222222222221</v>
      </c>
      <c r="G3">
        <f>IFERROR(_xlfn.XLOOKUP(TableauRecette[[#This Row],[Ingredients]],TableauIngredients[Ingredients],#REF!,0)*#REF!,0)</f>
        <v>0</v>
      </c>
      <c r="H3">
        <f>IFERROR(SUMIFS(TableauRecette[Proportion],TableauRecette[Recette],TableauRecette[[#This Row],[Recette]],TableauRecette[Conditionnement],TableauRecette[[#This Row],[Conditionnement]]),0)</f>
        <v>9</v>
      </c>
      <c r="I3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3" t="s">
        <v>340</v>
      </c>
      <c r="K3" t="s">
        <v>341</v>
      </c>
      <c r="L3">
        <f>_xlfn.XLOOKUP(TableauRecette[[#This Row],[ID]],TableauProduit[ID],TableauProduit[Total (kg) N1],0,0,1)*_xlfn.XLOOKUP(TableauRecette[[#This Row],[ID]],TableauProduit[ID],TableauProduit[Total (kg) N1],0,0,1)</f>
        <v>0</v>
      </c>
      <c r="M3" t="e">
        <f>_xlfn.XLOOKUP(TableauRecette[[#This Row],[ID]],TableauProduit[ID],TableauProduit[Total (kg) N1],0,0,1)*_xlfn.XLOOKUP(TableauRecette[[#This Row],[ID]],TableauProduit[ID],TableauProduit[Total (kg) N2],0,0,1)</f>
        <v>#REF!</v>
      </c>
      <c r="N3" t="e">
        <f>_xlfn.XLOOKUP(TableauRecette[[#This Row],[ID]],TableauProduit[ID],TableauProduit[Total (kg) N3],0,0,1)*#REF!</f>
        <v>#REF!</v>
      </c>
      <c r="O3" t="e">
        <f>_xlfn.XLOOKUP(TableauRecette[[#This Row],[ID]],TableauProduit[ID],TableauProduit[Total (kg) N4],0,0,1)*#REF!</f>
        <v>#REF!</v>
      </c>
      <c r="P3" t="e">
        <f>_xlfn.XLOOKUP(TableauRecette[[#This Row],[ID]],TableauProduit[ID],TableauProduit[Total (kg) N5],0,0,1)*#REF!</f>
        <v>#REF!</v>
      </c>
      <c r="Q3" t="e">
        <f>_xlfn.XLOOKUP(TableauRecette[[#This Row],[ID]],TableauProduit[ID],TableauProduit[Total (kg) N6],0,0,1)*#REF!</f>
        <v>#REF!</v>
      </c>
      <c r="R3" t="e">
        <f>_xlfn.XLOOKUP(TableauRecette[[#This Row],[ID]],TableauProduit[ID],TableauProduit[Total (kg) N7],0,0,1)*#REF!</f>
        <v>#REF!</v>
      </c>
      <c r="S3" t="e">
        <f>_xlfn.XLOOKUP(TableauRecette[[#This Row],[ID]],TableauProduit[ID],TableauProduit[Total (kg) N8],0,0,1)*#REF!</f>
        <v>#REF!</v>
      </c>
      <c r="T3" t="e">
        <f>_xlfn.XLOOKUP(TableauRecette[[#This Row],[ID]],TableauProduit[ID],TableauProduit[Total (kg) N9],0,0,1)*#REF!</f>
        <v>#REF!</v>
      </c>
    </row>
    <row r="4" spans="1:20" x14ac:dyDescent="0.2">
      <c r="A4" t="s">
        <v>137</v>
      </c>
      <c r="B4" t="str">
        <f>TableauRecette[[#This Row],[Recette]]&amp;TableauRecette[[#This Row],[Conditionnement]]</f>
        <v>AdviehEpice 100ml</v>
      </c>
      <c r="C4" t="s">
        <v>343</v>
      </c>
      <c r="D4">
        <v>1</v>
      </c>
      <c r="E4" t="s">
        <v>73</v>
      </c>
      <c r="F4">
        <f>IFERROR(TableauRecette[[#This Row],[Proportion]]/SUMIFS(TableauRecette[Proportion],TableauRecette[Recette],TableauRecette[[#This Row],[Recette]],TableauRecette[Conditionnement],TableauRecette[[#This Row],[Conditionnement]]),0)</f>
        <v>0.1111111111111111</v>
      </c>
      <c r="G4">
        <f>IFERROR(_xlfn.XLOOKUP(TableauRecette[[#This Row],[Ingredients]],TableauIngredients[Ingredients],#REF!,0)*#REF!,0)</f>
        <v>0</v>
      </c>
      <c r="H4">
        <f>IFERROR(SUMIFS(TableauRecette[Proportion],TableauRecette[Recette],TableauRecette[[#This Row],[Recette]],TableauRecette[Conditionnement],TableauRecette[[#This Row],[Conditionnement]]),0)</f>
        <v>9</v>
      </c>
      <c r="I4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4" t="s">
        <v>340</v>
      </c>
      <c r="K4" t="s">
        <v>341</v>
      </c>
      <c r="L4">
        <f>_xlfn.XLOOKUP(TableauRecette[[#This Row],[ID]],TableauProduit[ID],TableauProduit[Total (kg) N1],0,0,1)*_xlfn.XLOOKUP(TableauRecette[[#This Row],[ID]],TableauProduit[ID],TableauProduit[Total (kg) N1],0,0,1)</f>
        <v>0</v>
      </c>
      <c r="M4" t="e">
        <f>_xlfn.XLOOKUP(TableauRecette[[#This Row],[ID]],TableauProduit[ID],TableauProduit[Total (kg) N1],0,0,1)*_xlfn.XLOOKUP(TableauRecette[[#This Row],[ID]],TableauProduit[ID],TableauProduit[Total (kg) N2],0,0,1)</f>
        <v>#REF!</v>
      </c>
      <c r="N4" t="e">
        <f>_xlfn.XLOOKUP(TableauRecette[[#This Row],[ID]],TableauProduit[ID],TableauProduit[Total (kg) N3],0,0,1)*#REF!</f>
        <v>#REF!</v>
      </c>
      <c r="O4" t="e">
        <f>_xlfn.XLOOKUP(TableauRecette[[#This Row],[ID]],TableauProduit[ID],TableauProduit[Total (kg) N4],0,0,1)*#REF!</f>
        <v>#REF!</v>
      </c>
      <c r="P4" t="e">
        <f>_xlfn.XLOOKUP(TableauRecette[[#This Row],[ID]],TableauProduit[ID],TableauProduit[Total (kg) N5],0,0,1)*#REF!</f>
        <v>#REF!</v>
      </c>
      <c r="Q4" t="e">
        <f>_xlfn.XLOOKUP(TableauRecette[[#This Row],[ID]],TableauProduit[ID],TableauProduit[Total (kg) N6],0,0,1)*#REF!</f>
        <v>#REF!</v>
      </c>
      <c r="R4" t="e">
        <f>_xlfn.XLOOKUP(TableauRecette[[#This Row],[ID]],TableauProduit[ID],TableauProduit[Total (kg) N7],0,0,1)*#REF!</f>
        <v>#REF!</v>
      </c>
      <c r="S4" t="e">
        <f>_xlfn.XLOOKUP(TableauRecette[[#This Row],[ID]],TableauProduit[ID],TableauProduit[Total (kg) N8],0,0,1)*#REF!</f>
        <v>#REF!</v>
      </c>
      <c r="T4" t="e">
        <f>_xlfn.XLOOKUP(TableauRecette[[#This Row],[ID]],TableauProduit[ID],TableauProduit[Total (kg) N9],0,0,1)*#REF!</f>
        <v>#REF!</v>
      </c>
    </row>
    <row r="5" spans="1:20" x14ac:dyDescent="0.2">
      <c r="A5" t="s">
        <v>137</v>
      </c>
      <c r="B5" t="str">
        <f>TableauRecette[[#This Row],[Recette]]&amp;TableauRecette[[#This Row],[Conditionnement]]</f>
        <v>AdviehEpice 100ml</v>
      </c>
      <c r="C5" t="s">
        <v>344</v>
      </c>
      <c r="D5">
        <v>2</v>
      </c>
      <c r="E5" t="s">
        <v>73</v>
      </c>
      <c r="F5">
        <f>IFERROR(TableauRecette[[#This Row],[Proportion]]/SUMIFS(TableauRecette[Proportion],TableauRecette[Recette],TableauRecette[[#This Row],[Recette]],TableauRecette[Conditionnement],TableauRecette[[#This Row],[Conditionnement]]),0)</f>
        <v>0.22222222222222221</v>
      </c>
      <c r="G5">
        <f>IFERROR(_xlfn.XLOOKUP(TableauRecette[[#This Row],[Ingredients]],TableauIngredients[Ingredients],#REF!,0)*#REF!,0)</f>
        <v>0</v>
      </c>
      <c r="H5">
        <f>IFERROR(SUMIFS(TableauRecette[Proportion],TableauRecette[Recette],TableauRecette[[#This Row],[Recette]],TableauRecette[Conditionnement],TableauRecette[[#This Row],[Conditionnement]]),0)</f>
        <v>9</v>
      </c>
      <c r="I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5" t="s">
        <v>340</v>
      </c>
      <c r="K5" t="s">
        <v>341</v>
      </c>
      <c r="L5">
        <f>_xlfn.XLOOKUP(TableauRecette[[#This Row],[ID]],TableauProduit[ID],TableauProduit[Total (kg) N1],0,0,1)*_xlfn.XLOOKUP(TableauRecette[[#This Row],[ID]],TableauProduit[ID],TableauProduit[Total (kg) N1],0,0,1)</f>
        <v>0</v>
      </c>
      <c r="M5" t="e">
        <f>_xlfn.XLOOKUP(TableauRecette[[#This Row],[ID]],TableauProduit[ID],TableauProduit[Total (kg) N1],0,0,1)*_xlfn.XLOOKUP(TableauRecette[[#This Row],[ID]],TableauProduit[ID],TableauProduit[Total (kg) N2],0,0,1)</f>
        <v>#REF!</v>
      </c>
      <c r="N5" t="e">
        <f>_xlfn.XLOOKUP(TableauRecette[[#This Row],[ID]],TableauProduit[ID],TableauProduit[Total (kg) N3],0,0,1)*#REF!</f>
        <v>#REF!</v>
      </c>
      <c r="O5" t="e">
        <f>_xlfn.XLOOKUP(TableauRecette[[#This Row],[ID]],TableauProduit[ID],TableauProduit[Total (kg) N4],0,0,1)*#REF!</f>
        <v>#REF!</v>
      </c>
      <c r="P5" t="e">
        <f>_xlfn.XLOOKUP(TableauRecette[[#This Row],[ID]],TableauProduit[ID],TableauProduit[Total (kg) N5],0,0,1)*#REF!</f>
        <v>#REF!</v>
      </c>
      <c r="Q5" t="e">
        <f>_xlfn.XLOOKUP(TableauRecette[[#This Row],[ID]],TableauProduit[ID],TableauProduit[Total (kg) N6],0,0,1)*#REF!</f>
        <v>#REF!</v>
      </c>
      <c r="R5" t="e">
        <f>_xlfn.XLOOKUP(TableauRecette[[#This Row],[ID]],TableauProduit[ID],TableauProduit[Total (kg) N7],0,0,1)*#REF!</f>
        <v>#REF!</v>
      </c>
      <c r="S5" t="e">
        <f>_xlfn.XLOOKUP(TableauRecette[[#This Row],[ID]],TableauProduit[ID],TableauProduit[Total (kg) N8],0,0,1)*#REF!</f>
        <v>#REF!</v>
      </c>
      <c r="T5" t="e">
        <f>_xlfn.XLOOKUP(TableauRecette[[#This Row],[ID]],TableauProduit[ID],TableauProduit[Total (kg) N9],0,0,1)*#REF!</f>
        <v>#REF!</v>
      </c>
    </row>
    <row r="6" spans="1:20" x14ac:dyDescent="0.2">
      <c r="A6" t="s">
        <v>137</v>
      </c>
      <c r="B6" t="str">
        <f>TableauRecette[[#This Row],[Recette]]&amp;TableauRecette[[#This Row],[Conditionnement]]</f>
        <v>AdviehEpice 100ml</v>
      </c>
      <c r="C6" t="s">
        <v>345</v>
      </c>
      <c r="D6">
        <v>2</v>
      </c>
      <c r="E6" t="s">
        <v>73</v>
      </c>
      <c r="F6">
        <f>IFERROR(TableauRecette[[#This Row],[Proportion]]/SUMIFS(TableauRecette[Proportion],TableauRecette[Recette],TableauRecette[[#This Row],[Recette]],TableauRecette[Conditionnement],TableauRecette[[#This Row],[Conditionnement]]),0)</f>
        <v>0.22222222222222221</v>
      </c>
      <c r="G6">
        <f>IFERROR(_xlfn.XLOOKUP(TableauRecette[[#This Row],[Ingredients]],TableauIngredients[Ingredients],#REF!,0)*#REF!,0)</f>
        <v>0</v>
      </c>
      <c r="H6">
        <f>IFERROR(SUMIFS(TableauRecette[Proportion],TableauRecette[Recette],TableauRecette[[#This Row],[Recette]],TableauRecette[Conditionnement],TableauRecette[[#This Row],[Conditionnement]]),0)</f>
        <v>9</v>
      </c>
      <c r="I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6" t="s">
        <v>340</v>
      </c>
      <c r="K6" t="s">
        <v>341</v>
      </c>
      <c r="L6">
        <f>_xlfn.XLOOKUP(TableauRecette[[#This Row],[ID]],TableauProduit[ID],TableauProduit[Total (kg) N1],0,0,1)*_xlfn.XLOOKUP(TableauRecette[[#This Row],[ID]],TableauProduit[ID],TableauProduit[Total (kg) N1],0,0,1)</f>
        <v>0</v>
      </c>
      <c r="M6" t="e">
        <f>_xlfn.XLOOKUP(TableauRecette[[#This Row],[ID]],TableauProduit[ID],TableauProduit[Total (kg) N1],0,0,1)*_xlfn.XLOOKUP(TableauRecette[[#This Row],[ID]],TableauProduit[ID],TableauProduit[Total (kg) N2],0,0,1)</f>
        <v>#REF!</v>
      </c>
      <c r="N6" t="e">
        <f>_xlfn.XLOOKUP(TableauRecette[[#This Row],[ID]],TableauProduit[ID],TableauProduit[Total (kg) N3],0,0,1)*#REF!</f>
        <v>#REF!</v>
      </c>
      <c r="O6" t="e">
        <f>_xlfn.XLOOKUP(TableauRecette[[#This Row],[ID]],TableauProduit[ID],TableauProduit[Total (kg) N4],0,0,1)*#REF!</f>
        <v>#REF!</v>
      </c>
      <c r="P6" t="e">
        <f>_xlfn.XLOOKUP(TableauRecette[[#This Row],[ID]],TableauProduit[ID],TableauProduit[Total (kg) N5],0,0,1)*#REF!</f>
        <v>#REF!</v>
      </c>
      <c r="Q6" t="e">
        <f>_xlfn.XLOOKUP(TableauRecette[[#This Row],[ID]],TableauProduit[ID],TableauProduit[Total (kg) N6],0,0,1)*#REF!</f>
        <v>#REF!</v>
      </c>
      <c r="R6" t="e">
        <f>_xlfn.XLOOKUP(TableauRecette[[#This Row],[ID]],TableauProduit[ID],TableauProduit[Total (kg) N7],0,0,1)*#REF!</f>
        <v>#REF!</v>
      </c>
      <c r="S6" t="e">
        <f>_xlfn.XLOOKUP(TableauRecette[[#This Row],[ID]],TableauProduit[ID],TableauProduit[Total (kg) N8],0,0,1)*#REF!</f>
        <v>#REF!</v>
      </c>
      <c r="T6" t="e">
        <f>_xlfn.XLOOKUP(TableauRecette[[#This Row],[ID]],TableauProduit[ID],TableauProduit[Total (kg) N9],0,0,1)*#REF!</f>
        <v>#REF!</v>
      </c>
    </row>
    <row r="7" spans="1:20" x14ac:dyDescent="0.2">
      <c r="A7" t="s">
        <v>84</v>
      </c>
      <c r="B7" t="str">
        <f>TableauRecette[[#This Row],[Recette]]&amp;TableauRecette[[#This Row],[Conditionnement]]</f>
        <v>Ail semouleEpice 100ml</v>
      </c>
      <c r="C7" t="s">
        <v>346</v>
      </c>
      <c r="D7">
        <v>1</v>
      </c>
      <c r="E7" t="s">
        <v>73</v>
      </c>
      <c r="F7">
        <f>IFERROR(TableauRecette[[#This Row],[Proportion]]/SUMIFS(TableauRecette[Proportion],TableauRecette[Recette],TableauRecette[[#This Row],[Recette]],TableauRecette[Conditionnement],TableauRecette[[#This Row],[Conditionnement]]),0)</f>
        <v>1</v>
      </c>
      <c r="G7">
        <f>IFERROR(_xlfn.XLOOKUP(TableauRecette[[#This Row],[Ingredients]],TableauIngredients[Ingredients],#REF!,0)*#REF!,0)</f>
        <v>0</v>
      </c>
      <c r="H7">
        <f>IFERROR(SUMIFS(TableauRecette[Proportion],TableauRecette[Recette],TableauRecette[[#This Row],[Recette]],TableauRecette[Conditionnement],TableauRecette[[#This Row],[Conditionnement]]),0)</f>
        <v>1</v>
      </c>
      <c r="I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7" t="s">
        <v>347</v>
      </c>
      <c r="K7" t="s">
        <v>341</v>
      </c>
      <c r="L7">
        <f>_xlfn.XLOOKUP(TableauRecette[[#This Row],[ID]],TableauProduit[ID],TableauProduit[Total (kg) N1],0,0,1)*_xlfn.XLOOKUP(TableauRecette[[#This Row],[ID]],TableauProduit[ID],TableauProduit[Total (kg) N1],0,0,1)</f>
        <v>400</v>
      </c>
      <c r="M7" t="e">
        <f>_xlfn.XLOOKUP(TableauRecette[[#This Row],[ID]],TableauProduit[ID],TableauProduit[Total (kg) N1],0,0,1)*_xlfn.XLOOKUP(TableauRecette[[#This Row],[ID]],TableauProduit[ID],TableauProduit[Total (kg) N2],0,0,1)</f>
        <v>#REF!</v>
      </c>
      <c r="N7" t="e">
        <f>_xlfn.XLOOKUP(TableauRecette[[#This Row],[ID]],TableauProduit[ID],TableauProduit[Total (kg) N3],0,0,1)*#REF!</f>
        <v>#REF!</v>
      </c>
      <c r="O7" t="e">
        <f>_xlfn.XLOOKUP(TableauRecette[[#This Row],[ID]],TableauProduit[ID],TableauProduit[Total (kg) N4],0,0,1)*#REF!</f>
        <v>#REF!</v>
      </c>
      <c r="P7" t="e">
        <f>_xlfn.XLOOKUP(TableauRecette[[#This Row],[ID]],TableauProduit[ID],TableauProduit[Total (kg) N5],0,0,1)*#REF!</f>
        <v>#REF!</v>
      </c>
      <c r="Q7" t="e">
        <f>_xlfn.XLOOKUP(TableauRecette[[#This Row],[ID]],TableauProduit[ID],TableauProduit[Total (kg) N6],0,0,1)*#REF!</f>
        <v>#REF!</v>
      </c>
      <c r="R7" t="e">
        <f>_xlfn.XLOOKUP(TableauRecette[[#This Row],[ID]],TableauProduit[ID],TableauProduit[Total (kg) N7],0,0,1)*#REF!</f>
        <v>#REF!</v>
      </c>
      <c r="S7" t="e">
        <f>_xlfn.XLOOKUP(TableauRecette[[#This Row],[ID]],TableauProduit[ID],TableauProduit[Total (kg) N8],0,0,1)*#REF!</f>
        <v>#REF!</v>
      </c>
      <c r="T7" t="e">
        <f>_xlfn.XLOOKUP(TableauRecette[[#This Row],[ID]],TableauProduit[ID],TableauProduit[Total (kg) N9],0,0,1)*#REF!</f>
        <v>#REF!</v>
      </c>
    </row>
    <row r="8" spans="1:20" x14ac:dyDescent="0.2">
      <c r="A8" t="s">
        <v>134</v>
      </c>
      <c r="B8" t="str">
        <f>TableauRecette[[#This Row],[Recette]]&amp;TableauRecette[[#This Row],[Conditionnement]]</f>
        <v>Baharat arabeEpice 100ml</v>
      </c>
      <c r="C8" t="s">
        <v>348</v>
      </c>
      <c r="D8">
        <v>3</v>
      </c>
      <c r="E8" t="s">
        <v>73</v>
      </c>
      <c r="F8">
        <f>IFERROR(TableauRecette[[#This Row],[Proportion]]/SUMIFS(TableauRecette[Proportion],TableauRecette[Recette],TableauRecette[[#This Row],[Recette]],TableauRecette[Conditionnement],TableauRecette[[#This Row],[Conditionnement]]),0)</f>
        <v>0.23076923076923078</v>
      </c>
      <c r="G8">
        <f>IFERROR(_xlfn.XLOOKUP(TableauRecette[[#This Row],[Ingredients]],TableauIngredients[Ingredients],#REF!,0)*#REF!,0)</f>
        <v>0</v>
      </c>
      <c r="H8">
        <f>IFERROR(SUMIFS(TableauRecette[Proportion],TableauRecette[Recette],TableauRecette[[#This Row],[Recette]],TableauRecette[Conditionnement],TableauRecette[[#This Row],[Conditionnement]]),0)</f>
        <v>13</v>
      </c>
      <c r="I8">
        <f>_xlfn.XLOOKUP(TableauRecette[[#This Row],[Ingredients]],TableauIngredients[Ingredients],TableauIngredients[Prix d''achat (kg)],0,0,1)*TableauRecette[[#This Row],[Proportion]]/TableauRecette[[#This Row],[Total Proportion]]</f>
        <v>8.5038461538461547</v>
      </c>
      <c r="J8" t="s">
        <v>347</v>
      </c>
      <c r="K8" t="s">
        <v>341</v>
      </c>
      <c r="L8">
        <f>_xlfn.XLOOKUP(TableauRecette[[#This Row],[ID]],TableauProduit[ID],TableauProduit[Total (kg) N1],0,0,1)*_xlfn.XLOOKUP(TableauRecette[[#This Row],[ID]],TableauProduit[ID],TableauProduit[Total (kg) N1],0,0,1)</f>
        <v>0</v>
      </c>
      <c r="M8" t="e">
        <f>_xlfn.XLOOKUP(TableauRecette[[#This Row],[ID]],TableauProduit[ID],TableauProduit[Total (kg) N1],0,0,1)*_xlfn.XLOOKUP(TableauRecette[[#This Row],[ID]],TableauProduit[ID],TableauProduit[Total (kg) N2],0,0,1)</f>
        <v>#REF!</v>
      </c>
      <c r="N8" t="e">
        <f>_xlfn.XLOOKUP(TableauRecette[[#This Row],[ID]],TableauProduit[ID],TableauProduit[Total (kg) N3],0,0,1)*#REF!</f>
        <v>#REF!</v>
      </c>
      <c r="O8" t="e">
        <f>_xlfn.XLOOKUP(TableauRecette[[#This Row],[ID]],TableauProduit[ID],TableauProduit[Total (kg) N4],0,0,1)*#REF!</f>
        <v>#REF!</v>
      </c>
      <c r="P8" t="e">
        <f>_xlfn.XLOOKUP(TableauRecette[[#This Row],[ID]],TableauProduit[ID],TableauProduit[Total (kg) N5],0,0,1)*#REF!</f>
        <v>#REF!</v>
      </c>
      <c r="Q8" t="e">
        <f>_xlfn.XLOOKUP(TableauRecette[[#This Row],[ID]],TableauProduit[ID],TableauProduit[Total (kg) N6],0,0,1)*#REF!</f>
        <v>#REF!</v>
      </c>
      <c r="R8" t="e">
        <f>_xlfn.XLOOKUP(TableauRecette[[#This Row],[ID]],TableauProduit[ID],TableauProduit[Total (kg) N7],0,0,1)*#REF!</f>
        <v>#REF!</v>
      </c>
      <c r="S8" t="e">
        <f>_xlfn.XLOOKUP(TableauRecette[[#This Row],[ID]],TableauProduit[ID],TableauProduit[Total (kg) N8],0,0,1)*#REF!</f>
        <v>#REF!</v>
      </c>
      <c r="T8" t="e">
        <f>_xlfn.XLOOKUP(TableauRecette[[#This Row],[ID]],TableauProduit[ID],TableauProduit[Total (kg) N9],0,0,1)*#REF!</f>
        <v>#REF!</v>
      </c>
    </row>
    <row r="9" spans="1:20" x14ac:dyDescent="0.2">
      <c r="A9" t="s">
        <v>134</v>
      </c>
      <c r="B9" t="str">
        <f>TableauRecette[[#This Row],[Recette]]&amp;TableauRecette[[#This Row],[Conditionnement]]</f>
        <v>Baharat arabeEpice 100ml</v>
      </c>
      <c r="C9" t="s">
        <v>349</v>
      </c>
      <c r="D9">
        <v>3</v>
      </c>
      <c r="E9" t="s">
        <v>73</v>
      </c>
      <c r="F9">
        <f>IFERROR(TableauRecette[[#This Row],[Proportion]]/SUMIFS(TableauRecette[Proportion],TableauRecette[Recette],TableauRecette[[#This Row],[Recette]],TableauRecette[Conditionnement],TableauRecette[[#This Row],[Conditionnement]]),0)</f>
        <v>0.23076923076923078</v>
      </c>
      <c r="G9">
        <f>IFERROR(_xlfn.XLOOKUP(TableauRecette[[#This Row],[Ingredients]],TableauIngredients[Ingredients],#REF!,0)*#REF!,0)</f>
        <v>0</v>
      </c>
      <c r="H9">
        <f>IFERROR(SUMIFS(TableauRecette[Proportion],TableauRecette[Recette],TableauRecette[[#This Row],[Recette]],TableauRecette[Conditionnement],TableauRecette[[#This Row],[Conditionnement]]),0)</f>
        <v>13</v>
      </c>
      <c r="I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9" t="s">
        <v>347</v>
      </c>
      <c r="K9" t="s">
        <v>341</v>
      </c>
      <c r="L9">
        <f>_xlfn.XLOOKUP(TableauRecette[[#This Row],[ID]],TableauProduit[ID],TableauProduit[Total (kg) N1],0,0,1)*_xlfn.XLOOKUP(TableauRecette[[#This Row],[ID]],TableauProduit[ID],TableauProduit[Total (kg) N1],0,0,1)</f>
        <v>0</v>
      </c>
      <c r="M9" t="e">
        <f>_xlfn.XLOOKUP(TableauRecette[[#This Row],[ID]],TableauProduit[ID],TableauProduit[Total (kg) N1],0,0,1)*_xlfn.XLOOKUP(TableauRecette[[#This Row],[ID]],TableauProduit[ID],TableauProduit[Total (kg) N2],0,0,1)</f>
        <v>#REF!</v>
      </c>
      <c r="N9" t="e">
        <f>_xlfn.XLOOKUP(TableauRecette[[#This Row],[ID]],TableauProduit[ID],TableauProduit[Total (kg) N3],0,0,1)*#REF!</f>
        <v>#REF!</v>
      </c>
      <c r="O9" t="e">
        <f>_xlfn.XLOOKUP(TableauRecette[[#This Row],[ID]],TableauProduit[ID],TableauProduit[Total (kg) N4],0,0,1)*#REF!</f>
        <v>#REF!</v>
      </c>
      <c r="P9" t="e">
        <f>_xlfn.XLOOKUP(TableauRecette[[#This Row],[ID]],TableauProduit[ID],TableauProduit[Total (kg) N5],0,0,1)*#REF!</f>
        <v>#REF!</v>
      </c>
      <c r="Q9" t="e">
        <f>_xlfn.XLOOKUP(TableauRecette[[#This Row],[ID]],TableauProduit[ID],TableauProduit[Total (kg) N6],0,0,1)*#REF!</f>
        <v>#REF!</v>
      </c>
      <c r="R9" t="e">
        <f>_xlfn.XLOOKUP(TableauRecette[[#This Row],[ID]],TableauProduit[ID],TableauProduit[Total (kg) N7],0,0,1)*#REF!</f>
        <v>#REF!</v>
      </c>
      <c r="S9" t="e">
        <f>_xlfn.XLOOKUP(TableauRecette[[#This Row],[ID]],TableauProduit[ID],TableauProduit[Total (kg) N8],0,0,1)*#REF!</f>
        <v>#REF!</v>
      </c>
      <c r="T9" t="e">
        <f>_xlfn.XLOOKUP(TableauRecette[[#This Row],[ID]],TableauProduit[ID],TableauProduit[Total (kg) N9],0,0,1)*#REF!</f>
        <v>#REF!</v>
      </c>
    </row>
    <row r="10" spans="1:20" x14ac:dyDescent="0.2">
      <c r="A10" t="s">
        <v>134</v>
      </c>
      <c r="B10" t="str">
        <f>TableauRecette[[#This Row],[Recette]]&amp;TableauRecette[[#This Row],[Conditionnement]]</f>
        <v>Baharat arabeEpice 100ml</v>
      </c>
      <c r="C10" t="s">
        <v>350</v>
      </c>
      <c r="D10">
        <v>1</v>
      </c>
      <c r="E10" t="s">
        <v>73</v>
      </c>
      <c r="F10">
        <f>IFERROR(TableauRecette[[#This Row],[Proportion]]/SUMIFS(TableauRecette[Proportion],TableauRecette[Recette],TableauRecette[[#This Row],[Recette]],TableauRecette[Conditionnement],TableauRecette[[#This Row],[Conditionnement]]),0)</f>
        <v>7.6923076923076927E-2</v>
      </c>
      <c r="G10">
        <f>IFERROR(_xlfn.XLOOKUP(TableauRecette[[#This Row],[Ingredients]],TableauIngredients[Ingredients],#REF!,0)*#REF!,0)</f>
        <v>0</v>
      </c>
      <c r="H10">
        <f>IFERROR(SUMIFS(TableauRecette[Proportion],TableauRecette[Recette],TableauRecette[[#This Row],[Recette]],TableauRecette[Conditionnement],TableauRecette[[#This Row],[Conditionnement]]),0)</f>
        <v>13</v>
      </c>
      <c r="I10">
        <f>_xlfn.XLOOKUP(TableauRecette[[#This Row],[Ingredients]],TableauIngredients[Ingredients],TableauIngredients[Prix d''achat (kg)],0,0,1)*TableauRecette[[#This Row],[Proportion]]/TableauRecette[[#This Row],[Total Proportion]]</f>
        <v>2.7692307692307692</v>
      </c>
      <c r="J10" t="s">
        <v>347</v>
      </c>
      <c r="K10" t="s">
        <v>341</v>
      </c>
      <c r="L10">
        <f>_xlfn.XLOOKUP(TableauRecette[[#This Row],[ID]],TableauProduit[ID],TableauProduit[Total (kg) N1],0,0,1)*_xlfn.XLOOKUP(TableauRecette[[#This Row],[ID]],TableauProduit[ID],TableauProduit[Total (kg) N1],0,0,1)</f>
        <v>0</v>
      </c>
      <c r="M10" t="e">
        <f>_xlfn.XLOOKUP(TableauRecette[[#This Row],[ID]],TableauProduit[ID],TableauProduit[Total (kg) N1],0,0,1)*_xlfn.XLOOKUP(TableauRecette[[#This Row],[ID]],TableauProduit[ID],TableauProduit[Total (kg) N2],0,0,1)</f>
        <v>#REF!</v>
      </c>
      <c r="N10" t="e">
        <f>_xlfn.XLOOKUP(TableauRecette[[#This Row],[ID]],TableauProduit[ID],TableauProduit[Total (kg) N3],0,0,1)*#REF!</f>
        <v>#REF!</v>
      </c>
      <c r="O10" t="e">
        <f>_xlfn.XLOOKUP(TableauRecette[[#This Row],[ID]],TableauProduit[ID],TableauProduit[Total (kg) N4],0,0,1)*#REF!</f>
        <v>#REF!</v>
      </c>
      <c r="P10" t="e">
        <f>_xlfn.XLOOKUP(TableauRecette[[#This Row],[ID]],TableauProduit[ID],TableauProduit[Total (kg) N5],0,0,1)*#REF!</f>
        <v>#REF!</v>
      </c>
      <c r="Q10" t="e">
        <f>_xlfn.XLOOKUP(TableauRecette[[#This Row],[ID]],TableauProduit[ID],TableauProduit[Total (kg) N6],0,0,1)*#REF!</f>
        <v>#REF!</v>
      </c>
      <c r="R10" t="e">
        <f>_xlfn.XLOOKUP(TableauRecette[[#This Row],[ID]],TableauProduit[ID],TableauProduit[Total (kg) N7],0,0,1)*#REF!</f>
        <v>#REF!</v>
      </c>
      <c r="S10" t="e">
        <f>_xlfn.XLOOKUP(TableauRecette[[#This Row],[ID]],TableauProduit[ID],TableauProduit[Total (kg) N8],0,0,1)*#REF!</f>
        <v>#REF!</v>
      </c>
      <c r="T10" t="e">
        <f>_xlfn.XLOOKUP(TableauRecette[[#This Row],[ID]],TableauProduit[ID],TableauProduit[Total (kg) N9],0,0,1)*#REF!</f>
        <v>#REF!</v>
      </c>
    </row>
    <row r="11" spans="1:20" x14ac:dyDescent="0.2">
      <c r="A11" t="s">
        <v>134</v>
      </c>
      <c r="B11" t="str">
        <f>TableauRecette[[#This Row],[Recette]]&amp;TableauRecette[[#This Row],[Conditionnement]]</f>
        <v>Baharat arabeEpice 100ml</v>
      </c>
      <c r="C11" t="s">
        <v>351</v>
      </c>
      <c r="D11">
        <v>1</v>
      </c>
      <c r="E11" t="s">
        <v>73</v>
      </c>
      <c r="F11">
        <f>IFERROR(TableauRecette[[#This Row],[Proportion]]/SUMIFS(TableauRecette[Proportion],TableauRecette[Recette],TableauRecette[[#This Row],[Recette]],TableauRecette[Conditionnement],TableauRecette[[#This Row],[Conditionnement]]),0)</f>
        <v>7.6923076923076927E-2</v>
      </c>
      <c r="G11">
        <f>IFERROR(_xlfn.XLOOKUP(TableauRecette[[#This Row],[Ingredients]],TableauIngredients[Ingredients],#REF!,0)*#REF!,0)</f>
        <v>0</v>
      </c>
      <c r="H11">
        <f>IFERROR(SUMIFS(TableauRecette[Proportion],TableauRecette[Recette],TableauRecette[[#This Row],[Recette]],TableauRecette[Conditionnement],TableauRecette[[#This Row],[Conditionnement]]),0)</f>
        <v>13</v>
      </c>
      <c r="I1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11" t="s">
        <v>347</v>
      </c>
      <c r="K11" t="s">
        <v>341</v>
      </c>
      <c r="L11">
        <f>_xlfn.XLOOKUP(TableauRecette[[#This Row],[ID]],TableauProduit[ID],TableauProduit[Total (kg) N1],0,0,1)*_xlfn.XLOOKUP(TableauRecette[[#This Row],[ID]],TableauProduit[ID],TableauProduit[Total (kg) N1],0,0,1)</f>
        <v>0</v>
      </c>
      <c r="M11" t="e">
        <f>_xlfn.XLOOKUP(TableauRecette[[#This Row],[ID]],TableauProduit[ID],TableauProduit[Total (kg) N1],0,0,1)*_xlfn.XLOOKUP(TableauRecette[[#This Row],[ID]],TableauProduit[ID],TableauProduit[Total (kg) N2],0,0,1)</f>
        <v>#REF!</v>
      </c>
      <c r="N11" t="e">
        <f>_xlfn.XLOOKUP(TableauRecette[[#This Row],[ID]],TableauProduit[ID],TableauProduit[Total (kg) N3],0,0,1)*#REF!</f>
        <v>#REF!</v>
      </c>
      <c r="O11" t="e">
        <f>_xlfn.XLOOKUP(TableauRecette[[#This Row],[ID]],TableauProduit[ID],TableauProduit[Total (kg) N4],0,0,1)*#REF!</f>
        <v>#REF!</v>
      </c>
      <c r="P11" t="e">
        <f>_xlfn.XLOOKUP(TableauRecette[[#This Row],[ID]],TableauProduit[ID],TableauProduit[Total (kg) N5],0,0,1)*#REF!</f>
        <v>#REF!</v>
      </c>
      <c r="Q11" t="e">
        <f>_xlfn.XLOOKUP(TableauRecette[[#This Row],[ID]],TableauProduit[ID],TableauProduit[Total (kg) N6],0,0,1)*#REF!</f>
        <v>#REF!</v>
      </c>
      <c r="R11" t="e">
        <f>_xlfn.XLOOKUP(TableauRecette[[#This Row],[ID]],TableauProduit[ID],TableauProduit[Total (kg) N7],0,0,1)*#REF!</f>
        <v>#REF!</v>
      </c>
      <c r="S11" t="e">
        <f>_xlfn.XLOOKUP(TableauRecette[[#This Row],[ID]],TableauProduit[ID],TableauProduit[Total (kg) N8],0,0,1)*#REF!</f>
        <v>#REF!</v>
      </c>
      <c r="T11" t="e">
        <f>_xlfn.XLOOKUP(TableauRecette[[#This Row],[ID]],TableauProduit[ID],TableauProduit[Total (kg) N9],0,0,1)*#REF!</f>
        <v>#REF!</v>
      </c>
    </row>
    <row r="12" spans="1:20" x14ac:dyDescent="0.2">
      <c r="A12" t="s">
        <v>134</v>
      </c>
      <c r="B12" t="str">
        <f>TableauRecette[[#This Row],[Recette]]&amp;TableauRecette[[#This Row],[Conditionnement]]</f>
        <v>Baharat arabeEpice 100ml</v>
      </c>
      <c r="C12" t="s">
        <v>352</v>
      </c>
      <c r="D12">
        <v>1</v>
      </c>
      <c r="E12" t="s">
        <v>73</v>
      </c>
      <c r="F12">
        <f>IFERROR(TableauRecette[[#This Row],[Proportion]]/SUMIFS(TableauRecette[Proportion],TableauRecette[Recette],TableauRecette[[#This Row],[Recette]],TableauRecette[Conditionnement],TableauRecette[[#This Row],[Conditionnement]]),0)</f>
        <v>7.6923076923076927E-2</v>
      </c>
      <c r="G12">
        <f>IFERROR(_xlfn.XLOOKUP(TableauRecette[[#This Row],[Ingredients]],TableauIngredients[Ingredients],#REF!,0)*#REF!,0)</f>
        <v>0</v>
      </c>
      <c r="H12">
        <f>IFERROR(SUMIFS(TableauRecette[Proportion],TableauRecette[Recette],TableauRecette[[#This Row],[Recette]],TableauRecette[Conditionnement],TableauRecette[[#This Row],[Conditionnement]]),0)</f>
        <v>13</v>
      </c>
      <c r="I1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12" t="s">
        <v>347</v>
      </c>
      <c r="K12" t="s">
        <v>341</v>
      </c>
      <c r="L12">
        <f>_xlfn.XLOOKUP(TableauRecette[[#This Row],[ID]],TableauProduit[ID],TableauProduit[Total (kg) N1],0,0,1)*_xlfn.XLOOKUP(TableauRecette[[#This Row],[ID]],TableauProduit[ID],TableauProduit[Total (kg) N1],0,0,1)</f>
        <v>0</v>
      </c>
      <c r="M12" t="e">
        <f>_xlfn.XLOOKUP(TableauRecette[[#This Row],[ID]],TableauProduit[ID],TableauProduit[Total (kg) N1],0,0,1)*_xlfn.XLOOKUP(TableauRecette[[#This Row],[ID]],TableauProduit[ID],TableauProduit[Total (kg) N2],0,0,1)</f>
        <v>#REF!</v>
      </c>
      <c r="N12" t="e">
        <f>_xlfn.XLOOKUP(TableauRecette[[#This Row],[ID]],TableauProduit[ID],TableauProduit[Total (kg) N3],0,0,1)*#REF!</f>
        <v>#REF!</v>
      </c>
      <c r="O12" t="e">
        <f>_xlfn.XLOOKUP(TableauRecette[[#This Row],[ID]],TableauProduit[ID],TableauProduit[Total (kg) N4],0,0,1)*#REF!</f>
        <v>#REF!</v>
      </c>
      <c r="P12" t="e">
        <f>_xlfn.XLOOKUP(TableauRecette[[#This Row],[ID]],TableauProduit[ID],TableauProduit[Total (kg) N5],0,0,1)*#REF!</f>
        <v>#REF!</v>
      </c>
      <c r="Q12" t="e">
        <f>_xlfn.XLOOKUP(TableauRecette[[#This Row],[ID]],TableauProduit[ID],TableauProduit[Total (kg) N6],0,0,1)*#REF!</f>
        <v>#REF!</v>
      </c>
      <c r="R12" t="e">
        <f>_xlfn.XLOOKUP(TableauRecette[[#This Row],[ID]],TableauProduit[ID],TableauProduit[Total (kg) N7],0,0,1)*#REF!</f>
        <v>#REF!</v>
      </c>
      <c r="S12" t="e">
        <f>_xlfn.XLOOKUP(TableauRecette[[#This Row],[ID]],TableauProduit[ID],TableauProduit[Total (kg) N8],0,0,1)*#REF!</f>
        <v>#REF!</v>
      </c>
      <c r="T12" t="e">
        <f>_xlfn.XLOOKUP(TableauRecette[[#This Row],[ID]],TableauProduit[ID],TableauProduit[Total (kg) N9],0,0,1)*#REF!</f>
        <v>#REF!</v>
      </c>
    </row>
    <row r="13" spans="1:20" x14ac:dyDescent="0.2">
      <c r="A13" t="s">
        <v>134</v>
      </c>
      <c r="B13" t="str">
        <f>TableauRecette[[#This Row],[Recette]]&amp;TableauRecette[[#This Row],[Conditionnement]]</f>
        <v>Baharat arabeEpice 100ml</v>
      </c>
      <c r="C13" t="s">
        <v>344</v>
      </c>
      <c r="D13">
        <v>3</v>
      </c>
      <c r="E13" t="s">
        <v>73</v>
      </c>
      <c r="F13">
        <f>IFERROR(TableauRecette[[#This Row],[Proportion]]/SUMIFS(TableauRecette[Proportion],TableauRecette[Recette],TableauRecette[[#This Row],[Recette]],TableauRecette[Conditionnement],TableauRecette[[#This Row],[Conditionnement]]),0)</f>
        <v>0.23076923076923078</v>
      </c>
      <c r="G13">
        <f>IFERROR(_xlfn.XLOOKUP(TableauRecette[[#This Row],[Ingredients]],TableauIngredients[Ingredients],#REF!,0)*#REF!,0)</f>
        <v>0</v>
      </c>
      <c r="H13">
        <f>IFERROR(SUMIFS(TableauRecette[Proportion],TableauRecette[Recette],TableauRecette[[#This Row],[Recette]],TableauRecette[Conditionnement],TableauRecette[[#This Row],[Conditionnement]]),0)</f>
        <v>13</v>
      </c>
      <c r="I13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13" t="s">
        <v>347</v>
      </c>
      <c r="K13" t="s">
        <v>341</v>
      </c>
      <c r="L13">
        <f>_xlfn.XLOOKUP(TableauRecette[[#This Row],[ID]],TableauProduit[ID],TableauProduit[Total (kg) N1],0,0,1)*_xlfn.XLOOKUP(TableauRecette[[#This Row],[ID]],TableauProduit[ID],TableauProduit[Total (kg) N1],0,0,1)</f>
        <v>0</v>
      </c>
      <c r="M13" t="e">
        <f>_xlfn.XLOOKUP(TableauRecette[[#This Row],[ID]],TableauProduit[ID],TableauProduit[Total (kg) N1],0,0,1)*_xlfn.XLOOKUP(TableauRecette[[#This Row],[ID]],TableauProduit[ID],TableauProduit[Total (kg) N2],0,0,1)</f>
        <v>#REF!</v>
      </c>
      <c r="N13" t="e">
        <f>_xlfn.XLOOKUP(TableauRecette[[#This Row],[ID]],TableauProduit[ID],TableauProduit[Total (kg) N3],0,0,1)*#REF!</f>
        <v>#REF!</v>
      </c>
      <c r="O13" t="e">
        <f>_xlfn.XLOOKUP(TableauRecette[[#This Row],[ID]],TableauProduit[ID],TableauProduit[Total (kg) N4],0,0,1)*#REF!</f>
        <v>#REF!</v>
      </c>
      <c r="P13" t="e">
        <f>_xlfn.XLOOKUP(TableauRecette[[#This Row],[ID]],TableauProduit[ID],TableauProduit[Total (kg) N5],0,0,1)*#REF!</f>
        <v>#REF!</v>
      </c>
      <c r="Q13" t="e">
        <f>_xlfn.XLOOKUP(TableauRecette[[#This Row],[ID]],TableauProduit[ID],TableauProduit[Total (kg) N6],0,0,1)*#REF!</f>
        <v>#REF!</v>
      </c>
      <c r="R13" t="e">
        <f>_xlfn.XLOOKUP(TableauRecette[[#This Row],[ID]],TableauProduit[ID],TableauProduit[Total (kg) N7],0,0,1)*#REF!</f>
        <v>#REF!</v>
      </c>
      <c r="S13" t="e">
        <f>_xlfn.XLOOKUP(TableauRecette[[#This Row],[ID]],TableauProduit[ID],TableauProduit[Total (kg) N8],0,0,1)*#REF!</f>
        <v>#REF!</v>
      </c>
      <c r="T13" t="e">
        <f>_xlfn.XLOOKUP(TableauRecette[[#This Row],[ID]],TableauProduit[ID],TableauProduit[Total (kg) N9],0,0,1)*#REF!</f>
        <v>#REF!</v>
      </c>
    </row>
    <row r="14" spans="1:20" x14ac:dyDescent="0.2">
      <c r="A14" t="s">
        <v>134</v>
      </c>
      <c r="B14" t="str">
        <f>TableauRecette[[#This Row],[Recette]]&amp;TableauRecette[[#This Row],[Conditionnement]]</f>
        <v>Baharat arabeEpice 100ml</v>
      </c>
      <c r="C14" t="s">
        <v>353</v>
      </c>
      <c r="D14">
        <v>1</v>
      </c>
      <c r="E14" t="s">
        <v>73</v>
      </c>
      <c r="F14">
        <f>IFERROR(TableauRecette[[#This Row],[Proportion]]/SUMIFS(TableauRecette[Proportion],TableauRecette[Recette],TableauRecette[[#This Row],[Recette]],TableauRecette[Conditionnement],TableauRecette[[#This Row],[Conditionnement]]),0)</f>
        <v>7.6923076923076927E-2</v>
      </c>
      <c r="G14">
        <f>IFERROR(_xlfn.XLOOKUP(TableauRecette[[#This Row],[Ingredients]],TableauIngredients[Ingredients],#REF!,0)*#REF!,0)</f>
        <v>0</v>
      </c>
      <c r="H14">
        <f>IFERROR(SUMIFS(TableauRecette[Proportion],TableauRecette[Recette],TableauRecette[[#This Row],[Recette]],TableauRecette[Conditionnement],TableauRecette[[#This Row],[Conditionnement]]),0)</f>
        <v>13</v>
      </c>
      <c r="I14">
        <f>_xlfn.XLOOKUP(TableauRecette[[#This Row],[Ingredients]],TableauIngredients[Ingredients],TableauIngredients[Prix d''achat (kg)],0,0,1)*TableauRecette[[#This Row],[Proportion]]/TableauRecette[[#This Row],[Total Proportion]]</f>
        <v>4.615384615384615</v>
      </c>
      <c r="J14" t="s">
        <v>347</v>
      </c>
      <c r="K14" t="s">
        <v>341</v>
      </c>
      <c r="L14">
        <f>_xlfn.XLOOKUP(TableauRecette[[#This Row],[ID]],TableauProduit[ID],TableauProduit[Total (kg) N1],0,0,1)*_xlfn.XLOOKUP(TableauRecette[[#This Row],[ID]],TableauProduit[ID],TableauProduit[Total (kg) N1],0,0,1)</f>
        <v>0</v>
      </c>
      <c r="M14" t="e">
        <f>_xlfn.XLOOKUP(TableauRecette[[#This Row],[ID]],TableauProduit[ID],TableauProduit[Total (kg) N1],0,0,1)*_xlfn.XLOOKUP(TableauRecette[[#This Row],[ID]],TableauProduit[ID],TableauProduit[Total (kg) N2],0,0,1)</f>
        <v>#REF!</v>
      </c>
      <c r="N14" t="e">
        <f>_xlfn.XLOOKUP(TableauRecette[[#This Row],[ID]],TableauProduit[ID],TableauProduit[Total (kg) N3],0,0,1)*#REF!</f>
        <v>#REF!</v>
      </c>
      <c r="O14" t="e">
        <f>_xlfn.XLOOKUP(TableauRecette[[#This Row],[ID]],TableauProduit[ID],TableauProduit[Total (kg) N4],0,0,1)*#REF!</f>
        <v>#REF!</v>
      </c>
      <c r="P14" t="e">
        <f>_xlfn.XLOOKUP(TableauRecette[[#This Row],[ID]],TableauProduit[ID],TableauProduit[Total (kg) N5],0,0,1)*#REF!</f>
        <v>#REF!</v>
      </c>
      <c r="Q14" t="e">
        <f>_xlfn.XLOOKUP(TableauRecette[[#This Row],[ID]],TableauProduit[ID],TableauProduit[Total (kg) N6],0,0,1)*#REF!</f>
        <v>#REF!</v>
      </c>
      <c r="R14" t="e">
        <f>_xlfn.XLOOKUP(TableauRecette[[#This Row],[ID]],TableauProduit[ID],TableauProduit[Total (kg) N7],0,0,1)*#REF!</f>
        <v>#REF!</v>
      </c>
      <c r="S14" t="e">
        <f>_xlfn.XLOOKUP(TableauRecette[[#This Row],[ID]],TableauProduit[ID],TableauProduit[Total (kg) N8],0,0,1)*#REF!</f>
        <v>#REF!</v>
      </c>
      <c r="T14" t="e">
        <f>_xlfn.XLOOKUP(TableauRecette[[#This Row],[ID]],TableauProduit[ID],TableauProduit[Total (kg) N9],0,0,1)*#REF!</f>
        <v>#REF!</v>
      </c>
    </row>
    <row r="15" spans="1:20" x14ac:dyDescent="0.2">
      <c r="A15" t="s">
        <v>136</v>
      </c>
      <c r="B15" t="str">
        <f>TableauRecette[[#This Row],[Recette]]&amp;TableauRecette[[#This Row],[Conditionnement]]</f>
        <v>Baharat turcEpice 100ml</v>
      </c>
      <c r="C15" t="s">
        <v>348</v>
      </c>
      <c r="D15">
        <v>2</v>
      </c>
      <c r="E15" t="s">
        <v>73</v>
      </c>
      <c r="F15">
        <f>IFERROR(TableauRecette[[#This Row],[Proportion]]/SUMIFS(TableauRecette[Proportion],TableauRecette[Recette],TableauRecette[[#This Row],[Recette]],TableauRecette[Conditionnement],TableauRecette[[#This Row],[Conditionnement]]),0)</f>
        <v>0.19047619047619047</v>
      </c>
      <c r="G15">
        <f>IFERROR(_xlfn.XLOOKUP(TableauRecette[[#This Row],[Ingredients]],TableauIngredients[Ingredients],#REF!,0)*#REF!,0)</f>
        <v>0</v>
      </c>
      <c r="H15">
        <f>IFERROR(SUMIFS(TableauRecette[Proportion],TableauRecette[Recette],TableauRecette[[#This Row],[Recette]],TableauRecette[Conditionnement],TableauRecette[[#This Row],[Conditionnement]]),0)</f>
        <v>10.5</v>
      </c>
      <c r="I15">
        <f>_xlfn.XLOOKUP(TableauRecette[[#This Row],[Ingredients]],TableauIngredients[Ingredients],TableauIngredients[Prix d''achat (kg)],0,0,1)*TableauRecette[[#This Row],[Proportion]]/TableauRecette[[#This Row],[Total Proportion]]</f>
        <v>7.019047619047619</v>
      </c>
      <c r="J15" t="s">
        <v>354</v>
      </c>
      <c r="K15" t="s">
        <v>355</v>
      </c>
      <c r="L15">
        <f>_xlfn.XLOOKUP(TableauRecette[[#This Row],[ID]],TableauProduit[ID],TableauProduit[Total (kg) N1],0,0,1)*_xlfn.XLOOKUP(TableauRecette[[#This Row],[ID]],TableauProduit[ID],TableauProduit[Total (kg) N1],0,0,1)</f>
        <v>0</v>
      </c>
      <c r="M15" t="e">
        <f>_xlfn.XLOOKUP(TableauRecette[[#This Row],[ID]],TableauProduit[ID],TableauProduit[Total (kg) N1],0,0,1)*_xlfn.XLOOKUP(TableauRecette[[#This Row],[ID]],TableauProduit[ID],TableauProduit[Total (kg) N2],0,0,1)</f>
        <v>#REF!</v>
      </c>
      <c r="N15" t="e">
        <f>_xlfn.XLOOKUP(TableauRecette[[#This Row],[ID]],TableauProduit[ID],TableauProduit[Total (kg) N3],0,0,1)*#REF!</f>
        <v>#REF!</v>
      </c>
      <c r="O15" t="e">
        <f>_xlfn.XLOOKUP(TableauRecette[[#This Row],[ID]],TableauProduit[ID],TableauProduit[Total (kg) N4],0,0,1)*#REF!</f>
        <v>#REF!</v>
      </c>
      <c r="P15" t="e">
        <f>_xlfn.XLOOKUP(TableauRecette[[#This Row],[ID]],TableauProduit[ID],TableauProduit[Total (kg) N5],0,0,1)*#REF!</f>
        <v>#REF!</v>
      </c>
      <c r="Q15" t="e">
        <f>_xlfn.XLOOKUP(TableauRecette[[#This Row],[ID]],TableauProduit[ID],TableauProduit[Total (kg) N6],0,0,1)*#REF!</f>
        <v>#REF!</v>
      </c>
      <c r="R15" t="e">
        <f>_xlfn.XLOOKUP(TableauRecette[[#This Row],[ID]],TableauProduit[ID],TableauProduit[Total (kg) N7],0,0,1)*#REF!</f>
        <v>#REF!</v>
      </c>
      <c r="S15" t="e">
        <f>_xlfn.XLOOKUP(TableauRecette[[#This Row],[ID]],TableauProduit[ID],TableauProduit[Total (kg) N8],0,0,1)*#REF!</f>
        <v>#REF!</v>
      </c>
      <c r="T15" t="e">
        <f>_xlfn.XLOOKUP(TableauRecette[[#This Row],[ID]],TableauProduit[ID],TableauProduit[Total (kg) N9],0,0,1)*#REF!</f>
        <v>#REF!</v>
      </c>
    </row>
    <row r="16" spans="1:20" x14ac:dyDescent="0.2">
      <c r="A16" t="s">
        <v>136</v>
      </c>
      <c r="B16" t="str">
        <f>TableauRecette[[#This Row],[Recette]]&amp;TableauRecette[[#This Row],[Conditionnement]]</f>
        <v>Baharat turcEpice 100ml</v>
      </c>
      <c r="C16" t="s">
        <v>352</v>
      </c>
      <c r="D16">
        <v>2</v>
      </c>
      <c r="E16" t="s">
        <v>73</v>
      </c>
      <c r="F16">
        <f>IFERROR(TableauRecette[[#This Row],[Proportion]]/SUMIFS(TableauRecette[Proportion],TableauRecette[Recette],TableauRecette[[#This Row],[Recette]],TableauRecette[Conditionnement],TableauRecette[[#This Row],[Conditionnement]]),0)</f>
        <v>0.19047619047619047</v>
      </c>
      <c r="G16">
        <f>IFERROR(_xlfn.XLOOKUP(TableauRecette[[#This Row],[Ingredients]],TableauIngredients[Ingredients],#REF!,0)*#REF!,0)</f>
        <v>0</v>
      </c>
      <c r="H16">
        <f>IFERROR(SUMIFS(TableauRecette[Proportion],TableauRecette[Recette],TableauRecette[[#This Row],[Recette]],TableauRecette[Conditionnement],TableauRecette[[#This Row],[Conditionnement]]),0)</f>
        <v>10.5</v>
      </c>
      <c r="I1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16" t="s">
        <v>354</v>
      </c>
      <c r="K16" t="s">
        <v>355</v>
      </c>
      <c r="L16">
        <f>_xlfn.XLOOKUP(TableauRecette[[#This Row],[ID]],TableauProduit[ID],TableauProduit[Total (kg) N1],0,0,1)*_xlfn.XLOOKUP(TableauRecette[[#This Row],[ID]],TableauProduit[ID],TableauProduit[Total (kg) N1],0,0,1)</f>
        <v>0</v>
      </c>
      <c r="M16" t="e">
        <f>_xlfn.XLOOKUP(TableauRecette[[#This Row],[ID]],TableauProduit[ID],TableauProduit[Total (kg) N1],0,0,1)*_xlfn.XLOOKUP(TableauRecette[[#This Row],[ID]],TableauProduit[ID],TableauProduit[Total (kg) N2],0,0,1)</f>
        <v>#REF!</v>
      </c>
      <c r="N16" t="e">
        <f>_xlfn.XLOOKUP(TableauRecette[[#This Row],[ID]],TableauProduit[ID],TableauProduit[Total (kg) N3],0,0,1)*#REF!</f>
        <v>#REF!</v>
      </c>
      <c r="O16" t="e">
        <f>_xlfn.XLOOKUP(TableauRecette[[#This Row],[ID]],TableauProduit[ID],TableauProduit[Total (kg) N4],0,0,1)*#REF!</f>
        <v>#REF!</v>
      </c>
      <c r="P16" t="e">
        <f>_xlfn.XLOOKUP(TableauRecette[[#This Row],[ID]],TableauProduit[ID],TableauProduit[Total (kg) N5],0,0,1)*#REF!</f>
        <v>#REF!</v>
      </c>
      <c r="Q16" t="e">
        <f>_xlfn.XLOOKUP(TableauRecette[[#This Row],[ID]],TableauProduit[ID],TableauProduit[Total (kg) N6],0,0,1)*#REF!</f>
        <v>#REF!</v>
      </c>
      <c r="R16" t="e">
        <f>_xlfn.XLOOKUP(TableauRecette[[#This Row],[ID]],TableauProduit[ID],TableauProduit[Total (kg) N7],0,0,1)*#REF!</f>
        <v>#REF!</v>
      </c>
      <c r="S16" t="e">
        <f>_xlfn.XLOOKUP(TableauRecette[[#This Row],[ID]],TableauProduit[ID],TableauProduit[Total (kg) N8],0,0,1)*#REF!</f>
        <v>#REF!</v>
      </c>
      <c r="T16" t="e">
        <f>_xlfn.XLOOKUP(TableauRecette[[#This Row],[ID]],TableauProduit[ID],TableauProduit[Total (kg) N9],0,0,1)*#REF!</f>
        <v>#REF!</v>
      </c>
    </row>
    <row r="17" spans="1:20" x14ac:dyDescent="0.2">
      <c r="A17" t="s">
        <v>136</v>
      </c>
      <c r="B17" t="str">
        <f>TableauRecette[[#This Row],[Recette]]&amp;TableauRecette[[#This Row],[Conditionnement]]</f>
        <v>Baharat turcEpice 100ml</v>
      </c>
      <c r="C17" t="s">
        <v>351</v>
      </c>
      <c r="D17">
        <v>2</v>
      </c>
      <c r="E17" t="s">
        <v>73</v>
      </c>
      <c r="F17">
        <f>IFERROR(TableauRecette[[#This Row],[Proportion]]/SUMIFS(TableauRecette[Proportion],TableauRecette[Recette],TableauRecette[[#This Row],[Recette]],TableauRecette[Conditionnement],TableauRecette[[#This Row],[Conditionnement]]),0)</f>
        <v>0.19047619047619047</v>
      </c>
      <c r="G17">
        <f>IFERROR(_xlfn.XLOOKUP(TableauRecette[[#This Row],[Ingredients]],TableauIngredients[Ingredients],#REF!,0)*#REF!,0)</f>
        <v>0</v>
      </c>
      <c r="H17">
        <f>IFERROR(SUMIFS(TableauRecette[Proportion],TableauRecette[Recette],TableauRecette[[#This Row],[Recette]],TableauRecette[Conditionnement],TableauRecette[[#This Row],[Conditionnement]]),0)</f>
        <v>10.5</v>
      </c>
      <c r="I1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17" t="s">
        <v>354</v>
      </c>
      <c r="K17" t="s">
        <v>355</v>
      </c>
      <c r="L17">
        <f>_xlfn.XLOOKUP(TableauRecette[[#This Row],[ID]],TableauProduit[ID],TableauProduit[Total (kg) N1],0,0,1)*_xlfn.XLOOKUP(TableauRecette[[#This Row],[ID]],TableauProduit[ID],TableauProduit[Total (kg) N1],0,0,1)</f>
        <v>0</v>
      </c>
      <c r="M17" t="e">
        <f>_xlfn.XLOOKUP(TableauRecette[[#This Row],[ID]],TableauProduit[ID],TableauProduit[Total (kg) N1],0,0,1)*_xlfn.XLOOKUP(TableauRecette[[#This Row],[ID]],TableauProduit[ID],TableauProduit[Total (kg) N2],0,0,1)</f>
        <v>#REF!</v>
      </c>
      <c r="N17" t="e">
        <f>_xlfn.XLOOKUP(TableauRecette[[#This Row],[ID]],TableauProduit[ID],TableauProduit[Total (kg) N3],0,0,1)*#REF!</f>
        <v>#REF!</v>
      </c>
      <c r="O17" t="e">
        <f>_xlfn.XLOOKUP(TableauRecette[[#This Row],[ID]],TableauProduit[ID],TableauProduit[Total (kg) N4],0,0,1)*#REF!</f>
        <v>#REF!</v>
      </c>
      <c r="P17" t="e">
        <f>_xlfn.XLOOKUP(TableauRecette[[#This Row],[ID]],TableauProduit[ID],TableauProduit[Total (kg) N5],0,0,1)*#REF!</f>
        <v>#REF!</v>
      </c>
      <c r="Q17" t="e">
        <f>_xlfn.XLOOKUP(TableauRecette[[#This Row],[ID]],TableauProduit[ID],TableauProduit[Total (kg) N6],0,0,1)*#REF!</f>
        <v>#REF!</v>
      </c>
      <c r="R17" t="e">
        <f>_xlfn.XLOOKUP(TableauRecette[[#This Row],[ID]],TableauProduit[ID],TableauProduit[Total (kg) N7],0,0,1)*#REF!</f>
        <v>#REF!</v>
      </c>
      <c r="S17" t="e">
        <f>_xlfn.XLOOKUP(TableauRecette[[#This Row],[ID]],TableauProduit[ID],TableauProduit[Total (kg) N8],0,0,1)*#REF!</f>
        <v>#REF!</v>
      </c>
      <c r="T17" t="e">
        <f>_xlfn.XLOOKUP(TableauRecette[[#This Row],[ID]],TableauProduit[ID],TableauProduit[Total (kg) N9],0,0,1)*#REF!</f>
        <v>#REF!</v>
      </c>
    </row>
    <row r="18" spans="1:20" x14ac:dyDescent="0.2">
      <c r="A18" t="s">
        <v>136</v>
      </c>
      <c r="B18" t="str">
        <f>TableauRecette[[#This Row],[Recette]]&amp;TableauRecette[[#This Row],[Conditionnement]]</f>
        <v>Baharat turcEpice 100ml</v>
      </c>
      <c r="C18" t="s">
        <v>350</v>
      </c>
      <c r="D18">
        <v>1</v>
      </c>
      <c r="E18" t="s">
        <v>73</v>
      </c>
      <c r="F18">
        <f>IFERROR(TableauRecette[[#This Row],[Proportion]]/SUMIFS(TableauRecette[Proportion],TableauRecette[Recette],TableauRecette[[#This Row],[Recette]],TableauRecette[Conditionnement],TableauRecette[[#This Row],[Conditionnement]]),0)</f>
        <v>9.5238095238095233E-2</v>
      </c>
      <c r="G18">
        <f>IFERROR(_xlfn.XLOOKUP(TableauRecette[[#This Row],[Ingredients]],TableauIngredients[Ingredients],#REF!,0)*#REF!,0)</f>
        <v>0</v>
      </c>
      <c r="H18">
        <f>IFERROR(SUMIFS(TableauRecette[Proportion],TableauRecette[Recette],TableauRecette[[#This Row],[Recette]],TableauRecette[Conditionnement],TableauRecette[[#This Row],[Conditionnement]]),0)</f>
        <v>10.5</v>
      </c>
      <c r="I18">
        <f>_xlfn.XLOOKUP(TableauRecette[[#This Row],[Ingredients]],TableauIngredients[Ingredients],TableauIngredients[Prix d''achat (kg)],0,0,1)*TableauRecette[[#This Row],[Proportion]]/TableauRecette[[#This Row],[Total Proportion]]</f>
        <v>3.4285714285714284</v>
      </c>
      <c r="J18" t="s">
        <v>354</v>
      </c>
      <c r="K18" t="s">
        <v>355</v>
      </c>
      <c r="L18">
        <f>_xlfn.XLOOKUP(TableauRecette[[#This Row],[ID]],TableauProduit[ID],TableauProduit[Total (kg) N1],0,0,1)*_xlfn.XLOOKUP(TableauRecette[[#This Row],[ID]],TableauProduit[ID],TableauProduit[Total (kg) N1],0,0,1)</f>
        <v>0</v>
      </c>
      <c r="M18" t="e">
        <f>_xlfn.XLOOKUP(TableauRecette[[#This Row],[ID]],TableauProduit[ID],TableauProduit[Total (kg) N1],0,0,1)*_xlfn.XLOOKUP(TableauRecette[[#This Row],[ID]],TableauProduit[ID],TableauProduit[Total (kg) N2],0,0,1)</f>
        <v>#REF!</v>
      </c>
      <c r="N18" t="e">
        <f>_xlfn.XLOOKUP(TableauRecette[[#This Row],[ID]],TableauProduit[ID],TableauProduit[Total (kg) N3],0,0,1)*#REF!</f>
        <v>#REF!</v>
      </c>
      <c r="O18" t="e">
        <f>_xlfn.XLOOKUP(TableauRecette[[#This Row],[ID]],TableauProduit[ID],TableauProduit[Total (kg) N4],0,0,1)*#REF!</f>
        <v>#REF!</v>
      </c>
      <c r="P18" t="e">
        <f>_xlfn.XLOOKUP(TableauRecette[[#This Row],[ID]],TableauProduit[ID],TableauProduit[Total (kg) N5],0,0,1)*#REF!</f>
        <v>#REF!</v>
      </c>
      <c r="Q18" t="e">
        <f>_xlfn.XLOOKUP(TableauRecette[[#This Row],[ID]],TableauProduit[ID],TableauProduit[Total (kg) N6],0,0,1)*#REF!</f>
        <v>#REF!</v>
      </c>
      <c r="R18" t="e">
        <f>_xlfn.XLOOKUP(TableauRecette[[#This Row],[ID]],TableauProduit[ID],TableauProduit[Total (kg) N7],0,0,1)*#REF!</f>
        <v>#REF!</v>
      </c>
      <c r="S18" t="e">
        <f>_xlfn.XLOOKUP(TableauRecette[[#This Row],[ID]],TableauProduit[ID],TableauProduit[Total (kg) N8],0,0,1)*#REF!</f>
        <v>#REF!</v>
      </c>
      <c r="T18" t="e">
        <f>_xlfn.XLOOKUP(TableauRecette[[#This Row],[ID]],TableauProduit[ID],TableauProduit[Total (kg) N9],0,0,1)*#REF!</f>
        <v>#REF!</v>
      </c>
    </row>
    <row r="19" spans="1:20" x14ac:dyDescent="0.2">
      <c r="A19" t="s">
        <v>136</v>
      </c>
      <c r="B19" t="str">
        <f>TableauRecette[[#This Row],[Recette]]&amp;TableauRecette[[#This Row],[Conditionnement]]</f>
        <v>Baharat turcEpice 100ml</v>
      </c>
      <c r="C19" t="s">
        <v>342</v>
      </c>
      <c r="D19">
        <v>0.5</v>
      </c>
      <c r="E19" t="s">
        <v>73</v>
      </c>
      <c r="F19">
        <f>IFERROR(TableauRecette[[#This Row],[Proportion]]/SUMIFS(TableauRecette[Proportion],TableauRecette[Recette],TableauRecette[[#This Row],[Recette]],TableauRecette[Conditionnement],TableauRecette[[#This Row],[Conditionnement]]),0)</f>
        <v>4.7619047619047616E-2</v>
      </c>
      <c r="G19">
        <f>IFERROR(_xlfn.XLOOKUP(TableauRecette[[#This Row],[Ingredients]],TableauIngredients[Ingredients],#REF!,0)*#REF!,0)</f>
        <v>0</v>
      </c>
      <c r="H19">
        <f>IFERROR(SUMIFS(TableauRecette[Proportion],TableauRecette[Recette],TableauRecette[[#This Row],[Recette]],TableauRecette[Conditionnement],TableauRecette[[#This Row],[Conditionnement]]),0)</f>
        <v>10.5</v>
      </c>
      <c r="I1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19" t="s">
        <v>354</v>
      </c>
      <c r="K19" t="s">
        <v>355</v>
      </c>
      <c r="L19">
        <f>_xlfn.XLOOKUP(TableauRecette[[#This Row],[ID]],TableauProduit[ID],TableauProduit[Total (kg) N1],0,0,1)*_xlfn.XLOOKUP(TableauRecette[[#This Row],[ID]],TableauProduit[ID],TableauProduit[Total (kg) N1],0,0,1)</f>
        <v>0</v>
      </c>
      <c r="M19" t="e">
        <f>_xlfn.XLOOKUP(TableauRecette[[#This Row],[ID]],TableauProduit[ID],TableauProduit[Total (kg) N1],0,0,1)*_xlfn.XLOOKUP(TableauRecette[[#This Row],[ID]],TableauProduit[ID],TableauProduit[Total (kg) N2],0,0,1)</f>
        <v>#REF!</v>
      </c>
      <c r="N19" t="e">
        <f>_xlfn.XLOOKUP(TableauRecette[[#This Row],[ID]],TableauProduit[ID],TableauProduit[Total (kg) N3],0,0,1)*#REF!</f>
        <v>#REF!</v>
      </c>
      <c r="O19" t="e">
        <f>_xlfn.XLOOKUP(TableauRecette[[#This Row],[ID]],TableauProduit[ID],TableauProduit[Total (kg) N4],0,0,1)*#REF!</f>
        <v>#REF!</v>
      </c>
      <c r="P19" t="e">
        <f>_xlfn.XLOOKUP(TableauRecette[[#This Row],[ID]],TableauProduit[ID],TableauProduit[Total (kg) N5],0,0,1)*#REF!</f>
        <v>#REF!</v>
      </c>
      <c r="Q19" t="e">
        <f>_xlfn.XLOOKUP(TableauRecette[[#This Row],[ID]],TableauProduit[ID],TableauProduit[Total (kg) N6],0,0,1)*#REF!</f>
        <v>#REF!</v>
      </c>
      <c r="R19" t="e">
        <f>_xlfn.XLOOKUP(TableauRecette[[#This Row],[ID]],TableauProduit[ID],TableauProduit[Total (kg) N7],0,0,1)*#REF!</f>
        <v>#REF!</v>
      </c>
      <c r="S19" t="e">
        <f>_xlfn.XLOOKUP(TableauRecette[[#This Row],[ID]],TableauProduit[ID],TableauProduit[Total (kg) N8],0,0,1)*#REF!</f>
        <v>#REF!</v>
      </c>
      <c r="T19" t="e">
        <f>_xlfn.XLOOKUP(TableauRecette[[#This Row],[ID]],TableauProduit[ID],TableauProduit[Total (kg) N9],0,0,1)*#REF!</f>
        <v>#REF!</v>
      </c>
    </row>
    <row r="20" spans="1:20" x14ac:dyDescent="0.2">
      <c r="A20" t="s">
        <v>136</v>
      </c>
      <c r="B20" t="str">
        <f>TableauRecette[[#This Row],[Recette]]&amp;TableauRecette[[#This Row],[Conditionnement]]</f>
        <v>Baharat turcEpice 100ml</v>
      </c>
      <c r="C20" t="s">
        <v>353</v>
      </c>
      <c r="D20">
        <v>1</v>
      </c>
      <c r="E20" t="s">
        <v>73</v>
      </c>
      <c r="F20">
        <f>IFERROR(TableauRecette[[#This Row],[Proportion]]/SUMIFS(TableauRecette[Proportion],TableauRecette[Recette],TableauRecette[[#This Row],[Recette]],TableauRecette[Conditionnement],TableauRecette[[#This Row],[Conditionnement]]),0)</f>
        <v>9.5238095238095233E-2</v>
      </c>
      <c r="G20">
        <f>IFERROR(_xlfn.XLOOKUP(TableauRecette[[#This Row],[Ingredients]],TableauIngredients[Ingredients],#REF!,0)*#REF!,0)</f>
        <v>0</v>
      </c>
      <c r="H20">
        <f>IFERROR(SUMIFS(TableauRecette[Proportion],TableauRecette[Recette],TableauRecette[[#This Row],[Recette]],TableauRecette[Conditionnement],TableauRecette[[#This Row],[Conditionnement]]),0)</f>
        <v>10.5</v>
      </c>
      <c r="I20">
        <f>_xlfn.XLOOKUP(TableauRecette[[#This Row],[Ingredients]],TableauIngredients[Ingredients],TableauIngredients[Prix d''achat (kg)],0,0,1)*TableauRecette[[#This Row],[Proportion]]/TableauRecette[[#This Row],[Total Proportion]]</f>
        <v>5.7142857142857144</v>
      </c>
      <c r="J20" t="s">
        <v>354</v>
      </c>
      <c r="K20" t="s">
        <v>355</v>
      </c>
      <c r="L20">
        <f>_xlfn.XLOOKUP(TableauRecette[[#This Row],[ID]],TableauProduit[ID],TableauProduit[Total (kg) N1],0,0,1)*_xlfn.XLOOKUP(TableauRecette[[#This Row],[ID]],TableauProduit[ID],TableauProduit[Total (kg) N1],0,0,1)</f>
        <v>0</v>
      </c>
      <c r="M20" t="e">
        <f>_xlfn.XLOOKUP(TableauRecette[[#This Row],[ID]],TableauProduit[ID],TableauProduit[Total (kg) N1],0,0,1)*_xlfn.XLOOKUP(TableauRecette[[#This Row],[ID]],TableauProduit[ID],TableauProduit[Total (kg) N2],0,0,1)</f>
        <v>#REF!</v>
      </c>
      <c r="N20" t="e">
        <f>_xlfn.XLOOKUP(TableauRecette[[#This Row],[ID]],TableauProduit[ID],TableauProduit[Total (kg) N3],0,0,1)*#REF!</f>
        <v>#REF!</v>
      </c>
      <c r="O20" t="e">
        <f>_xlfn.XLOOKUP(TableauRecette[[#This Row],[ID]],TableauProduit[ID],TableauProduit[Total (kg) N4],0,0,1)*#REF!</f>
        <v>#REF!</v>
      </c>
      <c r="P20" t="e">
        <f>_xlfn.XLOOKUP(TableauRecette[[#This Row],[ID]],TableauProduit[ID],TableauProduit[Total (kg) N5],0,0,1)*#REF!</f>
        <v>#REF!</v>
      </c>
      <c r="Q20" t="e">
        <f>_xlfn.XLOOKUP(TableauRecette[[#This Row],[ID]],TableauProduit[ID],TableauProduit[Total (kg) N6],0,0,1)*#REF!</f>
        <v>#REF!</v>
      </c>
      <c r="R20" t="e">
        <f>_xlfn.XLOOKUP(TableauRecette[[#This Row],[ID]],TableauProduit[ID],TableauProduit[Total (kg) N7],0,0,1)*#REF!</f>
        <v>#REF!</v>
      </c>
      <c r="S20" t="e">
        <f>_xlfn.XLOOKUP(TableauRecette[[#This Row],[ID]],TableauProduit[ID],TableauProduit[Total (kg) N8],0,0,1)*#REF!</f>
        <v>#REF!</v>
      </c>
      <c r="T20" t="e">
        <f>_xlfn.XLOOKUP(TableauRecette[[#This Row],[ID]],TableauProduit[ID],TableauProduit[Total (kg) N9],0,0,1)*#REF!</f>
        <v>#REF!</v>
      </c>
    </row>
    <row r="21" spans="1:20" x14ac:dyDescent="0.2">
      <c r="A21" t="s">
        <v>136</v>
      </c>
      <c r="B21" t="str">
        <f>TableauRecette[[#This Row],[Recette]]&amp;TableauRecette[[#This Row],[Conditionnement]]</f>
        <v>Baharat turcEpice 100ml</v>
      </c>
      <c r="C21" t="s">
        <v>356</v>
      </c>
      <c r="D21">
        <v>1</v>
      </c>
      <c r="E21" t="s">
        <v>73</v>
      </c>
      <c r="F21">
        <f>IFERROR(TableauRecette[[#This Row],[Proportion]]/SUMIFS(TableauRecette[Proportion],TableauRecette[Recette],TableauRecette[[#This Row],[Recette]],TableauRecette[Conditionnement],TableauRecette[[#This Row],[Conditionnement]]),0)</f>
        <v>9.5238095238095233E-2</v>
      </c>
      <c r="G21">
        <f>IFERROR(_xlfn.XLOOKUP(TableauRecette[[#This Row],[Ingredients]],TableauIngredients[Ingredients],#REF!,0)*#REF!,0)</f>
        <v>0</v>
      </c>
      <c r="H21">
        <f>IFERROR(SUMIFS(TableauRecette[Proportion],TableauRecette[Recette],TableauRecette[[#This Row],[Recette]],TableauRecette[Conditionnement],TableauRecette[[#This Row],[Conditionnement]]),0)</f>
        <v>10.5</v>
      </c>
      <c r="I21">
        <f>_xlfn.XLOOKUP(TableauRecette[[#This Row],[Ingredients]],TableauIngredients[Ingredients],TableauIngredients[Prix d''achat (kg)],0,0,1)*TableauRecette[[#This Row],[Proportion]]/TableauRecette[[#This Row],[Total Proportion]]</f>
        <v>2.0952380952380953</v>
      </c>
      <c r="J21" t="s">
        <v>354</v>
      </c>
      <c r="K21" t="s">
        <v>355</v>
      </c>
      <c r="L21">
        <f>_xlfn.XLOOKUP(TableauRecette[[#This Row],[ID]],TableauProduit[ID],TableauProduit[Total (kg) N1],0,0,1)*_xlfn.XLOOKUP(TableauRecette[[#This Row],[ID]],TableauProduit[ID],TableauProduit[Total (kg) N1],0,0,1)</f>
        <v>0</v>
      </c>
      <c r="M21" t="e">
        <f>_xlfn.XLOOKUP(TableauRecette[[#This Row],[ID]],TableauProduit[ID],TableauProduit[Total (kg) N1],0,0,1)*_xlfn.XLOOKUP(TableauRecette[[#This Row],[ID]],TableauProduit[ID],TableauProduit[Total (kg) N2],0,0,1)</f>
        <v>#REF!</v>
      </c>
      <c r="N21" t="e">
        <f>_xlfn.XLOOKUP(TableauRecette[[#This Row],[ID]],TableauProduit[ID],TableauProduit[Total (kg) N3],0,0,1)*#REF!</f>
        <v>#REF!</v>
      </c>
      <c r="O21" t="e">
        <f>_xlfn.XLOOKUP(TableauRecette[[#This Row],[ID]],TableauProduit[ID],TableauProduit[Total (kg) N4],0,0,1)*#REF!</f>
        <v>#REF!</v>
      </c>
      <c r="P21" t="e">
        <f>_xlfn.XLOOKUP(TableauRecette[[#This Row],[ID]],TableauProduit[ID],TableauProduit[Total (kg) N5],0,0,1)*#REF!</f>
        <v>#REF!</v>
      </c>
      <c r="Q21" t="e">
        <f>_xlfn.XLOOKUP(TableauRecette[[#This Row],[ID]],TableauProduit[ID],TableauProduit[Total (kg) N6],0,0,1)*#REF!</f>
        <v>#REF!</v>
      </c>
      <c r="R21" t="e">
        <f>_xlfn.XLOOKUP(TableauRecette[[#This Row],[ID]],TableauProduit[ID],TableauProduit[Total (kg) N7],0,0,1)*#REF!</f>
        <v>#REF!</v>
      </c>
      <c r="S21" t="e">
        <f>_xlfn.XLOOKUP(TableauRecette[[#This Row],[ID]],TableauProduit[ID],TableauProduit[Total (kg) N8],0,0,1)*#REF!</f>
        <v>#REF!</v>
      </c>
      <c r="T21" t="e">
        <f>_xlfn.XLOOKUP(TableauRecette[[#This Row],[ID]],TableauProduit[ID],TableauProduit[Total (kg) N9],0,0,1)*#REF!</f>
        <v>#REF!</v>
      </c>
    </row>
    <row r="22" spans="1:20" x14ac:dyDescent="0.2">
      <c r="A22" t="s">
        <v>136</v>
      </c>
      <c r="B22" t="str">
        <f>TableauRecette[[#This Row],[Recette]]&amp;TableauRecette[[#This Row],[Conditionnement]]</f>
        <v>Baharat turcEpice 100ml</v>
      </c>
      <c r="C22" t="s">
        <v>357</v>
      </c>
      <c r="D22">
        <v>1</v>
      </c>
      <c r="E22" t="s">
        <v>73</v>
      </c>
      <c r="F22">
        <f>IFERROR(TableauRecette[[#This Row],[Proportion]]/SUMIFS(TableauRecette[Proportion],TableauRecette[Recette],TableauRecette[[#This Row],[Recette]],TableauRecette[Conditionnement],TableauRecette[[#This Row],[Conditionnement]]),0)</f>
        <v>9.5238095238095233E-2</v>
      </c>
      <c r="G22">
        <f>IFERROR(_xlfn.XLOOKUP(TableauRecette[[#This Row],[Ingredients]],TableauIngredients[Ingredients],#REF!,0)*#REF!,0)</f>
        <v>0</v>
      </c>
      <c r="H22">
        <f>IFERROR(SUMIFS(TableauRecette[Proportion],TableauRecette[Recette],TableauRecette[[#This Row],[Recette]],TableauRecette[Conditionnement],TableauRecette[[#This Row],[Conditionnement]]),0)</f>
        <v>10.5</v>
      </c>
      <c r="I2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22" t="s">
        <v>354</v>
      </c>
      <c r="K22" t="s">
        <v>355</v>
      </c>
      <c r="L22">
        <f>_xlfn.XLOOKUP(TableauRecette[[#This Row],[ID]],TableauProduit[ID],TableauProduit[Total (kg) N1],0,0,1)*_xlfn.XLOOKUP(TableauRecette[[#This Row],[ID]],TableauProduit[ID],TableauProduit[Total (kg) N1],0,0,1)</f>
        <v>0</v>
      </c>
      <c r="M22" t="e">
        <f>_xlfn.XLOOKUP(TableauRecette[[#This Row],[ID]],TableauProduit[ID],TableauProduit[Total (kg) N1],0,0,1)*_xlfn.XLOOKUP(TableauRecette[[#This Row],[ID]],TableauProduit[ID],TableauProduit[Total (kg) N2],0,0,1)</f>
        <v>#REF!</v>
      </c>
      <c r="N22" t="e">
        <f>_xlfn.XLOOKUP(TableauRecette[[#This Row],[ID]],TableauProduit[ID],TableauProduit[Total (kg) N3],0,0,1)*#REF!</f>
        <v>#REF!</v>
      </c>
      <c r="O22" t="e">
        <f>_xlfn.XLOOKUP(TableauRecette[[#This Row],[ID]],TableauProduit[ID],TableauProduit[Total (kg) N4],0,0,1)*#REF!</f>
        <v>#REF!</v>
      </c>
      <c r="P22" t="e">
        <f>_xlfn.XLOOKUP(TableauRecette[[#This Row],[ID]],TableauProduit[ID],TableauProduit[Total (kg) N5],0,0,1)*#REF!</f>
        <v>#REF!</v>
      </c>
      <c r="Q22" t="e">
        <f>_xlfn.XLOOKUP(TableauRecette[[#This Row],[ID]],TableauProduit[ID],TableauProduit[Total (kg) N6],0,0,1)*#REF!</f>
        <v>#REF!</v>
      </c>
      <c r="R22" t="e">
        <f>_xlfn.XLOOKUP(TableauRecette[[#This Row],[ID]],TableauProduit[ID],TableauProduit[Total (kg) N7],0,0,1)*#REF!</f>
        <v>#REF!</v>
      </c>
      <c r="S22" t="e">
        <f>_xlfn.XLOOKUP(TableauRecette[[#This Row],[ID]],TableauProduit[ID],TableauProduit[Total (kg) N8],0,0,1)*#REF!</f>
        <v>#REF!</v>
      </c>
      <c r="T22" t="e">
        <f>_xlfn.XLOOKUP(TableauRecette[[#This Row],[ID]],TableauProduit[ID],TableauProduit[Total (kg) N9],0,0,1)*#REF!</f>
        <v>#REF!</v>
      </c>
    </row>
    <row r="23" spans="1:20" x14ac:dyDescent="0.2">
      <c r="A23" t="s">
        <v>85</v>
      </c>
      <c r="B23" t="str">
        <f>TableauRecette[[#This Row],[Recette]]&amp;TableauRecette[[#This Row],[Conditionnement]]</f>
        <v>Carvi graineEpice 100ml</v>
      </c>
      <c r="C23" t="s">
        <v>358</v>
      </c>
      <c r="D23">
        <v>1</v>
      </c>
      <c r="E23" t="s">
        <v>73</v>
      </c>
      <c r="F23">
        <f>IFERROR(TableauRecette[[#This Row],[Proportion]]/SUMIFS(TableauRecette[Proportion],TableauRecette[Recette],TableauRecette[[#This Row],[Recette]],TableauRecette[Conditionnement],TableauRecette[[#This Row],[Conditionnement]]),0)</f>
        <v>1</v>
      </c>
      <c r="G23">
        <f>IFERROR(_xlfn.XLOOKUP(TableauRecette[[#This Row],[Ingredients]],TableauIngredients[Ingredients],#REF!,0)*#REF!,0)</f>
        <v>0</v>
      </c>
      <c r="H23">
        <f>IFERROR(SUMIFS(TableauRecette[Proportion],TableauRecette[Recette],TableauRecette[[#This Row],[Recette]],TableauRecette[Conditionnement],TableauRecette[[#This Row],[Conditionnement]]),0)</f>
        <v>1</v>
      </c>
      <c r="I23">
        <f>_xlfn.XLOOKUP(TableauRecette[[#This Row],[Ingredients]],TableauIngredients[Ingredients],TableauIngredients[Prix d''achat (kg)],0,0,1)*TableauRecette[[#This Row],[Proportion]]/TableauRecette[[#This Row],[Total Proportion]]</f>
        <v>20.75</v>
      </c>
      <c r="J23" t="s">
        <v>354</v>
      </c>
      <c r="K23" t="s">
        <v>355</v>
      </c>
      <c r="L23">
        <f>_xlfn.XLOOKUP(TableauRecette[[#This Row],[ID]],TableauProduit[ID],TableauProduit[Total (kg) N1],0,0,1)*_xlfn.XLOOKUP(TableauRecette[[#This Row],[ID]],TableauProduit[ID],TableauProduit[Total (kg) N1],0,0,1)</f>
        <v>248.0625</v>
      </c>
      <c r="M23" t="e">
        <f>_xlfn.XLOOKUP(TableauRecette[[#This Row],[ID]],TableauProduit[ID],TableauProduit[Total (kg) N1],0,0,1)*_xlfn.XLOOKUP(TableauRecette[[#This Row],[ID]],TableauProduit[ID],TableauProduit[Total (kg) N2],0,0,1)</f>
        <v>#REF!</v>
      </c>
      <c r="N23" t="e">
        <f>_xlfn.XLOOKUP(TableauRecette[[#This Row],[ID]],TableauProduit[ID],TableauProduit[Total (kg) N3],0,0,1)*#REF!</f>
        <v>#REF!</v>
      </c>
      <c r="O23" t="e">
        <f>_xlfn.XLOOKUP(TableauRecette[[#This Row],[ID]],TableauProduit[ID],TableauProduit[Total (kg) N4],0,0,1)*#REF!</f>
        <v>#REF!</v>
      </c>
      <c r="P23" t="e">
        <f>_xlfn.XLOOKUP(TableauRecette[[#This Row],[ID]],TableauProduit[ID],TableauProduit[Total (kg) N5],0,0,1)*#REF!</f>
        <v>#REF!</v>
      </c>
      <c r="Q23" t="e">
        <f>_xlfn.XLOOKUP(TableauRecette[[#This Row],[ID]],TableauProduit[ID],TableauProduit[Total (kg) N6],0,0,1)*#REF!</f>
        <v>#REF!</v>
      </c>
      <c r="R23" t="e">
        <f>_xlfn.XLOOKUP(TableauRecette[[#This Row],[ID]],TableauProduit[ID],TableauProduit[Total (kg) N7],0,0,1)*#REF!</f>
        <v>#REF!</v>
      </c>
      <c r="S23" t="e">
        <f>_xlfn.XLOOKUP(TableauRecette[[#This Row],[ID]],TableauProduit[ID],TableauProduit[Total (kg) N8],0,0,1)*#REF!</f>
        <v>#REF!</v>
      </c>
      <c r="T23" t="e">
        <f>_xlfn.XLOOKUP(TableauRecette[[#This Row],[ID]],TableauProduit[ID],TableauProduit[Total (kg) N9],0,0,1)*#REF!</f>
        <v>#REF!</v>
      </c>
    </row>
    <row r="24" spans="1:20" x14ac:dyDescent="0.2">
      <c r="A24" t="s">
        <v>133</v>
      </c>
      <c r="B24" t="str">
        <f>TableauRecette[[#This Row],[Recette]]&amp;TableauRecette[[#This Row],[Conditionnement]]</f>
        <v>Carvi mouluEpice 100ml</v>
      </c>
      <c r="C24" t="s">
        <v>359</v>
      </c>
      <c r="D24">
        <v>1</v>
      </c>
      <c r="E24" t="s">
        <v>73</v>
      </c>
      <c r="F24">
        <f>IFERROR(TableauRecette[[#This Row],[Proportion]]/SUMIFS(TableauRecette[Proportion],TableauRecette[Recette],TableauRecette[[#This Row],[Recette]],TableauRecette[Conditionnement],TableauRecette[[#This Row],[Conditionnement]]),0)</f>
        <v>1</v>
      </c>
      <c r="G24">
        <f>IFERROR(_xlfn.XLOOKUP(TableauRecette[[#This Row],[Ingredients]],TableauIngredients[Ingredients],#REF!,0)*#REF!,0)</f>
        <v>0</v>
      </c>
      <c r="H24">
        <f>IFERROR(SUMIFS(TableauRecette[Proportion],TableauRecette[Recette],TableauRecette[[#This Row],[Recette]],TableauRecette[Conditionnement],TableauRecette[[#This Row],[Conditionnement]]),0)</f>
        <v>1</v>
      </c>
      <c r="I24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4">
        <f>_xlfn.XLOOKUP(TableauRecette[[#This Row],[ID]],TableauProduit[ID],TableauProduit[Total (kg) N1],0,0,1)*_xlfn.XLOOKUP(TableauRecette[[#This Row],[ID]],TableauProduit[ID],TableauProduit[Total (kg) N1],0,0,1)</f>
        <v>0</v>
      </c>
      <c r="M24" t="e">
        <f>_xlfn.XLOOKUP(TableauRecette[[#This Row],[ID]],TableauProduit[ID],TableauProduit[Total (kg) N1],0,0,1)*_xlfn.XLOOKUP(TableauRecette[[#This Row],[ID]],TableauProduit[ID],TableauProduit[Total (kg) N2],0,0,1)</f>
        <v>#REF!</v>
      </c>
      <c r="N24" t="e">
        <f>_xlfn.XLOOKUP(TableauRecette[[#This Row],[ID]],TableauProduit[ID],TableauProduit[Total (kg) N3],0,0,1)*#REF!</f>
        <v>#REF!</v>
      </c>
      <c r="O24" t="e">
        <f>_xlfn.XLOOKUP(TableauRecette[[#This Row],[ID]],TableauProduit[ID],TableauProduit[Total (kg) N4],0,0,1)*#REF!</f>
        <v>#REF!</v>
      </c>
      <c r="P24" t="e">
        <f>_xlfn.XLOOKUP(TableauRecette[[#This Row],[ID]],TableauProduit[ID],TableauProduit[Total (kg) N5],0,0,1)*#REF!</f>
        <v>#REF!</v>
      </c>
      <c r="Q24" t="e">
        <f>_xlfn.XLOOKUP(TableauRecette[[#This Row],[ID]],TableauProduit[ID],TableauProduit[Total (kg) N6],0,0,1)*#REF!</f>
        <v>#REF!</v>
      </c>
      <c r="R24" t="e">
        <f>_xlfn.XLOOKUP(TableauRecette[[#This Row],[ID]],TableauProduit[ID],TableauProduit[Total (kg) N7],0,0,1)*#REF!</f>
        <v>#REF!</v>
      </c>
      <c r="S24" t="e">
        <f>_xlfn.XLOOKUP(TableauRecette[[#This Row],[ID]],TableauProduit[ID],TableauProduit[Total (kg) N8],0,0,1)*#REF!</f>
        <v>#REF!</v>
      </c>
      <c r="T24" t="e">
        <f>_xlfn.XLOOKUP(TableauRecette[[#This Row],[ID]],TableauProduit[ID],TableauProduit[Total (kg) N9],0,0,1)*#REF!</f>
        <v>#REF!</v>
      </c>
    </row>
    <row r="25" spans="1:20" x14ac:dyDescent="0.2">
      <c r="A25" t="s">
        <v>131</v>
      </c>
      <c r="B25" t="str">
        <f>TableauRecette[[#This Row],[Recette]]&amp;TableauRecette[[#This Row],[Conditionnement]]</f>
        <v>Chaat masalaEpice 100ml</v>
      </c>
      <c r="C25" t="s">
        <v>343</v>
      </c>
      <c r="D25">
        <v>6</v>
      </c>
      <c r="E25" t="s">
        <v>73</v>
      </c>
      <c r="F25">
        <f>IFERROR(TableauRecette[[#This Row],[Proportion]]/SUMIFS(TableauRecette[Proportion],TableauRecette[Recette],TableauRecette[[#This Row],[Recette]],TableauRecette[Conditionnement],TableauRecette[[#This Row],[Conditionnement]]),0)</f>
        <v>0.24489795918367346</v>
      </c>
      <c r="G25">
        <f>IFERROR(_xlfn.XLOOKUP(TableauRecette[[#This Row],[Ingredients]],TableauIngredients[Ingredients],#REF!,0)*#REF!,0)</f>
        <v>0</v>
      </c>
      <c r="H25">
        <f>IFERROR(SUMIFS(TableauRecette[Proportion],TableauRecette[Recette],TableauRecette[[#This Row],[Recette]],TableauRecette[Conditionnement],TableauRecette[[#This Row],[Conditionnement]]),0)</f>
        <v>24.5</v>
      </c>
      <c r="I2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5">
        <f>_xlfn.XLOOKUP(TableauRecette[[#This Row],[ID]],TableauProduit[ID],TableauProduit[Total (kg) N1],0,0,1)*_xlfn.XLOOKUP(TableauRecette[[#This Row],[ID]],TableauProduit[ID],TableauProduit[Total (kg) N1],0,0,1)</f>
        <v>0</v>
      </c>
      <c r="M25" t="e">
        <f>_xlfn.XLOOKUP(TableauRecette[[#This Row],[ID]],TableauProduit[ID],TableauProduit[Total (kg) N1],0,0,1)*_xlfn.XLOOKUP(TableauRecette[[#This Row],[ID]],TableauProduit[ID],TableauProduit[Total (kg) N2],0,0,1)</f>
        <v>#REF!</v>
      </c>
      <c r="N25" t="e">
        <f>_xlfn.XLOOKUP(TableauRecette[[#This Row],[ID]],TableauProduit[ID],TableauProduit[Total (kg) N3],0,0,1)*#REF!</f>
        <v>#REF!</v>
      </c>
      <c r="O25" t="e">
        <f>_xlfn.XLOOKUP(TableauRecette[[#This Row],[ID]],TableauProduit[ID],TableauProduit[Total (kg) N4],0,0,1)*#REF!</f>
        <v>#REF!</v>
      </c>
      <c r="P25" t="e">
        <f>_xlfn.XLOOKUP(TableauRecette[[#This Row],[ID]],TableauProduit[ID],TableauProduit[Total (kg) N5],0,0,1)*#REF!</f>
        <v>#REF!</v>
      </c>
      <c r="Q25" t="e">
        <f>_xlfn.XLOOKUP(TableauRecette[[#This Row],[ID]],TableauProduit[ID],TableauProduit[Total (kg) N6],0,0,1)*#REF!</f>
        <v>#REF!</v>
      </c>
      <c r="R25" t="e">
        <f>_xlfn.XLOOKUP(TableauRecette[[#This Row],[ID]],TableauProduit[ID],TableauProduit[Total (kg) N7],0,0,1)*#REF!</f>
        <v>#REF!</v>
      </c>
      <c r="S25" t="e">
        <f>_xlfn.XLOOKUP(TableauRecette[[#This Row],[ID]],TableauProduit[ID],TableauProduit[Total (kg) N8],0,0,1)*#REF!</f>
        <v>#REF!</v>
      </c>
      <c r="T25" t="e">
        <f>_xlfn.XLOOKUP(TableauRecette[[#This Row],[ID]],TableauProduit[ID],TableauProduit[Total (kg) N9],0,0,1)*#REF!</f>
        <v>#REF!</v>
      </c>
    </row>
    <row r="26" spans="1:20" x14ac:dyDescent="0.2">
      <c r="A26" t="s">
        <v>131</v>
      </c>
      <c r="B26" t="str">
        <f>TableauRecette[[#This Row],[Recette]]&amp;TableauRecette[[#This Row],[Conditionnement]]</f>
        <v>Chaat masalaEpice 100ml</v>
      </c>
      <c r="C26" t="s">
        <v>351</v>
      </c>
      <c r="D26">
        <v>1</v>
      </c>
      <c r="E26" t="s">
        <v>73</v>
      </c>
      <c r="F26">
        <f>IFERROR(TableauRecette[[#This Row],[Proportion]]/SUMIFS(TableauRecette[Proportion],TableauRecette[Recette],TableauRecette[[#This Row],[Recette]],TableauRecette[Conditionnement],TableauRecette[[#This Row],[Conditionnement]]),0)</f>
        <v>4.0816326530612242E-2</v>
      </c>
      <c r="G26">
        <f>IFERROR(_xlfn.XLOOKUP(TableauRecette[[#This Row],[Ingredients]],TableauIngredients[Ingredients],#REF!,0)*#REF!,0)</f>
        <v>0</v>
      </c>
      <c r="H26">
        <f>IFERROR(SUMIFS(TableauRecette[Proportion],TableauRecette[Recette],TableauRecette[[#This Row],[Recette]],TableauRecette[Conditionnement],TableauRecette[[#This Row],[Conditionnement]]),0)</f>
        <v>24.5</v>
      </c>
      <c r="I2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6">
        <f>_xlfn.XLOOKUP(TableauRecette[[#This Row],[ID]],TableauProduit[ID],TableauProduit[Total (kg) N1],0,0,1)*_xlfn.XLOOKUP(TableauRecette[[#This Row],[ID]],TableauProduit[ID],TableauProduit[Total (kg) N1],0,0,1)</f>
        <v>0</v>
      </c>
      <c r="M26" t="e">
        <f>_xlfn.XLOOKUP(TableauRecette[[#This Row],[ID]],TableauProduit[ID],TableauProduit[Total (kg) N1],0,0,1)*_xlfn.XLOOKUP(TableauRecette[[#This Row],[ID]],TableauProduit[ID],TableauProduit[Total (kg) N2],0,0,1)</f>
        <v>#REF!</v>
      </c>
      <c r="N26" t="e">
        <f>_xlfn.XLOOKUP(TableauRecette[[#This Row],[ID]],TableauProduit[ID],TableauProduit[Total (kg) N3],0,0,1)*#REF!</f>
        <v>#REF!</v>
      </c>
      <c r="O26" t="e">
        <f>_xlfn.XLOOKUP(TableauRecette[[#This Row],[ID]],TableauProduit[ID],TableauProduit[Total (kg) N4],0,0,1)*#REF!</f>
        <v>#REF!</v>
      </c>
      <c r="P26" t="e">
        <f>_xlfn.XLOOKUP(TableauRecette[[#This Row],[ID]],TableauProduit[ID],TableauProduit[Total (kg) N5],0,0,1)*#REF!</f>
        <v>#REF!</v>
      </c>
      <c r="Q26" t="e">
        <f>_xlfn.XLOOKUP(TableauRecette[[#This Row],[ID]],TableauProduit[ID],TableauProduit[Total (kg) N6],0,0,1)*#REF!</f>
        <v>#REF!</v>
      </c>
      <c r="R26" t="e">
        <f>_xlfn.XLOOKUP(TableauRecette[[#This Row],[ID]],TableauProduit[ID],TableauProduit[Total (kg) N7],0,0,1)*#REF!</f>
        <v>#REF!</v>
      </c>
      <c r="S26" t="e">
        <f>_xlfn.XLOOKUP(TableauRecette[[#This Row],[ID]],TableauProduit[ID],TableauProduit[Total (kg) N8],0,0,1)*#REF!</f>
        <v>#REF!</v>
      </c>
      <c r="T26" t="e">
        <f>_xlfn.XLOOKUP(TableauRecette[[#This Row],[ID]],TableauProduit[ID],TableauProduit[Total (kg) N9],0,0,1)*#REF!</f>
        <v>#REF!</v>
      </c>
    </row>
    <row r="27" spans="1:20" x14ac:dyDescent="0.2">
      <c r="A27" t="s">
        <v>131</v>
      </c>
      <c r="B27" t="str">
        <f>TableauRecette[[#This Row],[Recette]]&amp;TableauRecette[[#This Row],[Conditionnement]]</f>
        <v>Chaat masalaEpice 100ml</v>
      </c>
      <c r="C27" t="s">
        <v>348</v>
      </c>
      <c r="D27">
        <v>3</v>
      </c>
      <c r="E27" t="s">
        <v>73</v>
      </c>
      <c r="F27">
        <f>IFERROR(TableauRecette[[#This Row],[Proportion]]/SUMIFS(TableauRecette[Proportion],TableauRecette[Recette],TableauRecette[[#This Row],[Recette]],TableauRecette[Conditionnement],TableauRecette[[#This Row],[Conditionnement]]),0)</f>
        <v>0.12244897959183673</v>
      </c>
      <c r="G27">
        <f>IFERROR(_xlfn.XLOOKUP(TableauRecette[[#This Row],[Ingredients]],TableauIngredients[Ingredients],#REF!,0)*#REF!,0)</f>
        <v>0</v>
      </c>
      <c r="H27">
        <f>IFERROR(SUMIFS(TableauRecette[Proportion],TableauRecette[Recette],TableauRecette[[#This Row],[Recette]],TableauRecette[Conditionnement],TableauRecette[[#This Row],[Conditionnement]]),0)</f>
        <v>24.5</v>
      </c>
      <c r="I27">
        <f>_xlfn.XLOOKUP(TableauRecette[[#This Row],[Ingredients]],TableauIngredients[Ingredients],TableauIngredients[Prix d''achat (kg)],0,0,1)*TableauRecette[[#This Row],[Proportion]]/TableauRecette[[#This Row],[Total Proportion]]</f>
        <v>4.5122448979591843</v>
      </c>
      <c r="L27">
        <f>_xlfn.XLOOKUP(TableauRecette[[#This Row],[ID]],TableauProduit[ID],TableauProduit[Total (kg) N1],0,0,1)*_xlfn.XLOOKUP(TableauRecette[[#This Row],[ID]],TableauProduit[ID],TableauProduit[Total (kg) N1],0,0,1)</f>
        <v>0</v>
      </c>
      <c r="M27" t="e">
        <f>_xlfn.XLOOKUP(TableauRecette[[#This Row],[ID]],TableauProduit[ID],TableauProduit[Total (kg) N1],0,0,1)*_xlfn.XLOOKUP(TableauRecette[[#This Row],[ID]],TableauProduit[ID],TableauProduit[Total (kg) N2],0,0,1)</f>
        <v>#REF!</v>
      </c>
      <c r="N27" t="e">
        <f>_xlfn.XLOOKUP(TableauRecette[[#This Row],[ID]],TableauProduit[ID],TableauProduit[Total (kg) N3],0,0,1)*#REF!</f>
        <v>#REF!</v>
      </c>
      <c r="O27" t="e">
        <f>_xlfn.XLOOKUP(TableauRecette[[#This Row],[ID]],TableauProduit[ID],TableauProduit[Total (kg) N4],0,0,1)*#REF!</f>
        <v>#REF!</v>
      </c>
      <c r="P27" t="e">
        <f>_xlfn.XLOOKUP(TableauRecette[[#This Row],[ID]],TableauProduit[ID],TableauProduit[Total (kg) N5],0,0,1)*#REF!</f>
        <v>#REF!</v>
      </c>
      <c r="Q27" t="e">
        <f>_xlfn.XLOOKUP(TableauRecette[[#This Row],[ID]],TableauProduit[ID],TableauProduit[Total (kg) N6],0,0,1)*#REF!</f>
        <v>#REF!</v>
      </c>
      <c r="R27" t="e">
        <f>_xlfn.XLOOKUP(TableauRecette[[#This Row],[ID]],TableauProduit[ID],TableauProduit[Total (kg) N7],0,0,1)*#REF!</f>
        <v>#REF!</v>
      </c>
      <c r="S27" t="e">
        <f>_xlfn.XLOOKUP(TableauRecette[[#This Row],[ID]],TableauProduit[ID],TableauProduit[Total (kg) N8],0,0,1)*#REF!</f>
        <v>#REF!</v>
      </c>
      <c r="T27" t="e">
        <f>_xlfn.XLOOKUP(TableauRecette[[#This Row],[ID]],TableauProduit[ID],TableauProduit[Total (kg) N9],0,0,1)*#REF!</f>
        <v>#REF!</v>
      </c>
    </row>
    <row r="28" spans="1:20" x14ac:dyDescent="0.2">
      <c r="A28" t="s">
        <v>131</v>
      </c>
      <c r="B28" t="str">
        <f>TableauRecette[[#This Row],[Recette]]&amp;TableauRecette[[#This Row],[Conditionnement]]</f>
        <v>Chaat masalaEpice 100ml</v>
      </c>
      <c r="C28" t="s">
        <v>360</v>
      </c>
      <c r="D28">
        <v>9</v>
      </c>
      <c r="E28" t="s">
        <v>73</v>
      </c>
      <c r="F28">
        <f>IFERROR(TableauRecette[[#This Row],[Proportion]]/SUMIFS(TableauRecette[Proportion],TableauRecette[Recette],TableauRecette[[#This Row],[Recette]],TableauRecette[Conditionnement],TableauRecette[[#This Row],[Conditionnement]]),0)</f>
        <v>0.36734693877551022</v>
      </c>
      <c r="G28">
        <f>IFERROR(_xlfn.XLOOKUP(TableauRecette[[#This Row],[Ingredients]],TableauIngredients[Ingredients],#REF!,0)*#REF!,0)</f>
        <v>0</v>
      </c>
      <c r="H28">
        <f>IFERROR(SUMIFS(TableauRecette[Proportion],TableauRecette[Recette],TableauRecette[[#This Row],[Recette]],TableauRecette[Conditionnement],TableauRecette[[#This Row],[Conditionnement]]),0)</f>
        <v>24.5</v>
      </c>
      <c r="I28">
        <f>_xlfn.XLOOKUP(TableauRecette[[#This Row],[Ingredients]],TableauIngredients[Ingredients],TableauIngredients[Prix d''achat (kg)],0,0,1)*TableauRecette[[#This Row],[Proportion]]/TableauRecette[[#This Row],[Total Proportion]]</f>
        <v>1.9322448979591835</v>
      </c>
      <c r="L28">
        <f>_xlfn.XLOOKUP(TableauRecette[[#This Row],[ID]],TableauProduit[ID],TableauProduit[Total (kg) N1],0,0,1)*_xlfn.XLOOKUP(TableauRecette[[#This Row],[ID]],TableauProduit[ID],TableauProduit[Total (kg) N1],0,0,1)</f>
        <v>0</v>
      </c>
      <c r="M28" t="e">
        <f>_xlfn.XLOOKUP(TableauRecette[[#This Row],[ID]],TableauProduit[ID],TableauProduit[Total (kg) N1],0,0,1)*_xlfn.XLOOKUP(TableauRecette[[#This Row],[ID]],TableauProduit[ID],TableauProduit[Total (kg) N2],0,0,1)</f>
        <v>#REF!</v>
      </c>
      <c r="N28" t="e">
        <f>_xlfn.XLOOKUP(TableauRecette[[#This Row],[ID]],TableauProduit[ID],TableauProduit[Total (kg) N3],0,0,1)*#REF!</f>
        <v>#REF!</v>
      </c>
      <c r="O28" t="e">
        <f>_xlfn.XLOOKUP(TableauRecette[[#This Row],[ID]],TableauProduit[ID],TableauProduit[Total (kg) N4],0,0,1)*#REF!</f>
        <v>#REF!</v>
      </c>
      <c r="P28" t="e">
        <f>_xlfn.XLOOKUP(TableauRecette[[#This Row],[ID]],TableauProduit[ID],TableauProduit[Total (kg) N5],0,0,1)*#REF!</f>
        <v>#REF!</v>
      </c>
      <c r="Q28" t="e">
        <f>_xlfn.XLOOKUP(TableauRecette[[#This Row],[ID]],TableauProduit[ID],TableauProduit[Total (kg) N6],0,0,1)*#REF!</f>
        <v>#REF!</v>
      </c>
      <c r="R28" t="e">
        <f>_xlfn.XLOOKUP(TableauRecette[[#This Row],[ID]],TableauProduit[ID],TableauProduit[Total (kg) N7],0,0,1)*#REF!</f>
        <v>#REF!</v>
      </c>
      <c r="S28" t="e">
        <f>_xlfn.XLOOKUP(TableauRecette[[#This Row],[ID]],TableauProduit[ID],TableauProduit[Total (kg) N8],0,0,1)*#REF!</f>
        <v>#REF!</v>
      </c>
      <c r="T28" t="e">
        <f>_xlfn.XLOOKUP(TableauRecette[[#This Row],[ID]],TableauProduit[ID],TableauProduit[Total (kg) N9],0,0,1)*#REF!</f>
        <v>#REF!</v>
      </c>
    </row>
    <row r="29" spans="1:20" x14ac:dyDescent="0.2">
      <c r="A29" t="s">
        <v>131</v>
      </c>
      <c r="B29" t="str">
        <f>TableauRecette[[#This Row],[Recette]]&amp;TableauRecette[[#This Row],[Conditionnement]]</f>
        <v>Chaat masalaEpice 100ml</v>
      </c>
      <c r="C29" t="s">
        <v>345</v>
      </c>
      <c r="D29">
        <v>1</v>
      </c>
      <c r="E29" t="s">
        <v>73</v>
      </c>
      <c r="F29">
        <f>IFERROR(TableauRecette[[#This Row],[Proportion]]/SUMIFS(TableauRecette[Proportion],TableauRecette[Recette],TableauRecette[[#This Row],[Recette]],TableauRecette[Conditionnement],TableauRecette[[#This Row],[Conditionnement]]),0)</f>
        <v>4.0816326530612242E-2</v>
      </c>
      <c r="G29">
        <f>IFERROR(_xlfn.XLOOKUP(TableauRecette[[#This Row],[Ingredients]],TableauIngredients[Ingredients],#REF!,0)*#REF!,0)</f>
        <v>0</v>
      </c>
      <c r="H29">
        <f>IFERROR(SUMIFS(TableauRecette[Proportion],TableauRecette[Recette],TableauRecette[[#This Row],[Recette]],TableauRecette[Conditionnement],TableauRecette[[#This Row],[Conditionnement]]),0)</f>
        <v>24.5</v>
      </c>
      <c r="I2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29" t="s">
        <v>361</v>
      </c>
      <c r="K29" t="s">
        <v>341</v>
      </c>
      <c r="L29">
        <f>_xlfn.XLOOKUP(TableauRecette[[#This Row],[ID]],TableauProduit[ID],TableauProduit[Total (kg) N1],0,0,1)*_xlfn.XLOOKUP(TableauRecette[[#This Row],[ID]],TableauProduit[ID],TableauProduit[Total (kg) N1],0,0,1)</f>
        <v>0</v>
      </c>
      <c r="M29" t="e">
        <f>_xlfn.XLOOKUP(TableauRecette[[#This Row],[ID]],TableauProduit[ID],TableauProduit[Total (kg) N1],0,0,1)*_xlfn.XLOOKUP(TableauRecette[[#This Row],[ID]],TableauProduit[ID],TableauProduit[Total (kg) N2],0,0,1)</f>
        <v>#REF!</v>
      </c>
      <c r="N29" t="e">
        <f>_xlfn.XLOOKUP(TableauRecette[[#This Row],[ID]],TableauProduit[ID],TableauProduit[Total (kg) N3],0,0,1)*#REF!</f>
        <v>#REF!</v>
      </c>
      <c r="O29" t="e">
        <f>_xlfn.XLOOKUP(TableauRecette[[#This Row],[ID]],TableauProduit[ID],TableauProduit[Total (kg) N4],0,0,1)*#REF!</f>
        <v>#REF!</v>
      </c>
      <c r="P29" t="e">
        <f>_xlfn.XLOOKUP(TableauRecette[[#This Row],[ID]],TableauProduit[ID],TableauProduit[Total (kg) N5],0,0,1)*#REF!</f>
        <v>#REF!</v>
      </c>
      <c r="Q29" t="e">
        <f>_xlfn.XLOOKUP(TableauRecette[[#This Row],[ID]],TableauProduit[ID],TableauProduit[Total (kg) N6],0,0,1)*#REF!</f>
        <v>#REF!</v>
      </c>
      <c r="R29" t="e">
        <f>_xlfn.XLOOKUP(TableauRecette[[#This Row],[ID]],TableauProduit[ID],TableauProduit[Total (kg) N7],0,0,1)*#REF!</f>
        <v>#REF!</v>
      </c>
      <c r="S29" t="e">
        <f>_xlfn.XLOOKUP(TableauRecette[[#This Row],[ID]],TableauProduit[ID],TableauProduit[Total (kg) N8],0,0,1)*#REF!</f>
        <v>#REF!</v>
      </c>
      <c r="T29" t="e">
        <f>_xlfn.XLOOKUP(TableauRecette[[#This Row],[ID]],TableauProduit[ID],TableauProduit[Total (kg) N9],0,0,1)*#REF!</f>
        <v>#REF!</v>
      </c>
    </row>
    <row r="30" spans="1:20" x14ac:dyDescent="0.2">
      <c r="A30" t="s">
        <v>131</v>
      </c>
      <c r="B30" t="str">
        <f>TableauRecette[[#This Row],[Recette]]&amp;TableauRecette[[#This Row],[Conditionnement]]</f>
        <v>Chaat masalaEpice 100ml</v>
      </c>
      <c r="C30" t="s">
        <v>362</v>
      </c>
      <c r="D30">
        <v>0.5</v>
      </c>
      <c r="E30" t="s">
        <v>73</v>
      </c>
      <c r="F30">
        <f>IFERROR(TableauRecette[[#This Row],[Proportion]]/SUMIFS(TableauRecette[Proportion],TableauRecette[Recette],TableauRecette[[#This Row],[Recette]],TableauRecette[Conditionnement],TableauRecette[[#This Row],[Conditionnement]]),0)</f>
        <v>2.0408163265306121E-2</v>
      </c>
      <c r="G30">
        <f>IFERROR(_xlfn.XLOOKUP(TableauRecette[[#This Row],[Ingredients]],TableauIngredients[Ingredients],#REF!,0)*#REF!,0)</f>
        <v>0</v>
      </c>
      <c r="H30">
        <f>IFERROR(SUMIFS(TableauRecette[Proportion],TableauRecette[Recette],TableauRecette[[#This Row],[Recette]],TableauRecette[Conditionnement],TableauRecette[[#This Row],[Conditionnement]]),0)</f>
        <v>24.5</v>
      </c>
      <c r="I30">
        <f>_xlfn.XLOOKUP(TableauRecette[[#This Row],[Ingredients]],TableauIngredients[Ingredients],TableauIngredients[Prix d''achat (kg)],0,0,1)*TableauRecette[[#This Row],[Proportion]]/TableauRecette[[#This Row],[Total Proportion]]</f>
        <v>2.0408163265306123</v>
      </c>
      <c r="J30" t="s">
        <v>361</v>
      </c>
      <c r="K30" t="s">
        <v>341</v>
      </c>
      <c r="L30">
        <f>_xlfn.XLOOKUP(TableauRecette[[#This Row],[ID]],TableauProduit[ID],TableauProduit[Total (kg) N1],0,0,1)*_xlfn.XLOOKUP(TableauRecette[[#This Row],[ID]],TableauProduit[ID],TableauProduit[Total (kg) N1],0,0,1)</f>
        <v>0</v>
      </c>
      <c r="M30" t="e">
        <f>_xlfn.XLOOKUP(TableauRecette[[#This Row],[ID]],TableauProduit[ID],TableauProduit[Total (kg) N1],0,0,1)*_xlfn.XLOOKUP(TableauRecette[[#This Row],[ID]],TableauProduit[ID],TableauProduit[Total (kg) N2],0,0,1)</f>
        <v>#REF!</v>
      </c>
      <c r="N30" t="e">
        <f>_xlfn.XLOOKUP(TableauRecette[[#This Row],[ID]],TableauProduit[ID],TableauProduit[Total (kg) N3],0,0,1)*#REF!</f>
        <v>#REF!</v>
      </c>
      <c r="O30" t="e">
        <f>_xlfn.XLOOKUP(TableauRecette[[#This Row],[ID]],TableauProduit[ID],TableauProduit[Total (kg) N4],0,0,1)*#REF!</f>
        <v>#REF!</v>
      </c>
      <c r="P30" t="e">
        <f>_xlfn.XLOOKUP(TableauRecette[[#This Row],[ID]],TableauProduit[ID],TableauProduit[Total (kg) N5],0,0,1)*#REF!</f>
        <v>#REF!</v>
      </c>
      <c r="Q30" t="e">
        <f>_xlfn.XLOOKUP(TableauRecette[[#This Row],[ID]],TableauProduit[ID],TableauProduit[Total (kg) N6],0,0,1)*#REF!</f>
        <v>#REF!</v>
      </c>
      <c r="R30" t="e">
        <f>_xlfn.XLOOKUP(TableauRecette[[#This Row],[ID]],TableauProduit[ID],TableauProduit[Total (kg) N7],0,0,1)*#REF!</f>
        <v>#REF!</v>
      </c>
      <c r="S30" t="e">
        <f>_xlfn.XLOOKUP(TableauRecette[[#This Row],[ID]],TableauProduit[ID],TableauProduit[Total (kg) N8],0,0,1)*#REF!</f>
        <v>#REF!</v>
      </c>
      <c r="T30" t="e">
        <f>_xlfn.XLOOKUP(TableauRecette[[#This Row],[ID]],TableauProduit[ID],TableauProduit[Total (kg) N9],0,0,1)*#REF!</f>
        <v>#REF!</v>
      </c>
    </row>
    <row r="31" spans="1:20" x14ac:dyDescent="0.2">
      <c r="A31" t="s">
        <v>131</v>
      </c>
      <c r="B31" t="str">
        <f>TableauRecette[[#This Row],[Recette]]&amp;TableauRecette[[#This Row],[Conditionnement]]</f>
        <v>Chaat masalaEpice 100ml</v>
      </c>
      <c r="C31" t="s">
        <v>363</v>
      </c>
      <c r="D31">
        <v>3</v>
      </c>
      <c r="E31" t="s">
        <v>73</v>
      </c>
      <c r="F31">
        <f>IFERROR(TableauRecette[[#This Row],[Proportion]]/SUMIFS(TableauRecette[Proportion],TableauRecette[Recette],TableauRecette[[#This Row],[Recette]],TableauRecette[Conditionnement],TableauRecette[[#This Row],[Conditionnement]]),0)</f>
        <v>0.12244897959183673</v>
      </c>
      <c r="G31">
        <f>IFERROR(_xlfn.XLOOKUP(TableauRecette[[#This Row],[Ingredients]],TableauIngredients[Ingredients],#REF!,0)*#REF!,0)</f>
        <v>0</v>
      </c>
      <c r="H31">
        <f>IFERROR(SUMIFS(TableauRecette[Proportion],TableauRecette[Recette],TableauRecette[[#This Row],[Recette]],TableauRecette[Conditionnement],TableauRecette[[#This Row],[Conditionnement]]),0)</f>
        <v>24.5</v>
      </c>
      <c r="I31">
        <f>_xlfn.XLOOKUP(TableauRecette[[#This Row],[Ingredients]],TableauIngredients[Ingredients],TableauIngredients[Prix d''achat (kg)],0,0,1)*TableauRecette[[#This Row],[Proportion]]/TableauRecette[[#This Row],[Total Proportion]]</f>
        <v>11.877551020408163</v>
      </c>
      <c r="J31" t="s">
        <v>361</v>
      </c>
      <c r="K31" t="s">
        <v>341</v>
      </c>
      <c r="L31">
        <f>_xlfn.XLOOKUP(TableauRecette[[#This Row],[ID]],TableauProduit[ID],TableauProduit[Total (kg) N1],0,0,1)*_xlfn.XLOOKUP(TableauRecette[[#This Row],[ID]],TableauProduit[ID],TableauProduit[Total (kg) N1],0,0,1)</f>
        <v>0</v>
      </c>
      <c r="M31" t="e">
        <f>_xlfn.XLOOKUP(TableauRecette[[#This Row],[ID]],TableauProduit[ID],TableauProduit[Total (kg) N1],0,0,1)*_xlfn.XLOOKUP(TableauRecette[[#This Row],[ID]],TableauProduit[ID],TableauProduit[Total (kg) N2],0,0,1)</f>
        <v>#REF!</v>
      </c>
      <c r="N31" t="e">
        <f>_xlfn.XLOOKUP(TableauRecette[[#This Row],[ID]],TableauProduit[ID],TableauProduit[Total (kg) N3],0,0,1)*#REF!</f>
        <v>#REF!</v>
      </c>
      <c r="O31" t="e">
        <f>_xlfn.XLOOKUP(TableauRecette[[#This Row],[ID]],TableauProduit[ID],TableauProduit[Total (kg) N4],0,0,1)*#REF!</f>
        <v>#REF!</v>
      </c>
      <c r="P31" t="e">
        <f>_xlfn.XLOOKUP(TableauRecette[[#This Row],[ID]],TableauProduit[ID],TableauProduit[Total (kg) N5],0,0,1)*#REF!</f>
        <v>#REF!</v>
      </c>
      <c r="Q31" t="e">
        <f>_xlfn.XLOOKUP(TableauRecette[[#This Row],[ID]],TableauProduit[ID],TableauProduit[Total (kg) N6],0,0,1)*#REF!</f>
        <v>#REF!</v>
      </c>
      <c r="R31" t="e">
        <f>_xlfn.XLOOKUP(TableauRecette[[#This Row],[ID]],TableauProduit[ID],TableauProduit[Total (kg) N7],0,0,1)*#REF!</f>
        <v>#REF!</v>
      </c>
      <c r="S31" t="e">
        <f>_xlfn.XLOOKUP(TableauRecette[[#This Row],[ID]],TableauProduit[ID],TableauProduit[Total (kg) N8],0,0,1)*#REF!</f>
        <v>#REF!</v>
      </c>
      <c r="T31" t="e">
        <f>_xlfn.XLOOKUP(TableauRecette[[#This Row],[ID]],TableauProduit[ID],TableauProduit[Total (kg) N9],0,0,1)*#REF!</f>
        <v>#REF!</v>
      </c>
    </row>
    <row r="32" spans="1:20" x14ac:dyDescent="0.2">
      <c r="A32" t="s">
        <v>131</v>
      </c>
      <c r="B32" t="str">
        <f>TableauRecette[[#This Row],[Recette]]&amp;TableauRecette[[#This Row],[Conditionnement]]</f>
        <v>Chaat masalaEpice 100ml</v>
      </c>
      <c r="C32" t="s">
        <v>364</v>
      </c>
      <c r="D32">
        <v>1</v>
      </c>
      <c r="E32" t="s">
        <v>73</v>
      </c>
      <c r="F32">
        <f>IFERROR(TableauRecette[[#This Row],[Proportion]]/SUMIFS(TableauRecette[Proportion],TableauRecette[Recette],TableauRecette[[#This Row],[Recette]],TableauRecette[Conditionnement],TableauRecette[[#This Row],[Conditionnement]]),0)</f>
        <v>4.0816326530612242E-2</v>
      </c>
      <c r="G32">
        <f>IFERROR(_xlfn.XLOOKUP(TableauRecette[[#This Row],[Ingredients]],TableauIngredients[Ingredients],#REF!,0)*#REF!,0)</f>
        <v>0</v>
      </c>
      <c r="H32">
        <f>IFERROR(SUMIFS(TableauRecette[Proportion],TableauRecette[Recette],TableauRecette[[#This Row],[Recette]],TableauRecette[Conditionnement],TableauRecette[[#This Row],[Conditionnement]]),0)</f>
        <v>24.5</v>
      </c>
      <c r="I32">
        <f>_xlfn.XLOOKUP(TableauRecette[[#This Row],[Ingredients]],TableauIngredients[Ingredients],TableauIngredients[Prix d''achat (kg)],0,0,1)*TableauRecette[[#This Row],[Proportion]]/TableauRecette[[#This Row],[Total Proportion]]</f>
        <v>5.7142857142857141E-2</v>
      </c>
      <c r="J32" t="s">
        <v>361</v>
      </c>
      <c r="K32" t="s">
        <v>341</v>
      </c>
      <c r="L32">
        <f>_xlfn.XLOOKUP(TableauRecette[[#This Row],[ID]],TableauProduit[ID],TableauProduit[Total (kg) N1],0,0,1)*_xlfn.XLOOKUP(TableauRecette[[#This Row],[ID]],TableauProduit[ID],TableauProduit[Total (kg) N1],0,0,1)</f>
        <v>0</v>
      </c>
      <c r="M32" t="e">
        <f>_xlfn.XLOOKUP(TableauRecette[[#This Row],[ID]],TableauProduit[ID],TableauProduit[Total (kg) N1],0,0,1)*_xlfn.XLOOKUP(TableauRecette[[#This Row],[ID]],TableauProduit[ID],TableauProduit[Total (kg) N2],0,0,1)</f>
        <v>#REF!</v>
      </c>
      <c r="N32" t="e">
        <f>_xlfn.XLOOKUP(TableauRecette[[#This Row],[ID]],TableauProduit[ID],TableauProduit[Total (kg) N3],0,0,1)*#REF!</f>
        <v>#REF!</v>
      </c>
      <c r="O32" t="e">
        <f>_xlfn.XLOOKUP(TableauRecette[[#This Row],[ID]],TableauProduit[ID],TableauProduit[Total (kg) N4],0,0,1)*#REF!</f>
        <v>#REF!</v>
      </c>
      <c r="P32" t="e">
        <f>_xlfn.XLOOKUP(TableauRecette[[#This Row],[ID]],TableauProduit[ID],TableauProduit[Total (kg) N5],0,0,1)*#REF!</f>
        <v>#REF!</v>
      </c>
      <c r="Q32" t="e">
        <f>_xlfn.XLOOKUP(TableauRecette[[#This Row],[ID]],TableauProduit[ID],TableauProduit[Total (kg) N6],0,0,1)*#REF!</f>
        <v>#REF!</v>
      </c>
      <c r="R32" t="e">
        <f>_xlfn.XLOOKUP(TableauRecette[[#This Row],[ID]],TableauProduit[ID],TableauProduit[Total (kg) N7],0,0,1)*#REF!</f>
        <v>#REF!</v>
      </c>
      <c r="S32" t="e">
        <f>_xlfn.XLOOKUP(TableauRecette[[#This Row],[ID]],TableauProduit[ID],TableauProduit[Total (kg) N8],0,0,1)*#REF!</f>
        <v>#REF!</v>
      </c>
      <c r="T32" t="e">
        <f>_xlfn.XLOOKUP(TableauRecette[[#This Row],[ID]],TableauProduit[ID],TableauProduit[Total (kg) N9],0,0,1)*#REF!</f>
        <v>#REF!</v>
      </c>
    </row>
    <row r="33" spans="1:20" x14ac:dyDescent="0.2">
      <c r="A33" t="s">
        <v>70</v>
      </c>
      <c r="B33" t="str">
        <f>TableauRecette[[#This Row],[Recette]]&amp;TableauRecette[[#This Row],[Conditionnement]]</f>
        <v>ChoucrouteSeau 2,5 l, plastique</v>
      </c>
      <c r="C33" t="s">
        <v>365</v>
      </c>
      <c r="D33">
        <v>1000</v>
      </c>
      <c r="E33" t="s">
        <v>71</v>
      </c>
      <c r="F33">
        <f>IFERROR(TableauRecette[[#This Row],[Proportion]]/SUMIFS(TableauRecette[Proportion],TableauRecette[Recette],TableauRecette[[#This Row],[Recette]],TableauRecette[Conditionnement],TableauRecette[[#This Row],[Conditionnement]]),0)</f>
        <v>0.97465886939571145</v>
      </c>
      <c r="G33">
        <f>IFERROR(_xlfn.XLOOKUP(TableauRecette[[#This Row],[Ingredients]],TableauIngredients[Ingredients],#REF!,0)*#REF!,0)</f>
        <v>0</v>
      </c>
      <c r="H33">
        <f>IFERROR(SUMIFS(TableauRecette[Proportion],TableauRecette[Recette],TableauRecette[[#This Row],[Recette]],TableauRecette[Conditionnement],TableauRecette[[#This Row],[Conditionnement]]),0)</f>
        <v>1026</v>
      </c>
      <c r="I33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3">
        <f>_xlfn.XLOOKUP(TableauRecette[[#This Row],[ID]],TableauProduit[ID],TableauProduit[Total (kg) N1],0,0,1)*_xlfn.XLOOKUP(TableauRecette[[#This Row],[ID]],TableauProduit[ID],TableauProduit[Total (kg) N1],0,0,1)</f>
        <v>202500</v>
      </c>
      <c r="M33" t="e">
        <f>_xlfn.XLOOKUP(TableauRecette[[#This Row],[ID]],TableauProduit[ID],TableauProduit[Total (kg) N1],0,0,1)*_xlfn.XLOOKUP(TableauRecette[[#This Row],[ID]],TableauProduit[ID],TableauProduit[Total (kg) N2],0,0,1)</f>
        <v>#REF!</v>
      </c>
      <c r="N33" t="e">
        <f>_xlfn.XLOOKUP(TableauRecette[[#This Row],[ID]],TableauProduit[ID],TableauProduit[Total (kg) N3],0,0,1)*#REF!</f>
        <v>#REF!</v>
      </c>
      <c r="O33" t="e">
        <f>_xlfn.XLOOKUP(TableauRecette[[#This Row],[ID]],TableauProduit[ID],TableauProduit[Total (kg) N4],0,0,1)*#REF!</f>
        <v>#REF!</v>
      </c>
      <c r="P33" t="e">
        <f>_xlfn.XLOOKUP(TableauRecette[[#This Row],[ID]],TableauProduit[ID],TableauProduit[Total (kg) N5],0,0,1)*#REF!</f>
        <v>#REF!</v>
      </c>
      <c r="Q33" t="e">
        <f>_xlfn.XLOOKUP(TableauRecette[[#This Row],[ID]],TableauProduit[ID],TableauProduit[Total (kg) N6],0,0,1)*#REF!</f>
        <v>#REF!</v>
      </c>
      <c r="R33" t="e">
        <f>_xlfn.XLOOKUP(TableauRecette[[#This Row],[ID]],TableauProduit[ID],TableauProduit[Total (kg) N7],0,0,1)*#REF!</f>
        <v>#REF!</v>
      </c>
      <c r="S33" t="e">
        <f>_xlfn.XLOOKUP(TableauRecette[[#This Row],[ID]],TableauProduit[ID],TableauProduit[Total (kg) N8],0,0,1)*#REF!</f>
        <v>#REF!</v>
      </c>
      <c r="T33" t="e">
        <f>_xlfn.XLOOKUP(TableauRecette[[#This Row],[ID]],TableauProduit[ID],TableauProduit[Total (kg) N9],0,0,1)*#REF!</f>
        <v>#REF!</v>
      </c>
    </row>
    <row r="34" spans="1:20" x14ac:dyDescent="0.2">
      <c r="A34" t="s">
        <v>70</v>
      </c>
      <c r="B34" t="str">
        <f>TableauRecette[[#This Row],[Recette]]&amp;TableauRecette[[#This Row],[Conditionnement]]</f>
        <v>ChoucrouteSeau 2,5 l, plastique</v>
      </c>
      <c r="C34" t="s">
        <v>364</v>
      </c>
      <c r="D34">
        <v>20</v>
      </c>
      <c r="E34" t="s">
        <v>71</v>
      </c>
      <c r="F34">
        <f>IFERROR(TableauRecette[[#This Row],[Proportion]]/SUMIFS(TableauRecette[Proportion],TableauRecette[Recette],TableauRecette[[#This Row],[Recette]],TableauRecette[Conditionnement],TableauRecette[[#This Row],[Conditionnement]]),0)</f>
        <v>1.9493177387914229E-2</v>
      </c>
      <c r="G34">
        <f>IFERROR(_xlfn.XLOOKUP(TableauRecette[[#This Row],[Ingredients]],TableauIngredients[Ingredients],#REF!,0)*#REF!,0)</f>
        <v>0</v>
      </c>
      <c r="H34">
        <f>IFERROR(SUMIFS(TableauRecette[Proportion],TableauRecette[Recette],TableauRecette[[#This Row],[Recette]],TableauRecette[Conditionnement],TableauRecette[[#This Row],[Conditionnement]]),0)</f>
        <v>1026</v>
      </c>
      <c r="I34">
        <f>_xlfn.XLOOKUP(TableauRecette[[#This Row],[Ingredients]],TableauIngredients[Ingredients],TableauIngredients[Prix d''achat (kg)],0,0,1)*TableauRecette[[#This Row],[Proportion]]/TableauRecette[[#This Row],[Total Proportion]]</f>
        <v>2.7290448343079921E-2</v>
      </c>
      <c r="L34">
        <f>_xlfn.XLOOKUP(TableauRecette[[#This Row],[ID]],TableauProduit[ID],TableauProduit[Total (kg) N1],0,0,1)*_xlfn.XLOOKUP(TableauRecette[[#This Row],[ID]],TableauProduit[ID],TableauProduit[Total (kg) N1],0,0,1)</f>
        <v>202500</v>
      </c>
      <c r="M34" t="e">
        <f>_xlfn.XLOOKUP(TableauRecette[[#This Row],[ID]],TableauProduit[ID],TableauProduit[Total (kg) N1],0,0,1)*_xlfn.XLOOKUP(TableauRecette[[#This Row],[ID]],TableauProduit[ID],TableauProduit[Total (kg) N2],0,0,1)</f>
        <v>#REF!</v>
      </c>
      <c r="N34" t="e">
        <f>_xlfn.XLOOKUP(TableauRecette[[#This Row],[ID]],TableauProduit[ID],TableauProduit[Total (kg) N3],0,0,1)*#REF!</f>
        <v>#REF!</v>
      </c>
      <c r="O34" t="e">
        <f>_xlfn.XLOOKUP(TableauRecette[[#This Row],[ID]],TableauProduit[ID],TableauProduit[Total (kg) N4],0,0,1)*#REF!</f>
        <v>#REF!</v>
      </c>
      <c r="P34" t="e">
        <f>_xlfn.XLOOKUP(TableauRecette[[#This Row],[ID]],TableauProduit[ID],TableauProduit[Total (kg) N5],0,0,1)*#REF!</f>
        <v>#REF!</v>
      </c>
      <c r="Q34" t="e">
        <f>_xlfn.XLOOKUP(TableauRecette[[#This Row],[ID]],TableauProduit[ID],TableauProduit[Total (kg) N6],0,0,1)*#REF!</f>
        <v>#REF!</v>
      </c>
      <c r="R34" t="e">
        <f>_xlfn.XLOOKUP(TableauRecette[[#This Row],[ID]],TableauProduit[ID],TableauProduit[Total (kg) N7],0,0,1)*#REF!</f>
        <v>#REF!</v>
      </c>
      <c r="S34" t="e">
        <f>_xlfn.XLOOKUP(TableauRecette[[#This Row],[ID]],TableauProduit[ID],TableauProduit[Total (kg) N8],0,0,1)*#REF!</f>
        <v>#REF!</v>
      </c>
      <c r="T34" t="e">
        <f>_xlfn.XLOOKUP(TableauRecette[[#This Row],[ID]],TableauProduit[ID],TableauProduit[Total (kg) N9],0,0,1)*#REF!</f>
        <v>#REF!</v>
      </c>
    </row>
    <row r="35" spans="1:20" x14ac:dyDescent="0.2">
      <c r="A35" t="s">
        <v>70</v>
      </c>
      <c r="B35" t="str">
        <f>TableauRecette[[#This Row],[Recette]]&amp;TableauRecette[[#This Row],[Conditionnement]]</f>
        <v>ChoucrouteSeau 2,5 l, plastique</v>
      </c>
      <c r="C35" t="s">
        <v>358</v>
      </c>
      <c r="D35">
        <v>3</v>
      </c>
      <c r="E35" t="s">
        <v>71</v>
      </c>
      <c r="F35">
        <f>IFERROR(TableauRecette[[#This Row],[Proportion]]/SUMIFS(TableauRecette[Proportion],TableauRecette[Recette],TableauRecette[[#This Row],[Recette]],TableauRecette[Conditionnement],TableauRecette[[#This Row],[Conditionnement]]),0)</f>
        <v>2.9239766081871343E-3</v>
      </c>
      <c r="G35">
        <f>IFERROR(_xlfn.XLOOKUP(TableauRecette[[#This Row],[Ingredients]],TableauIngredients[Ingredients],#REF!,0)*#REF!,0)</f>
        <v>0</v>
      </c>
      <c r="H35">
        <f>IFERROR(SUMIFS(TableauRecette[Proportion],TableauRecette[Recette],TableauRecette[[#This Row],[Recette]],TableauRecette[Conditionnement],TableauRecette[[#This Row],[Conditionnement]]),0)</f>
        <v>1026</v>
      </c>
      <c r="I35">
        <f>_xlfn.XLOOKUP(TableauRecette[[#This Row],[Ingredients]],TableauIngredients[Ingredients],TableauIngredients[Prix d''achat (kg)],0,0,1)*TableauRecette[[#This Row],[Proportion]]/TableauRecette[[#This Row],[Total Proportion]]</f>
        <v>6.0672514619883038E-2</v>
      </c>
      <c r="L35">
        <f>_xlfn.XLOOKUP(TableauRecette[[#This Row],[ID]],TableauProduit[ID],TableauProduit[Total (kg) N1],0,0,1)*_xlfn.XLOOKUP(TableauRecette[[#This Row],[ID]],TableauProduit[ID],TableauProduit[Total (kg) N1],0,0,1)</f>
        <v>202500</v>
      </c>
      <c r="M35" t="e">
        <f>_xlfn.XLOOKUP(TableauRecette[[#This Row],[ID]],TableauProduit[ID],TableauProduit[Total (kg) N1],0,0,1)*_xlfn.XLOOKUP(TableauRecette[[#This Row],[ID]],TableauProduit[ID],TableauProduit[Total (kg) N2],0,0,1)</f>
        <v>#REF!</v>
      </c>
      <c r="N35" t="e">
        <f>_xlfn.XLOOKUP(TableauRecette[[#This Row],[ID]],TableauProduit[ID],TableauProduit[Total (kg) N3],0,0,1)*#REF!</f>
        <v>#REF!</v>
      </c>
      <c r="O35" t="e">
        <f>_xlfn.XLOOKUP(TableauRecette[[#This Row],[ID]],TableauProduit[ID],TableauProduit[Total (kg) N4],0,0,1)*#REF!</f>
        <v>#REF!</v>
      </c>
      <c r="P35" t="e">
        <f>_xlfn.XLOOKUP(TableauRecette[[#This Row],[ID]],TableauProduit[ID],TableauProduit[Total (kg) N5],0,0,1)*#REF!</f>
        <v>#REF!</v>
      </c>
      <c r="Q35" t="e">
        <f>_xlfn.XLOOKUP(TableauRecette[[#This Row],[ID]],TableauProduit[ID],TableauProduit[Total (kg) N6],0,0,1)*#REF!</f>
        <v>#REF!</v>
      </c>
      <c r="R35" t="e">
        <f>_xlfn.XLOOKUP(TableauRecette[[#This Row],[ID]],TableauProduit[ID],TableauProduit[Total (kg) N7],0,0,1)*#REF!</f>
        <v>#REF!</v>
      </c>
      <c r="S35" t="e">
        <f>_xlfn.XLOOKUP(TableauRecette[[#This Row],[ID]],TableauProduit[ID],TableauProduit[Total (kg) N8],0,0,1)*#REF!</f>
        <v>#REF!</v>
      </c>
      <c r="T35" t="e">
        <f>_xlfn.XLOOKUP(TableauRecette[[#This Row],[ID]],TableauProduit[ID],TableauProduit[Total (kg) N9],0,0,1)*#REF!</f>
        <v>#REF!</v>
      </c>
    </row>
    <row r="36" spans="1:20" x14ac:dyDescent="0.2">
      <c r="A36" t="s">
        <v>70</v>
      </c>
      <c r="B36" t="str">
        <f>TableauRecette[[#This Row],[Recette]]&amp;TableauRecette[[#This Row],[Conditionnement]]</f>
        <v>ChoucrouteSeau 2,5 l, plastique</v>
      </c>
      <c r="C36" t="s">
        <v>366</v>
      </c>
      <c r="D36">
        <v>3</v>
      </c>
      <c r="E36" t="s">
        <v>71</v>
      </c>
      <c r="F36">
        <f>IFERROR(TableauRecette[[#This Row],[Proportion]]/SUMIFS(TableauRecette[Proportion],TableauRecette[Recette],TableauRecette[[#This Row],[Recette]],TableauRecette[Conditionnement],TableauRecette[[#This Row],[Conditionnement]]),0)</f>
        <v>2.9239766081871343E-3</v>
      </c>
      <c r="G36">
        <f>IFERROR(_xlfn.XLOOKUP(TableauRecette[[#This Row],[Ingredients]],TableauIngredients[Ingredients],#REF!,0)*#REF!,0)</f>
        <v>0</v>
      </c>
      <c r="H36">
        <f>IFERROR(SUMIFS(TableauRecette[Proportion],TableauRecette[Recette],TableauRecette[[#This Row],[Recette]],TableauRecette[Conditionnement],TableauRecette[[#This Row],[Conditionnement]]),0)</f>
        <v>1026</v>
      </c>
      <c r="I3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6">
        <f>_xlfn.XLOOKUP(TableauRecette[[#This Row],[ID]],TableauProduit[ID],TableauProduit[Total (kg) N1],0,0,1)*_xlfn.XLOOKUP(TableauRecette[[#This Row],[ID]],TableauProduit[ID],TableauProduit[Total (kg) N1],0,0,1)</f>
        <v>202500</v>
      </c>
      <c r="M36" t="e">
        <f>_xlfn.XLOOKUP(TableauRecette[[#This Row],[ID]],TableauProduit[ID],TableauProduit[Total (kg) N1],0,0,1)*_xlfn.XLOOKUP(TableauRecette[[#This Row],[ID]],TableauProduit[ID],TableauProduit[Total (kg) N2],0,0,1)</f>
        <v>#REF!</v>
      </c>
      <c r="N36" t="e">
        <f>_xlfn.XLOOKUP(TableauRecette[[#This Row],[ID]],TableauProduit[ID],TableauProduit[Total (kg) N3],0,0,1)*#REF!</f>
        <v>#REF!</v>
      </c>
      <c r="O36" t="e">
        <f>_xlfn.XLOOKUP(TableauRecette[[#This Row],[ID]],TableauProduit[ID],TableauProduit[Total (kg) N4],0,0,1)*#REF!</f>
        <v>#REF!</v>
      </c>
      <c r="P36" t="e">
        <f>_xlfn.XLOOKUP(TableauRecette[[#This Row],[ID]],TableauProduit[ID],TableauProduit[Total (kg) N5],0,0,1)*#REF!</f>
        <v>#REF!</v>
      </c>
      <c r="Q36" t="e">
        <f>_xlfn.XLOOKUP(TableauRecette[[#This Row],[ID]],TableauProduit[ID],TableauProduit[Total (kg) N6],0,0,1)*#REF!</f>
        <v>#REF!</v>
      </c>
      <c r="R36" t="e">
        <f>_xlfn.XLOOKUP(TableauRecette[[#This Row],[ID]],TableauProduit[ID],TableauProduit[Total (kg) N7],0,0,1)*#REF!</f>
        <v>#REF!</v>
      </c>
      <c r="S36" t="e">
        <f>_xlfn.XLOOKUP(TableauRecette[[#This Row],[ID]],TableauProduit[ID],TableauProduit[Total (kg) N8],0,0,1)*#REF!</f>
        <v>#REF!</v>
      </c>
      <c r="T36" t="e">
        <f>_xlfn.XLOOKUP(TableauRecette[[#This Row],[ID]],TableauProduit[ID],TableauProduit[Total (kg) N9],0,0,1)*#REF!</f>
        <v>#REF!</v>
      </c>
    </row>
    <row r="37" spans="1:20" x14ac:dyDescent="0.2">
      <c r="A37" t="s">
        <v>120</v>
      </c>
      <c r="B37" t="str">
        <f>TableauRecette[[#This Row],[Recette]]&amp;TableauRecette[[#This Row],[Conditionnement]]</f>
        <v>ColomboEpice 100ml</v>
      </c>
      <c r="C37" t="s">
        <v>367</v>
      </c>
      <c r="D37">
        <v>30</v>
      </c>
      <c r="E37" t="s">
        <v>73</v>
      </c>
      <c r="F37">
        <f>IFERROR(TableauRecette[[#This Row],[Proportion]]/SUMIFS(TableauRecette[Proportion],TableauRecette[Recette],TableauRecette[[#This Row],[Recette]],TableauRecette[Conditionnement],TableauRecette[[#This Row],[Conditionnement]]),0)</f>
        <v>0.22556390977443608</v>
      </c>
      <c r="G37">
        <f>IFERROR(_xlfn.XLOOKUP(TableauRecette[[#This Row],[Ingredients]],TableauIngredients[Ingredients],#REF!,0)*#REF!,0)</f>
        <v>0</v>
      </c>
      <c r="H37">
        <f>IFERROR(SUMIFS(TableauRecette[Proportion],TableauRecette[Recette],TableauRecette[[#This Row],[Recette]],TableauRecette[Conditionnement],TableauRecette[[#This Row],[Conditionnement]]),0)</f>
        <v>133</v>
      </c>
      <c r="I3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7">
        <f>_xlfn.XLOOKUP(TableauRecette[[#This Row],[ID]],TableauProduit[ID],TableauProduit[Total (kg) N1],0,0,1)*_xlfn.XLOOKUP(TableauRecette[[#This Row],[ID]],TableauProduit[ID],TableauProduit[Total (kg) N1],0,0,1)</f>
        <v>0</v>
      </c>
      <c r="M37" t="e">
        <f>_xlfn.XLOOKUP(TableauRecette[[#This Row],[ID]],TableauProduit[ID],TableauProduit[Total (kg) N1],0,0,1)*_xlfn.XLOOKUP(TableauRecette[[#This Row],[ID]],TableauProduit[ID],TableauProduit[Total (kg) N2],0,0,1)</f>
        <v>#REF!</v>
      </c>
      <c r="N37" t="e">
        <f>_xlfn.XLOOKUP(TableauRecette[[#This Row],[ID]],TableauProduit[ID],TableauProduit[Total (kg) N3],0,0,1)*#REF!</f>
        <v>#REF!</v>
      </c>
      <c r="O37" t="e">
        <f>_xlfn.XLOOKUP(TableauRecette[[#This Row],[ID]],TableauProduit[ID],TableauProduit[Total (kg) N4],0,0,1)*#REF!</f>
        <v>#REF!</v>
      </c>
      <c r="P37" t="e">
        <f>_xlfn.XLOOKUP(TableauRecette[[#This Row],[ID]],TableauProduit[ID],TableauProduit[Total (kg) N5],0,0,1)*#REF!</f>
        <v>#REF!</v>
      </c>
      <c r="Q37" t="e">
        <f>_xlfn.XLOOKUP(TableauRecette[[#This Row],[ID]],TableauProduit[ID],TableauProduit[Total (kg) N6],0,0,1)*#REF!</f>
        <v>#REF!</v>
      </c>
      <c r="R37" t="e">
        <f>_xlfn.XLOOKUP(TableauRecette[[#This Row],[ID]],TableauProduit[ID],TableauProduit[Total (kg) N7],0,0,1)*#REF!</f>
        <v>#REF!</v>
      </c>
      <c r="S37" t="e">
        <f>_xlfn.XLOOKUP(TableauRecette[[#This Row],[ID]],TableauProduit[ID],TableauProduit[Total (kg) N8],0,0,1)*#REF!</f>
        <v>#REF!</v>
      </c>
      <c r="T37" t="e">
        <f>_xlfn.XLOOKUP(TableauRecette[[#This Row],[ID]],TableauProduit[ID],TableauProduit[Total (kg) N9],0,0,1)*#REF!</f>
        <v>#REF!</v>
      </c>
    </row>
    <row r="38" spans="1:20" x14ac:dyDescent="0.2">
      <c r="A38" t="s">
        <v>120</v>
      </c>
      <c r="B38" t="str">
        <f>TableauRecette[[#This Row],[Recette]]&amp;TableauRecette[[#This Row],[Conditionnement]]</f>
        <v>ColomboEpice 100ml</v>
      </c>
      <c r="C38" t="s">
        <v>351</v>
      </c>
      <c r="D38">
        <v>20</v>
      </c>
      <c r="E38" t="s">
        <v>73</v>
      </c>
      <c r="F38">
        <f>IFERROR(TableauRecette[[#This Row],[Proportion]]/SUMIFS(TableauRecette[Proportion],TableauRecette[Recette],TableauRecette[[#This Row],[Recette]],TableauRecette[Conditionnement],TableauRecette[[#This Row],[Conditionnement]]),0)</f>
        <v>0.15037593984962405</v>
      </c>
      <c r="G38">
        <f>IFERROR(_xlfn.XLOOKUP(TableauRecette[[#This Row],[Ingredients]],TableauIngredients[Ingredients],#REF!,0)*#REF!,0)</f>
        <v>0</v>
      </c>
      <c r="H38">
        <f>IFERROR(SUMIFS(TableauRecette[Proportion],TableauRecette[Recette],TableauRecette[[#This Row],[Recette]],TableauRecette[Conditionnement],TableauRecette[[#This Row],[Conditionnement]]),0)</f>
        <v>133</v>
      </c>
      <c r="I38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8">
        <f>_xlfn.XLOOKUP(TableauRecette[[#This Row],[ID]],TableauProduit[ID],TableauProduit[Total (kg) N1],0,0,1)*_xlfn.XLOOKUP(TableauRecette[[#This Row],[ID]],TableauProduit[ID],TableauProduit[Total (kg) N1],0,0,1)</f>
        <v>0</v>
      </c>
      <c r="M38" t="e">
        <f>_xlfn.XLOOKUP(TableauRecette[[#This Row],[ID]],TableauProduit[ID],TableauProduit[Total (kg) N1],0,0,1)*_xlfn.XLOOKUP(TableauRecette[[#This Row],[ID]],TableauProduit[ID],TableauProduit[Total (kg) N2],0,0,1)</f>
        <v>#REF!</v>
      </c>
      <c r="N38" t="e">
        <f>_xlfn.XLOOKUP(TableauRecette[[#This Row],[ID]],TableauProduit[ID],TableauProduit[Total (kg) N3],0,0,1)*#REF!</f>
        <v>#REF!</v>
      </c>
      <c r="O38" t="e">
        <f>_xlfn.XLOOKUP(TableauRecette[[#This Row],[ID]],TableauProduit[ID],TableauProduit[Total (kg) N4],0,0,1)*#REF!</f>
        <v>#REF!</v>
      </c>
      <c r="P38" t="e">
        <f>_xlfn.XLOOKUP(TableauRecette[[#This Row],[ID]],TableauProduit[ID],TableauProduit[Total (kg) N5],0,0,1)*#REF!</f>
        <v>#REF!</v>
      </c>
      <c r="Q38" t="e">
        <f>_xlfn.XLOOKUP(TableauRecette[[#This Row],[ID]],TableauProduit[ID],TableauProduit[Total (kg) N6],0,0,1)*#REF!</f>
        <v>#REF!</v>
      </c>
      <c r="R38" t="e">
        <f>_xlfn.XLOOKUP(TableauRecette[[#This Row],[ID]],TableauProduit[ID],TableauProduit[Total (kg) N7],0,0,1)*#REF!</f>
        <v>#REF!</v>
      </c>
      <c r="S38" t="e">
        <f>_xlfn.XLOOKUP(TableauRecette[[#This Row],[ID]],TableauProduit[ID],TableauProduit[Total (kg) N8],0,0,1)*#REF!</f>
        <v>#REF!</v>
      </c>
      <c r="T38" t="e">
        <f>_xlfn.XLOOKUP(TableauRecette[[#This Row],[ID]],TableauProduit[ID],TableauProduit[Total (kg) N9],0,0,1)*#REF!</f>
        <v>#REF!</v>
      </c>
    </row>
    <row r="39" spans="1:20" x14ac:dyDescent="0.2">
      <c r="A39" t="s">
        <v>120</v>
      </c>
      <c r="B39" t="str">
        <f>TableauRecette[[#This Row],[Recette]]&amp;TableauRecette[[#This Row],[Conditionnement]]</f>
        <v>ColomboEpice 100ml</v>
      </c>
      <c r="C39" t="s">
        <v>368</v>
      </c>
      <c r="D39">
        <v>20</v>
      </c>
      <c r="E39" t="s">
        <v>73</v>
      </c>
      <c r="F39">
        <f>IFERROR(TableauRecette[[#This Row],[Proportion]]/SUMIFS(TableauRecette[Proportion],TableauRecette[Recette],TableauRecette[[#This Row],[Recette]],TableauRecette[Conditionnement],TableauRecette[[#This Row],[Conditionnement]]),0)</f>
        <v>0.15037593984962405</v>
      </c>
      <c r="G39">
        <f>IFERROR(_xlfn.XLOOKUP(TableauRecette[[#This Row],[Ingredients]],TableauIngredients[Ingredients],#REF!,0)*#REF!,0)</f>
        <v>0</v>
      </c>
      <c r="H39">
        <f>IFERROR(SUMIFS(TableauRecette[Proportion],TableauRecette[Recette],TableauRecette[[#This Row],[Recette]],TableauRecette[Conditionnement],TableauRecette[[#This Row],[Conditionnement]]),0)</f>
        <v>133</v>
      </c>
      <c r="I3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9">
        <f>_xlfn.XLOOKUP(TableauRecette[[#This Row],[ID]],TableauProduit[ID],TableauProduit[Total (kg) N1],0,0,1)*_xlfn.XLOOKUP(TableauRecette[[#This Row],[ID]],TableauProduit[ID],TableauProduit[Total (kg) N1],0,0,1)</f>
        <v>0</v>
      </c>
      <c r="M39" t="e">
        <f>_xlfn.XLOOKUP(TableauRecette[[#This Row],[ID]],TableauProduit[ID],TableauProduit[Total (kg) N1],0,0,1)*_xlfn.XLOOKUP(TableauRecette[[#This Row],[ID]],TableauProduit[ID],TableauProduit[Total (kg) N2],0,0,1)</f>
        <v>#REF!</v>
      </c>
      <c r="N39" t="e">
        <f>_xlfn.XLOOKUP(TableauRecette[[#This Row],[ID]],TableauProduit[ID],TableauProduit[Total (kg) N3],0,0,1)*#REF!</f>
        <v>#REF!</v>
      </c>
      <c r="O39" t="e">
        <f>_xlfn.XLOOKUP(TableauRecette[[#This Row],[ID]],TableauProduit[ID],TableauProduit[Total (kg) N4],0,0,1)*#REF!</f>
        <v>#REF!</v>
      </c>
      <c r="P39" t="e">
        <f>_xlfn.XLOOKUP(TableauRecette[[#This Row],[ID]],TableauProduit[ID],TableauProduit[Total (kg) N5],0,0,1)*#REF!</f>
        <v>#REF!</v>
      </c>
      <c r="Q39" t="e">
        <f>_xlfn.XLOOKUP(TableauRecette[[#This Row],[ID]],TableauProduit[ID],TableauProduit[Total (kg) N6],0,0,1)*#REF!</f>
        <v>#REF!</v>
      </c>
      <c r="R39" t="e">
        <f>_xlfn.XLOOKUP(TableauRecette[[#This Row],[ID]],TableauProduit[ID],TableauProduit[Total (kg) N7],0,0,1)*#REF!</f>
        <v>#REF!</v>
      </c>
      <c r="S39" t="e">
        <f>_xlfn.XLOOKUP(TableauRecette[[#This Row],[ID]],TableauProduit[ID],TableauProduit[Total (kg) N8],0,0,1)*#REF!</f>
        <v>#REF!</v>
      </c>
      <c r="T39" t="e">
        <f>_xlfn.XLOOKUP(TableauRecette[[#This Row],[ID]],TableauProduit[ID],TableauProduit[Total (kg) N9],0,0,1)*#REF!</f>
        <v>#REF!</v>
      </c>
    </row>
    <row r="40" spans="1:20" x14ac:dyDescent="0.2">
      <c r="A40" t="s">
        <v>120</v>
      </c>
      <c r="B40" t="str">
        <f>TableauRecette[[#This Row],[Recette]]&amp;TableauRecette[[#This Row],[Conditionnement]]</f>
        <v>ColomboEpice 100ml</v>
      </c>
      <c r="C40" t="s">
        <v>352</v>
      </c>
      <c r="D40">
        <v>10</v>
      </c>
      <c r="E40" t="s">
        <v>73</v>
      </c>
      <c r="F40">
        <f>IFERROR(TableauRecette[[#This Row],[Proportion]]/SUMIFS(TableauRecette[Proportion],TableauRecette[Recette],TableauRecette[[#This Row],[Recette]],TableauRecette[Conditionnement],TableauRecette[[#This Row],[Conditionnement]]),0)</f>
        <v>7.5187969924812026E-2</v>
      </c>
      <c r="G40">
        <f>IFERROR(_xlfn.XLOOKUP(TableauRecette[[#This Row],[Ingredients]],TableauIngredients[Ingredients],#REF!,0)*#REF!,0)</f>
        <v>0</v>
      </c>
      <c r="H40">
        <f>IFERROR(SUMIFS(TableauRecette[Proportion],TableauRecette[Recette],TableauRecette[[#This Row],[Recette]],TableauRecette[Conditionnement],TableauRecette[[#This Row],[Conditionnement]]),0)</f>
        <v>133</v>
      </c>
      <c r="I40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0">
        <f>_xlfn.XLOOKUP(TableauRecette[[#This Row],[ID]],TableauProduit[ID],TableauProduit[Total (kg) N1],0,0,1)*_xlfn.XLOOKUP(TableauRecette[[#This Row],[ID]],TableauProduit[ID],TableauProduit[Total (kg) N1],0,0,1)</f>
        <v>0</v>
      </c>
      <c r="M40" t="e">
        <f>_xlfn.XLOOKUP(TableauRecette[[#This Row],[ID]],TableauProduit[ID],TableauProduit[Total (kg) N1],0,0,1)*_xlfn.XLOOKUP(TableauRecette[[#This Row],[ID]],TableauProduit[ID],TableauProduit[Total (kg) N2],0,0,1)</f>
        <v>#REF!</v>
      </c>
      <c r="N40" t="e">
        <f>_xlfn.XLOOKUP(TableauRecette[[#This Row],[ID]],TableauProduit[ID],TableauProduit[Total (kg) N3],0,0,1)*#REF!</f>
        <v>#REF!</v>
      </c>
      <c r="O40" t="e">
        <f>_xlfn.XLOOKUP(TableauRecette[[#This Row],[ID]],TableauProduit[ID],TableauProduit[Total (kg) N4],0,0,1)*#REF!</f>
        <v>#REF!</v>
      </c>
      <c r="P40" t="e">
        <f>_xlfn.XLOOKUP(TableauRecette[[#This Row],[ID]],TableauProduit[ID],TableauProduit[Total (kg) N5],0,0,1)*#REF!</f>
        <v>#REF!</v>
      </c>
      <c r="Q40" t="e">
        <f>_xlfn.XLOOKUP(TableauRecette[[#This Row],[ID]],TableauProduit[ID],TableauProduit[Total (kg) N6],0,0,1)*#REF!</f>
        <v>#REF!</v>
      </c>
      <c r="R40" t="e">
        <f>_xlfn.XLOOKUP(TableauRecette[[#This Row],[ID]],TableauProduit[ID],TableauProduit[Total (kg) N7],0,0,1)*#REF!</f>
        <v>#REF!</v>
      </c>
      <c r="S40" t="e">
        <f>_xlfn.XLOOKUP(TableauRecette[[#This Row],[ID]],TableauProduit[ID],TableauProduit[Total (kg) N8],0,0,1)*#REF!</f>
        <v>#REF!</v>
      </c>
      <c r="T40" t="e">
        <f>_xlfn.XLOOKUP(TableauRecette[[#This Row],[ID]],TableauProduit[ID],TableauProduit[Total (kg) N9],0,0,1)*#REF!</f>
        <v>#REF!</v>
      </c>
    </row>
    <row r="41" spans="1:20" x14ac:dyDescent="0.2">
      <c r="A41" t="s">
        <v>120</v>
      </c>
      <c r="B41" t="str">
        <f>TableauRecette[[#This Row],[Recette]]&amp;TableauRecette[[#This Row],[Conditionnement]]</f>
        <v>ColomboEpice 100ml</v>
      </c>
      <c r="C41" t="s">
        <v>345</v>
      </c>
      <c r="D41">
        <v>10</v>
      </c>
      <c r="E41" t="s">
        <v>73</v>
      </c>
      <c r="F41">
        <f>IFERROR(TableauRecette[[#This Row],[Proportion]]/SUMIFS(TableauRecette[Proportion],TableauRecette[Recette],TableauRecette[[#This Row],[Recette]],TableauRecette[Conditionnement],TableauRecette[[#This Row],[Conditionnement]]),0)</f>
        <v>7.5187969924812026E-2</v>
      </c>
      <c r="G41">
        <f>IFERROR(_xlfn.XLOOKUP(TableauRecette[[#This Row],[Ingredients]],TableauIngredients[Ingredients],#REF!,0)*#REF!,0)</f>
        <v>0</v>
      </c>
      <c r="H41">
        <f>IFERROR(SUMIFS(TableauRecette[Proportion],TableauRecette[Recette],TableauRecette[[#This Row],[Recette]],TableauRecette[Conditionnement],TableauRecette[[#This Row],[Conditionnement]]),0)</f>
        <v>133</v>
      </c>
      <c r="I4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41" t="s">
        <v>341</v>
      </c>
      <c r="L41">
        <f>_xlfn.XLOOKUP(TableauRecette[[#This Row],[ID]],TableauProduit[ID],TableauProduit[Total (kg) N1],0,0,1)*_xlfn.XLOOKUP(TableauRecette[[#This Row],[ID]],TableauProduit[ID],TableauProduit[Total (kg) N1],0,0,1)</f>
        <v>0</v>
      </c>
      <c r="M41" t="e">
        <f>_xlfn.XLOOKUP(TableauRecette[[#This Row],[ID]],TableauProduit[ID],TableauProduit[Total (kg) N1],0,0,1)*_xlfn.XLOOKUP(TableauRecette[[#This Row],[ID]],TableauProduit[ID],TableauProduit[Total (kg) N2],0,0,1)</f>
        <v>#REF!</v>
      </c>
      <c r="N41" t="e">
        <f>_xlfn.XLOOKUP(TableauRecette[[#This Row],[ID]],TableauProduit[ID],TableauProduit[Total (kg) N3],0,0,1)*#REF!</f>
        <v>#REF!</v>
      </c>
      <c r="O41" t="e">
        <f>_xlfn.XLOOKUP(TableauRecette[[#This Row],[ID]],TableauProduit[ID],TableauProduit[Total (kg) N4],0,0,1)*#REF!</f>
        <v>#REF!</v>
      </c>
      <c r="P41" t="e">
        <f>_xlfn.XLOOKUP(TableauRecette[[#This Row],[ID]],TableauProduit[ID],TableauProduit[Total (kg) N5],0,0,1)*#REF!</f>
        <v>#REF!</v>
      </c>
      <c r="Q41" t="e">
        <f>_xlfn.XLOOKUP(TableauRecette[[#This Row],[ID]],TableauProduit[ID],TableauProduit[Total (kg) N6],0,0,1)*#REF!</f>
        <v>#REF!</v>
      </c>
      <c r="R41" t="e">
        <f>_xlfn.XLOOKUP(TableauRecette[[#This Row],[ID]],TableauProduit[ID],TableauProduit[Total (kg) N7],0,0,1)*#REF!</f>
        <v>#REF!</v>
      </c>
      <c r="S41" t="e">
        <f>_xlfn.XLOOKUP(TableauRecette[[#This Row],[ID]],TableauProduit[ID],TableauProduit[Total (kg) N8],0,0,1)*#REF!</f>
        <v>#REF!</v>
      </c>
      <c r="T41" t="e">
        <f>_xlfn.XLOOKUP(TableauRecette[[#This Row],[ID]],TableauProduit[ID],TableauProduit[Total (kg) N9],0,0,1)*#REF!</f>
        <v>#REF!</v>
      </c>
    </row>
    <row r="42" spans="1:20" x14ac:dyDescent="0.2">
      <c r="A42" t="s">
        <v>120</v>
      </c>
      <c r="B42" t="str">
        <f>TableauRecette[[#This Row],[Recette]]&amp;TableauRecette[[#This Row],[Conditionnement]]</f>
        <v>ColomboEpice 100ml</v>
      </c>
      <c r="C42" t="s">
        <v>348</v>
      </c>
      <c r="D42">
        <v>10</v>
      </c>
      <c r="E42" t="s">
        <v>73</v>
      </c>
      <c r="F42">
        <f>IFERROR(TableauRecette[[#This Row],[Proportion]]/SUMIFS(TableauRecette[Proportion],TableauRecette[Recette],TableauRecette[[#This Row],[Recette]],TableauRecette[Conditionnement],TableauRecette[[#This Row],[Conditionnement]]),0)</f>
        <v>7.5187969924812026E-2</v>
      </c>
      <c r="G42">
        <f>IFERROR(_xlfn.XLOOKUP(TableauRecette[[#This Row],[Ingredients]],TableauIngredients[Ingredients],#REF!,0)*#REF!,0)</f>
        <v>0</v>
      </c>
      <c r="H42">
        <f>IFERROR(SUMIFS(TableauRecette[Proportion],TableauRecette[Recette],TableauRecette[[#This Row],[Recette]],TableauRecette[Conditionnement],TableauRecette[[#This Row],[Conditionnement]]),0)</f>
        <v>133</v>
      </c>
      <c r="I42">
        <f>_xlfn.XLOOKUP(TableauRecette[[#This Row],[Ingredients]],TableauIngredients[Ingredients],TableauIngredients[Prix d''achat (kg)],0,0,1)*TableauRecette[[#This Row],[Proportion]]/TableauRecette[[#This Row],[Total Proportion]]</f>
        <v>2.7706766917293235</v>
      </c>
      <c r="L42">
        <f>_xlfn.XLOOKUP(TableauRecette[[#This Row],[ID]],TableauProduit[ID],TableauProduit[Total (kg) N1],0,0,1)*_xlfn.XLOOKUP(TableauRecette[[#This Row],[ID]],TableauProduit[ID],TableauProduit[Total (kg) N1],0,0,1)</f>
        <v>0</v>
      </c>
      <c r="M42" t="e">
        <f>_xlfn.XLOOKUP(TableauRecette[[#This Row],[ID]],TableauProduit[ID],TableauProduit[Total (kg) N1],0,0,1)*_xlfn.XLOOKUP(TableauRecette[[#This Row],[ID]],TableauProduit[ID],TableauProduit[Total (kg) N2],0,0,1)</f>
        <v>#REF!</v>
      </c>
      <c r="N42" t="e">
        <f>_xlfn.XLOOKUP(TableauRecette[[#This Row],[ID]],TableauProduit[ID],TableauProduit[Total (kg) N3],0,0,1)*#REF!</f>
        <v>#REF!</v>
      </c>
      <c r="O42" t="e">
        <f>_xlfn.XLOOKUP(TableauRecette[[#This Row],[ID]],TableauProduit[ID],TableauProduit[Total (kg) N4],0,0,1)*#REF!</f>
        <v>#REF!</v>
      </c>
      <c r="P42" t="e">
        <f>_xlfn.XLOOKUP(TableauRecette[[#This Row],[ID]],TableauProduit[ID],TableauProduit[Total (kg) N5],0,0,1)*#REF!</f>
        <v>#REF!</v>
      </c>
      <c r="Q42" t="e">
        <f>_xlfn.XLOOKUP(TableauRecette[[#This Row],[ID]],TableauProduit[ID],TableauProduit[Total (kg) N6],0,0,1)*#REF!</f>
        <v>#REF!</v>
      </c>
      <c r="R42" t="e">
        <f>_xlfn.XLOOKUP(TableauRecette[[#This Row],[ID]],TableauProduit[ID],TableauProduit[Total (kg) N7],0,0,1)*#REF!</f>
        <v>#REF!</v>
      </c>
      <c r="S42" t="e">
        <f>_xlfn.XLOOKUP(TableauRecette[[#This Row],[ID]],TableauProduit[ID],TableauProduit[Total (kg) N8],0,0,1)*#REF!</f>
        <v>#REF!</v>
      </c>
      <c r="T42" t="e">
        <f>_xlfn.XLOOKUP(TableauRecette[[#This Row],[ID]],TableauProduit[ID],TableauProduit[Total (kg) N9],0,0,1)*#REF!</f>
        <v>#REF!</v>
      </c>
    </row>
    <row r="43" spans="1:20" x14ac:dyDescent="0.2">
      <c r="A43" t="s">
        <v>120</v>
      </c>
      <c r="B43" t="str">
        <f>TableauRecette[[#This Row],[Recette]]&amp;TableauRecette[[#This Row],[Conditionnement]]</f>
        <v>ColomboEpice 100ml</v>
      </c>
      <c r="C43" t="s">
        <v>369</v>
      </c>
      <c r="D43">
        <v>5</v>
      </c>
      <c r="E43" t="s">
        <v>73</v>
      </c>
      <c r="F43">
        <f>IFERROR(TableauRecette[[#This Row],[Proportion]]/SUMIFS(TableauRecette[Proportion],TableauRecette[Recette],TableauRecette[[#This Row],[Recette]],TableauRecette[Conditionnement],TableauRecette[[#This Row],[Conditionnement]]),0)</f>
        <v>3.7593984962406013E-2</v>
      </c>
      <c r="G43">
        <f>IFERROR(_xlfn.XLOOKUP(TableauRecette[[#This Row],[Ingredients]],TableauIngredients[Ingredients],#REF!,0)*#REF!,0)</f>
        <v>0</v>
      </c>
      <c r="H43">
        <f>IFERROR(SUMIFS(TableauRecette[Proportion],TableauRecette[Recette],TableauRecette[[#This Row],[Recette]],TableauRecette[Conditionnement],TableauRecette[[#This Row],[Conditionnement]]),0)</f>
        <v>133</v>
      </c>
      <c r="I43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3">
        <f>_xlfn.XLOOKUP(TableauRecette[[#This Row],[ID]],TableauProduit[ID],TableauProduit[Total (kg) N1],0,0,1)*_xlfn.XLOOKUP(TableauRecette[[#This Row],[ID]],TableauProduit[ID],TableauProduit[Total (kg) N1],0,0,1)</f>
        <v>0</v>
      </c>
      <c r="M43" t="e">
        <f>_xlfn.XLOOKUP(TableauRecette[[#This Row],[ID]],TableauProduit[ID],TableauProduit[Total (kg) N1],0,0,1)*_xlfn.XLOOKUP(TableauRecette[[#This Row],[ID]],TableauProduit[ID],TableauProduit[Total (kg) N2],0,0,1)</f>
        <v>#REF!</v>
      </c>
      <c r="N43" t="e">
        <f>_xlfn.XLOOKUP(TableauRecette[[#This Row],[ID]],TableauProduit[ID],TableauProduit[Total (kg) N3],0,0,1)*#REF!</f>
        <v>#REF!</v>
      </c>
      <c r="O43" t="e">
        <f>_xlfn.XLOOKUP(TableauRecette[[#This Row],[ID]],TableauProduit[ID],TableauProduit[Total (kg) N4],0,0,1)*#REF!</f>
        <v>#REF!</v>
      </c>
      <c r="P43" t="e">
        <f>_xlfn.XLOOKUP(TableauRecette[[#This Row],[ID]],TableauProduit[ID],TableauProduit[Total (kg) N5],0,0,1)*#REF!</f>
        <v>#REF!</v>
      </c>
      <c r="Q43" t="e">
        <f>_xlfn.XLOOKUP(TableauRecette[[#This Row],[ID]],TableauProduit[ID],TableauProduit[Total (kg) N6],0,0,1)*#REF!</f>
        <v>#REF!</v>
      </c>
      <c r="R43" t="e">
        <f>_xlfn.XLOOKUP(TableauRecette[[#This Row],[ID]],TableauProduit[ID],TableauProduit[Total (kg) N7],0,0,1)*#REF!</f>
        <v>#REF!</v>
      </c>
      <c r="S43" t="e">
        <f>_xlfn.XLOOKUP(TableauRecette[[#This Row],[ID]],TableauProduit[ID],TableauProduit[Total (kg) N8],0,0,1)*#REF!</f>
        <v>#REF!</v>
      </c>
      <c r="T43" t="e">
        <f>_xlfn.XLOOKUP(TableauRecette[[#This Row],[ID]],TableauProduit[ID],TableauProduit[Total (kg) N9],0,0,1)*#REF!</f>
        <v>#REF!</v>
      </c>
    </row>
    <row r="44" spans="1:20" x14ac:dyDescent="0.2">
      <c r="A44" t="s">
        <v>120</v>
      </c>
      <c r="B44" t="str">
        <f>TableauRecette[[#This Row],[Recette]]&amp;TableauRecette[[#This Row],[Conditionnement]]</f>
        <v>ColomboEpice 100ml</v>
      </c>
      <c r="C44" t="s">
        <v>342</v>
      </c>
      <c r="D44">
        <v>5</v>
      </c>
      <c r="E44" t="s">
        <v>73</v>
      </c>
      <c r="F44">
        <f>IFERROR(TableauRecette[[#This Row],[Proportion]]/SUMIFS(TableauRecette[Proportion],TableauRecette[Recette],TableauRecette[[#This Row],[Recette]],TableauRecette[Conditionnement],TableauRecette[[#This Row],[Conditionnement]]),0)</f>
        <v>3.7593984962406013E-2</v>
      </c>
      <c r="G44">
        <f>IFERROR(_xlfn.XLOOKUP(TableauRecette[[#This Row],[Ingredients]],TableauIngredients[Ingredients],#REF!,0)*#REF!,0)</f>
        <v>0</v>
      </c>
      <c r="H44">
        <f>IFERROR(SUMIFS(TableauRecette[Proportion],TableauRecette[Recette],TableauRecette[[#This Row],[Recette]],TableauRecette[Conditionnement],TableauRecette[[#This Row],[Conditionnement]]),0)</f>
        <v>133</v>
      </c>
      <c r="I44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4">
        <f>_xlfn.XLOOKUP(TableauRecette[[#This Row],[ID]],TableauProduit[ID],TableauProduit[Total (kg) N1],0,0,1)*_xlfn.XLOOKUP(TableauRecette[[#This Row],[ID]],TableauProduit[ID],TableauProduit[Total (kg) N1],0,0,1)</f>
        <v>0</v>
      </c>
      <c r="M44" t="e">
        <f>_xlfn.XLOOKUP(TableauRecette[[#This Row],[ID]],TableauProduit[ID],TableauProduit[Total (kg) N1],0,0,1)*_xlfn.XLOOKUP(TableauRecette[[#This Row],[ID]],TableauProduit[ID],TableauProduit[Total (kg) N2],0,0,1)</f>
        <v>#REF!</v>
      </c>
      <c r="N44" t="e">
        <f>_xlfn.XLOOKUP(TableauRecette[[#This Row],[ID]],TableauProduit[ID],TableauProduit[Total (kg) N3],0,0,1)*#REF!</f>
        <v>#REF!</v>
      </c>
      <c r="O44" t="e">
        <f>_xlfn.XLOOKUP(TableauRecette[[#This Row],[ID]],TableauProduit[ID],TableauProduit[Total (kg) N4],0,0,1)*#REF!</f>
        <v>#REF!</v>
      </c>
      <c r="P44" t="e">
        <f>_xlfn.XLOOKUP(TableauRecette[[#This Row],[ID]],TableauProduit[ID],TableauProduit[Total (kg) N5],0,0,1)*#REF!</f>
        <v>#REF!</v>
      </c>
      <c r="Q44" t="e">
        <f>_xlfn.XLOOKUP(TableauRecette[[#This Row],[ID]],TableauProduit[ID],TableauProduit[Total (kg) N6],0,0,1)*#REF!</f>
        <v>#REF!</v>
      </c>
      <c r="R44" t="e">
        <f>_xlfn.XLOOKUP(TableauRecette[[#This Row],[ID]],TableauProduit[ID],TableauProduit[Total (kg) N7],0,0,1)*#REF!</f>
        <v>#REF!</v>
      </c>
      <c r="S44" t="e">
        <f>_xlfn.XLOOKUP(TableauRecette[[#This Row],[ID]],TableauProduit[ID],TableauProduit[Total (kg) N8],0,0,1)*#REF!</f>
        <v>#REF!</v>
      </c>
      <c r="T44" t="e">
        <f>_xlfn.XLOOKUP(TableauRecette[[#This Row],[ID]],TableauProduit[ID],TableauProduit[Total (kg) N9],0,0,1)*#REF!</f>
        <v>#REF!</v>
      </c>
    </row>
    <row r="45" spans="1:20" x14ac:dyDescent="0.2">
      <c r="A45" t="s">
        <v>120</v>
      </c>
      <c r="B45" t="str">
        <f>TableauRecette[[#This Row],[Recette]]&amp;TableauRecette[[#This Row],[Conditionnement]]</f>
        <v>ColomboEpice 100ml</v>
      </c>
      <c r="C45" t="s">
        <v>370</v>
      </c>
      <c r="D45">
        <v>4</v>
      </c>
      <c r="E45" t="s">
        <v>73</v>
      </c>
      <c r="F45">
        <f>IFERROR(TableauRecette[[#This Row],[Proportion]]/SUMIFS(TableauRecette[Proportion],TableauRecette[Recette],TableauRecette[[#This Row],[Recette]],TableauRecette[Conditionnement],TableauRecette[[#This Row],[Conditionnement]]),0)</f>
        <v>3.007518796992481E-2</v>
      </c>
      <c r="G45">
        <f>IFERROR(_xlfn.XLOOKUP(TableauRecette[[#This Row],[Ingredients]],TableauIngredients[Ingredients],#REF!,0)*#REF!,0)</f>
        <v>0</v>
      </c>
      <c r="H45">
        <f>IFERROR(SUMIFS(TableauRecette[Proportion],TableauRecette[Recette],TableauRecette[[#This Row],[Recette]],TableauRecette[Conditionnement],TableauRecette[[#This Row],[Conditionnement]]),0)</f>
        <v>133</v>
      </c>
      <c r="I4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5">
        <f>_xlfn.XLOOKUP(TableauRecette[[#This Row],[ID]],TableauProduit[ID],TableauProduit[Total (kg) N1],0,0,1)*_xlfn.XLOOKUP(TableauRecette[[#This Row],[ID]],TableauProduit[ID],TableauProduit[Total (kg) N1],0,0,1)</f>
        <v>0</v>
      </c>
      <c r="M45" t="e">
        <f>_xlfn.XLOOKUP(TableauRecette[[#This Row],[ID]],TableauProduit[ID],TableauProduit[Total (kg) N1],0,0,1)*_xlfn.XLOOKUP(TableauRecette[[#This Row],[ID]],TableauProduit[ID],TableauProduit[Total (kg) N2],0,0,1)</f>
        <v>#REF!</v>
      </c>
      <c r="N45" t="e">
        <f>_xlfn.XLOOKUP(TableauRecette[[#This Row],[ID]],TableauProduit[ID],TableauProduit[Total (kg) N3],0,0,1)*#REF!</f>
        <v>#REF!</v>
      </c>
      <c r="O45" t="e">
        <f>_xlfn.XLOOKUP(TableauRecette[[#This Row],[ID]],TableauProduit[ID],TableauProduit[Total (kg) N4],0,0,1)*#REF!</f>
        <v>#REF!</v>
      </c>
      <c r="P45" t="e">
        <f>_xlfn.XLOOKUP(TableauRecette[[#This Row],[ID]],TableauProduit[ID],TableauProduit[Total (kg) N5],0,0,1)*#REF!</f>
        <v>#REF!</v>
      </c>
      <c r="Q45" t="e">
        <f>_xlfn.XLOOKUP(TableauRecette[[#This Row],[ID]],TableauProduit[ID],TableauProduit[Total (kg) N6],0,0,1)*#REF!</f>
        <v>#REF!</v>
      </c>
      <c r="R45" t="e">
        <f>_xlfn.XLOOKUP(TableauRecette[[#This Row],[ID]],TableauProduit[ID],TableauProduit[Total (kg) N7],0,0,1)*#REF!</f>
        <v>#REF!</v>
      </c>
      <c r="S45" t="e">
        <f>_xlfn.XLOOKUP(TableauRecette[[#This Row],[ID]],TableauProduit[ID],TableauProduit[Total (kg) N8],0,0,1)*#REF!</f>
        <v>#REF!</v>
      </c>
      <c r="T45" t="e">
        <f>_xlfn.XLOOKUP(TableauRecette[[#This Row],[ID]],TableauProduit[ID],TableauProduit[Total (kg) N9],0,0,1)*#REF!</f>
        <v>#REF!</v>
      </c>
    </row>
    <row r="46" spans="1:20" x14ac:dyDescent="0.2">
      <c r="A46" t="s">
        <v>120</v>
      </c>
      <c r="B46" t="str">
        <f>TableauRecette[[#This Row],[Recette]]&amp;TableauRecette[[#This Row],[Conditionnement]]</f>
        <v>ColomboEpice 100ml</v>
      </c>
      <c r="C46" t="s">
        <v>371</v>
      </c>
      <c r="D46">
        <v>3</v>
      </c>
      <c r="E46" t="s">
        <v>73</v>
      </c>
      <c r="F46">
        <f>IFERROR(TableauRecette[[#This Row],[Proportion]]/SUMIFS(TableauRecette[Proportion],TableauRecette[Recette],TableauRecette[[#This Row],[Recette]],TableauRecette[Conditionnement],TableauRecette[[#This Row],[Conditionnement]]),0)</f>
        <v>2.2556390977443608E-2</v>
      </c>
      <c r="G46">
        <f>IFERROR(_xlfn.XLOOKUP(TableauRecette[[#This Row],[Ingredients]],TableauIngredients[Ingredients],#REF!,0)*#REF!,0)</f>
        <v>0</v>
      </c>
      <c r="H46">
        <f>IFERROR(SUMIFS(TableauRecette[Proportion],TableauRecette[Recette],TableauRecette[[#This Row],[Recette]],TableauRecette[Conditionnement],TableauRecette[[#This Row],[Conditionnement]]),0)</f>
        <v>133</v>
      </c>
      <c r="I4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6">
        <f>_xlfn.XLOOKUP(TableauRecette[[#This Row],[ID]],TableauProduit[ID],TableauProduit[Total (kg) N1],0,0,1)*_xlfn.XLOOKUP(TableauRecette[[#This Row],[ID]],TableauProduit[ID],TableauProduit[Total (kg) N1],0,0,1)</f>
        <v>0</v>
      </c>
      <c r="M46" t="e">
        <f>_xlfn.XLOOKUP(TableauRecette[[#This Row],[ID]],TableauProduit[ID],TableauProduit[Total (kg) N1],0,0,1)*_xlfn.XLOOKUP(TableauRecette[[#This Row],[ID]],TableauProduit[ID],TableauProduit[Total (kg) N2],0,0,1)</f>
        <v>#REF!</v>
      </c>
      <c r="N46" t="e">
        <f>_xlfn.XLOOKUP(TableauRecette[[#This Row],[ID]],TableauProduit[ID],TableauProduit[Total (kg) N3],0,0,1)*#REF!</f>
        <v>#REF!</v>
      </c>
      <c r="O46" t="e">
        <f>_xlfn.XLOOKUP(TableauRecette[[#This Row],[ID]],TableauProduit[ID],TableauProduit[Total (kg) N4],0,0,1)*#REF!</f>
        <v>#REF!</v>
      </c>
      <c r="P46" t="e">
        <f>_xlfn.XLOOKUP(TableauRecette[[#This Row],[ID]],TableauProduit[ID],TableauProduit[Total (kg) N5],0,0,1)*#REF!</f>
        <v>#REF!</v>
      </c>
      <c r="Q46" t="e">
        <f>_xlfn.XLOOKUP(TableauRecette[[#This Row],[ID]],TableauProduit[ID],TableauProduit[Total (kg) N6],0,0,1)*#REF!</f>
        <v>#REF!</v>
      </c>
      <c r="R46" t="e">
        <f>_xlfn.XLOOKUP(TableauRecette[[#This Row],[ID]],TableauProduit[ID],TableauProduit[Total (kg) N7],0,0,1)*#REF!</f>
        <v>#REF!</v>
      </c>
      <c r="S46" t="e">
        <f>_xlfn.XLOOKUP(TableauRecette[[#This Row],[ID]],TableauProduit[ID],TableauProduit[Total (kg) N8],0,0,1)*#REF!</f>
        <v>#REF!</v>
      </c>
      <c r="T46" t="e">
        <f>_xlfn.XLOOKUP(TableauRecette[[#This Row],[ID]],TableauProduit[ID],TableauProduit[Total (kg) N9],0,0,1)*#REF!</f>
        <v>#REF!</v>
      </c>
    </row>
    <row r="47" spans="1:20" x14ac:dyDescent="0.2">
      <c r="A47" t="s">
        <v>120</v>
      </c>
      <c r="B47" t="str">
        <f>TableauRecette[[#This Row],[Recette]]&amp;TableauRecette[[#This Row],[Conditionnement]]</f>
        <v>ColomboEpice 100ml</v>
      </c>
      <c r="C47" t="s">
        <v>353</v>
      </c>
      <c r="D47">
        <v>1</v>
      </c>
      <c r="E47" t="s">
        <v>73</v>
      </c>
      <c r="F47">
        <f>IFERROR(TableauRecette[[#This Row],[Proportion]]/SUMIFS(TableauRecette[Proportion],TableauRecette[Recette],TableauRecette[[#This Row],[Recette]],TableauRecette[Conditionnement],TableauRecette[[#This Row],[Conditionnement]]),0)</f>
        <v>7.5187969924812026E-3</v>
      </c>
      <c r="G47">
        <f>IFERROR(_xlfn.XLOOKUP(TableauRecette[[#This Row],[Ingredients]],TableauIngredients[Ingredients],#REF!,0)*#REF!,0)</f>
        <v>0</v>
      </c>
      <c r="H47">
        <f>IFERROR(SUMIFS(TableauRecette[Proportion],TableauRecette[Recette],TableauRecette[[#This Row],[Recette]],TableauRecette[Conditionnement],TableauRecette[[#This Row],[Conditionnement]]),0)</f>
        <v>133</v>
      </c>
      <c r="I47">
        <f>_xlfn.XLOOKUP(TableauRecette[[#This Row],[Ingredients]],TableauIngredients[Ingredients],TableauIngredients[Prix d''achat (kg)],0,0,1)*TableauRecette[[#This Row],[Proportion]]/TableauRecette[[#This Row],[Total Proportion]]</f>
        <v>0.45112781954887216</v>
      </c>
      <c r="L47">
        <f>_xlfn.XLOOKUP(TableauRecette[[#This Row],[ID]],TableauProduit[ID],TableauProduit[Total (kg) N1],0,0,1)*_xlfn.XLOOKUP(TableauRecette[[#This Row],[ID]],TableauProduit[ID],TableauProduit[Total (kg) N1],0,0,1)</f>
        <v>0</v>
      </c>
      <c r="M47" t="e">
        <f>_xlfn.XLOOKUP(TableauRecette[[#This Row],[ID]],TableauProduit[ID],TableauProduit[Total (kg) N1],0,0,1)*_xlfn.XLOOKUP(TableauRecette[[#This Row],[ID]],TableauProduit[ID],TableauProduit[Total (kg) N2],0,0,1)</f>
        <v>#REF!</v>
      </c>
      <c r="N47" t="e">
        <f>_xlfn.XLOOKUP(TableauRecette[[#This Row],[ID]],TableauProduit[ID],TableauProduit[Total (kg) N3],0,0,1)*#REF!</f>
        <v>#REF!</v>
      </c>
      <c r="O47" t="e">
        <f>_xlfn.XLOOKUP(TableauRecette[[#This Row],[ID]],TableauProduit[ID],TableauProduit[Total (kg) N4],0,0,1)*#REF!</f>
        <v>#REF!</v>
      </c>
      <c r="P47" t="e">
        <f>_xlfn.XLOOKUP(TableauRecette[[#This Row],[ID]],TableauProduit[ID],TableauProduit[Total (kg) N5],0,0,1)*#REF!</f>
        <v>#REF!</v>
      </c>
      <c r="Q47" t="e">
        <f>_xlfn.XLOOKUP(TableauRecette[[#This Row],[ID]],TableauProduit[ID],TableauProduit[Total (kg) N6],0,0,1)*#REF!</f>
        <v>#REF!</v>
      </c>
      <c r="R47" t="e">
        <f>_xlfn.XLOOKUP(TableauRecette[[#This Row],[ID]],TableauProduit[ID],TableauProduit[Total (kg) N7],0,0,1)*#REF!</f>
        <v>#REF!</v>
      </c>
      <c r="S47" t="e">
        <f>_xlfn.XLOOKUP(TableauRecette[[#This Row],[ID]],TableauProduit[ID],TableauProduit[Total (kg) N8],0,0,1)*#REF!</f>
        <v>#REF!</v>
      </c>
      <c r="T47" t="e">
        <f>_xlfn.XLOOKUP(TableauRecette[[#This Row],[ID]],TableauProduit[ID],TableauProduit[Total (kg) N9],0,0,1)*#REF!</f>
        <v>#REF!</v>
      </c>
    </row>
    <row r="48" spans="1:20" x14ac:dyDescent="0.2">
      <c r="A48" t="s">
        <v>120</v>
      </c>
      <c r="B48" t="str">
        <f>TableauRecette[[#This Row],[Recette]]&amp;TableauRecette[[#This Row],[Conditionnement]]</f>
        <v>ColomboEpice 100ml</v>
      </c>
      <c r="C48" t="s">
        <v>372</v>
      </c>
      <c r="D48">
        <v>15</v>
      </c>
      <c r="E48" t="s">
        <v>73</v>
      </c>
      <c r="F48">
        <f>IFERROR(TableauRecette[[#This Row],[Proportion]]/SUMIFS(TableauRecette[Proportion],TableauRecette[Recette],TableauRecette[[#This Row],[Recette]],TableauRecette[Conditionnement],TableauRecette[[#This Row],[Conditionnement]]),0)</f>
        <v>0.11278195488721804</v>
      </c>
      <c r="G48">
        <f>IFERROR(_xlfn.XLOOKUP(TableauRecette[[#This Row],[Ingredients]],TableauIngredients[Ingredients],#REF!,0)*#REF!,0)</f>
        <v>0</v>
      </c>
      <c r="H48">
        <f>IFERROR(SUMIFS(TableauRecette[Proportion],TableauRecette[Recette],TableauRecette[[#This Row],[Recette]],TableauRecette[Conditionnement],TableauRecette[[#This Row],[Conditionnement]]),0)</f>
        <v>133</v>
      </c>
      <c r="I48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8">
        <f>_xlfn.XLOOKUP(TableauRecette[[#This Row],[ID]],TableauProduit[ID],TableauProduit[Total (kg) N1],0,0,1)*_xlfn.XLOOKUP(TableauRecette[[#This Row],[ID]],TableauProduit[ID],TableauProduit[Total (kg) N1],0,0,1)</f>
        <v>0</v>
      </c>
      <c r="M48" t="e">
        <f>_xlfn.XLOOKUP(TableauRecette[[#This Row],[ID]],TableauProduit[ID],TableauProduit[Total (kg) N1],0,0,1)*_xlfn.XLOOKUP(TableauRecette[[#This Row],[ID]],TableauProduit[ID],TableauProduit[Total (kg) N2],0,0,1)</f>
        <v>#REF!</v>
      </c>
      <c r="N48" t="e">
        <f>_xlfn.XLOOKUP(TableauRecette[[#This Row],[ID]],TableauProduit[ID],TableauProduit[Total (kg) N3],0,0,1)*#REF!</f>
        <v>#REF!</v>
      </c>
      <c r="O48" t="e">
        <f>_xlfn.XLOOKUP(TableauRecette[[#This Row],[ID]],TableauProduit[ID],TableauProduit[Total (kg) N4],0,0,1)*#REF!</f>
        <v>#REF!</v>
      </c>
      <c r="P48" t="e">
        <f>_xlfn.XLOOKUP(TableauRecette[[#This Row],[ID]],TableauProduit[ID],TableauProduit[Total (kg) N5],0,0,1)*#REF!</f>
        <v>#REF!</v>
      </c>
      <c r="Q48" t="e">
        <f>_xlfn.XLOOKUP(TableauRecette[[#This Row],[ID]],TableauProduit[ID],TableauProduit[Total (kg) N6],0,0,1)*#REF!</f>
        <v>#REF!</v>
      </c>
      <c r="R48" t="e">
        <f>_xlfn.XLOOKUP(TableauRecette[[#This Row],[ID]],TableauProduit[ID],TableauProduit[Total (kg) N7],0,0,1)*#REF!</f>
        <v>#REF!</v>
      </c>
      <c r="S48" t="e">
        <f>_xlfn.XLOOKUP(TableauRecette[[#This Row],[ID]],TableauProduit[ID],TableauProduit[Total (kg) N8],0,0,1)*#REF!</f>
        <v>#REF!</v>
      </c>
      <c r="T48" t="e">
        <f>_xlfn.XLOOKUP(TableauRecette[[#This Row],[ID]],TableauProduit[ID],TableauProduit[Total (kg) N9],0,0,1)*#REF!</f>
        <v>#REF!</v>
      </c>
    </row>
    <row r="49" spans="1:20" x14ac:dyDescent="0.2">
      <c r="A49" t="s">
        <v>72</v>
      </c>
      <c r="B49" t="str">
        <f>TableauRecette[[#This Row],[Recette]]&amp;TableauRecette[[#This Row],[Conditionnement]]</f>
        <v>Cumin graineEpice 100ml</v>
      </c>
      <c r="C49" t="s">
        <v>343</v>
      </c>
      <c r="D49">
        <v>1</v>
      </c>
      <c r="E49" t="s">
        <v>73</v>
      </c>
      <c r="F49">
        <f>IFERROR(TableauRecette[[#This Row],[Proportion]]/SUMIFS(TableauRecette[Proportion],TableauRecette[Recette],TableauRecette[[#This Row],[Recette]],TableauRecette[Conditionnement],TableauRecette[[#This Row],[Conditionnement]]),0)</f>
        <v>1</v>
      </c>
      <c r="G49">
        <f>IFERROR(_xlfn.XLOOKUP(TableauRecette[[#This Row],[Ingredients]],TableauIngredients[Ingredients],#REF!,0)*#REF!,0)</f>
        <v>0</v>
      </c>
      <c r="H49">
        <f>IFERROR(SUMIFS(TableauRecette[Proportion],TableauRecette[Recette],TableauRecette[[#This Row],[Recette]],TableauRecette[Conditionnement],TableauRecette[[#This Row],[Conditionnement]]),0)</f>
        <v>1</v>
      </c>
      <c r="I4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49" t="s">
        <v>361</v>
      </c>
      <c r="K49" t="s">
        <v>341</v>
      </c>
      <c r="L49">
        <f>_xlfn.XLOOKUP(TableauRecette[[#This Row],[ID]],TableauProduit[ID],TableauProduit[Total (kg) N1],0,0,1)*_xlfn.XLOOKUP(TableauRecette[[#This Row],[ID]],TableauProduit[ID],TableauProduit[Total (kg) N1],0,0,1)</f>
        <v>484</v>
      </c>
      <c r="M49" t="e">
        <f>_xlfn.XLOOKUP(TableauRecette[[#This Row],[ID]],TableauProduit[ID],TableauProduit[Total (kg) N1],0,0,1)*_xlfn.XLOOKUP(TableauRecette[[#This Row],[ID]],TableauProduit[ID],TableauProduit[Total (kg) N2],0,0,1)</f>
        <v>#REF!</v>
      </c>
      <c r="N49" t="e">
        <f>_xlfn.XLOOKUP(TableauRecette[[#This Row],[ID]],TableauProduit[ID],TableauProduit[Total (kg) N3],0,0,1)*#REF!</f>
        <v>#REF!</v>
      </c>
      <c r="O49" t="e">
        <f>_xlfn.XLOOKUP(TableauRecette[[#This Row],[ID]],TableauProduit[ID],TableauProduit[Total (kg) N4],0,0,1)*#REF!</f>
        <v>#REF!</v>
      </c>
      <c r="P49" t="e">
        <f>_xlfn.XLOOKUP(TableauRecette[[#This Row],[ID]],TableauProduit[ID],TableauProduit[Total (kg) N5],0,0,1)*#REF!</f>
        <v>#REF!</v>
      </c>
      <c r="Q49" t="e">
        <f>_xlfn.XLOOKUP(TableauRecette[[#This Row],[ID]],TableauProduit[ID],TableauProduit[Total (kg) N6],0,0,1)*#REF!</f>
        <v>#REF!</v>
      </c>
      <c r="R49" t="e">
        <f>_xlfn.XLOOKUP(TableauRecette[[#This Row],[ID]],TableauProduit[ID],TableauProduit[Total (kg) N7],0,0,1)*#REF!</f>
        <v>#REF!</v>
      </c>
      <c r="S49" t="e">
        <f>_xlfn.XLOOKUP(TableauRecette[[#This Row],[ID]],TableauProduit[ID],TableauProduit[Total (kg) N8],0,0,1)*#REF!</f>
        <v>#REF!</v>
      </c>
      <c r="T49" t="e">
        <f>_xlfn.XLOOKUP(TableauRecette[[#This Row],[ID]],TableauProduit[ID],TableauProduit[Total (kg) N9],0,0,1)*#REF!</f>
        <v>#REF!</v>
      </c>
    </row>
    <row r="50" spans="1:20" x14ac:dyDescent="0.2">
      <c r="A50" t="s">
        <v>74</v>
      </c>
      <c r="B50" t="str">
        <f>TableauRecette[[#This Row],[Recette]]&amp;TableauRecette[[#This Row],[Conditionnement]]</f>
        <v>Cumin mouluEpice 100ml</v>
      </c>
      <c r="C50" t="s">
        <v>352</v>
      </c>
      <c r="D50">
        <v>1</v>
      </c>
      <c r="E50" t="s">
        <v>73</v>
      </c>
      <c r="F50">
        <f>IFERROR(TableauRecette[[#This Row],[Proportion]]/SUMIFS(TableauRecette[Proportion],TableauRecette[Recette],TableauRecette[[#This Row],[Recette]],TableauRecette[Conditionnement],TableauRecette[[#This Row],[Conditionnement]]),0)</f>
        <v>1</v>
      </c>
      <c r="G50">
        <f>IFERROR(_xlfn.XLOOKUP(TableauRecette[[#This Row],[Ingredients]],TableauIngredients[Ingredients],#REF!,0)*#REF!,0)</f>
        <v>0</v>
      </c>
      <c r="H50">
        <f>IFERROR(SUMIFS(TableauRecette[Proportion],TableauRecette[Recette],TableauRecette[[#This Row],[Recette]],TableauRecette[Conditionnement],TableauRecette[[#This Row],[Conditionnement]]),0)</f>
        <v>1</v>
      </c>
      <c r="I50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50" t="s">
        <v>373</v>
      </c>
      <c r="K50" t="s">
        <v>341</v>
      </c>
      <c r="L50">
        <f>_xlfn.XLOOKUP(TableauRecette[[#This Row],[ID]],TableauProduit[ID],TableauProduit[Total (kg) N1],0,0,1)*_xlfn.XLOOKUP(TableauRecette[[#This Row],[ID]],TableauProduit[ID],TableauProduit[Total (kg) N1],0,0,1)</f>
        <v>625</v>
      </c>
      <c r="M50" t="e">
        <f>_xlfn.XLOOKUP(TableauRecette[[#This Row],[ID]],TableauProduit[ID],TableauProduit[Total (kg) N1],0,0,1)*_xlfn.XLOOKUP(TableauRecette[[#This Row],[ID]],TableauProduit[ID],TableauProduit[Total (kg) N2],0,0,1)</f>
        <v>#REF!</v>
      </c>
      <c r="N50" t="e">
        <f>_xlfn.XLOOKUP(TableauRecette[[#This Row],[ID]],TableauProduit[ID],TableauProduit[Total (kg) N3],0,0,1)*#REF!</f>
        <v>#REF!</v>
      </c>
      <c r="O50" t="e">
        <f>_xlfn.XLOOKUP(TableauRecette[[#This Row],[ID]],TableauProduit[ID],TableauProduit[Total (kg) N4],0,0,1)*#REF!</f>
        <v>#REF!</v>
      </c>
      <c r="P50" t="e">
        <f>_xlfn.XLOOKUP(TableauRecette[[#This Row],[ID]],TableauProduit[ID],TableauProduit[Total (kg) N5],0,0,1)*#REF!</f>
        <v>#REF!</v>
      </c>
      <c r="Q50" t="e">
        <f>_xlfn.XLOOKUP(TableauRecette[[#This Row],[ID]],TableauProduit[ID],TableauProduit[Total (kg) N6],0,0,1)*#REF!</f>
        <v>#REF!</v>
      </c>
      <c r="R50" t="e">
        <f>_xlfn.XLOOKUP(TableauRecette[[#This Row],[ID]],TableauProduit[ID],TableauProduit[Total (kg) N7],0,0,1)*#REF!</f>
        <v>#REF!</v>
      </c>
      <c r="S50" t="e">
        <f>_xlfn.XLOOKUP(TableauRecette[[#This Row],[ID]],TableauProduit[ID],TableauProduit[Total (kg) N8],0,0,1)*#REF!</f>
        <v>#REF!</v>
      </c>
      <c r="T50" t="e">
        <f>_xlfn.XLOOKUP(TableauRecette[[#This Row],[ID]],TableauProduit[ID],TableauProduit[Total (kg) N9],0,0,1)*#REF!</f>
        <v>#REF!</v>
      </c>
    </row>
    <row r="51" spans="1:20" x14ac:dyDescent="0.2">
      <c r="A51" t="s">
        <v>86</v>
      </c>
      <c r="B51" t="str">
        <f>TableauRecette[[#This Row],[Recette]]&amp;TableauRecette[[#This Row],[Conditionnement]]</f>
        <v>CurcumaEpice 100ml</v>
      </c>
      <c r="C51" t="s">
        <v>367</v>
      </c>
      <c r="D51">
        <v>1</v>
      </c>
      <c r="E51" t="s">
        <v>73</v>
      </c>
      <c r="F51">
        <f>IFERROR(TableauRecette[[#This Row],[Proportion]]/SUMIFS(TableauRecette[Proportion],TableauRecette[Recette],TableauRecette[[#This Row],[Recette]],TableauRecette[Conditionnement],TableauRecette[[#This Row],[Conditionnement]]),0)</f>
        <v>1</v>
      </c>
      <c r="G51">
        <f>IFERROR(_xlfn.XLOOKUP(TableauRecette[[#This Row],[Ingredients]],TableauIngredients[Ingredients],#REF!,0)*#REF!,0)</f>
        <v>0</v>
      </c>
      <c r="H51">
        <f>IFERROR(SUMIFS(TableauRecette[Proportion],TableauRecette[Recette],TableauRecette[[#This Row],[Recette]],TableauRecette[Conditionnement],TableauRecette[[#This Row],[Conditionnement]]),0)</f>
        <v>1</v>
      </c>
      <c r="I5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51" t="s">
        <v>373</v>
      </c>
      <c r="K51" t="s">
        <v>341</v>
      </c>
      <c r="L51">
        <f>_xlfn.XLOOKUP(TableauRecette[[#This Row],[ID]],TableauProduit[ID],TableauProduit[Total (kg) N1],0,0,1)*_xlfn.XLOOKUP(TableauRecette[[#This Row],[ID]],TableauProduit[ID],TableauProduit[Total (kg) N1],0,0,1)</f>
        <v>0</v>
      </c>
      <c r="M51" t="e">
        <f>_xlfn.XLOOKUP(TableauRecette[[#This Row],[ID]],TableauProduit[ID],TableauProduit[Total (kg) N1],0,0,1)*_xlfn.XLOOKUP(TableauRecette[[#This Row],[ID]],TableauProduit[ID],TableauProduit[Total (kg) N2],0,0,1)</f>
        <v>#REF!</v>
      </c>
      <c r="N51" t="e">
        <f>_xlfn.XLOOKUP(TableauRecette[[#This Row],[ID]],TableauProduit[ID],TableauProduit[Total (kg) N3],0,0,1)*#REF!</f>
        <v>#REF!</v>
      </c>
      <c r="O51" t="e">
        <f>_xlfn.XLOOKUP(TableauRecette[[#This Row],[ID]],TableauProduit[ID],TableauProduit[Total (kg) N4],0,0,1)*#REF!</f>
        <v>#REF!</v>
      </c>
      <c r="P51" t="e">
        <f>_xlfn.XLOOKUP(TableauRecette[[#This Row],[ID]],TableauProduit[ID],TableauProduit[Total (kg) N5],0,0,1)*#REF!</f>
        <v>#REF!</v>
      </c>
      <c r="Q51" t="e">
        <f>_xlfn.XLOOKUP(TableauRecette[[#This Row],[ID]],TableauProduit[ID],TableauProduit[Total (kg) N6],0,0,1)*#REF!</f>
        <v>#REF!</v>
      </c>
      <c r="R51" t="e">
        <f>_xlfn.XLOOKUP(TableauRecette[[#This Row],[ID]],TableauProduit[ID],TableauProduit[Total (kg) N7],0,0,1)*#REF!</f>
        <v>#REF!</v>
      </c>
      <c r="S51" t="e">
        <f>_xlfn.XLOOKUP(TableauRecette[[#This Row],[ID]],TableauProduit[ID],TableauProduit[Total (kg) N8],0,0,1)*#REF!</f>
        <v>#REF!</v>
      </c>
      <c r="T51" t="e">
        <f>_xlfn.XLOOKUP(TableauRecette[[#This Row],[ID]],TableauProduit[ID],TableauProduit[Total (kg) N9],0,0,1)*#REF!</f>
        <v>#REF!</v>
      </c>
    </row>
    <row r="52" spans="1:20" x14ac:dyDescent="0.2">
      <c r="A52" t="s">
        <v>83</v>
      </c>
      <c r="B52" t="str">
        <f>TableauRecette[[#This Row],[Recette]]&amp;TableauRecette[[#This Row],[Conditionnement]]</f>
        <v>CurryEpice 100ml</v>
      </c>
      <c r="C52" t="s">
        <v>351</v>
      </c>
      <c r="D52">
        <v>0.75</v>
      </c>
      <c r="E52" t="s">
        <v>73</v>
      </c>
      <c r="F52">
        <f>IFERROR(TableauRecette[[#This Row],[Proportion]]/SUMIFS(TableauRecette[Proportion],TableauRecette[Recette],TableauRecette[[#This Row],[Recette]],TableauRecette[Conditionnement],TableauRecette[[#This Row],[Conditionnement]]),0)</f>
        <v>3.4090909090909088E-2</v>
      </c>
      <c r="G52">
        <f>IFERROR(_xlfn.XLOOKUP(TableauRecette[[#This Row],[Ingredients]],TableauIngredients[Ingredients],#REF!,0)*#REF!,0)</f>
        <v>0</v>
      </c>
      <c r="H52">
        <f>IFERROR(SUMIFS(TableauRecette[Proportion],TableauRecette[Recette],TableauRecette[[#This Row],[Recette]],TableauRecette[Conditionnement],TableauRecette[[#This Row],[Conditionnement]]),0)</f>
        <v>22</v>
      </c>
      <c r="I5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52" t="s">
        <v>373</v>
      </c>
      <c r="K52" t="s">
        <v>341</v>
      </c>
      <c r="L52">
        <f>_xlfn.XLOOKUP(TableauRecette[[#This Row],[ID]],TableauProduit[ID],TableauProduit[Total (kg) N1],0,0,1)*_xlfn.XLOOKUP(TableauRecette[[#This Row],[ID]],TableauProduit[ID],TableauProduit[Total (kg) N1],0,0,1)</f>
        <v>0</v>
      </c>
      <c r="M52" t="e">
        <f>_xlfn.XLOOKUP(TableauRecette[[#This Row],[ID]],TableauProduit[ID],TableauProduit[Total (kg) N1],0,0,1)*_xlfn.XLOOKUP(TableauRecette[[#This Row],[ID]],TableauProduit[ID],TableauProduit[Total (kg) N2],0,0,1)</f>
        <v>#REF!</v>
      </c>
      <c r="N52" t="e">
        <f>_xlfn.XLOOKUP(TableauRecette[[#This Row],[ID]],TableauProduit[ID],TableauProduit[Total (kg) N3],0,0,1)*#REF!</f>
        <v>#REF!</v>
      </c>
      <c r="O52" t="e">
        <f>_xlfn.XLOOKUP(TableauRecette[[#This Row],[ID]],TableauProduit[ID],TableauProduit[Total (kg) N4],0,0,1)*#REF!</f>
        <v>#REF!</v>
      </c>
      <c r="P52" t="e">
        <f>_xlfn.XLOOKUP(TableauRecette[[#This Row],[ID]],TableauProduit[ID],TableauProduit[Total (kg) N5],0,0,1)*#REF!</f>
        <v>#REF!</v>
      </c>
      <c r="Q52" t="e">
        <f>_xlfn.XLOOKUP(TableauRecette[[#This Row],[ID]],TableauProduit[ID],TableauProduit[Total (kg) N6],0,0,1)*#REF!</f>
        <v>#REF!</v>
      </c>
      <c r="R52" t="e">
        <f>_xlfn.XLOOKUP(TableauRecette[[#This Row],[ID]],TableauProduit[ID],TableauProduit[Total (kg) N7],0,0,1)*#REF!</f>
        <v>#REF!</v>
      </c>
      <c r="S52" t="e">
        <f>_xlfn.XLOOKUP(TableauRecette[[#This Row],[ID]],TableauProduit[ID],TableauProduit[Total (kg) N8],0,0,1)*#REF!</f>
        <v>#REF!</v>
      </c>
      <c r="T52" t="e">
        <f>_xlfn.XLOOKUP(TableauRecette[[#This Row],[ID]],TableauProduit[ID],TableauProduit[Total (kg) N9],0,0,1)*#REF!</f>
        <v>#REF!</v>
      </c>
    </row>
    <row r="53" spans="1:20" x14ac:dyDescent="0.2">
      <c r="A53" t="s">
        <v>83</v>
      </c>
      <c r="B53" t="str">
        <f>TableauRecette[[#This Row],[Recette]]&amp;TableauRecette[[#This Row],[Conditionnement]]</f>
        <v>CurryEpice 100ml</v>
      </c>
      <c r="C53" t="s">
        <v>367</v>
      </c>
      <c r="D53">
        <v>1</v>
      </c>
      <c r="E53" t="s">
        <v>73</v>
      </c>
      <c r="F53">
        <f>IFERROR(TableauRecette[[#This Row],[Proportion]]/SUMIFS(TableauRecette[Proportion],TableauRecette[Recette],TableauRecette[[#This Row],[Recette]],TableauRecette[Conditionnement],TableauRecette[[#This Row],[Conditionnement]]),0)</f>
        <v>4.5454545454545456E-2</v>
      </c>
      <c r="G53">
        <f>IFERROR(_xlfn.XLOOKUP(TableauRecette[[#This Row],[Ingredients]],TableauIngredients[Ingredients],#REF!,0)*#REF!,0)</f>
        <v>0</v>
      </c>
      <c r="H53">
        <f>IFERROR(SUMIFS(TableauRecette[Proportion],TableauRecette[Recette],TableauRecette[[#This Row],[Recette]],TableauRecette[Conditionnement],TableauRecette[[#This Row],[Conditionnement]]),0)</f>
        <v>22</v>
      </c>
      <c r="I53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53" t="s">
        <v>373</v>
      </c>
      <c r="K53" t="s">
        <v>341</v>
      </c>
      <c r="L53">
        <f>_xlfn.XLOOKUP(TableauRecette[[#This Row],[ID]],TableauProduit[ID],TableauProduit[Total (kg) N1],0,0,1)*_xlfn.XLOOKUP(TableauRecette[[#This Row],[ID]],TableauProduit[ID],TableauProduit[Total (kg) N1],0,0,1)</f>
        <v>0</v>
      </c>
      <c r="M53" t="e">
        <f>_xlfn.XLOOKUP(TableauRecette[[#This Row],[ID]],TableauProduit[ID],TableauProduit[Total (kg) N1],0,0,1)*_xlfn.XLOOKUP(TableauRecette[[#This Row],[ID]],TableauProduit[ID],TableauProduit[Total (kg) N2],0,0,1)</f>
        <v>#REF!</v>
      </c>
      <c r="N53" t="e">
        <f>_xlfn.XLOOKUP(TableauRecette[[#This Row],[ID]],TableauProduit[ID],TableauProduit[Total (kg) N3],0,0,1)*#REF!</f>
        <v>#REF!</v>
      </c>
      <c r="O53" t="e">
        <f>_xlfn.XLOOKUP(TableauRecette[[#This Row],[ID]],TableauProduit[ID],TableauProduit[Total (kg) N4],0,0,1)*#REF!</f>
        <v>#REF!</v>
      </c>
      <c r="P53" t="e">
        <f>_xlfn.XLOOKUP(TableauRecette[[#This Row],[ID]],TableauProduit[ID],TableauProduit[Total (kg) N5],0,0,1)*#REF!</f>
        <v>#REF!</v>
      </c>
      <c r="Q53" t="e">
        <f>_xlfn.XLOOKUP(TableauRecette[[#This Row],[ID]],TableauProduit[ID],TableauProduit[Total (kg) N6],0,0,1)*#REF!</f>
        <v>#REF!</v>
      </c>
      <c r="R53" t="e">
        <f>_xlfn.XLOOKUP(TableauRecette[[#This Row],[ID]],TableauProduit[ID],TableauProduit[Total (kg) N7],0,0,1)*#REF!</f>
        <v>#REF!</v>
      </c>
      <c r="S53" t="e">
        <f>_xlfn.XLOOKUP(TableauRecette[[#This Row],[ID]],TableauProduit[ID],TableauProduit[Total (kg) N8],0,0,1)*#REF!</f>
        <v>#REF!</v>
      </c>
      <c r="T53" t="e">
        <f>_xlfn.XLOOKUP(TableauRecette[[#This Row],[ID]],TableauProduit[ID],TableauProduit[Total (kg) N9],0,0,1)*#REF!</f>
        <v>#REF!</v>
      </c>
    </row>
    <row r="54" spans="1:20" x14ac:dyDescent="0.2">
      <c r="A54" t="s">
        <v>83</v>
      </c>
      <c r="B54" t="str">
        <f>TableauRecette[[#This Row],[Recette]]&amp;TableauRecette[[#This Row],[Conditionnement]]</f>
        <v>CurryEpice 100ml</v>
      </c>
      <c r="C54" t="s">
        <v>368</v>
      </c>
      <c r="D54">
        <v>0.5</v>
      </c>
      <c r="E54" t="s">
        <v>73</v>
      </c>
      <c r="F54">
        <f>IFERROR(TableauRecette[[#This Row],[Proportion]]/SUMIFS(TableauRecette[Proportion],TableauRecette[Recette],TableauRecette[[#This Row],[Recette]],TableauRecette[Conditionnement],TableauRecette[[#This Row],[Conditionnement]]),0)</f>
        <v>2.2727272727272728E-2</v>
      </c>
      <c r="G54">
        <f>IFERROR(_xlfn.XLOOKUP(TableauRecette[[#This Row],[Ingredients]],TableauIngredients[Ingredients],#REF!,0)*#REF!,0)</f>
        <v>0</v>
      </c>
      <c r="H54">
        <f>IFERROR(SUMIFS(TableauRecette[Proportion],TableauRecette[Recette],TableauRecette[[#This Row],[Recette]],TableauRecette[Conditionnement],TableauRecette[[#This Row],[Conditionnement]]),0)</f>
        <v>22</v>
      </c>
      <c r="I54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54" t="s">
        <v>373</v>
      </c>
      <c r="K54" t="s">
        <v>341</v>
      </c>
      <c r="L54">
        <f>_xlfn.XLOOKUP(TableauRecette[[#This Row],[ID]],TableauProduit[ID],TableauProduit[Total (kg) N1],0,0,1)*_xlfn.XLOOKUP(TableauRecette[[#This Row],[ID]],TableauProduit[ID],TableauProduit[Total (kg) N1],0,0,1)</f>
        <v>0</v>
      </c>
      <c r="M54" t="e">
        <f>_xlfn.XLOOKUP(TableauRecette[[#This Row],[ID]],TableauProduit[ID],TableauProduit[Total (kg) N1],0,0,1)*_xlfn.XLOOKUP(TableauRecette[[#This Row],[ID]],TableauProduit[ID],TableauProduit[Total (kg) N2],0,0,1)</f>
        <v>#REF!</v>
      </c>
      <c r="N54" t="e">
        <f>_xlfn.XLOOKUP(TableauRecette[[#This Row],[ID]],TableauProduit[ID],TableauProduit[Total (kg) N3],0,0,1)*#REF!</f>
        <v>#REF!</v>
      </c>
      <c r="O54" t="e">
        <f>_xlfn.XLOOKUP(TableauRecette[[#This Row],[ID]],TableauProduit[ID],TableauProduit[Total (kg) N4],0,0,1)*#REF!</f>
        <v>#REF!</v>
      </c>
      <c r="P54" t="e">
        <f>_xlfn.XLOOKUP(TableauRecette[[#This Row],[ID]],TableauProduit[ID],TableauProduit[Total (kg) N5],0,0,1)*#REF!</f>
        <v>#REF!</v>
      </c>
      <c r="Q54" t="e">
        <f>_xlfn.XLOOKUP(TableauRecette[[#This Row],[ID]],TableauProduit[ID],TableauProduit[Total (kg) N6],0,0,1)*#REF!</f>
        <v>#REF!</v>
      </c>
      <c r="R54" t="e">
        <f>_xlfn.XLOOKUP(TableauRecette[[#This Row],[ID]],TableauProduit[ID],TableauProduit[Total (kg) N7],0,0,1)*#REF!</f>
        <v>#REF!</v>
      </c>
      <c r="S54" t="e">
        <f>_xlfn.XLOOKUP(TableauRecette[[#This Row],[ID]],TableauProduit[ID],TableauProduit[Total (kg) N8],0,0,1)*#REF!</f>
        <v>#REF!</v>
      </c>
      <c r="T54" t="e">
        <f>_xlfn.XLOOKUP(TableauRecette[[#This Row],[ID]],TableauProduit[ID],TableauProduit[Total (kg) N9],0,0,1)*#REF!</f>
        <v>#REF!</v>
      </c>
    </row>
    <row r="55" spans="1:20" x14ac:dyDescent="0.2">
      <c r="A55" t="s">
        <v>83</v>
      </c>
      <c r="B55" t="str">
        <f>TableauRecette[[#This Row],[Recette]]&amp;TableauRecette[[#This Row],[Conditionnement]]</f>
        <v>CurryEpice 100ml</v>
      </c>
      <c r="C55" t="s">
        <v>352</v>
      </c>
      <c r="D55">
        <v>0.5</v>
      </c>
      <c r="E55" t="s">
        <v>73</v>
      </c>
      <c r="F55">
        <f>IFERROR(TableauRecette[[#This Row],[Proportion]]/SUMIFS(TableauRecette[Proportion],TableauRecette[Recette],TableauRecette[[#This Row],[Recette]],TableauRecette[Conditionnement],TableauRecette[[#This Row],[Conditionnement]]),0)</f>
        <v>2.2727272727272728E-2</v>
      </c>
      <c r="G55">
        <f>IFERROR(_xlfn.XLOOKUP(TableauRecette[[#This Row],[Ingredients]],TableauIngredients[Ingredients],#REF!,0)*#REF!,0)</f>
        <v>0</v>
      </c>
      <c r="H55">
        <f>IFERROR(SUMIFS(TableauRecette[Proportion],TableauRecette[Recette],TableauRecette[[#This Row],[Recette]],TableauRecette[Conditionnement],TableauRecette[[#This Row],[Conditionnement]]),0)</f>
        <v>22</v>
      </c>
      <c r="I5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55" t="s">
        <v>373</v>
      </c>
      <c r="K55" t="s">
        <v>341</v>
      </c>
      <c r="L55">
        <f>_xlfn.XLOOKUP(TableauRecette[[#This Row],[ID]],TableauProduit[ID],TableauProduit[Total (kg) N1],0,0,1)*_xlfn.XLOOKUP(TableauRecette[[#This Row],[ID]],TableauProduit[ID],TableauProduit[Total (kg) N1],0,0,1)</f>
        <v>0</v>
      </c>
      <c r="M55" t="e">
        <f>_xlfn.XLOOKUP(TableauRecette[[#This Row],[ID]],TableauProduit[ID],TableauProduit[Total (kg) N1],0,0,1)*_xlfn.XLOOKUP(TableauRecette[[#This Row],[ID]],TableauProduit[ID],TableauProduit[Total (kg) N2],0,0,1)</f>
        <v>#REF!</v>
      </c>
      <c r="N55" t="e">
        <f>_xlfn.XLOOKUP(TableauRecette[[#This Row],[ID]],TableauProduit[ID],TableauProduit[Total (kg) N3],0,0,1)*#REF!</f>
        <v>#REF!</v>
      </c>
      <c r="O55" t="e">
        <f>_xlfn.XLOOKUP(TableauRecette[[#This Row],[ID]],TableauProduit[ID],TableauProduit[Total (kg) N4],0,0,1)*#REF!</f>
        <v>#REF!</v>
      </c>
      <c r="P55" t="e">
        <f>_xlfn.XLOOKUP(TableauRecette[[#This Row],[ID]],TableauProduit[ID],TableauProduit[Total (kg) N5],0,0,1)*#REF!</f>
        <v>#REF!</v>
      </c>
      <c r="Q55" t="e">
        <f>_xlfn.XLOOKUP(TableauRecette[[#This Row],[ID]],TableauProduit[ID],TableauProduit[Total (kg) N6],0,0,1)*#REF!</f>
        <v>#REF!</v>
      </c>
      <c r="R55" t="e">
        <f>_xlfn.XLOOKUP(TableauRecette[[#This Row],[ID]],TableauProduit[ID],TableauProduit[Total (kg) N7],0,0,1)*#REF!</f>
        <v>#REF!</v>
      </c>
      <c r="S55" t="e">
        <f>_xlfn.XLOOKUP(TableauRecette[[#This Row],[ID]],TableauProduit[ID],TableauProduit[Total (kg) N8],0,0,1)*#REF!</f>
        <v>#REF!</v>
      </c>
      <c r="T55" t="e">
        <f>_xlfn.XLOOKUP(TableauRecette[[#This Row],[ID]],TableauProduit[ID],TableauProduit[Total (kg) N9],0,0,1)*#REF!</f>
        <v>#REF!</v>
      </c>
    </row>
    <row r="56" spans="1:20" x14ac:dyDescent="0.2">
      <c r="A56" t="s">
        <v>83</v>
      </c>
      <c r="B56" t="str">
        <f>TableauRecette[[#This Row],[Recette]]&amp;TableauRecette[[#This Row],[Conditionnement]]</f>
        <v>CurryEpice 100ml</v>
      </c>
      <c r="C56" t="s">
        <v>364</v>
      </c>
      <c r="D56">
        <v>1</v>
      </c>
      <c r="E56" t="s">
        <v>73</v>
      </c>
      <c r="F56">
        <f>IFERROR(TableauRecette[[#This Row],[Proportion]]/SUMIFS(TableauRecette[Proportion],TableauRecette[Recette],TableauRecette[[#This Row],[Recette]],TableauRecette[Conditionnement],TableauRecette[[#This Row],[Conditionnement]]),0)</f>
        <v>4.5454545454545456E-2</v>
      </c>
      <c r="G56">
        <f>IFERROR(_xlfn.XLOOKUP(TableauRecette[[#This Row],[Ingredients]],TableauIngredients[Ingredients],#REF!,0)*#REF!,0)</f>
        <v>0</v>
      </c>
      <c r="H56">
        <f>IFERROR(SUMIFS(TableauRecette[Proportion],TableauRecette[Recette],TableauRecette[[#This Row],[Recette]],TableauRecette[Conditionnement],TableauRecette[[#This Row],[Conditionnement]]),0)</f>
        <v>22</v>
      </c>
      <c r="I56">
        <f>_xlfn.XLOOKUP(TableauRecette[[#This Row],[Ingredients]],TableauIngredients[Ingredients],TableauIngredients[Prix d''achat (kg)],0,0,1)*TableauRecette[[#This Row],[Proportion]]/TableauRecette[[#This Row],[Total Proportion]]</f>
        <v>6.363636363636363E-2</v>
      </c>
      <c r="J56" t="s">
        <v>374</v>
      </c>
      <c r="K56" t="s">
        <v>341</v>
      </c>
      <c r="L56">
        <f>_xlfn.XLOOKUP(TableauRecette[[#This Row],[ID]],TableauProduit[ID],TableauProduit[Total (kg) N1],0,0,1)*_xlfn.XLOOKUP(TableauRecette[[#This Row],[ID]],TableauProduit[ID],TableauProduit[Total (kg) N1],0,0,1)</f>
        <v>0</v>
      </c>
      <c r="M56" t="e">
        <f>_xlfn.XLOOKUP(TableauRecette[[#This Row],[ID]],TableauProduit[ID],TableauProduit[Total (kg) N1],0,0,1)*_xlfn.XLOOKUP(TableauRecette[[#This Row],[ID]],TableauProduit[ID],TableauProduit[Total (kg) N2],0,0,1)</f>
        <v>#REF!</v>
      </c>
      <c r="N56" t="e">
        <f>_xlfn.XLOOKUP(TableauRecette[[#This Row],[ID]],TableauProduit[ID],TableauProduit[Total (kg) N3],0,0,1)*#REF!</f>
        <v>#REF!</v>
      </c>
      <c r="O56" t="e">
        <f>_xlfn.XLOOKUP(TableauRecette[[#This Row],[ID]],TableauProduit[ID],TableauProduit[Total (kg) N4],0,0,1)*#REF!</f>
        <v>#REF!</v>
      </c>
      <c r="P56" t="e">
        <f>_xlfn.XLOOKUP(TableauRecette[[#This Row],[ID]],TableauProduit[ID],TableauProduit[Total (kg) N5],0,0,1)*#REF!</f>
        <v>#REF!</v>
      </c>
      <c r="Q56" t="e">
        <f>_xlfn.XLOOKUP(TableauRecette[[#This Row],[ID]],TableauProduit[ID],TableauProduit[Total (kg) N6],0,0,1)*#REF!</f>
        <v>#REF!</v>
      </c>
      <c r="R56" t="e">
        <f>_xlfn.XLOOKUP(TableauRecette[[#This Row],[ID]],TableauProduit[ID],TableauProduit[Total (kg) N7],0,0,1)*#REF!</f>
        <v>#REF!</v>
      </c>
      <c r="S56" t="e">
        <f>_xlfn.XLOOKUP(TableauRecette[[#This Row],[ID]],TableauProduit[ID],TableauProduit[Total (kg) N8],0,0,1)*#REF!</f>
        <v>#REF!</v>
      </c>
      <c r="T56" t="e">
        <f>_xlfn.XLOOKUP(TableauRecette[[#This Row],[ID]],TableauProduit[ID],TableauProduit[Total (kg) N9],0,0,1)*#REF!</f>
        <v>#REF!</v>
      </c>
    </row>
    <row r="57" spans="1:20" x14ac:dyDescent="0.2">
      <c r="A57" t="s">
        <v>83</v>
      </c>
      <c r="B57" t="str">
        <f>TableauRecette[[#This Row],[Recette]]&amp;TableauRecette[[#This Row],[Conditionnement]]</f>
        <v>CurryEpice 100ml</v>
      </c>
      <c r="C57" t="s">
        <v>348</v>
      </c>
      <c r="D57">
        <v>0.75</v>
      </c>
      <c r="E57" t="s">
        <v>73</v>
      </c>
      <c r="F57">
        <f>IFERROR(TableauRecette[[#This Row],[Proportion]]/SUMIFS(TableauRecette[Proportion],TableauRecette[Recette],TableauRecette[[#This Row],[Recette]],TableauRecette[Conditionnement],TableauRecette[[#This Row],[Conditionnement]]),0)</f>
        <v>3.4090909090909088E-2</v>
      </c>
      <c r="G57">
        <f>IFERROR(_xlfn.XLOOKUP(TableauRecette[[#This Row],[Ingredients]],TableauIngredients[Ingredients],#REF!,0)*#REF!,0)</f>
        <v>0</v>
      </c>
      <c r="H57">
        <f>IFERROR(SUMIFS(TableauRecette[Proportion],TableauRecette[Recette],TableauRecette[[#This Row],[Recette]],TableauRecette[Conditionnement],TableauRecette[[#This Row],[Conditionnement]]),0)</f>
        <v>22</v>
      </c>
      <c r="I57">
        <f>_xlfn.XLOOKUP(TableauRecette[[#This Row],[Ingredients]],TableauIngredients[Ingredients],TableauIngredients[Prix d''achat (kg)],0,0,1)*TableauRecette[[#This Row],[Proportion]]/TableauRecette[[#This Row],[Total Proportion]]</f>
        <v>1.2562500000000001</v>
      </c>
      <c r="J57" t="s">
        <v>374</v>
      </c>
      <c r="K57" t="s">
        <v>341</v>
      </c>
      <c r="L57">
        <f>_xlfn.XLOOKUP(TableauRecette[[#This Row],[ID]],TableauProduit[ID],TableauProduit[Total (kg) N1],0,0,1)*_xlfn.XLOOKUP(TableauRecette[[#This Row],[ID]],TableauProduit[ID],TableauProduit[Total (kg) N1],0,0,1)</f>
        <v>0</v>
      </c>
      <c r="M57" t="e">
        <f>_xlfn.XLOOKUP(TableauRecette[[#This Row],[ID]],TableauProduit[ID],TableauProduit[Total (kg) N1],0,0,1)*_xlfn.XLOOKUP(TableauRecette[[#This Row],[ID]],TableauProduit[ID],TableauProduit[Total (kg) N2],0,0,1)</f>
        <v>#REF!</v>
      </c>
      <c r="N57" t="e">
        <f>_xlfn.XLOOKUP(TableauRecette[[#This Row],[ID]],TableauProduit[ID],TableauProduit[Total (kg) N3],0,0,1)*#REF!</f>
        <v>#REF!</v>
      </c>
      <c r="O57" t="e">
        <f>_xlfn.XLOOKUP(TableauRecette[[#This Row],[ID]],TableauProduit[ID],TableauProduit[Total (kg) N4],0,0,1)*#REF!</f>
        <v>#REF!</v>
      </c>
      <c r="P57" t="e">
        <f>_xlfn.XLOOKUP(TableauRecette[[#This Row],[ID]],TableauProduit[ID],TableauProduit[Total (kg) N5],0,0,1)*#REF!</f>
        <v>#REF!</v>
      </c>
      <c r="Q57" t="e">
        <f>_xlfn.XLOOKUP(TableauRecette[[#This Row],[ID]],TableauProduit[ID],TableauProduit[Total (kg) N6],0,0,1)*#REF!</f>
        <v>#REF!</v>
      </c>
      <c r="R57" t="e">
        <f>_xlfn.XLOOKUP(TableauRecette[[#This Row],[ID]],TableauProduit[ID],TableauProduit[Total (kg) N7],0,0,1)*#REF!</f>
        <v>#REF!</v>
      </c>
      <c r="S57" t="e">
        <f>_xlfn.XLOOKUP(TableauRecette[[#This Row],[ID]],TableauProduit[ID],TableauProduit[Total (kg) N8],0,0,1)*#REF!</f>
        <v>#REF!</v>
      </c>
      <c r="T57" t="e">
        <f>_xlfn.XLOOKUP(TableauRecette[[#This Row],[ID]],TableauProduit[ID],TableauProduit[Total (kg) N9],0,0,1)*#REF!</f>
        <v>#REF!</v>
      </c>
    </row>
    <row r="58" spans="1:20" x14ac:dyDescent="0.2">
      <c r="A58" t="s">
        <v>83</v>
      </c>
      <c r="B58" t="str">
        <f>TableauRecette[[#This Row],[Recette]]&amp;TableauRecette[[#This Row],[Conditionnement]]</f>
        <v>CurryEpice 100ml</v>
      </c>
      <c r="C58" t="s">
        <v>345</v>
      </c>
      <c r="D58">
        <v>0.5</v>
      </c>
      <c r="E58" t="s">
        <v>73</v>
      </c>
      <c r="F58">
        <f>IFERROR(TableauRecette[[#This Row],[Proportion]]/SUMIFS(TableauRecette[Proportion],TableauRecette[Recette],TableauRecette[[#This Row],[Recette]],TableauRecette[Conditionnement],TableauRecette[[#This Row],[Conditionnement]]),0)</f>
        <v>2.2727272727272728E-2</v>
      </c>
      <c r="G58">
        <f>IFERROR(_xlfn.XLOOKUP(TableauRecette[[#This Row],[Ingredients]],TableauIngredients[Ingredients],#REF!,0)*#REF!,0)</f>
        <v>0</v>
      </c>
      <c r="H58">
        <f>IFERROR(SUMIFS(TableauRecette[Proportion],TableauRecette[Recette],TableauRecette[[#This Row],[Recette]],TableauRecette[Conditionnement],TableauRecette[[#This Row],[Conditionnement]]),0)</f>
        <v>22</v>
      </c>
      <c r="I58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58" t="s">
        <v>374</v>
      </c>
      <c r="K58" t="s">
        <v>341</v>
      </c>
      <c r="L58">
        <f>_xlfn.XLOOKUP(TableauRecette[[#This Row],[ID]],TableauProduit[ID],TableauProduit[Total (kg) N1],0,0,1)*_xlfn.XLOOKUP(TableauRecette[[#This Row],[ID]],TableauProduit[ID],TableauProduit[Total (kg) N1],0,0,1)</f>
        <v>0</v>
      </c>
      <c r="M58" t="e">
        <f>_xlfn.XLOOKUP(TableauRecette[[#This Row],[ID]],TableauProduit[ID],TableauProduit[Total (kg) N1],0,0,1)*_xlfn.XLOOKUP(TableauRecette[[#This Row],[ID]],TableauProduit[ID],TableauProduit[Total (kg) N2],0,0,1)</f>
        <v>#REF!</v>
      </c>
      <c r="N58" t="e">
        <f>_xlfn.XLOOKUP(TableauRecette[[#This Row],[ID]],TableauProduit[ID],TableauProduit[Total (kg) N3],0,0,1)*#REF!</f>
        <v>#REF!</v>
      </c>
      <c r="O58" t="e">
        <f>_xlfn.XLOOKUP(TableauRecette[[#This Row],[ID]],TableauProduit[ID],TableauProduit[Total (kg) N4],0,0,1)*#REF!</f>
        <v>#REF!</v>
      </c>
      <c r="P58" t="e">
        <f>_xlfn.XLOOKUP(TableauRecette[[#This Row],[ID]],TableauProduit[ID],TableauProduit[Total (kg) N5],0,0,1)*#REF!</f>
        <v>#REF!</v>
      </c>
      <c r="Q58" t="e">
        <f>_xlfn.XLOOKUP(TableauRecette[[#This Row],[ID]],TableauProduit[ID],TableauProduit[Total (kg) N6],0,0,1)*#REF!</f>
        <v>#REF!</v>
      </c>
      <c r="R58" t="e">
        <f>_xlfn.XLOOKUP(TableauRecette[[#This Row],[ID]],TableauProduit[ID],TableauProduit[Total (kg) N7],0,0,1)*#REF!</f>
        <v>#REF!</v>
      </c>
      <c r="S58" t="e">
        <f>_xlfn.XLOOKUP(TableauRecette[[#This Row],[ID]],TableauProduit[ID],TableauProduit[Total (kg) N8],0,0,1)*#REF!</f>
        <v>#REF!</v>
      </c>
      <c r="T58" t="e">
        <f>_xlfn.XLOOKUP(TableauRecette[[#This Row],[ID]],TableauProduit[ID],TableauProduit[Total (kg) N9],0,0,1)*#REF!</f>
        <v>#REF!</v>
      </c>
    </row>
    <row r="59" spans="1:20" x14ac:dyDescent="0.2">
      <c r="A59" t="s">
        <v>83</v>
      </c>
      <c r="B59" t="str">
        <f>TableauRecette[[#This Row],[Recette]]&amp;TableauRecette[[#This Row],[Conditionnement]]</f>
        <v>CurryEpice 100ml</v>
      </c>
      <c r="C59" t="s">
        <v>367</v>
      </c>
      <c r="D59">
        <v>3</v>
      </c>
      <c r="E59" t="s">
        <v>73</v>
      </c>
      <c r="F59">
        <f>IFERROR(TableauRecette[[#This Row],[Proportion]]/SUMIFS(TableauRecette[Proportion],TableauRecette[Recette],TableauRecette[[#This Row],[Recette]],TableauRecette[Conditionnement],TableauRecette[[#This Row],[Conditionnement]]),0)</f>
        <v>0.13636363636363635</v>
      </c>
      <c r="G59">
        <f>IFERROR(_xlfn.XLOOKUP(TableauRecette[[#This Row],[Ingredients]],TableauIngredients[Ingredients],#REF!,0)*#REF!,0)</f>
        <v>0</v>
      </c>
      <c r="H59">
        <f>IFERROR(SUMIFS(TableauRecette[Proportion],TableauRecette[Recette],TableauRecette[[#This Row],[Recette]],TableauRecette[Conditionnement],TableauRecette[[#This Row],[Conditionnement]]),0)</f>
        <v>22</v>
      </c>
      <c r="I5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59">
        <f>_xlfn.XLOOKUP(TableauRecette[[#This Row],[ID]],TableauProduit[ID],TableauProduit[Total (kg) N1],0,0,1)*_xlfn.XLOOKUP(TableauRecette[[#This Row],[ID]],TableauProduit[ID],TableauProduit[Total (kg) N1],0,0,1)</f>
        <v>0</v>
      </c>
      <c r="M59" t="e">
        <f>_xlfn.XLOOKUP(TableauRecette[[#This Row],[ID]],TableauProduit[ID],TableauProduit[Total (kg) N1],0,0,1)*_xlfn.XLOOKUP(TableauRecette[[#This Row],[ID]],TableauProduit[ID],TableauProduit[Total (kg) N2],0,0,1)</f>
        <v>#REF!</v>
      </c>
      <c r="N59" t="e">
        <f>_xlfn.XLOOKUP(TableauRecette[[#This Row],[ID]],TableauProduit[ID],TableauProduit[Total (kg) N3],0,0,1)*#REF!</f>
        <v>#REF!</v>
      </c>
      <c r="O59" t="e">
        <f>_xlfn.XLOOKUP(TableauRecette[[#This Row],[ID]],TableauProduit[ID],TableauProduit[Total (kg) N4],0,0,1)*#REF!</f>
        <v>#REF!</v>
      </c>
      <c r="P59" t="e">
        <f>_xlfn.XLOOKUP(TableauRecette[[#This Row],[ID]],TableauProduit[ID],TableauProduit[Total (kg) N5],0,0,1)*#REF!</f>
        <v>#REF!</v>
      </c>
      <c r="Q59" t="e">
        <f>_xlfn.XLOOKUP(TableauRecette[[#This Row],[ID]],TableauProduit[ID],TableauProduit[Total (kg) N6],0,0,1)*#REF!</f>
        <v>#REF!</v>
      </c>
      <c r="R59" t="e">
        <f>_xlfn.XLOOKUP(TableauRecette[[#This Row],[ID]],TableauProduit[ID],TableauProduit[Total (kg) N7],0,0,1)*#REF!</f>
        <v>#REF!</v>
      </c>
      <c r="S59" t="e">
        <f>_xlfn.XLOOKUP(TableauRecette[[#This Row],[ID]],TableauProduit[ID],TableauProduit[Total (kg) N8],0,0,1)*#REF!</f>
        <v>#REF!</v>
      </c>
      <c r="T59" t="e">
        <f>_xlfn.XLOOKUP(TableauRecette[[#This Row],[ID]],TableauProduit[ID],TableauProduit[Total (kg) N9],0,0,1)*#REF!</f>
        <v>#REF!</v>
      </c>
    </row>
    <row r="60" spans="1:20" x14ac:dyDescent="0.2">
      <c r="A60" t="s">
        <v>83</v>
      </c>
      <c r="B60" t="str">
        <f>TableauRecette[[#This Row],[Recette]]&amp;TableauRecette[[#This Row],[Conditionnement]]</f>
        <v>CurryEpice 100ml</v>
      </c>
      <c r="C60" t="s">
        <v>352</v>
      </c>
      <c r="D60">
        <v>6</v>
      </c>
      <c r="E60" t="s">
        <v>73</v>
      </c>
      <c r="F60">
        <f>IFERROR(TableauRecette[[#This Row],[Proportion]]/SUMIFS(TableauRecette[Proportion],TableauRecette[Recette],TableauRecette[[#This Row],[Recette]],TableauRecette[Conditionnement],TableauRecette[[#This Row],[Conditionnement]]),0)</f>
        <v>0.27272727272727271</v>
      </c>
      <c r="G60">
        <f>IFERROR(_xlfn.XLOOKUP(TableauRecette[[#This Row],[Ingredients]],TableauIngredients[Ingredients],#REF!,0)*#REF!,0)</f>
        <v>0</v>
      </c>
      <c r="H60">
        <f>IFERROR(SUMIFS(TableauRecette[Proportion],TableauRecette[Recette],TableauRecette[[#This Row],[Recette]],TableauRecette[Conditionnement],TableauRecette[[#This Row],[Conditionnement]]),0)</f>
        <v>22</v>
      </c>
      <c r="I60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60">
        <f>_xlfn.XLOOKUP(TableauRecette[[#This Row],[ID]],TableauProduit[ID],TableauProduit[Total (kg) N1],0,0,1)*_xlfn.XLOOKUP(TableauRecette[[#This Row],[ID]],TableauProduit[ID],TableauProduit[Total (kg) N1],0,0,1)</f>
        <v>0</v>
      </c>
      <c r="M60" t="e">
        <f>_xlfn.XLOOKUP(TableauRecette[[#This Row],[ID]],TableauProduit[ID],TableauProduit[Total (kg) N1],0,0,1)*_xlfn.XLOOKUP(TableauRecette[[#This Row],[ID]],TableauProduit[ID],TableauProduit[Total (kg) N2],0,0,1)</f>
        <v>#REF!</v>
      </c>
      <c r="N60" t="e">
        <f>_xlfn.XLOOKUP(TableauRecette[[#This Row],[ID]],TableauProduit[ID],TableauProduit[Total (kg) N3],0,0,1)*#REF!</f>
        <v>#REF!</v>
      </c>
      <c r="O60" t="e">
        <f>_xlfn.XLOOKUP(TableauRecette[[#This Row],[ID]],TableauProduit[ID],TableauProduit[Total (kg) N4],0,0,1)*#REF!</f>
        <v>#REF!</v>
      </c>
      <c r="P60" t="e">
        <f>_xlfn.XLOOKUP(TableauRecette[[#This Row],[ID]],TableauProduit[ID],TableauProduit[Total (kg) N5],0,0,1)*#REF!</f>
        <v>#REF!</v>
      </c>
      <c r="Q60" t="e">
        <f>_xlfn.XLOOKUP(TableauRecette[[#This Row],[ID]],TableauProduit[ID],TableauProduit[Total (kg) N6],0,0,1)*#REF!</f>
        <v>#REF!</v>
      </c>
      <c r="R60" t="e">
        <f>_xlfn.XLOOKUP(TableauRecette[[#This Row],[ID]],TableauProduit[ID],TableauProduit[Total (kg) N7],0,0,1)*#REF!</f>
        <v>#REF!</v>
      </c>
      <c r="S60" t="e">
        <f>_xlfn.XLOOKUP(TableauRecette[[#This Row],[ID]],TableauProduit[ID],TableauProduit[Total (kg) N8],0,0,1)*#REF!</f>
        <v>#REF!</v>
      </c>
      <c r="T60" t="e">
        <f>_xlfn.XLOOKUP(TableauRecette[[#This Row],[ID]],TableauProduit[ID],TableauProduit[Total (kg) N9],0,0,1)*#REF!</f>
        <v>#REF!</v>
      </c>
    </row>
    <row r="61" spans="1:20" x14ac:dyDescent="0.2">
      <c r="A61" t="s">
        <v>83</v>
      </c>
      <c r="B61" t="str">
        <f>TableauRecette[[#This Row],[Recette]]&amp;TableauRecette[[#This Row],[Conditionnement]]</f>
        <v>CurryEpice 100ml</v>
      </c>
      <c r="C61" t="s">
        <v>375</v>
      </c>
      <c r="D61">
        <v>6</v>
      </c>
      <c r="E61" t="s">
        <v>73</v>
      </c>
      <c r="F61">
        <f>IFERROR(TableauRecette[[#This Row],[Proportion]]/SUMIFS(TableauRecette[Proportion],TableauRecette[Recette],TableauRecette[[#This Row],[Recette]],TableauRecette[Conditionnement],TableauRecette[[#This Row],[Conditionnement]]),0)</f>
        <v>0.27272727272727271</v>
      </c>
      <c r="G61">
        <f>IFERROR(_xlfn.XLOOKUP(TableauRecette[[#This Row],[Ingredients]],TableauIngredients[Ingredients],#REF!,0)*#REF!,0)</f>
        <v>0</v>
      </c>
      <c r="H61">
        <f>IFERROR(SUMIFS(TableauRecette[Proportion],TableauRecette[Recette],TableauRecette[[#This Row],[Recette]],TableauRecette[Conditionnement],TableauRecette[[#This Row],[Conditionnement]]),0)</f>
        <v>22</v>
      </c>
      <c r="I6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61">
        <f>_xlfn.XLOOKUP(TableauRecette[[#This Row],[ID]],TableauProduit[ID],TableauProduit[Total (kg) N1],0,0,1)*_xlfn.XLOOKUP(TableauRecette[[#This Row],[ID]],TableauProduit[ID],TableauProduit[Total (kg) N1],0,0,1)</f>
        <v>0</v>
      </c>
      <c r="M61" t="e">
        <f>_xlfn.XLOOKUP(TableauRecette[[#This Row],[ID]],TableauProduit[ID],TableauProduit[Total (kg) N1],0,0,1)*_xlfn.XLOOKUP(TableauRecette[[#This Row],[ID]],TableauProduit[ID],TableauProduit[Total (kg) N2],0,0,1)</f>
        <v>#REF!</v>
      </c>
      <c r="N61" t="e">
        <f>_xlfn.XLOOKUP(TableauRecette[[#This Row],[ID]],TableauProduit[ID],TableauProduit[Total (kg) N3],0,0,1)*#REF!</f>
        <v>#REF!</v>
      </c>
      <c r="O61" t="e">
        <f>_xlfn.XLOOKUP(TableauRecette[[#This Row],[ID]],TableauProduit[ID],TableauProduit[Total (kg) N4],0,0,1)*#REF!</f>
        <v>#REF!</v>
      </c>
      <c r="P61" t="e">
        <f>_xlfn.XLOOKUP(TableauRecette[[#This Row],[ID]],TableauProduit[ID],TableauProduit[Total (kg) N5],0,0,1)*#REF!</f>
        <v>#REF!</v>
      </c>
      <c r="Q61" t="e">
        <f>_xlfn.XLOOKUP(TableauRecette[[#This Row],[ID]],TableauProduit[ID],TableauProduit[Total (kg) N6],0,0,1)*#REF!</f>
        <v>#REF!</v>
      </c>
      <c r="R61" t="e">
        <f>_xlfn.XLOOKUP(TableauRecette[[#This Row],[ID]],TableauProduit[ID],TableauProduit[Total (kg) N7],0,0,1)*#REF!</f>
        <v>#REF!</v>
      </c>
      <c r="S61" t="e">
        <f>_xlfn.XLOOKUP(TableauRecette[[#This Row],[ID]],TableauProduit[ID],TableauProduit[Total (kg) N8],0,0,1)*#REF!</f>
        <v>#REF!</v>
      </c>
      <c r="T61" t="e">
        <f>_xlfn.XLOOKUP(TableauRecette[[#This Row],[ID]],TableauProduit[ID],TableauProduit[Total (kg) N9],0,0,1)*#REF!</f>
        <v>#REF!</v>
      </c>
    </row>
    <row r="62" spans="1:20" x14ac:dyDescent="0.2">
      <c r="A62" t="s">
        <v>83</v>
      </c>
      <c r="B62" t="str">
        <f>TableauRecette[[#This Row],[Recette]]&amp;TableauRecette[[#This Row],[Conditionnement]]</f>
        <v>CurryEpice 100ml</v>
      </c>
      <c r="C62" t="s">
        <v>368</v>
      </c>
      <c r="D62">
        <v>0.5</v>
      </c>
      <c r="E62" t="s">
        <v>73</v>
      </c>
      <c r="F62">
        <f>IFERROR(TableauRecette[[#This Row],[Proportion]]/SUMIFS(TableauRecette[Proportion],TableauRecette[Recette],TableauRecette[[#This Row],[Recette]],TableauRecette[Conditionnement],TableauRecette[[#This Row],[Conditionnement]]),0)</f>
        <v>2.2727272727272728E-2</v>
      </c>
      <c r="G62">
        <f>IFERROR(_xlfn.XLOOKUP(TableauRecette[[#This Row],[Ingredients]],TableauIngredients[Ingredients],#REF!,0)*#REF!,0)</f>
        <v>0</v>
      </c>
      <c r="H62">
        <f>IFERROR(SUMIFS(TableauRecette[Proportion],TableauRecette[Recette],TableauRecette[[#This Row],[Recette]],TableauRecette[Conditionnement],TableauRecette[[#This Row],[Conditionnement]]),0)</f>
        <v>22</v>
      </c>
      <c r="I6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62">
        <f>_xlfn.XLOOKUP(TableauRecette[[#This Row],[ID]],TableauProduit[ID],TableauProduit[Total (kg) N1],0,0,1)*_xlfn.XLOOKUP(TableauRecette[[#This Row],[ID]],TableauProduit[ID],TableauProduit[Total (kg) N1],0,0,1)</f>
        <v>0</v>
      </c>
      <c r="M62" t="e">
        <f>_xlfn.XLOOKUP(TableauRecette[[#This Row],[ID]],TableauProduit[ID],TableauProduit[Total (kg) N1],0,0,1)*_xlfn.XLOOKUP(TableauRecette[[#This Row],[ID]],TableauProduit[ID],TableauProduit[Total (kg) N2],0,0,1)</f>
        <v>#REF!</v>
      </c>
      <c r="N62" t="e">
        <f>_xlfn.XLOOKUP(TableauRecette[[#This Row],[ID]],TableauProduit[ID],TableauProduit[Total (kg) N3],0,0,1)*#REF!</f>
        <v>#REF!</v>
      </c>
      <c r="O62" t="e">
        <f>_xlfn.XLOOKUP(TableauRecette[[#This Row],[ID]],TableauProduit[ID],TableauProduit[Total (kg) N4],0,0,1)*#REF!</f>
        <v>#REF!</v>
      </c>
      <c r="P62" t="e">
        <f>_xlfn.XLOOKUP(TableauRecette[[#This Row],[ID]],TableauProduit[ID],TableauProduit[Total (kg) N5],0,0,1)*#REF!</f>
        <v>#REF!</v>
      </c>
      <c r="Q62" t="e">
        <f>_xlfn.XLOOKUP(TableauRecette[[#This Row],[ID]],TableauProduit[ID],TableauProduit[Total (kg) N6],0,0,1)*#REF!</f>
        <v>#REF!</v>
      </c>
      <c r="R62" t="e">
        <f>_xlfn.XLOOKUP(TableauRecette[[#This Row],[ID]],TableauProduit[ID],TableauProduit[Total (kg) N7],0,0,1)*#REF!</f>
        <v>#REF!</v>
      </c>
      <c r="S62" t="e">
        <f>_xlfn.XLOOKUP(TableauRecette[[#This Row],[ID]],TableauProduit[ID],TableauProduit[Total (kg) N8],0,0,1)*#REF!</f>
        <v>#REF!</v>
      </c>
      <c r="T62" t="e">
        <f>_xlfn.XLOOKUP(TableauRecette[[#This Row],[ID]],TableauProduit[ID],TableauProduit[Total (kg) N9],0,0,1)*#REF!</f>
        <v>#REF!</v>
      </c>
    </row>
    <row r="63" spans="1:20" x14ac:dyDescent="0.2">
      <c r="A63" t="s">
        <v>83</v>
      </c>
      <c r="B63" t="str">
        <f>TableauRecette[[#This Row],[Recette]]&amp;TableauRecette[[#This Row],[Conditionnement]]</f>
        <v>CurryEpice 100ml</v>
      </c>
      <c r="C63" t="s">
        <v>345</v>
      </c>
      <c r="D63">
        <v>0.5</v>
      </c>
      <c r="E63" t="s">
        <v>73</v>
      </c>
      <c r="F63">
        <f>IFERROR(TableauRecette[[#This Row],[Proportion]]/SUMIFS(TableauRecette[Proportion],TableauRecette[Recette],TableauRecette[[#This Row],[Recette]],TableauRecette[Conditionnement],TableauRecette[[#This Row],[Conditionnement]]),0)</f>
        <v>2.2727272727272728E-2</v>
      </c>
      <c r="G63">
        <f>IFERROR(_xlfn.XLOOKUP(TableauRecette[[#This Row],[Ingredients]],TableauIngredients[Ingredients],#REF!,0)*#REF!,0)</f>
        <v>0</v>
      </c>
      <c r="H63">
        <f>IFERROR(SUMIFS(TableauRecette[Proportion],TableauRecette[Recette],TableauRecette[[#This Row],[Recette]],TableauRecette[Conditionnement],TableauRecette[[#This Row],[Conditionnement]]),0)</f>
        <v>22</v>
      </c>
      <c r="I63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63" t="s">
        <v>341</v>
      </c>
      <c r="L63">
        <f>_xlfn.XLOOKUP(TableauRecette[[#This Row],[ID]],TableauProduit[ID],TableauProduit[Total (kg) N1],0,0,1)*_xlfn.XLOOKUP(TableauRecette[[#This Row],[ID]],TableauProduit[ID],TableauProduit[Total (kg) N1],0,0,1)</f>
        <v>0</v>
      </c>
      <c r="M63" t="e">
        <f>_xlfn.XLOOKUP(TableauRecette[[#This Row],[ID]],TableauProduit[ID],TableauProduit[Total (kg) N1],0,0,1)*_xlfn.XLOOKUP(TableauRecette[[#This Row],[ID]],TableauProduit[ID],TableauProduit[Total (kg) N2],0,0,1)</f>
        <v>#REF!</v>
      </c>
      <c r="N63" t="e">
        <f>_xlfn.XLOOKUP(TableauRecette[[#This Row],[ID]],TableauProduit[ID],TableauProduit[Total (kg) N3],0,0,1)*#REF!</f>
        <v>#REF!</v>
      </c>
      <c r="O63" t="e">
        <f>_xlfn.XLOOKUP(TableauRecette[[#This Row],[ID]],TableauProduit[ID],TableauProduit[Total (kg) N4],0,0,1)*#REF!</f>
        <v>#REF!</v>
      </c>
      <c r="P63" t="e">
        <f>_xlfn.XLOOKUP(TableauRecette[[#This Row],[ID]],TableauProduit[ID],TableauProduit[Total (kg) N5],0,0,1)*#REF!</f>
        <v>#REF!</v>
      </c>
      <c r="Q63" t="e">
        <f>_xlfn.XLOOKUP(TableauRecette[[#This Row],[ID]],TableauProduit[ID],TableauProduit[Total (kg) N6],0,0,1)*#REF!</f>
        <v>#REF!</v>
      </c>
      <c r="R63" t="e">
        <f>_xlfn.XLOOKUP(TableauRecette[[#This Row],[ID]],TableauProduit[ID],TableauProduit[Total (kg) N7],0,0,1)*#REF!</f>
        <v>#REF!</v>
      </c>
      <c r="S63" t="e">
        <f>_xlfn.XLOOKUP(TableauRecette[[#This Row],[ID]],TableauProduit[ID],TableauProduit[Total (kg) N8],0,0,1)*#REF!</f>
        <v>#REF!</v>
      </c>
      <c r="T63" t="e">
        <f>_xlfn.XLOOKUP(TableauRecette[[#This Row],[ID]],TableauProduit[ID],TableauProduit[Total (kg) N9],0,0,1)*#REF!</f>
        <v>#REF!</v>
      </c>
    </row>
    <row r="64" spans="1:20" x14ac:dyDescent="0.2">
      <c r="A64" t="s">
        <v>83</v>
      </c>
      <c r="B64" t="str">
        <f>TableauRecette[[#This Row],[Recette]]&amp;TableauRecette[[#This Row],[Conditionnement]]</f>
        <v>CurryEpice 100ml</v>
      </c>
      <c r="C64" t="s">
        <v>376</v>
      </c>
      <c r="D64">
        <v>0.25</v>
      </c>
      <c r="E64" t="s">
        <v>73</v>
      </c>
      <c r="F64">
        <f>IFERROR(TableauRecette[[#This Row],[Proportion]]/SUMIFS(TableauRecette[Proportion],TableauRecette[Recette],TableauRecette[[#This Row],[Recette]],TableauRecette[Conditionnement],TableauRecette[[#This Row],[Conditionnement]]),0)</f>
        <v>1.1363636363636364E-2</v>
      </c>
      <c r="G64">
        <f>IFERROR(_xlfn.XLOOKUP(TableauRecette[[#This Row],[Ingredients]],TableauIngredients[Ingredients],#REF!,0)*#REF!,0)</f>
        <v>0</v>
      </c>
      <c r="H64">
        <f>IFERROR(SUMIFS(TableauRecette[Proportion],TableauRecette[Recette],TableauRecette[[#This Row],[Recette]],TableauRecette[Conditionnement],TableauRecette[[#This Row],[Conditionnement]]),0)</f>
        <v>22</v>
      </c>
      <c r="I64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64" t="s">
        <v>374</v>
      </c>
      <c r="K64" t="s">
        <v>341</v>
      </c>
      <c r="L64">
        <f>_xlfn.XLOOKUP(TableauRecette[[#This Row],[ID]],TableauProduit[ID],TableauProduit[Total (kg) N1],0,0,1)*_xlfn.XLOOKUP(TableauRecette[[#This Row],[ID]],TableauProduit[ID],TableauProduit[Total (kg) N1],0,0,1)</f>
        <v>0</v>
      </c>
      <c r="M64" t="e">
        <f>_xlfn.XLOOKUP(TableauRecette[[#This Row],[ID]],TableauProduit[ID],TableauProduit[Total (kg) N1],0,0,1)*_xlfn.XLOOKUP(TableauRecette[[#This Row],[ID]],TableauProduit[ID],TableauProduit[Total (kg) N2],0,0,1)</f>
        <v>#REF!</v>
      </c>
      <c r="N64" t="e">
        <f>_xlfn.XLOOKUP(TableauRecette[[#This Row],[ID]],TableauProduit[ID],TableauProduit[Total (kg) N3],0,0,1)*#REF!</f>
        <v>#REF!</v>
      </c>
      <c r="O64" t="e">
        <f>_xlfn.XLOOKUP(TableauRecette[[#This Row],[ID]],TableauProduit[ID],TableauProduit[Total (kg) N4],0,0,1)*#REF!</f>
        <v>#REF!</v>
      </c>
      <c r="P64" t="e">
        <f>_xlfn.XLOOKUP(TableauRecette[[#This Row],[ID]],TableauProduit[ID],TableauProduit[Total (kg) N5],0,0,1)*#REF!</f>
        <v>#REF!</v>
      </c>
      <c r="Q64" t="e">
        <f>_xlfn.XLOOKUP(TableauRecette[[#This Row],[ID]],TableauProduit[ID],TableauProduit[Total (kg) N6],0,0,1)*#REF!</f>
        <v>#REF!</v>
      </c>
      <c r="R64" t="e">
        <f>_xlfn.XLOOKUP(TableauRecette[[#This Row],[ID]],TableauProduit[ID],TableauProduit[Total (kg) N7],0,0,1)*#REF!</f>
        <v>#REF!</v>
      </c>
      <c r="S64" t="e">
        <f>_xlfn.XLOOKUP(TableauRecette[[#This Row],[ID]],TableauProduit[ID],TableauProduit[Total (kg) N8],0,0,1)*#REF!</f>
        <v>#REF!</v>
      </c>
      <c r="T64" t="e">
        <f>_xlfn.XLOOKUP(TableauRecette[[#This Row],[ID]],TableauProduit[ID],TableauProduit[Total (kg) N9],0,0,1)*#REF!</f>
        <v>#REF!</v>
      </c>
    </row>
    <row r="65" spans="1:20" x14ac:dyDescent="0.2">
      <c r="A65" t="s">
        <v>83</v>
      </c>
      <c r="B65" t="str">
        <f>TableauRecette[[#This Row],[Recette]]&amp;TableauRecette[[#This Row],[Conditionnement]]</f>
        <v>CurryEpice 100ml</v>
      </c>
      <c r="C65" t="s">
        <v>372</v>
      </c>
      <c r="D65">
        <v>0.75</v>
      </c>
      <c r="E65" t="s">
        <v>73</v>
      </c>
      <c r="F65">
        <f>IFERROR(TableauRecette[[#This Row],[Proportion]]/SUMIFS(TableauRecette[Proportion],TableauRecette[Recette],TableauRecette[[#This Row],[Recette]],TableauRecette[Conditionnement],TableauRecette[[#This Row],[Conditionnement]]),0)</f>
        <v>3.4090909090909088E-2</v>
      </c>
      <c r="G65">
        <f>IFERROR(_xlfn.XLOOKUP(TableauRecette[[#This Row],[Ingredients]],TableauIngredients[Ingredients],#REF!,0)*#REF!,0)</f>
        <v>0</v>
      </c>
      <c r="H65">
        <f>IFERROR(SUMIFS(TableauRecette[Proportion],TableauRecette[Recette],TableauRecette[[#This Row],[Recette]],TableauRecette[Conditionnement],TableauRecette[[#This Row],[Conditionnement]]),0)</f>
        <v>22</v>
      </c>
      <c r="I6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65" t="s">
        <v>373</v>
      </c>
      <c r="K65" t="s">
        <v>341</v>
      </c>
      <c r="L65">
        <f>_xlfn.XLOOKUP(TableauRecette[[#This Row],[ID]],TableauProduit[ID],TableauProduit[Total (kg) N1],0,0,1)*_xlfn.XLOOKUP(TableauRecette[[#This Row],[ID]],TableauProduit[ID],TableauProduit[Total (kg) N1],0,0,1)</f>
        <v>0</v>
      </c>
      <c r="M65" t="e">
        <f>_xlfn.XLOOKUP(TableauRecette[[#This Row],[ID]],TableauProduit[ID],TableauProduit[Total (kg) N1],0,0,1)*_xlfn.XLOOKUP(TableauRecette[[#This Row],[ID]],TableauProduit[ID],TableauProduit[Total (kg) N2],0,0,1)</f>
        <v>#REF!</v>
      </c>
      <c r="N65" t="e">
        <f>_xlfn.XLOOKUP(TableauRecette[[#This Row],[ID]],TableauProduit[ID],TableauProduit[Total (kg) N3],0,0,1)*#REF!</f>
        <v>#REF!</v>
      </c>
      <c r="O65" t="e">
        <f>_xlfn.XLOOKUP(TableauRecette[[#This Row],[ID]],TableauProduit[ID],TableauProduit[Total (kg) N4],0,0,1)*#REF!</f>
        <v>#REF!</v>
      </c>
      <c r="P65" t="e">
        <f>_xlfn.XLOOKUP(TableauRecette[[#This Row],[ID]],TableauProduit[ID],TableauProduit[Total (kg) N5],0,0,1)*#REF!</f>
        <v>#REF!</v>
      </c>
      <c r="Q65" t="e">
        <f>_xlfn.XLOOKUP(TableauRecette[[#This Row],[ID]],TableauProduit[ID],TableauProduit[Total (kg) N6],0,0,1)*#REF!</f>
        <v>#REF!</v>
      </c>
      <c r="R65" t="e">
        <f>_xlfn.XLOOKUP(TableauRecette[[#This Row],[ID]],TableauProduit[ID],TableauProduit[Total (kg) N7],0,0,1)*#REF!</f>
        <v>#REF!</v>
      </c>
      <c r="S65" t="e">
        <f>_xlfn.XLOOKUP(TableauRecette[[#This Row],[ID]],TableauProduit[ID],TableauProduit[Total (kg) N8],0,0,1)*#REF!</f>
        <v>#REF!</v>
      </c>
      <c r="T65" t="e">
        <f>_xlfn.XLOOKUP(TableauRecette[[#This Row],[ID]],TableauProduit[ID],TableauProduit[Total (kg) N9],0,0,1)*#REF!</f>
        <v>#REF!</v>
      </c>
    </row>
    <row r="66" spans="1:20" x14ac:dyDescent="0.2">
      <c r="A66" t="s">
        <v>130</v>
      </c>
      <c r="B66" t="str">
        <f>TableauRecette[[#This Row],[Recette]]&amp;TableauRecette[[#This Row],[Conditionnement]]</f>
        <v>Curry japonaisEpice 100ml</v>
      </c>
      <c r="C66" t="s">
        <v>367</v>
      </c>
      <c r="D66">
        <v>10</v>
      </c>
      <c r="E66" t="s">
        <v>73</v>
      </c>
      <c r="F66">
        <f>IFERROR(TableauRecette[[#This Row],[Proportion]]/SUMIFS(TableauRecette[Proportion],TableauRecette[Recette],TableauRecette[[#This Row],[Recette]],TableauRecette[Conditionnement],TableauRecette[[#This Row],[Conditionnement]]),0)</f>
        <v>0.21052631578947367</v>
      </c>
      <c r="G66">
        <f>IFERROR(_xlfn.XLOOKUP(TableauRecette[[#This Row],[Ingredients]],TableauIngredients[Ingredients],#REF!,0)*#REF!,0)</f>
        <v>0</v>
      </c>
      <c r="H66">
        <f>IFERROR(SUMIFS(TableauRecette[Proportion],TableauRecette[Recette],TableauRecette[[#This Row],[Recette]],TableauRecette[Conditionnement],TableauRecette[[#This Row],[Conditionnement]]),0)</f>
        <v>47.5</v>
      </c>
      <c r="I6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66">
        <f>_xlfn.XLOOKUP(TableauRecette[[#This Row],[ID]],TableauProduit[ID],TableauProduit[Total (kg) N1],0,0,1)*_xlfn.XLOOKUP(TableauRecette[[#This Row],[ID]],TableauProduit[ID],TableauProduit[Total (kg) N1],0,0,1)</f>
        <v>0</v>
      </c>
      <c r="M66" t="e">
        <f>_xlfn.XLOOKUP(TableauRecette[[#This Row],[ID]],TableauProduit[ID],TableauProduit[Total (kg) N1],0,0,1)*_xlfn.XLOOKUP(TableauRecette[[#This Row],[ID]],TableauProduit[ID],TableauProduit[Total (kg) N2],0,0,1)</f>
        <v>#REF!</v>
      </c>
      <c r="N66" t="e">
        <f>_xlfn.XLOOKUP(TableauRecette[[#This Row],[ID]],TableauProduit[ID],TableauProduit[Total (kg) N3],0,0,1)*#REF!</f>
        <v>#REF!</v>
      </c>
      <c r="O66" t="e">
        <f>_xlfn.XLOOKUP(TableauRecette[[#This Row],[ID]],TableauProduit[ID],TableauProduit[Total (kg) N4],0,0,1)*#REF!</f>
        <v>#REF!</v>
      </c>
      <c r="P66" t="e">
        <f>_xlfn.XLOOKUP(TableauRecette[[#This Row],[ID]],TableauProduit[ID],TableauProduit[Total (kg) N5],0,0,1)*#REF!</f>
        <v>#REF!</v>
      </c>
      <c r="Q66" t="e">
        <f>_xlfn.XLOOKUP(TableauRecette[[#This Row],[ID]],TableauProduit[ID],TableauProduit[Total (kg) N6],0,0,1)*#REF!</f>
        <v>#REF!</v>
      </c>
      <c r="R66" t="e">
        <f>_xlfn.XLOOKUP(TableauRecette[[#This Row],[ID]],TableauProduit[ID],TableauProduit[Total (kg) N7],0,0,1)*#REF!</f>
        <v>#REF!</v>
      </c>
      <c r="S66" t="e">
        <f>_xlfn.XLOOKUP(TableauRecette[[#This Row],[ID]],TableauProduit[ID],TableauProduit[Total (kg) N8],0,0,1)*#REF!</f>
        <v>#REF!</v>
      </c>
      <c r="T66" t="e">
        <f>_xlfn.XLOOKUP(TableauRecette[[#This Row],[ID]],TableauProduit[ID],TableauProduit[Total (kg) N9],0,0,1)*#REF!</f>
        <v>#REF!</v>
      </c>
    </row>
    <row r="67" spans="1:20" x14ac:dyDescent="0.2">
      <c r="A67" t="s">
        <v>130</v>
      </c>
      <c r="B67" t="str">
        <f>TableauRecette[[#This Row],[Recette]]&amp;TableauRecette[[#This Row],[Conditionnement]]</f>
        <v>Curry japonaisEpice 100ml</v>
      </c>
      <c r="C67" t="s">
        <v>352</v>
      </c>
      <c r="D67">
        <v>7</v>
      </c>
      <c r="E67" t="s">
        <v>73</v>
      </c>
      <c r="F67">
        <f>IFERROR(TableauRecette[[#This Row],[Proportion]]/SUMIFS(TableauRecette[Proportion],TableauRecette[Recette],TableauRecette[[#This Row],[Recette]],TableauRecette[Conditionnement],TableauRecette[[#This Row],[Conditionnement]]),0)</f>
        <v>0.14736842105263157</v>
      </c>
      <c r="G67">
        <f>IFERROR(_xlfn.XLOOKUP(TableauRecette[[#This Row],[Ingredients]],TableauIngredients[Ingredients],#REF!,0)*#REF!,0)</f>
        <v>0</v>
      </c>
      <c r="H67">
        <f>IFERROR(SUMIFS(TableauRecette[Proportion],TableauRecette[Recette],TableauRecette[[#This Row],[Recette]],TableauRecette[Conditionnement],TableauRecette[[#This Row],[Conditionnement]]),0)</f>
        <v>47.5</v>
      </c>
      <c r="I6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67">
        <f>_xlfn.XLOOKUP(TableauRecette[[#This Row],[ID]],TableauProduit[ID],TableauProduit[Total (kg) N1],0,0,1)*_xlfn.XLOOKUP(TableauRecette[[#This Row],[ID]],TableauProduit[ID],TableauProduit[Total (kg) N1],0,0,1)</f>
        <v>0</v>
      </c>
      <c r="M67" t="e">
        <f>_xlfn.XLOOKUP(TableauRecette[[#This Row],[ID]],TableauProduit[ID],TableauProduit[Total (kg) N1],0,0,1)*_xlfn.XLOOKUP(TableauRecette[[#This Row],[ID]],TableauProduit[ID],TableauProduit[Total (kg) N2],0,0,1)</f>
        <v>#REF!</v>
      </c>
      <c r="N67" t="e">
        <f>_xlfn.XLOOKUP(TableauRecette[[#This Row],[ID]],TableauProduit[ID],TableauProduit[Total (kg) N3],0,0,1)*#REF!</f>
        <v>#REF!</v>
      </c>
      <c r="O67" t="e">
        <f>_xlfn.XLOOKUP(TableauRecette[[#This Row],[ID]],TableauProduit[ID],TableauProduit[Total (kg) N4],0,0,1)*#REF!</f>
        <v>#REF!</v>
      </c>
      <c r="P67" t="e">
        <f>_xlfn.XLOOKUP(TableauRecette[[#This Row],[ID]],TableauProduit[ID],TableauProduit[Total (kg) N5],0,0,1)*#REF!</f>
        <v>#REF!</v>
      </c>
      <c r="Q67" t="e">
        <f>_xlfn.XLOOKUP(TableauRecette[[#This Row],[ID]],TableauProduit[ID],TableauProduit[Total (kg) N6],0,0,1)*#REF!</f>
        <v>#REF!</v>
      </c>
      <c r="R67" t="e">
        <f>_xlfn.XLOOKUP(TableauRecette[[#This Row],[ID]],TableauProduit[ID],TableauProduit[Total (kg) N7],0,0,1)*#REF!</f>
        <v>#REF!</v>
      </c>
      <c r="S67" t="e">
        <f>_xlfn.XLOOKUP(TableauRecette[[#This Row],[ID]],TableauProduit[ID],TableauProduit[Total (kg) N8],0,0,1)*#REF!</f>
        <v>#REF!</v>
      </c>
      <c r="T67" t="e">
        <f>_xlfn.XLOOKUP(TableauRecette[[#This Row],[ID]],TableauProduit[ID],TableauProduit[Total (kg) N9],0,0,1)*#REF!</f>
        <v>#REF!</v>
      </c>
    </row>
    <row r="68" spans="1:20" x14ac:dyDescent="0.2">
      <c r="A68" t="s">
        <v>130</v>
      </c>
      <c r="B68" t="str">
        <f>TableauRecette[[#This Row],[Recette]]&amp;TableauRecette[[#This Row],[Conditionnement]]</f>
        <v>Curry japonaisEpice 100ml</v>
      </c>
      <c r="C68" t="s">
        <v>351</v>
      </c>
      <c r="D68">
        <v>6</v>
      </c>
      <c r="E68" t="s">
        <v>73</v>
      </c>
      <c r="F68">
        <f>IFERROR(TableauRecette[[#This Row],[Proportion]]/SUMIFS(TableauRecette[Proportion],TableauRecette[Recette],TableauRecette[[#This Row],[Recette]],TableauRecette[Conditionnement],TableauRecette[[#This Row],[Conditionnement]]),0)</f>
        <v>0.12631578947368421</v>
      </c>
      <c r="G68">
        <f>IFERROR(_xlfn.XLOOKUP(TableauRecette[[#This Row],[Ingredients]],TableauIngredients[Ingredients],#REF!,0)*#REF!,0)</f>
        <v>0</v>
      </c>
      <c r="H68">
        <f>IFERROR(SUMIFS(TableauRecette[Proportion],TableauRecette[Recette],TableauRecette[[#This Row],[Recette]],TableauRecette[Conditionnement],TableauRecette[[#This Row],[Conditionnement]]),0)</f>
        <v>47.5</v>
      </c>
      <c r="I68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68">
        <f>_xlfn.XLOOKUP(TableauRecette[[#This Row],[ID]],TableauProduit[ID],TableauProduit[Total (kg) N1],0,0,1)*_xlfn.XLOOKUP(TableauRecette[[#This Row],[ID]],TableauProduit[ID],TableauProduit[Total (kg) N1],0,0,1)</f>
        <v>0</v>
      </c>
      <c r="M68" t="e">
        <f>_xlfn.XLOOKUP(TableauRecette[[#This Row],[ID]],TableauProduit[ID],TableauProduit[Total (kg) N1],0,0,1)*_xlfn.XLOOKUP(TableauRecette[[#This Row],[ID]],TableauProduit[ID],TableauProduit[Total (kg) N2],0,0,1)</f>
        <v>#REF!</v>
      </c>
      <c r="N68" t="e">
        <f>_xlfn.XLOOKUP(TableauRecette[[#This Row],[ID]],TableauProduit[ID],TableauProduit[Total (kg) N3],0,0,1)*#REF!</f>
        <v>#REF!</v>
      </c>
      <c r="O68" t="e">
        <f>_xlfn.XLOOKUP(TableauRecette[[#This Row],[ID]],TableauProduit[ID],TableauProduit[Total (kg) N4],0,0,1)*#REF!</f>
        <v>#REF!</v>
      </c>
      <c r="P68" t="e">
        <f>_xlfn.XLOOKUP(TableauRecette[[#This Row],[ID]],TableauProduit[ID],TableauProduit[Total (kg) N5],0,0,1)*#REF!</f>
        <v>#REF!</v>
      </c>
      <c r="Q68" t="e">
        <f>_xlfn.XLOOKUP(TableauRecette[[#This Row],[ID]],TableauProduit[ID],TableauProduit[Total (kg) N6],0,0,1)*#REF!</f>
        <v>#REF!</v>
      </c>
      <c r="R68" t="e">
        <f>_xlfn.XLOOKUP(TableauRecette[[#This Row],[ID]],TableauProduit[ID],TableauProduit[Total (kg) N7],0,0,1)*#REF!</f>
        <v>#REF!</v>
      </c>
      <c r="S68" t="e">
        <f>_xlfn.XLOOKUP(TableauRecette[[#This Row],[ID]],TableauProduit[ID],TableauProduit[Total (kg) N8],0,0,1)*#REF!</f>
        <v>#REF!</v>
      </c>
      <c r="T68" t="e">
        <f>_xlfn.XLOOKUP(TableauRecette[[#This Row],[ID]],TableauProduit[ID],TableauProduit[Total (kg) N9],0,0,1)*#REF!</f>
        <v>#REF!</v>
      </c>
    </row>
    <row r="69" spans="1:20" x14ac:dyDescent="0.2">
      <c r="A69" t="s">
        <v>130</v>
      </c>
      <c r="B69" t="str">
        <f>TableauRecette[[#This Row],[Recette]]&amp;TableauRecette[[#This Row],[Conditionnement]]</f>
        <v>Curry japonaisEpice 100ml</v>
      </c>
      <c r="C69" t="s">
        <v>377</v>
      </c>
      <c r="D69">
        <v>5</v>
      </c>
      <c r="E69" t="s">
        <v>73</v>
      </c>
      <c r="F69">
        <f>IFERROR(TableauRecette[[#This Row],[Proportion]]/SUMIFS(TableauRecette[Proportion],TableauRecette[Recette],TableauRecette[[#This Row],[Recette]],TableauRecette[Conditionnement],TableauRecette[[#This Row],[Conditionnement]]),0)</f>
        <v>0.10526315789473684</v>
      </c>
      <c r="G69">
        <f>IFERROR(_xlfn.XLOOKUP(TableauRecette[[#This Row],[Ingredients]],TableauIngredients[Ingredients],#REF!,0)*#REF!,0)</f>
        <v>0</v>
      </c>
      <c r="H69">
        <f>IFERROR(SUMIFS(TableauRecette[Proportion],TableauRecette[Recette],TableauRecette[[#This Row],[Recette]],TableauRecette[Conditionnement],TableauRecette[[#This Row],[Conditionnement]]),0)</f>
        <v>47.5</v>
      </c>
      <c r="I6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69">
        <f>_xlfn.XLOOKUP(TableauRecette[[#This Row],[ID]],TableauProduit[ID],TableauProduit[Total (kg) N1],0,0,1)*_xlfn.XLOOKUP(TableauRecette[[#This Row],[ID]],TableauProduit[ID],TableauProduit[Total (kg) N1],0,0,1)</f>
        <v>0</v>
      </c>
      <c r="M69" t="e">
        <f>_xlfn.XLOOKUP(TableauRecette[[#This Row],[ID]],TableauProduit[ID],TableauProduit[Total (kg) N1],0,0,1)*_xlfn.XLOOKUP(TableauRecette[[#This Row],[ID]],TableauProduit[ID],TableauProduit[Total (kg) N2],0,0,1)</f>
        <v>#REF!</v>
      </c>
      <c r="N69" t="e">
        <f>_xlfn.XLOOKUP(TableauRecette[[#This Row],[ID]],TableauProduit[ID],TableauProduit[Total (kg) N3],0,0,1)*#REF!</f>
        <v>#REF!</v>
      </c>
      <c r="O69" t="e">
        <f>_xlfn.XLOOKUP(TableauRecette[[#This Row],[ID]],TableauProduit[ID],TableauProduit[Total (kg) N4],0,0,1)*#REF!</f>
        <v>#REF!</v>
      </c>
      <c r="P69" t="e">
        <f>_xlfn.XLOOKUP(TableauRecette[[#This Row],[ID]],TableauProduit[ID],TableauProduit[Total (kg) N5],0,0,1)*#REF!</f>
        <v>#REF!</v>
      </c>
      <c r="Q69" t="e">
        <f>_xlfn.XLOOKUP(TableauRecette[[#This Row],[ID]],TableauProduit[ID],TableauProduit[Total (kg) N6],0,0,1)*#REF!</f>
        <v>#REF!</v>
      </c>
      <c r="R69" t="e">
        <f>_xlfn.XLOOKUP(TableauRecette[[#This Row],[ID]],TableauProduit[ID],TableauProduit[Total (kg) N7],0,0,1)*#REF!</f>
        <v>#REF!</v>
      </c>
      <c r="S69" t="e">
        <f>_xlfn.XLOOKUP(TableauRecette[[#This Row],[ID]],TableauProduit[ID],TableauProduit[Total (kg) N8],0,0,1)*#REF!</f>
        <v>#REF!</v>
      </c>
      <c r="T69" t="e">
        <f>_xlfn.XLOOKUP(TableauRecette[[#This Row],[ID]],TableauProduit[ID],TableauProduit[Total (kg) N9],0,0,1)*#REF!</f>
        <v>#REF!</v>
      </c>
    </row>
    <row r="70" spans="1:20" x14ac:dyDescent="0.2">
      <c r="A70" t="s">
        <v>130</v>
      </c>
      <c r="B70" t="str">
        <f>TableauRecette[[#This Row],[Recette]]&amp;TableauRecette[[#This Row],[Conditionnement]]</f>
        <v>Curry japonaisEpice 100ml</v>
      </c>
      <c r="C70" t="s">
        <v>378</v>
      </c>
      <c r="D70">
        <v>2.5</v>
      </c>
      <c r="E70" t="s">
        <v>73</v>
      </c>
      <c r="F70">
        <f>IFERROR(TableauRecette[[#This Row],[Proportion]]/SUMIFS(TableauRecette[Proportion],TableauRecette[Recette],TableauRecette[[#This Row],[Recette]],TableauRecette[Conditionnement],TableauRecette[[#This Row],[Conditionnement]]),0)</f>
        <v>5.2631578947368418E-2</v>
      </c>
      <c r="G70">
        <f>IFERROR(_xlfn.XLOOKUP(TableauRecette[[#This Row],[Ingredients]],TableauIngredients[Ingredients],#REF!,0)*#REF!,0)</f>
        <v>0</v>
      </c>
      <c r="H70">
        <f>IFERROR(SUMIFS(TableauRecette[Proportion],TableauRecette[Recette],TableauRecette[[#This Row],[Recette]],TableauRecette[Conditionnement],TableauRecette[[#This Row],[Conditionnement]]),0)</f>
        <v>47.5</v>
      </c>
      <c r="I70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70">
        <f>_xlfn.XLOOKUP(TableauRecette[[#This Row],[ID]],TableauProduit[ID],TableauProduit[Total (kg) N1],0,0,1)*_xlfn.XLOOKUP(TableauRecette[[#This Row],[ID]],TableauProduit[ID],TableauProduit[Total (kg) N1],0,0,1)</f>
        <v>0</v>
      </c>
      <c r="M70" t="e">
        <f>_xlfn.XLOOKUP(TableauRecette[[#This Row],[ID]],TableauProduit[ID],TableauProduit[Total (kg) N1],0,0,1)*_xlfn.XLOOKUP(TableauRecette[[#This Row],[ID]],TableauProduit[ID],TableauProduit[Total (kg) N2],0,0,1)</f>
        <v>#REF!</v>
      </c>
      <c r="N70" t="e">
        <f>_xlfn.XLOOKUP(TableauRecette[[#This Row],[ID]],TableauProduit[ID],TableauProduit[Total (kg) N3],0,0,1)*#REF!</f>
        <v>#REF!</v>
      </c>
      <c r="O70" t="e">
        <f>_xlfn.XLOOKUP(TableauRecette[[#This Row],[ID]],TableauProduit[ID],TableauProduit[Total (kg) N4],0,0,1)*#REF!</f>
        <v>#REF!</v>
      </c>
      <c r="P70" t="e">
        <f>_xlfn.XLOOKUP(TableauRecette[[#This Row],[ID]],TableauProduit[ID],TableauProduit[Total (kg) N5],0,0,1)*#REF!</f>
        <v>#REF!</v>
      </c>
      <c r="Q70" t="e">
        <f>_xlfn.XLOOKUP(TableauRecette[[#This Row],[ID]],TableauProduit[ID],TableauProduit[Total (kg) N6],0,0,1)*#REF!</f>
        <v>#REF!</v>
      </c>
      <c r="R70" t="e">
        <f>_xlfn.XLOOKUP(TableauRecette[[#This Row],[ID]],TableauProduit[ID],TableauProduit[Total (kg) N7],0,0,1)*#REF!</f>
        <v>#REF!</v>
      </c>
      <c r="S70" t="e">
        <f>_xlfn.XLOOKUP(TableauRecette[[#This Row],[ID]],TableauProduit[ID],TableauProduit[Total (kg) N8],0,0,1)*#REF!</f>
        <v>#REF!</v>
      </c>
      <c r="T70" t="e">
        <f>_xlfn.XLOOKUP(TableauRecette[[#This Row],[ID]],TableauProduit[ID],TableauProduit[Total (kg) N9],0,0,1)*#REF!</f>
        <v>#REF!</v>
      </c>
    </row>
    <row r="71" spans="1:20" x14ac:dyDescent="0.2">
      <c r="A71" t="s">
        <v>130</v>
      </c>
      <c r="B71" t="str">
        <f>TableauRecette[[#This Row],[Recette]]&amp;TableauRecette[[#This Row],[Conditionnement]]</f>
        <v>Curry japonaisEpice 100ml</v>
      </c>
      <c r="C71" t="s">
        <v>370</v>
      </c>
      <c r="D71">
        <v>2.5</v>
      </c>
      <c r="E71" t="s">
        <v>73</v>
      </c>
      <c r="F71">
        <f>IFERROR(TableauRecette[[#This Row],[Proportion]]/SUMIFS(TableauRecette[Proportion],TableauRecette[Recette],TableauRecette[[#This Row],[Recette]],TableauRecette[Conditionnement],TableauRecette[[#This Row],[Conditionnement]]),0)</f>
        <v>5.2631578947368418E-2</v>
      </c>
      <c r="G71">
        <f>IFERROR(_xlfn.XLOOKUP(TableauRecette[[#This Row],[Ingredients]],TableauIngredients[Ingredients],#REF!,0)*#REF!,0)</f>
        <v>0</v>
      </c>
      <c r="H71">
        <f>IFERROR(SUMIFS(TableauRecette[Proportion],TableauRecette[Recette],TableauRecette[[#This Row],[Recette]],TableauRecette[Conditionnement],TableauRecette[[#This Row],[Conditionnement]]),0)</f>
        <v>47.5</v>
      </c>
      <c r="I7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71">
        <f>_xlfn.XLOOKUP(TableauRecette[[#This Row],[ID]],TableauProduit[ID],TableauProduit[Total (kg) N1],0,0,1)*_xlfn.XLOOKUP(TableauRecette[[#This Row],[ID]],TableauProduit[ID],TableauProduit[Total (kg) N1],0,0,1)</f>
        <v>0</v>
      </c>
      <c r="M71" t="e">
        <f>_xlfn.XLOOKUP(TableauRecette[[#This Row],[ID]],TableauProduit[ID],TableauProduit[Total (kg) N1],0,0,1)*_xlfn.XLOOKUP(TableauRecette[[#This Row],[ID]],TableauProduit[ID],TableauProduit[Total (kg) N2],0,0,1)</f>
        <v>#REF!</v>
      </c>
      <c r="N71" t="e">
        <f>_xlfn.XLOOKUP(TableauRecette[[#This Row],[ID]],TableauProduit[ID],TableauProduit[Total (kg) N3],0,0,1)*#REF!</f>
        <v>#REF!</v>
      </c>
      <c r="O71" t="e">
        <f>_xlfn.XLOOKUP(TableauRecette[[#This Row],[ID]],TableauProduit[ID],TableauProduit[Total (kg) N4],0,0,1)*#REF!</f>
        <v>#REF!</v>
      </c>
      <c r="P71" t="e">
        <f>_xlfn.XLOOKUP(TableauRecette[[#This Row],[ID]],TableauProduit[ID],TableauProduit[Total (kg) N5],0,0,1)*#REF!</f>
        <v>#REF!</v>
      </c>
      <c r="Q71" t="e">
        <f>_xlfn.XLOOKUP(TableauRecette[[#This Row],[ID]],TableauProduit[ID],TableauProduit[Total (kg) N6],0,0,1)*#REF!</f>
        <v>#REF!</v>
      </c>
      <c r="R71" t="e">
        <f>_xlfn.XLOOKUP(TableauRecette[[#This Row],[ID]],TableauProduit[ID],TableauProduit[Total (kg) N7],0,0,1)*#REF!</f>
        <v>#REF!</v>
      </c>
      <c r="S71" t="e">
        <f>_xlfn.XLOOKUP(TableauRecette[[#This Row],[ID]],TableauProduit[ID],TableauProduit[Total (kg) N8],0,0,1)*#REF!</f>
        <v>#REF!</v>
      </c>
      <c r="T71" t="e">
        <f>_xlfn.XLOOKUP(TableauRecette[[#This Row],[ID]],TableauProduit[ID],TableauProduit[Total (kg) N9],0,0,1)*#REF!</f>
        <v>#REF!</v>
      </c>
    </row>
    <row r="72" spans="1:20" x14ac:dyDescent="0.2">
      <c r="A72" t="s">
        <v>130</v>
      </c>
      <c r="B72" t="str">
        <f>TableauRecette[[#This Row],[Recette]]&amp;TableauRecette[[#This Row],[Conditionnement]]</f>
        <v>Curry japonaisEpice 100ml</v>
      </c>
      <c r="C72" t="s">
        <v>356</v>
      </c>
      <c r="D72">
        <v>2</v>
      </c>
      <c r="E72" t="s">
        <v>73</v>
      </c>
      <c r="F72">
        <f>IFERROR(TableauRecette[[#This Row],[Proportion]]/SUMIFS(TableauRecette[Proportion],TableauRecette[Recette],TableauRecette[[#This Row],[Recette]],TableauRecette[Conditionnement],TableauRecette[[#This Row],[Conditionnement]]),0)</f>
        <v>4.2105263157894736E-2</v>
      </c>
      <c r="G72">
        <f>IFERROR(_xlfn.XLOOKUP(TableauRecette[[#This Row],[Ingredients]],TableauIngredients[Ingredients],#REF!,0)*#REF!,0)</f>
        <v>0</v>
      </c>
      <c r="H72">
        <f>IFERROR(SUMIFS(TableauRecette[Proportion],TableauRecette[Recette],TableauRecette[[#This Row],[Recette]],TableauRecette[Conditionnement],TableauRecette[[#This Row],[Conditionnement]]),0)</f>
        <v>47.5</v>
      </c>
      <c r="I72">
        <f>_xlfn.XLOOKUP(TableauRecette[[#This Row],[Ingredients]],TableauIngredients[Ingredients],TableauIngredients[Prix d''achat (kg)],0,0,1)*TableauRecette[[#This Row],[Proportion]]/TableauRecette[[#This Row],[Total Proportion]]</f>
        <v>0.9263157894736842</v>
      </c>
      <c r="L72">
        <f>_xlfn.XLOOKUP(TableauRecette[[#This Row],[ID]],TableauProduit[ID],TableauProduit[Total (kg) N1],0,0,1)*_xlfn.XLOOKUP(TableauRecette[[#This Row],[ID]],TableauProduit[ID],TableauProduit[Total (kg) N1],0,0,1)</f>
        <v>0</v>
      </c>
      <c r="M72" t="e">
        <f>_xlfn.XLOOKUP(TableauRecette[[#This Row],[ID]],TableauProduit[ID],TableauProduit[Total (kg) N1],0,0,1)*_xlfn.XLOOKUP(TableauRecette[[#This Row],[ID]],TableauProduit[ID],TableauProduit[Total (kg) N2],0,0,1)</f>
        <v>#REF!</v>
      </c>
      <c r="N72" t="e">
        <f>_xlfn.XLOOKUP(TableauRecette[[#This Row],[ID]],TableauProduit[ID],TableauProduit[Total (kg) N3],0,0,1)*#REF!</f>
        <v>#REF!</v>
      </c>
      <c r="O72" t="e">
        <f>_xlfn.XLOOKUP(TableauRecette[[#This Row],[ID]],TableauProduit[ID],TableauProduit[Total (kg) N4],0,0,1)*#REF!</f>
        <v>#REF!</v>
      </c>
      <c r="P72" t="e">
        <f>_xlfn.XLOOKUP(TableauRecette[[#This Row],[ID]],TableauProduit[ID],TableauProduit[Total (kg) N5],0,0,1)*#REF!</f>
        <v>#REF!</v>
      </c>
      <c r="Q72" t="e">
        <f>_xlfn.XLOOKUP(TableauRecette[[#This Row],[ID]],TableauProduit[ID],TableauProduit[Total (kg) N6],0,0,1)*#REF!</f>
        <v>#REF!</v>
      </c>
      <c r="R72" t="e">
        <f>_xlfn.XLOOKUP(TableauRecette[[#This Row],[ID]],TableauProduit[ID],TableauProduit[Total (kg) N7],0,0,1)*#REF!</f>
        <v>#REF!</v>
      </c>
      <c r="S72" t="e">
        <f>_xlfn.XLOOKUP(TableauRecette[[#This Row],[ID]],TableauProduit[ID],TableauProduit[Total (kg) N8],0,0,1)*#REF!</f>
        <v>#REF!</v>
      </c>
      <c r="T72" t="e">
        <f>_xlfn.XLOOKUP(TableauRecette[[#This Row],[ID]],TableauProduit[ID],TableauProduit[Total (kg) N9],0,0,1)*#REF!</f>
        <v>#REF!</v>
      </c>
    </row>
    <row r="73" spans="1:20" x14ac:dyDescent="0.2">
      <c r="A73" t="s">
        <v>130</v>
      </c>
      <c r="B73" t="str">
        <f>TableauRecette[[#This Row],[Recette]]&amp;TableauRecette[[#This Row],[Conditionnement]]</f>
        <v>Curry japonaisEpice 100ml</v>
      </c>
      <c r="C73" t="s">
        <v>379</v>
      </c>
      <c r="D73">
        <v>1.5</v>
      </c>
      <c r="E73" t="s">
        <v>73</v>
      </c>
      <c r="F73">
        <f>IFERROR(TableauRecette[[#This Row],[Proportion]]/SUMIFS(TableauRecette[Proportion],TableauRecette[Recette],TableauRecette[[#This Row],[Recette]],TableauRecette[Conditionnement],TableauRecette[[#This Row],[Conditionnement]]),0)</f>
        <v>3.1578947368421054E-2</v>
      </c>
      <c r="G73">
        <f>IFERROR(_xlfn.XLOOKUP(TableauRecette[[#This Row],[Ingredients]],TableauIngredients[Ingredients],#REF!,0)*#REF!,0)</f>
        <v>0</v>
      </c>
      <c r="H73">
        <f>IFERROR(SUMIFS(TableauRecette[Proportion],TableauRecette[Recette],TableauRecette[[#This Row],[Recette]],TableauRecette[Conditionnement],TableauRecette[[#This Row],[Conditionnement]]),0)</f>
        <v>47.5</v>
      </c>
      <c r="I73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73" t="s">
        <v>341</v>
      </c>
      <c r="L73">
        <f>_xlfn.XLOOKUP(TableauRecette[[#This Row],[ID]],TableauProduit[ID],TableauProduit[Total (kg) N1],0,0,1)*_xlfn.XLOOKUP(TableauRecette[[#This Row],[ID]],TableauProduit[ID],TableauProduit[Total (kg) N1],0,0,1)</f>
        <v>0</v>
      </c>
      <c r="M73" t="e">
        <f>_xlfn.XLOOKUP(TableauRecette[[#This Row],[ID]],TableauProduit[ID],TableauProduit[Total (kg) N1],0,0,1)*_xlfn.XLOOKUP(TableauRecette[[#This Row],[ID]],TableauProduit[ID],TableauProduit[Total (kg) N2],0,0,1)</f>
        <v>#REF!</v>
      </c>
      <c r="N73" t="e">
        <f>_xlfn.XLOOKUP(TableauRecette[[#This Row],[ID]],TableauProduit[ID],TableauProduit[Total (kg) N3],0,0,1)*#REF!</f>
        <v>#REF!</v>
      </c>
      <c r="O73" t="e">
        <f>_xlfn.XLOOKUP(TableauRecette[[#This Row],[ID]],TableauProduit[ID],TableauProduit[Total (kg) N4],0,0,1)*#REF!</f>
        <v>#REF!</v>
      </c>
      <c r="P73" t="e">
        <f>_xlfn.XLOOKUP(TableauRecette[[#This Row],[ID]],TableauProduit[ID],TableauProduit[Total (kg) N5],0,0,1)*#REF!</f>
        <v>#REF!</v>
      </c>
      <c r="Q73" t="e">
        <f>_xlfn.XLOOKUP(TableauRecette[[#This Row],[ID]],TableauProduit[ID],TableauProduit[Total (kg) N6],0,0,1)*#REF!</f>
        <v>#REF!</v>
      </c>
      <c r="R73" t="e">
        <f>_xlfn.XLOOKUP(TableauRecette[[#This Row],[ID]],TableauProduit[ID],TableauProduit[Total (kg) N7],0,0,1)*#REF!</f>
        <v>#REF!</v>
      </c>
      <c r="S73" t="e">
        <f>_xlfn.XLOOKUP(TableauRecette[[#This Row],[ID]],TableauProduit[ID],TableauProduit[Total (kg) N8],0,0,1)*#REF!</f>
        <v>#REF!</v>
      </c>
      <c r="T73" t="e">
        <f>_xlfn.XLOOKUP(TableauRecette[[#This Row],[ID]],TableauProduit[ID],TableauProduit[Total (kg) N9],0,0,1)*#REF!</f>
        <v>#REF!</v>
      </c>
    </row>
    <row r="74" spans="1:20" x14ac:dyDescent="0.2">
      <c r="A74" t="s">
        <v>130</v>
      </c>
      <c r="B74" t="str">
        <f>TableauRecette[[#This Row],[Recette]]&amp;TableauRecette[[#This Row],[Conditionnement]]</f>
        <v>Curry japonaisEpice 100ml</v>
      </c>
      <c r="C74" t="s">
        <v>345</v>
      </c>
      <c r="D74">
        <v>1.5</v>
      </c>
      <c r="E74" t="s">
        <v>73</v>
      </c>
      <c r="F74">
        <f>IFERROR(TableauRecette[[#This Row],[Proportion]]/SUMIFS(TableauRecette[Proportion],TableauRecette[Recette],TableauRecette[[#This Row],[Recette]],TableauRecette[Conditionnement],TableauRecette[[#This Row],[Conditionnement]]),0)</f>
        <v>3.1578947368421054E-2</v>
      </c>
      <c r="G74">
        <f>IFERROR(_xlfn.XLOOKUP(TableauRecette[[#This Row],[Ingredients]],TableauIngredients[Ingredients],#REF!,0)*#REF!,0)</f>
        <v>0</v>
      </c>
      <c r="H74">
        <f>IFERROR(SUMIFS(TableauRecette[Proportion],TableauRecette[Recette],TableauRecette[[#This Row],[Recette]],TableauRecette[Conditionnement],TableauRecette[[#This Row],[Conditionnement]]),0)</f>
        <v>47.5</v>
      </c>
      <c r="I74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74" t="s">
        <v>341</v>
      </c>
      <c r="L74">
        <f>_xlfn.XLOOKUP(TableauRecette[[#This Row],[ID]],TableauProduit[ID],TableauProduit[Total (kg) N1],0,0,1)*_xlfn.XLOOKUP(TableauRecette[[#This Row],[ID]],TableauProduit[ID],TableauProduit[Total (kg) N1],0,0,1)</f>
        <v>0</v>
      </c>
      <c r="M74" t="e">
        <f>_xlfn.XLOOKUP(TableauRecette[[#This Row],[ID]],TableauProduit[ID],TableauProduit[Total (kg) N1],0,0,1)*_xlfn.XLOOKUP(TableauRecette[[#This Row],[ID]],TableauProduit[ID],TableauProduit[Total (kg) N2],0,0,1)</f>
        <v>#REF!</v>
      </c>
      <c r="N74" t="e">
        <f>_xlfn.XLOOKUP(TableauRecette[[#This Row],[ID]],TableauProduit[ID],TableauProduit[Total (kg) N3],0,0,1)*#REF!</f>
        <v>#REF!</v>
      </c>
      <c r="O74" t="e">
        <f>_xlfn.XLOOKUP(TableauRecette[[#This Row],[ID]],TableauProduit[ID],TableauProduit[Total (kg) N4],0,0,1)*#REF!</f>
        <v>#REF!</v>
      </c>
      <c r="P74" t="e">
        <f>_xlfn.XLOOKUP(TableauRecette[[#This Row],[ID]],TableauProduit[ID],TableauProduit[Total (kg) N5],0,0,1)*#REF!</f>
        <v>#REF!</v>
      </c>
      <c r="Q74" t="e">
        <f>_xlfn.XLOOKUP(TableauRecette[[#This Row],[ID]],TableauProduit[ID],TableauProduit[Total (kg) N6],0,0,1)*#REF!</f>
        <v>#REF!</v>
      </c>
      <c r="R74" t="e">
        <f>_xlfn.XLOOKUP(TableauRecette[[#This Row],[ID]],TableauProduit[ID],TableauProduit[Total (kg) N7],0,0,1)*#REF!</f>
        <v>#REF!</v>
      </c>
      <c r="S74" t="e">
        <f>_xlfn.XLOOKUP(TableauRecette[[#This Row],[ID]],TableauProduit[ID],TableauProduit[Total (kg) N8],0,0,1)*#REF!</f>
        <v>#REF!</v>
      </c>
      <c r="T74" t="e">
        <f>_xlfn.XLOOKUP(TableauRecette[[#This Row],[ID]],TableauProduit[ID],TableauProduit[Total (kg) N9],0,0,1)*#REF!</f>
        <v>#REF!</v>
      </c>
    </row>
    <row r="75" spans="1:20" x14ac:dyDescent="0.2">
      <c r="A75" t="s">
        <v>130</v>
      </c>
      <c r="B75" t="str">
        <f>TableauRecette[[#This Row],[Recette]]&amp;TableauRecette[[#This Row],[Conditionnement]]</f>
        <v>Curry japonaisEpice 100ml</v>
      </c>
      <c r="C75" t="s">
        <v>342</v>
      </c>
      <c r="D75">
        <v>1</v>
      </c>
      <c r="E75" t="s">
        <v>73</v>
      </c>
      <c r="F75">
        <f>IFERROR(TableauRecette[[#This Row],[Proportion]]/SUMIFS(TableauRecette[Proportion],TableauRecette[Recette],TableauRecette[[#This Row],[Recette]],TableauRecette[Conditionnement],TableauRecette[[#This Row],[Conditionnement]]),0)</f>
        <v>2.1052631578947368E-2</v>
      </c>
      <c r="G75">
        <f>IFERROR(_xlfn.XLOOKUP(TableauRecette[[#This Row],[Ingredients]],TableauIngredients[Ingredients],#REF!,0)*#REF!,0)</f>
        <v>0</v>
      </c>
      <c r="H75">
        <f>IFERROR(SUMIFS(TableauRecette[Proportion],TableauRecette[Recette],TableauRecette[[#This Row],[Recette]],TableauRecette[Conditionnement],TableauRecette[[#This Row],[Conditionnement]]),0)</f>
        <v>47.5</v>
      </c>
      <c r="I7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75">
        <f>_xlfn.XLOOKUP(TableauRecette[[#This Row],[ID]],TableauProduit[ID],TableauProduit[Total (kg) N1],0,0,1)*_xlfn.XLOOKUP(TableauRecette[[#This Row],[ID]],TableauProduit[ID],TableauProduit[Total (kg) N1],0,0,1)</f>
        <v>0</v>
      </c>
      <c r="M75" t="e">
        <f>_xlfn.XLOOKUP(TableauRecette[[#This Row],[ID]],TableauProduit[ID],TableauProduit[Total (kg) N1],0,0,1)*_xlfn.XLOOKUP(TableauRecette[[#This Row],[ID]],TableauProduit[ID],TableauProduit[Total (kg) N2],0,0,1)</f>
        <v>#REF!</v>
      </c>
      <c r="N75" t="e">
        <f>_xlfn.XLOOKUP(TableauRecette[[#This Row],[ID]],TableauProduit[ID],TableauProduit[Total (kg) N3],0,0,1)*#REF!</f>
        <v>#REF!</v>
      </c>
      <c r="O75" t="e">
        <f>_xlfn.XLOOKUP(TableauRecette[[#This Row],[ID]],TableauProduit[ID],TableauProduit[Total (kg) N4],0,0,1)*#REF!</f>
        <v>#REF!</v>
      </c>
      <c r="P75" t="e">
        <f>_xlfn.XLOOKUP(TableauRecette[[#This Row],[ID]],TableauProduit[ID],TableauProduit[Total (kg) N5],0,0,1)*#REF!</f>
        <v>#REF!</v>
      </c>
      <c r="Q75" t="e">
        <f>_xlfn.XLOOKUP(TableauRecette[[#This Row],[ID]],TableauProduit[ID],TableauProduit[Total (kg) N6],0,0,1)*#REF!</f>
        <v>#REF!</v>
      </c>
      <c r="R75" t="e">
        <f>_xlfn.XLOOKUP(TableauRecette[[#This Row],[ID]],TableauProduit[ID],TableauProduit[Total (kg) N7],0,0,1)*#REF!</f>
        <v>#REF!</v>
      </c>
      <c r="S75" t="e">
        <f>_xlfn.XLOOKUP(TableauRecette[[#This Row],[ID]],TableauProduit[ID],TableauProduit[Total (kg) N8],0,0,1)*#REF!</f>
        <v>#REF!</v>
      </c>
      <c r="T75" t="e">
        <f>_xlfn.XLOOKUP(TableauRecette[[#This Row],[ID]],TableauProduit[ID],TableauProduit[Total (kg) N9],0,0,1)*#REF!</f>
        <v>#REF!</v>
      </c>
    </row>
    <row r="76" spans="1:20" x14ac:dyDescent="0.2">
      <c r="A76" t="s">
        <v>130</v>
      </c>
      <c r="B76" t="str">
        <f>TableauRecette[[#This Row],[Recette]]&amp;TableauRecette[[#This Row],[Conditionnement]]</f>
        <v>Curry japonaisEpice 100ml</v>
      </c>
      <c r="C76" t="s">
        <v>350</v>
      </c>
      <c r="D76">
        <v>1</v>
      </c>
      <c r="E76" t="s">
        <v>73</v>
      </c>
      <c r="F76">
        <f>IFERROR(TableauRecette[[#This Row],[Proportion]]/SUMIFS(TableauRecette[Proportion],TableauRecette[Recette],TableauRecette[[#This Row],[Recette]],TableauRecette[Conditionnement],TableauRecette[[#This Row],[Conditionnement]]),0)</f>
        <v>2.1052631578947368E-2</v>
      </c>
      <c r="G76">
        <f>IFERROR(_xlfn.XLOOKUP(TableauRecette[[#This Row],[Ingredients]],TableauIngredients[Ingredients],#REF!,0)*#REF!,0)</f>
        <v>0</v>
      </c>
      <c r="H76">
        <f>IFERROR(SUMIFS(TableauRecette[Proportion],TableauRecette[Recette],TableauRecette[[#This Row],[Recette]],TableauRecette[Conditionnement],TableauRecette[[#This Row],[Conditionnement]]),0)</f>
        <v>47.5</v>
      </c>
      <c r="I76">
        <f>_xlfn.XLOOKUP(TableauRecette[[#This Row],[Ingredients]],TableauIngredients[Ingredients],TableauIngredients[Prix d''achat (kg)],0,0,1)*TableauRecette[[#This Row],[Proportion]]/TableauRecette[[#This Row],[Total Proportion]]</f>
        <v>0.75789473684210529</v>
      </c>
      <c r="L76">
        <f>_xlfn.XLOOKUP(TableauRecette[[#This Row],[ID]],TableauProduit[ID],TableauProduit[Total (kg) N1],0,0,1)*_xlfn.XLOOKUP(TableauRecette[[#This Row],[ID]],TableauProduit[ID],TableauProduit[Total (kg) N1],0,0,1)</f>
        <v>0</v>
      </c>
      <c r="M76" t="e">
        <f>_xlfn.XLOOKUP(TableauRecette[[#This Row],[ID]],TableauProduit[ID],TableauProduit[Total (kg) N1],0,0,1)*_xlfn.XLOOKUP(TableauRecette[[#This Row],[ID]],TableauProduit[ID],TableauProduit[Total (kg) N2],0,0,1)</f>
        <v>#REF!</v>
      </c>
      <c r="N76" t="e">
        <f>_xlfn.XLOOKUP(TableauRecette[[#This Row],[ID]],TableauProduit[ID],TableauProduit[Total (kg) N3],0,0,1)*#REF!</f>
        <v>#REF!</v>
      </c>
      <c r="O76" t="e">
        <f>_xlfn.XLOOKUP(TableauRecette[[#This Row],[ID]],TableauProduit[ID],TableauProduit[Total (kg) N4],0,0,1)*#REF!</f>
        <v>#REF!</v>
      </c>
      <c r="P76" t="e">
        <f>_xlfn.XLOOKUP(TableauRecette[[#This Row],[ID]],TableauProduit[ID],TableauProduit[Total (kg) N5],0,0,1)*#REF!</f>
        <v>#REF!</v>
      </c>
      <c r="Q76" t="e">
        <f>_xlfn.XLOOKUP(TableauRecette[[#This Row],[ID]],TableauProduit[ID],TableauProduit[Total (kg) N6],0,0,1)*#REF!</f>
        <v>#REF!</v>
      </c>
      <c r="R76" t="e">
        <f>_xlfn.XLOOKUP(TableauRecette[[#This Row],[ID]],TableauProduit[ID],TableauProduit[Total (kg) N7],0,0,1)*#REF!</f>
        <v>#REF!</v>
      </c>
      <c r="S76" t="e">
        <f>_xlfn.XLOOKUP(TableauRecette[[#This Row],[ID]],TableauProduit[ID],TableauProduit[Total (kg) N8],0,0,1)*#REF!</f>
        <v>#REF!</v>
      </c>
      <c r="T76" t="e">
        <f>_xlfn.XLOOKUP(TableauRecette[[#This Row],[ID]],TableauProduit[ID],TableauProduit[Total (kg) N9],0,0,1)*#REF!</f>
        <v>#REF!</v>
      </c>
    </row>
    <row r="77" spans="1:20" x14ac:dyDescent="0.2">
      <c r="A77" t="s">
        <v>130</v>
      </c>
      <c r="B77" t="str">
        <f>TableauRecette[[#This Row],[Recette]]&amp;TableauRecette[[#This Row],[Conditionnement]]</f>
        <v>Curry japonaisEpice 100ml</v>
      </c>
      <c r="C77" t="s">
        <v>371</v>
      </c>
      <c r="D77">
        <v>1</v>
      </c>
      <c r="E77" t="s">
        <v>73</v>
      </c>
      <c r="F77">
        <f>IFERROR(TableauRecette[[#This Row],[Proportion]]/SUMIFS(TableauRecette[Proportion],TableauRecette[Recette],TableauRecette[[#This Row],[Recette]],TableauRecette[Conditionnement],TableauRecette[[#This Row],[Conditionnement]]),0)</f>
        <v>2.1052631578947368E-2</v>
      </c>
      <c r="G77">
        <f>IFERROR(_xlfn.XLOOKUP(TableauRecette[[#This Row],[Ingredients]],TableauIngredients[Ingredients],#REF!,0)*#REF!,0)</f>
        <v>0</v>
      </c>
      <c r="H77">
        <f>IFERROR(SUMIFS(TableauRecette[Proportion],TableauRecette[Recette],TableauRecette[[#This Row],[Recette]],TableauRecette[Conditionnement],TableauRecette[[#This Row],[Conditionnement]]),0)</f>
        <v>47.5</v>
      </c>
      <c r="I7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77">
        <f>_xlfn.XLOOKUP(TableauRecette[[#This Row],[ID]],TableauProduit[ID],TableauProduit[Total (kg) N1],0,0,1)*_xlfn.XLOOKUP(TableauRecette[[#This Row],[ID]],TableauProduit[ID],TableauProduit[Total (kg) N1],0,0,1)</f>
        <v>0</v>
      </c>
      <c r="M77" t="e">
        <f>_xlfn.XLOOKUP(TableauRecette[[#This Row],[ID]],TableauProduit[ID],TableauProduit[Total (kg) N1],0,0,1)*_xlfn.XLOOKUP(TableauRecette[[#This Row],[ID]],TableauProduit[ID],TableauProduit[Total (kg) N2],0,0,1)</f>
        <v>#REF!</v>
      </c>
      <c r="N77" t="e">
        <f>_xlfn.XLOOKUP(TableauRecette[[#This Row],[ID]],TableauProduit[ID],TableauProduit[Total (kg) N3],0,0,1)*#REF!</f>
        <v>#REF!</v>
      </c>
      <c r="O77" t="e">
        <f>_xlfn.XLOOKUP(TableauRecette[[#This Row],[ID]],TableauProduit[ID],TableauProduit[Total (kg) N4],0,0,1)*#REF!</f>
        <v>#REF!</v>
      </c>
      <c r="P77" t="e">
        <f>_xlfn.XLOOKUP(TableauRecette[[#This Row],[ID]],TableauProduit[ID],TableauProduit[Total (kg) N5],0,0,1)*#REF!</f>
        <v>#REF!</v>
      </c>
      <c r="Q77" t="e">
        <f>_xlfn.XLOOKUP(TableauRecette[[#This Row],[ID]],TableauProduit[ID],TableauProduit[Total (kg) N6],0,0,1)*#REF!</f>
        <v>#REF!</v>
      </c>
      <c r="R77" t="e">
        <f>_xlfn.XLOOKUP(TableauRecette[[#This Row],[ID]],TableauProduit[ID],TableauProduit[Total (kg) N7],0,0,1)*#REF!</f>
        <v>#REF!</v>
      </c>
      <c r="S77" t="e">
        <f>_xlfn.XLOOKUP(TableauRecette[[#This Row],[ID]],TableauProduit[ID],TableauProduit[Total (kg) N8],0,0,1)*#REF!</f>
        <v>#REF!</v>
      </c>
      <c r="T77" t="e">
        <f>_xlfn.XLOOKUP(TableauRecette[[#This Row],[ID]],TableauProduit[ID],TableauProduit[Total (kg) N9],0,0,1)*#REF!</f>
        <v>#REF!</v>
      </c>
    </row>
    <row r="78" spans="1:20" x14ac:dyDescent="0.2">
      <c r="A78" t="s">
        <v>130</v>
      </c>
      <c r="B78" t="str">
        <f>TableauRecette[[#This Row],[Recette]]&amp;TableauRecette[[#This Row],[Conditionnement]]</f>
        <v>Curry japonaisEpice 100ml</v>
      </c>
      <c r="C78" t="s">
        <v>380</v>
      </c>
      <c r="D78">
        <v>1</v>
      </c>
      <c r="E78" t="s">
        <v>73</v>
      </c>
      <c r="F78">
        <f>IFERROR(TableauRecette[[#This Row],[Proportion]]/SUMIFS(TableauRecette[Proportion],TableauRecette[Recette],TableauRecette[[#This Row],[Recette]],TableauRecette[Conditionnement],TableauRecette[[#This Row],[Conditionnement]]),0)</f>
        <v>2.1052631578947368E-2</v>
      </c>
      <c r="G78">
        <f>IFERROR(_xlfn.XLOOKUP(TableauRecette[[#This Row],[Ingredients]],TableauIngredients[Ingredients],#REF!,0)*#REF!,0)</f>
        <v>0</v>
      </c>
      <c r="H78">
        <f>IFERROR(SUMIFS(TableauRecette[Proportion],TableauRecette[Recette],TableauRecette[[#This Row],[Recette]],TableauRecette[Conditionnement],TableauRecette[[#This Row],[Conditionnement]]),0)</f>
        <v>47.5</v>
      </c>
      <c r="I78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78">
        <f>_xlfn.XLOOKUP(TableauRecette[[#This Row],[ID]],TableauProduit[ID],TableauProduit[Total (kg) N1],0,0,1)*_xlfn.XLOOKUP(TableauRecette[[#This Row],[ID]],TableauProduit[ID],TableauProduit[Total (kg) N1],0,0,1)</f>
        <v>0</v>
      </c>
      <c r="M78" t="e">
        <f>_xlfn.XLOOKUP(TableauRecette[[#This Row],[ID]],TableauProduit[ID],TableauProduit[Total (kg) N1],0,0,1)*_xlfn.XLOOKUP(TableauRecette[[#This Row],[ID]],TableauProduit[ID],TableauProduit[Total (kg) N2],0,0,1)</f>
        <v>#REF!</v>
      </c>
      <c r="N78" t="e">
        <f>_xlfn.XLOOKUP(TableauRecette[[#This Row],[ID]],TableauProduit[ID],TableauProduit[Total (kg) N3],0,0,1)*#REF!</f>
        <v>#REF!</v>
      </c>
      <c r="O78" t="e">
        <f>_xlfn.XLOOKUP(TableauRecette[[#This Row],[ID]],TableauProduit[ID],TableauProduit[Total (kg) N4],0,0,1)*#REF!</f>
        <v>#REF!</v>
      </c>
      <c r="P78" t="e">
        <f>_xlfn.XLOOKUP(TableauRecette[[#This Row],[ID]],TableauProduit[ID],TableauProduit[Total (kg) N5],0,0,1)*#REF!</f>
        <v>#REF!</v>
      </c>
      <c r="Q78" t="e">
        <f>_xlfn.XLOOKUP(TableauRecette[[#This Row],[ID]],TableauProduit[ID],TableauProduit[Total (kg) N6],0,0,1)*#REF!</f>
        <v>#REF!</v>
      </c>
      <c r="R78" t="e">
        <f>_xlfn.XLOOKUP(TableauRecette[[#This Row],[ID]],TableauProduit[ID],TableauProduit[Total (kg) N7],0,0,1)*#REF!</f>
        <v>#REF!</v>
      </c>
      <c r="S78" t="e">
        <f>_xlfn.XLOOKUP(TableauRecette[[#This Row],[ID]],TableauProduit[ID],TableauProduit[Total (kg) N8],0,0,1)*#REF!</f>
        <v>#REF!</v>
      </c>
      <c r="T78" t="e">
        <f>_xlfn.XLOOKUP(TableauRecette[[#This Row],[ID]],TableauProduit[ID],TableauProduit[Total (kg) N9],0,0,1)*#REF!</f>
        <v>#REF!</v>
      </c>
    </row>
    <row r="79" spans="1:20" x14ac:dyDescent="0.2">
      <c r="A79" t="s">
        <v>130</v>
      </c>
      <c r="B79" t="str">
        <f>TableauRecette[[#This Row],[Recette]]&amp;TableauRecette[[#This Row],[Conditionnement]]</f>
        <v>Curry japonaisEpice 100ml</v>
      </c>
      <c r="C79" t="s">
        <v>381</v>
      </c>
      <c r="D79">
        <v>1</v>
      </c>
      <c r="E79" t="s">
        <v>73</v>
      </c>
      <c r="F79">
        <f>IFERROR(TableauRecette[[#This Row],[Proportion]]/SUMIFS(TableauRecette[Proportion],TableauRecette[Recette],TableauRecette[[#This Row],[Recette]],TableauRecette[Conditionnement],TableauRecette[[#This Row],[Conditionnement]]),0)</f>
        <v>2.1052631578947368E-2</v>
      </c>
      <c r="G79">
        <f>IFERROR(_xlfn.XLOOKUP(TableauRecette[[#This Row],[Ingredients]],TableauIngredients[Ingredients],#REF!,0)*#REF!,0)</f>
        <v>0</v>
      </c>
      <c r="H79">
        <f>IFERROR(SUMIFS(TableauRecette[Proportion],TableauRecette[Recette],TableauRecette[[#This Row],[Recette]],TableauRecette[Conditionnement],TableauRecette[[#This Row],[Conditionnement]]),0)</f>
        <v>47.5</v>
      </c>
      <c r="I7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79">
        <f>_xlfn.XLOOKUP(TableauRecette[[#This Row],[ID]],TableauProduit[ID],TableauProduit[Total (kg) N1],0,0,1)*_xlfn.XLOOKUP(TableauRecette[[#This Row],[ID]],TableauProduit[ID],TableauProduit[Total (kg) N1],0,0,1)</f>
        <v>0</v>
      </c>
      <c r="M79" t="e">
        <f>_xlfn.XLOOKUP(TableauRecette[[#This Row],[ID]],TableauProduit[ID],TableauProduit[Total (kg) N1],0,0,1)*_xlfn.XLOOKUP(TableauRecette[[#This Row],[ID]],TableauProduit[ID],TableauProduit[Total (kg) N2],0,0,1)</f>
        <v>#REF!</v>
      </c>
      <c r="N79" t="e">
        <f>_xlfn.XLOOKUP(TableauRecette[[#This Row],[ID]],TableauProduit[ID],TableauProduit[Total (kg) N3],0,0,1)*#REF!</f>
        <v>#REF!</v>
      </c>
      <c r="O79" t="e">
        <f>_xlfn.XLOOKUP(TableauRecette[[#This Row],[ID]],TableauProduit[ID],TableauProduit[Total (kg) N4],0,0,1)*#REF!</f>
        <v>#REF!</v>
      </c>
      <c r="P79" t="e">
        <f>_xlfn.XLOOKUP(TableauRecette[[#This Row],[ID]],TableauProduit[ID],TableauProduit[Total (kg) N5],0,0,1)*#REF!</f>
        <v>#REF!</v>
      </c>
      <c r="Q79" t="e">
        <f>_xlfn.XLOOKUP(TableauRecette[[#This Row],[ID]],TableauProduit[ID],TableauProduit[Total (kg) N6],0,0,1)*#REF!</f>
        <v>#REF!</v>
      </c>
      <c r="R79" t="e">
        <f>_xlfn.XLOOKUP(TableauRecette[[#This Row],[ID]],TableauProduit[ID],TableauProduit[Total (kg) N7],0,0,1)*#REF!</f>
        <v>#REF!</v>
      </c>
      <c r="S79" t="e">
        <f>_xlfn.XLOOKUP(TableauRecette[[#This Row],[ID]],TableauProduit[ID],TableauProduit[Total (kg) N8],0,0,1)*#REF!</f>
        <v>#REF!</v>
      </c>
      <c r="T79" t="e">
        <f>_xlfn.XLOOKUP(TableauRecette[[#This Row],[ID]],TableauProduit[ID],TableauProduit[Total (kg) N9],0,0,1)*#REF!</f>
        <v>#REF!</v>
      </c>
    </row>
    <row r="80" spans="1:20" x14ac:dyDescent="0.2">
      <c r="A80" t="s">
        <v>130</v>
      </c>
      <c r="B80" t="str">
        <f>TableauRecette[[#This Row],[Recette]]&amp;TableauRecette[[#This Row],[Conditionnement]]</f>
        <v>Curry japonaisEpice 100ml</v>
      </c>
      <c r="C80" t="s">
        <v>353</v>
      </c>
      <c r="D80">
        <v>1</v>
      </c>
      <c r="E80" t="s">
        <v>73</v>
      </c>
      <c r="F80">
        <f>IFERROR(TableauRecette[[#This Row],[Proportion]]/SUMIFS(TableauRecette[Proportion],TableauRecette[Recette],TableauRecette[[#This Row],[Recette]],TableauRecette[Conditionnement],TableauRecette[[#This Row],[Conditionnement]]),0)</f>
        <v>2.1052631578947368E-2</v>
      </c>
      <c r="G80">
        <f>IFERROR(_xlfn.XLOOKUP(TableauRecette[[#This Row],[Ingredients]],TableauIngredients[Ingredients],#REF!,0)*#REF!,0)</f>
        <v>0</v>
      </c>
      <c r="H80">
        <f>IFERROR(SUMIFS(TableauRecette[Proportion],TableauRecette[Recette],TableauRecette[[#This Row],[Recette]],TableauRecette[Conditionnement],TableauRecette[[#This Row],[Conditionnement]]),0)</f>
        <v>47.5</v>
      </c>
      <c r="I80">
        <f>_xlfn.XLOOKUP(TableauRecette[[#This Row],[Ingredients]],TableauIngredients[Ingredients],TableauIngredients[Prix d''achat (kg)],0,0,1)*TableauRecette[[#This Row],[Proportion]]/TableauRecette[[#This Row],[Total Proportion]]</f>
        <v>1.263157894736842</v>
      </c>
      <c r="L80">
        <f>_xlfn.XLOOKUP(TableauRecette[[#This Row],[ID]],TableauProduit[ID],TableauProduit[Total (kg) N1],0,0,1)*_xlfn.XLOOKUP(TableauRecette[[#This Row],[ID]],TableauProduit[ID],TableauProduit[Total (kg) N1],0,0,1)</f>
        <v>0</v>
      </c>
      <c r="M80" t="e">
        <f>_xlfn.XLOOKUP(TableauRecette[[#This Row],[ID]],TableauProduit[ID],TableauProduit[Total (kg) N1],0,0,1)*_xlfn.XLOOKUP(TableauRecette[[#This Row],[ID]],TableauProduit[ID],TableauProduit[Total (kg) N2],0,0,1)</f>
        <v>#REF!</v>
      </c>
      <c r="N80" t="e">
        <f>_xlfn.XLOOKUP(TableauRecette[[#This Row],[ID]],TableauProduit[ID],TableauProduit[Total (kg) N3],0,0,1)*#REF!</f>
        <v>#REF!</v>
      </c>
      <c r="O80" t="e">
        <f>_xlfn.XLOOKUP(TableauRecette[[#This Row],[ID]],TableauProduit[ID],TableauProduit[Total (kg) N4],0,0,1)*#REF!</f>
        <v>#REF!</v>
      </c>
      <c r="P80" t="e">
        <f>_xlfn.XLOOKUP(TableauRecette[[#This Row],[ID]],TableauProduit[ID],TableauProduit[Total (kg) N5],0,0,1)*#REF!</f>
        <v>#REF!</v>
      </c>
      <c r="Q80" t="e">
        <f>_xlfn.XLOOKUP(TableauRecette[[#This Row],[ID]],TableauProduit[ID],TableauProduit[Total (kg) N6],0,0,1)*#REF!</f>
        <v>#REF!</v>
      </c>
      <c r="R80" t="e">
        <f>_xlfn.XLOOKUP(TableauRecette[[#This Row],[ID]],TableauProduit[ID],TableauProduit[Total (kg) N7],0,0,1)*#REF!</f>
        <v>#REF!</v>
      </c>
      <c r="S80" t="e">
        <f>_xlfn.XLOOKUP(TableauRecette[[#This Row],[ID]],TableauProduit[ID],TableauProduit[Total (kg) N8],0,0,1)*#REF!</f>
        <v>#REF!</v>
      </c>
      <c r="T80" t="e">
        <f>_xlfn.XLOOKUP(TableauRecette[[#This Row],[ID]],TableauProduit[ID],TableauProduit[Total (kg) N9],0,0,1)*#REF!</f>
        <v>#REF!</v>
      </c>
    </row>
    <row r="81" spans="1:20" x14ac:dyDescent="0.2">
      <c r="A81" t="s">
        <v>130</v>
      </c>
      <c r="B81" t="str">
        <f>TableauRecette[[#This Row],[Recette]]&amp;TableauRecette[[#This Row],[Conditionnement]]</f>
        <v>Curry japonaisEpice 100ml</v>
      </c>
      <c r="C81" t="s">
        <v>348</v>
      </c>
      <c r="D81">
        <v>1</v>
      </c>
      <c r="E81" t="s">
        <v>73</v>
      </c>
      <c r="F81">
        <f>IFERROR(TableauRecette[[#This Row],[Proportion]]/SUMIFS(TableauRecette[Proportion],TableauRecette[Recette],TableauRecette[[#This Row],[Recette]],TableauRecette[Conditionnement],TableauRecette[[#This Row],[Conditionnement]]),0)</f>
        <v>2.1052631578947368E-2</v>
      </c>
      <c r="G81">
        <f>IFERROR(_xlfn.XLOOKUP(TableauRecette[[#This Row],[Ingredients]],TableauIngredients[Ingredients],#REF!,0)*#REF!,0)</f>
        <v>0</v>
      </c>
      <c r="H81">
        <f>IFERROR(SUMIFS(TableauRecette[Proportion],TableauRecette[Recette],TableauRecette[[#This Row],[Recette]],TableauRecette[Conditionnement],TableauRecette[[#This Row],[Conditionnement]]),0)</f>
        <v>47.5</v>
      </c>
      <c r="I81">
        <f>_xlfn.XLOOKUP(TableauRecette[[#This Row],[Ingredients]],TableauIngredients[Ingredients],TableauIngredients[Prix d''achat (kg)],0,0,1)*TableauRecette[[#This Row],[Proportion]]/TableauRecette[[#This Row],[Total Proportion]]</f>
        <v>0.77578947368421058</v>
      </c>
      <c r="L81">
        <f>_xlfn.XLOOKUP(TableauRecette[[#This Row],[ID]],TableauProduit[ID],TableauProduit[Total (kg) N1],0,0,1)*_xlfn.XLOOKUP(TableauRecette[[#This Row],[ID]],TableauProduit[ID],TableauProduit[Total (kg) N1],0,0,1)</f>
        <v>0</v>
      </c>
      <c r="M81" t="e">
        <f>_xlfn.XLOOKUP(TableauRecette[[#This Row],[ID]],TableauProduit[ID],TableauProduit[Total (kg) N1],0,0,1)*_xlfn.XLOOKUP(TableauRecette[[#This Row],[ID]],TableauProduit[ID],TableauProduit[Total (kg) N2],0,0,1)</f>
        <v>#REF!</v>
      </c>
      <c r="N81" t="e">
        <f>_xlfn.XLOOKUP(TableauRecette[[#This Row],[ID]],TableauProduit[ID],TableauProduit[Total (kg) N3],0,0,1)*#REF!</f>
        <v>#REF!</v>
      </c>
      <c r="O81" t="e">
        <f>_xlfn.XLOOKUP(TableauRecette[[#This Row],[ID]],TableauProduit[ID],TableauProduit[Total (kg) N4],0,0,1)*#REF!</f>
        <v>#REF!</v>
      </c>
      <c r="P81" t="e">
        <f>_xlfn.XLOOKUP(TableauRecette[[#This Row],[ID]],TableauProduit[ID],TableauProduit[Total (kg) N5],0,0,1)*#REF!</f>
        <v>#REF!</v>
      </c>
      <c r="Q81" t="e">
        <f>_xlfn.XLOOKUP(TableauRecette[[#This Row],[ID]],TableauProduit[ID],TableauProduit[Total (kg) N6],0,0,1)*#REF!</f>
        <v>#REF!</v>
      </c>
      <c r="R81" t="e">
        <f>_xlfn.XLOOKUP(TableauRecette[[#This Row],[ID]],TableauProduit[ID],TableauProduit[Total (kg) N7],0,0,1)*#REF!</f>
        <v>#REF!</v>
      </c>
      <c r="S81" t="e">
        <f>_xlfn.XLOOKUP(TableauRecette[[#This Row],[ID]],TableauProduit[ID],TableauProduit[Total (kg) N8],0,0,1)*#REF!</f>
        <v>#REF!</v>
      </c>
      <c r="T81" t="e">
        <f>_xlfn.XLOOKUP(TableauRecette[[#This Row],[ID]],TableauProduit[ID],TableauProduit[Total (kg) N9],0,0,1)*#REF!</f>
        <v>#REF!</v>
      </c>
    </row>
    <row r="82" spans="1:20" x14ac:dyDescent="0.2">
      <c r="A82" t="s">
        <v>130</v>
      </c>
      <c r="B82" t="str">
        <f>TableauRecette[[#This Row],[Recette]]&amp;TableauRecette[[#This Row],[Conditionnement]]</f>
        <v>Curry japonaisEpice 100ml</v>
      </c>
      <c r="C82" t="s">
        <v>382</v>
      </c>
      <c r="D82">
        <v>1</v>
      </c>
      <c r="E82" t="s">
        <v>73</v>
      </c>
      <c r="F82">
        <f>IFERROR(TableauRecette[[#This Row],[Proportion]]/SUMIFS(TableauRecette[Proportion],TableauRecette[Recette],TableauRecette[[#This Row],[Recette]],TableauRecette[Conditionnement],TableauRecette[[#This Row],[Conditionnement]]),0)</f>
        <v>2.1052631578947368E-2</v>
      </c>
      <c r="G82">
        <f>IFERROR(_xlfn.XLOOKUP(TableauRecette[[#This Row],[Ingredients]],TableauIngredients[Ingredients],#REF!,0)*#REF!,0)</f>
        <v>0</v>
      </c>
      <c r="H82">
        <f>IFERROR(SUMIFS(TableauRecette[Proportion],TableauRecette[Recette],TableauRecette[[#This Row],[Recette]],TableauRecette[Conditionnement],TableauRecette[[#This Row],[Conditionnement]]),0)</f>
        <v>47.5</v>
      </c>
      <c r="I8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82">
        <f>_xlfn.XLOOKUP(TableauRecette[[#This Row],[ID]],TableauProduit[ID],TableauProduit[Total (kg) N1],0,0,1)*_xlfn.XLOOKUP(TableauRecette[[#This Row],[ID]],TableauProduit[ID],TableauProduit[Total (kg) N1],0,0,1)</f>
        <v>0</v>
      </c>
      <c r="M82" t="e">
        <f>_xlfn.XLOOKUP(TableauRecette[[#This Row],[ID]],TableauProduit[ID],TableauProduit[Total (kg) N1],0,0,1)*_xlfn.XLOOKUP(TableauRecette[[#This Row],[ID]],TableauProduit[ID],TableauProduit[Total (kg) N2],0,0,1)</f>
        <v>#REF!</v>
      </c>
      <c r="N82" t="e">
        <f>_xlfn.XLOOKUP(TableauRecette[[#This Row],[ID]],TableauProduit[ID],TableauProduit[Total (kg) N3],0,0,1)*#REF!</f>
        <v>#REF!</v>
      </c>
      <c r="O82" t="e">
        <f>_xlfn.XLOOKUP(TableauRecette[[#This Row],[ID]],TableauProduit[ID],TableauProduit[Total (kg) N4],0,0,1)*#REF!</f>
        <v>#REF!</v>
      </c>
      <c r="P82" t="e">
        <f>_xlfn.XLOOKUP(TableauRecette[[#This Row],[ID]],TableauProduit[ID],TableauProduit[Total (kg) N5],0,0,1)*#REF!</f>
        <v>#REF!</v>
      </c>
      <c r="Q82" t="e">
        <f>_xlfn.XLOOKUP(TableauRecette[[#This Row],[ID]],TableauProduit[ID],TableauProduit[Total (kg) N6],0,0,1)*#REF!</f>
        <v>#REF!</v>
      </c>
      <c r="R82" t="e">
        <f>_xlfn.XLOOKUP(TableauRecette[[#This Row],[ID]],TableauProduit[ID],TableauProduit[Total (kg) N7],0,0,1)*#REF!</f>
        <v>#REF!</v>
      </c>
      <c r="S82" t="e">
        <f>_xlfn.XLOOKUP(TableauRecette[[#This Row],[ID]],TableauProduit[ID],TableauProduit[Total (kg) N8],0,0,1)*#REF!</f>
        <v>#REF!</v>
      </c>
      <c r="T82" t="e">
        <f>_xlfn.XLOOKUP(TableauRecette[[#This Row],[ID]],TableauProduit[ID],TableauProduit[Total (kg) N9],0,0,1)*#REF!</f>
        <v>#REF!</v>
      </c>
    </row>
    <row r="83" spans="1:20" x14ac:dyDescent="0.2">
      <c r="A83" t="s">
        <v>130</v>
      </c>
      <c r="B83" t="str">
        <f>TableauRecette[[#This Row],[Recette]]&amp;TableauRecette[[#This Row],[Conditionnement]]</f>
        <v>Curry japonaisEpice 100ml</v>
      </c>
      <c r="C83" t="s">
        <v>346</v>
      </c>
      <c r="D83">
        <v>1.5</v>
      </c>
      <c r="E83" t="s">
        <v>73</v>
      </c>
      <c r="F83">
        <f>IFERROR(TableauRecette[[#This Row],[Proportion]]/SUMIFS(TableauRecette[Proportion],TableauRecette[Recette],TableauRecette[[#This Row],[Recette]],TableauRecette[Conditionnement],TableauRecette[[#This Row],[Conditionnement]]),0)</f>
        <v>3.1578947368421054E-2</v>
      </c>
      <c r="G83">
        <f>IFERROR(_xlfn.XLOOKUP(TableauRecette[[#This Row],[Ingredients]],TableauIngredients[Ingredients],#REF!,0)*#REF!,0)</f>
        <v>0</v>
      </c>
      <c r="H83">
        <f>IFERROR(SUMIFS(TableauRecette[Proportion],TableauRecette[Recette],TableauRecette[[#This Row],[Recette]],TableauRecette[Conditionnement],TableauRecette[[#This Row],[Conditionnement]]),0)</f>
        <v>47.5</v>
      </c>
      <c r="I83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83" t="s">
        <v>341</v>
      </c>
      <c r="L83">
        <f>_xlfn.XLOOKUP(TableauRecette[[#This Row],[ID]],TableauProduit[ID],TableauProduit[Total (kg) N1],0,0,1)*_xlfn.XLOOKUP(TableauRecette[[#This Row],[ID]],TableauProduit[ID],TableauProduit[Total (kg) N1],0,0,1)</f>
        <v>0</v>
      </c>
      <c r="M83" t="e">
        <f>_xlfn.XLOOKUP(TableauRecette[[#This Row],[ID]],TableauProduit[ID],TableauProduit[Total (kg) N1],0,0,1)*_xlfn.XLOOKUP(TableauRecette[[#This Row],[ID]],TableauProduit[ID],TableauProduit[Total (kg) N2],0,0,1)</f>
        <v>#REF!</v>
      </c>
      <c r="N83" t="e">
        <f>_xlfn.XLOOKUP(TableauRecette[[#This Row],[ID]],TableauProduit[ID],TableauProduit[Total (kg) N3],0,0,1)*#REF!</f>
        <v>#REF!</v>
      </c>
      <c r="O83" t="e">
        <f>_xlfn.XLOOKUP(TableauRecette[[#This Row],[ID]],TableauProduit[ID],TableauProduit[Total (kg) N4],0,0,1)*#REF!</f>
        <v>#REF!</v>
      </c>
      <c r="P83" t="e">
        <f>_xlfn.XLOOKUP(TableauRecette[[#This Row],[ID]],TableauProduit[ID],TableauProduit[Total (kg) N5],0,0,1)*#REF!</f>
        <v>#REF!</v>
      </c>
      <c r="Q83" t="e">
        <f>_xlfn.XLOOKUP(TableauRecette[[#This Row],[ID]],TableauProduit[ID],TableauProduit[Total (kg) N6],0,0,1)*#REF!</f>
        <v>#REF!</v>
      </c>
      <c r="R83" t="e">
        <f>_xlfn.XLOOKUP(TableauRecette[[#This Row],[ID]],TableauProduit[ID],TableauProduit[Total (kg) N7],0,0,1)*#REF!</f>
        <v>#REF!</v>
      </c>
      <c r="S83" t="e">
        <f>_xlfn.XLOOKUP(TableauRecette[[#This Row],[ID]],TableauProduit[ID],TableauProduit[Total (kg) N8],0,0,1)*#REF!</f>
        <v>#REF!</v>
      </c>
      <c r="T83" t="e">
        <f>_xlfn.XLOOKUP(TableauRecette[[#This Row],[ID]],TableauProduit[ID],TableauProduit[Total (kg) N9],0,0,1)*#REF!</f>
        <v>#REF!</v>
      </c>
    </row>
    <row r="84" spans="1:20" x14ac:dyDescent="0.2">
      <c r="A84" t="s">
        <v>101</v>
      </c>
      <c r="B84" t="str">
        <f>TableauRecette[[#This Row],[Recette]]&amp;TableauRecette[[#This Row],[Conditionnement]]</f>
        <v>Curry MadrasEpice 100ml</v>
      </c>
      <c r="C84" t="s">
        <v>351</v>
      </c>
      <c r="D84">
        <v>0.75</v>
      </c>
      <c r="E84" t="s">
        <v>73</v>
      </c>
      <c r="F84">
        <f>IFERROR(TableauRecette[[#This Row],[Proportion]]/SUMIFS(TableauRecette[Proportion],TableauRecette[Recette],TableauRecette[[#This Row],[Recette]],TableauRecette[Conditionnement],TableauRecette[[#This Row],[Conditionnement]]),0)</f>
        <v>0.10714285714285714</v>
      </c>
      <c r="G84">
        <f>IFERROR(_xlfn.XLOOKUP(TableauRecette[[#This Row],[Ingredients]],TableauIngredients[Ingredients],#REF!,0)*#REF!,0)</f>
        <v>0</v>
      </c>
      <c r="H84">
        <f>IFERROR(SUMIFS(TableauRecette[Proportion],TableauRecette[Recette],TableauRecette[[#This Row],[Recette]],TableauRecette[Conditionnement],TableauRecette[[#This Row],[Conditionnement]]),0)</f>
        <v>7</v>
      </c>
      <c r="I84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84" t="s">
        <v>374</v>
      </c>
      <c r="K84" t="s">
        <v>341</v>
      </c>
      <c r="L84">
        <f>_xlfn.XLOOKUP(TableauRecette[[#This Row],[ID]],TableauProduit[ID],TableauProduit[Total (kg) N1],0,0,1)*_xlfn.XLOOKUP(TableauRecette[[#This Row],[ID]],TableauProduit[ID],TableauProduit[Total (kg) N1],0,0,1)</f>
        <v>506.25</v>
      </c>
      <c r="M84" t="e">
        <f>_xlfn.XLOOKUP(TableauRecette[[#This Row],[ID]],TableauProduit[ID],TableauProduit[Total (kg) N1],0,0,1)*_xlfn.XLOOKUP(TableauRecette[[#This Row],[ID]],TableauProduit[ID],TableauProduit[Total (kg) N2],0,0,1)</f>
        <v>#REF!</v>
      </c>
      <c r="N84" t="e">
        <f>_xlfn.XLOOKUP(TableauRecette[[#This Row],[ID]],TableauProduit[ID],TableauProduit[Total (kg) N3],0,0,1)*#REF!</f>
        <v>#REF!</v>
      </c>
      <c r="O84" t="e">
        <f>_xlfn.XLOOKUP(TableauRecette[[#This Row],[ID]],TableauProduit[ID],TableauProduit[Total (kg) N4],0,0,1)*#REF!</f>
        <v>#REF!</v>
      </c>
      <c r="P84" t="e">
        <f>_xlfn.XLOOKUP(TableauRecette[[#This Row],[ID]],TableauProduit[ID],TableauProduit[Total (kg) N5],0,0,1)*#REF!</f>
        <v>#REF!</v>
      </c>
      <c r="Q84" t="e">
        <f>_xlfn.XLOOKUP(TableauRecette[[#This Row],[ID]],TableauProduit[ID],TableauProduit[Total (kg) N6],0,0,1)*#REF!</f>
        <v>#REF!</v>
      </c>
      <c r="R84" t="e">
        <f>_xlfn.XLOOKUP(TableauRecette[[#This Row],[ID]],TableauProduit[ID],TableauProduit[Total (kg) N7],0,0,1)*#REF!</f>
        <v>#REF!</v>
      </c>
      <c r="S84" t="e">
        <f>_xlfn.XLOOKUP(TableauRecette[[#This Row],[ID]],TableauProduit[ID],TableauProduit[Total (kg) N8],0,0,1)*#REF!</f>
        <v>#REF!</v>
      </c>
      <c r="T84" t="e">
        <f>_xlfn.XLOOKUP(TableauRecette[[#This Row],[ID]],TableauProduit[ID],TableauProduit[Total (kg) N9],0,0,1)*#REF!</f>
        <v>#REF!</v>
      </c>
    </row>
    <row r="85" spans="1:20" x14ac:dyDescent="0.2">
      <c r="A85" t="s">
        <v>101</v>
      </c>
      <c r="B85" t="str">
        <f>TableauRecette[[#This Row],[Recette]]&amp;TableauRecette[[#This Row],[Conditionnement]]</f>
        <v>Curry MadrasEpice 100ml</v>
      </c>
      <c r="C85" t="s">
        <v>367</v>
      </c>
      <c r="D85">
        <v>1</v>
      </c>
      <c r="E85" t="s">
        <v>73</v>
      </c>
      <c r="F85">
        <f>IFERROR(TableauRecette[[#This Row],[Proportion]]/SUMIFS(TableauRecette[Proportion],TableauRecette[Recette],TableauRecette[[#This Row],[Recette]],TableauRecette[Conditionnement],TableauRecette[[#This Row],[Conditionnement]]),0)</f>
        <v>0.14285714285714285</v>
      </c>
      <c r="G85">
        <f>IFERROR(_xlfn.XLOOKUP(TableauRecette[[#This Row],[Ingredients]],TableauIngredients[Ingredients],#REF!,0)*#REF!,0)</f>
        <v>0</v>
      </c>
      <c r="H85">
        <f>IFERROR(SUMIFS(TableauRecette[Proportion],TableauRecette[Recette],TableauRecette[[#This Row],[Recette]],TableauRecette[Conditionnement],TableauRecette[[#This Row],[Conditionnement]]),0)</f>
        <v>7</v>
      </c>
      <c r="I8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85" t="s">
        <v>374</v>
      </c>
      <c r="K85" t="s">
        <v>341</v>
      </c>
      <c r="L85">
        <f>_xlfn.XLOOKUP(TableauRecette[[#This Row],[ID]],TableauProduit[ID],TableauProduit[Total (kg) N1],0,0,1)*_xlfn.XLOOKUP(TableauRecette[[#This Row],[ID]],TableauProduit[ID],TableauProduit[Total (kg) N1],0,0,1)</f>
        <v>506.25</v>
      </c>
      <c r="M85" t="e">
        <f>_xlfn.XLOOKUP(TableauRecette[[#This Row],[ID]],TableauProduit[ID],TableauProduit[Total (kg) N1],0,0,1)*_xlfn.XLOOKUP(TableauRecette[[#This Row],[ID]],TableauProduit[ID],TableauProduit[Total (kg) N2],0,0,1)</f>
        <v>#REF!</v>
      </c>
      <c r="N85" t="e">
        <f>_xlfn.XLOOKUP(TableauRecette[[#This Row],[ID]],TableauProduit[ID],TableauProduit[Total (kg) N3],0,0,1)*#REF!</f>
        <v>#REF!</v>
      </c>
      <c r="O85" t="e">
        <f>_xlfn.XLOOKUP(TableauRecette[[#This Row],[ID]],TableauProduit[ID],TableauProduit[Total (kg) N4],0,0,1)*#REF!</f>
        <v>#REF!</v>
      </c>
      <c r="P85" t="e">
        <f>_xlfn.XLOOKUP(TableauRecette[[#This Row],[ID]],TableauProduit[ID],TableauProduit[Total (kg) N5],0,0,1)*#REF!</f>
        <v>#REF!</v>
      </c>
      <c r="Q85" t="e">
        <f>_xlfn.XLOOKUP(TableauRecette[[#This Row],[ID]],TableauProduit[ID],TableauProduit[Total (kg) N6],0,0,1)*#REF!</f>
        <v>#REF!</v>
      </c>
      <c r="R85" t="e">
        <f>_xlfn.XLOOKUP(TableauRecette[[#This Row],[ID]],TableauProduit[ID],TableauProduit[Total (kg) N7],0,0,1)*#REF!</f>
        <v>#REF!</v>
      </c>
      <c r="S85" t="e">
        <f>_xlfn.XLOOKUP(TableauRecette[[#This Row],[ID]],TableauProduit[ID],TableauProduit[Total (kg) N8],0,0,1)*#REF!</f>
        <v>#REF!</v>
      </c>
      <c r="T85" t="e">
        <f>_xlfn.XLOOKUP(TableauRecette[[#This Row],[ID]],TableauProduit[ID],TableauProduit[Total (kg) N9],0,0,1)*#REF!</f>
        <v>#REF!</v>
      </c>
    </row>
    <row r="86" spans="1:20" x14ac:dyDescent="0.2">
      <c r="A86" t="s">
        <v>101</v>
      </c>
      <c r="B86" t="str">
        <f>TableauRecette[[#This Row],[Recette]]&amp;TableauRecette[[#This Row],[Conditionnement]]</f>
        <v>Curry MadrasEpice 100ml</v>
      </c>
      <c r="C86" t="s">
        <v>368</v>
      </c>
      <c r="D86">
        <v>0.5</v>
      </c>
      <c r="E86" t="s">
        <v>73</v>
      </c>
      <c r="F86">
        <f>IFERROR(TableauRecette[[#This Row],[Proportion]]/SUMIFS(TableauRecette[Proportion],TableauRecette[Recette],TableauRecette[[#This Row],[Recette]],TableauRecette[Conditionnement],TableauRecette[[#This Row],[Conditionnement]]),0)</f>
        <v>7.1428571428571425E-2</v>
      </c>
      <c r="G86">
        <f>IFERROR(_xlfn.XLOOKUP(TableauRecette[[#This Row],[Ingredients]],TableauIngredients[Ingredients],#REF!,0)*#REF!,0)</f>
        <v>0</v>
      </c>
      <c r="H86">
        <f>IFERROR(SUMIFS(TableauRecette[Proportion],TableauRecette[Recette],TableauRecette[[#This Row],[Recette]],TableauRecette[Conditionnement],TableauRecette[[#This Row],[Conditionnement]]),0)</f>
        <v>7</v>
      </c>
      <c r="I8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86" t="s">
        <v>383</v>
      </c>
      <c r="K86" t="s">
        <v>341</v>
      </c>
      <c r="L86">
        <f>_xlfn.XLOOKUP(TableauRecette[[#This Row],[ID]],TableauProduit[ID],TableauProduit[Total (kg) N1],0,0,1)*_xlfn.XLOOKUP(TableauRecette[[#This Row],[ID]],TableauProduit[ID],TableauProduit[Total (kg) N1],0,0,1)</f>
        <v>506.25</v>
      </c>
      <c r="M86" t="e">
        <f>_xlfn.XLOOKUP(TableauRecette[[#This Row],[ID]],TableauProduit[ID],TableauProduit[Total (kg) N1],0,0,1)*_xlfn.XLOOKUP(TableauRecette[[#This Row],[ID]],TableauProduit[ID],TableauProduit[Total (kg) N2],0,0,1)</f>
        <v>#REF!</v>
      </c>
      <c r="N86" t="e">
        <f>_xlfn.XLOOKUP(TableauRecette[[#This Row],[ID]],TableauProduit[ID],TableauProduit[Total (kg) N3],0,0,1)*#REF!</f>
        <v>#REF!</v>
      </c>
      <c r="O86" t="e">
        <f>_xlfn.XLOOKUP(TableauRecette[[#This Row],[ID]],TableauProduit[ID],TableauProduit[Total (kg) N4],0,0,1)*#REF!</f>
        <v>#REF!</v>
      </c>
      <c r="P86" t="e">
        <f>_xlfn.XLOOKUP(TableauRecette[[#This Row],[ID]],TableauProduit[ID],TableauProduit[Total (kg) N5],0,0,1)*#REF!</f>
        <v>#REF!</v>
      </c>
      <c r="Q86" t="e">
        <f>_xlfn.XLOOKUP(TableauRecette[[#This Row],[ID]],TableauProduit[ID],TableauProduit[Total (kg) N6],0,0,1)*#REF!</f>
        <v>#REF!</v>
      </c>
      <c r="R86" t="e">
        <f>_xlfn.XLOOKUP(TableauRecette[[#This Row],[ID]],TableauProduit[ID],TableauProduit[Total (kg) N7],0,0,1)*#REF!</f>
        <v>#REF!</v>
      </c>
      <c r="S86" t="e">
        <f>_xlfn.XLOOKUP(TableauRecette[[#This Row],[ID]],TableauProduit[ID],TableauProduit[Total (kg) N8],0,0,1)*#REF!</f>
        <v>#REF!</v>
      </c>
      <c r="T86" t="e">
        <f>_xlfn.XLOOKUP(TableauRecette[[#This Row],[ID]],TableauProduit[ID],TableauProduit[Total (kg) N9],0,0,1)*#REF!</f>
        <v>#REF!</v>
      </c>
    </row>
    <row r="87" spans="1:20" x14ac:dyDescent="0.2">
      <c r="A87" t="s">
        <v>101</v>
      </c>
      <c r="B87" t="str">
        <f>TableauRecette[[#This Row],[Recette]]&amp;TableauRecette[[#This Row],[Conditionnement]]</f>
        <v>Curry MadrasEpice 100ml</v>
      </c>
      <c r="C87" t="s">
        <v>352</v>
      </c>
      <c r="D87">
        <v>0.5</v>
      </c>
      <c r="E87" t="s">
        <v>73</v>
      </c>
      <c r="F87">
        <f>IFERROR(TableauRecette[[#This Row],[Proportion]]/SUMIFS(TableauRecette[Proportion],TableauRecette[Recette],TableauRecette[[#This Row],[Recette]],TableauRecette[Conditionnement],TableauRecette[[#This Row],[Conditionnement]]),0)</f>
        <v>7.1428571428571425E-2</v>
      </c>
      <c r="G87">
        <f>IFERROR(_xlfn.XLOOKUP(TableauRecette[[#This Row],[Ingredients]],TableauIngredients[Ingredients],#REF!,0)*#REF!,0)</f>
        <v>0</v>
      </c>
      <c r="H87">
        <f>IFERROR(SUMIFS(TableauRecette[Proportion],TableauRecette[Recette],TableauRecette[[#This Row],[Recette]],TableauRecette[Conditionnement],TableauRecette[[#This Row],[Conditionnement]]),0)</f>
        <v>7</v>
      </c>
      <c r="I8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87" t="s">
        <v>383</v>
      </c>
      <c r="K87" t="s">
        <v>341</v>
      </c>
      <c r="L87">
        <f>_xlfn.XLOOKUP(TableauRecette[[#This Row],[ID]],TableauProduit[ID],TableauProduit[Total (kg) N1],0,0,1)*_xlfn.XLOOKUP(TableauRecette[[#This Row],[ID]],TableauProduit[ID],TableauProduit[Total (kg) N1],0,0,1)</f>
        <v>506.25</v>
      </c>
      <c r="M87" t="e">
        <f>_xlfn.XLOOKUP(TableauRecette[[#This Row],[ID]],TableauProduit[ID],TableauProduit[Total (kg) N1],0,0,1)*_xlfn.XLOOKUP(TableauRecette[[#This Row],[ID]],TableauProduit[ID],TableauProduit[Total (kg) N2],0,0,1)</f>
        <v>#REF!</v>
      </c>
      <c r="N87" t="e">
        <f>_xlfn.XLOOKUP(TableauRecette[[#This Row],[ID]],TableauProduit[ID],TableauProduit[Total (kg) N3],0,0,1)*#REF!</f>
        <v>#REF!</v>
      </c>
      <c r="O87" t="e">
        <f>_xlfn.XLOOKUP(TableauRecette[[#This Row],[ID]],TableauProduit[ID],TableauProduit[Total (kg) N4],0,0,1)*#REF!</f>
        <v>#REF!</v>
      </c>
      <c r="P87" t="e">
        <f>_xlfn.XLOOKUP(TableauRecette[[#This Row],[ID]],TableauProduit[ID],TableauProduit[Total (kg) N5],0,0,1)*#REF!</f>
        <v>#REF!</v>
      </c>
      <c r="Q87" t="e">
        <f>_xlfn.XLOOKUP(TableauRecette[[#This Row],[ID]],TableauProduit[ID],TableauProduit[Total (kg) N6],0,0,1)*#REF!</f>
        <v>#REF!</v>
      </c>
      <c r="R87" t="e">
        <f>_xlfn.XLOOKUP(TableauRecette[[#This Row],[ID]],TableauProduit[ID],TableauProduit[Total (kg) N7],0,0,1)*#REF!</f>
        <v>#REF!</v>
      </c>
      <c r="S87" t="e">
        <f>_xlfn.XLOOKUP(TableauRecette[[#This Row],[ID]],TableauProduit[ID],TableauProduit[Total (kg) N8],0,0,1)*#REF!</f>
        <v>#REF!</v>
      </c>
      <c r="T87" t="e">
        <f>_xlfn.XLOOKUP(TableauRecette[[#This Row],[ID]],TableauProduit[ID],TableauProduit[Total (kg) N9],0,0,1)*#REF!</f>
        <v>#REF!</v>
      </c>
    </row>
    <row r="88" spans="1:20" x14ac:dyDescent="0.2">
      <c r="A88" t="s">
        <v>101</v>
      </c>
      <c r="B88" t="str">
        <f>TableauRecette[[#This Row],[Recette]]&amp;TableauRecette[[#This Row],[Conditionnement]]</f>
        <v>Curry MadrasEpice 100ml</v>
      </c>
      <c r="C88" t="s">
        <v>364</v>
      </c>
      <c r="D88">
        <v>1</v>
      </c>
      <c r="E88" t="s">
        <v>73</v>
      </c>
      <c r="F88">
        <f>IFERROR(TableauRecette[[#This Row],[Proportion]]/SUMIFS(TableauRecette[Proportion],TableauRecette[Recette],TableauRecette[[#This Row],[Recette]],TableauRecette[Conditionnement],TableauRecette[[#This Row],[Conditionnement]]),0)</f>
        <v>0.14285714285714285</v>
      </c>
      <c r="G88">
        <f>IFERROR(_xlfn.XLOOKUP(TableauRecette[[#This Row],[Ingredients]],TableauIngredients[Ingredients],#REF!,0)*#REF!,0)</f>
        <v>0</v>
      </c>
      <c r="H88">
        <f>IFERROR(SUMIFS(TableauRecette[Proportion],TableauRecette[Recette],TableauRecette[[#This Row],[Recette]],TableauRecette[Conditionnement],TableauRecette[[#This Row],[Conditionnement]]),0)</f>
        <v>7</v>
      </c>
      <c r="I88">
        <f>_xlfn.XLOOKUP(TableauRecette[[#This Row],[Ingredients]],TableauIngredients[Ingredients],TableauIngredients[Prix d''achat (kg)],0,0,1)*TableauRecette[[#This Row],[Proportion]]/TableauRecette[[#This Row],[Total Proportion]]</f>
        <v>0.19999999999999998</v>
      </c>
      <c r="J88" t="s">
        <v>383</v>
      </c>
      <c r="K88" t="s">
        <v>341</v>
      </c>
      <c r="L88">
        <f>_xlfn.XLOOKUP(TableauRecette[[#This Row],[ID]],TableauProduit[ID],TableauProduit[Total (kg) N1],0,0,1)*_xlfn.XLOOKUP(TableauRecette[[#This Row],[ID]],TableauProduit[ID],TableauProduit[Total (kg) N1],0,0,1)</f>
        <v>506.25</v>
      </c>
      <c r="M88" t="e">
        <f>_xlfn.XLOOKUP(TableauRecette[[#This Row],[ID]],TableauProduit[ID],TableauProduit[Total (kg) N1],0,0,1)*_xlfn.XLOOKUP(TableauRecette[[#This Row],[ID]],TableauProduit[ID],TableauProduit[Total (kg) N2],0,0,1)</f>
        <v>#REF!</v>
      </c>
      <c r="N88" t="e">
        <f>_xlfn.XLOOKUP(TableauRecette[[#This Row],[ID]],TableauProduit[ID],TableauProduit[Total (kg) N3],0,0,1)*#REF!</f>
        <v>#REF!</v>
      </c>
      <c r="O88" t="e">
        <f>_xlfn.XLOOKUP(TableauRecette[[#This Row],[ID]],TableauProduit[ID],TableauProduit[Total (kg) N4],0,0,1)*#REF!</f>
        <v>#REF!</v>
      </c>
      <c r="P88" t="e">
        <f>_xlfn.XLOOKUP(TableauRecette[[#This Row],[ID]],TableauProduit[ID],TableauProduit[Total (kg) N5],0,0,1)*#REF!</f>
        <v>#REF!</v>
      </c>
      <c r="Q88" t="e">
        <f>_xlfn.XLOOKUP(TableauRecette[[#This Row],[ID]],TableauProduit[ID],TableauProduit[Total (kg) N6],0,0,1)*#REF!</f>
        <v>#REF!</v>
      </c>
      <c r="R88" t="e">
        <f>_xlfn.XLOOKUP(TableauRecette[[#This Row],[ID]],TableauProduit[ID],TableauProduit[Total (kg) N7],0,0,1)*#REF!</f>
        <v>#REF!</v>
      </c>
      <c r="S88" t="e">
        <f>_xlfn.XLOOKUP(TableauRecette[[#This Row],[ID]],TableauProduit[ID],TableauProduit[Total (kg) N8],0,0,1)*#REF!</f>
        <v>#REF!</v>
      </c>
      <c r="T88" t="e">
        <f>_xlfn.XLOOKUP(TableauRecette[[#This Row],[ID]],TableauProduit[ID],TableauProduit[Total (kg) N9],0,0,1)*#REF!</f>
        <v>#REF!</v>
      </c>
    </row>
    <row r="89" spans="1:20" x14ac:dyDescent="0.2">
      <c r="A89" t="s">
        <v>101</v>
      </c>
      <c r="B89" t="str">
        <f>TableauRecette[[#This Row],[Recette]]&amp;TableauRecette[[#This Row],[Conditionnement]]</f>
        <v>Curry MadrasEpice 100ml</v>
      </c>
      <c r="C89" t="s">
        <v>348</v>
      </c>
      <c r="D89">
        <v>0.75</v>
      </c>
      <c r="E89" t="s">
        <v>73</v>
      </c>
      <c r="F89">
        <f>IFERROR(TableauRecette[[#This Row],[Proportion]]/SUMIFS(TableauRecette[Proportion],TableauRecette[Recette],TableauRecette[[#This Row],[Recette]],TableauRecette[Conditionnement],TableauRecette[[#This Row],[Conditionnement]]),0)</f>
        <v>0.10714285714285714</v>
      </c>
      <c r="G89">
        <f>IFERROR(_xlfn.XLOOKUP(TableauRecette[[#This Row],[Ingredients]],TableauIngredients[Ingredients],#REF!,0)*#REF!,0)</f>
        <v>0</v>
      </c>
      <c r="H89">
        <f>IFERROR(SUMIFS(TableauRecette[Proportion],TableauRecette[Recette],TableauRecette[[#This Row],[Recette]],TableauRecette[Conditionnement],TableauRecette[[#This Row],[Conditionnement]]),0)</f>
        <v>7</v>
      </c>
      <c r="I89">
        <f>_xlfn.XLOOKUP(TableauRecette[[#This Row],[Ingredients]],TableauIngredients[Ingredients],TableauIngredients[Prix d''achat (kg)],0,0,1)*TableauRecette[[#This Row],[Proportion]]/TableauRecette[[#This Row],[Total Proportion]]</f>
        <v>3.9482142857142861</v>
      </c>
      <c r="J89" t="s">
        <v>383</v>
      </c>
      <c r="K89" t="s">
        <v>341</v>
      </c>
      <c r="L89">
        <f>_xlfn.XLOOKUP(TableauRecette[[#This Row],[ID]],TableauProduit[ID],TableauProduit[Total (kg) N1],0,0,1)*_xlfn.XLOOKUP(TableauRecette[[#This Row],[ID]],TableauProduit[ID],TableauProduit[Total (kg) N1],0,0,1)</f>
        <v>506.25</v>
      </c>
      <c r="M89" t="e">
        <f>_xlfn.XLOOKUP(TableauRecette[[#This Row],[ID]],TableauProduit[ID],TableauProduit[Total (kg) N1],0,0,1)*_xlfn.XLOOKUP(TableauRecette[[#This Row],[ID]],TableauProduit[ID],TableauProduit[Total (kg) N2],0,0,1)</f>
        <v>#REF!</v>
      </c>
      <c r="N89" t="e">
        <f>_xlfn.XLOOKUP(TableauRecette[[#This Row],[ID]],TableauProduit[ID],TableauProduit[Total (kg) N3],0,0,1)*#REF!</f>
        <v>#REF!</v>
      </c>
      <c r="O89" t="e">
        <f>_xlfn.XLOOKUP(TableauRecette[[#This Row],[ID]],TableauProduit[ID],TableauProduit[Total (kg) N4],0,0,1)*#REF!</f>
        <v>#REF!</v>
      </c>
      <c r="P89" t="e">
        <f>_xlfn.XLOOKUP(TableauRecette[[#This Row],[ID]],TableauProduit[ID],TableauProduit[Total (kg) N5],0,0,1)*#REF!</f>
        <v>#REF!</v>
      </c>
      <c r="Q89" t="e">
        <f>_xlfn.XLOOKUP(TableauRecette[[#This Row],[ID]],TableauProduit[ID],TableauProduit[Total (kg) N6],0,0,1)*#REF!</f>
        <v>#REF!</v>
      </c>
      <c r="R89" t="e">
        <f>_xlfn.XLOOKUP(TableauRecette[[#This Row],[ID]],TableauProduit[ID],TableauProduit[Total (kg) N7],0,0,1)*#REF!</f>
        <v>#REF!</v>
      </c>
      <c r="S89" t="e">
        <f>_xlfn.XLOOKUP(TableauRecette[[#This Row],[ID]],TableauProduit[ID],TableauProduit[Total (kg) N8],0,0,1)*#REF!</f>
        <v>#REF!</v>
      </c>
      <c r="T89" t="e">
        <f>_xlfn.XLOOKUP(TableauRecette[[#This Row],[ID]],TableauProduit[ID],TableauProduit[Total (kg) N9],0,0,1)*#REF!</f>
        <v>#REF!</v>
      </c>
    </row>
    <row r="90" spans="1:20" x14ac:dyDescent="0.2">
      <c r="A90" t="s">
        <v>101</v>
      </c>
      <c r="B90" t="str">
        <f>TableauRecette[[#This Row],[Recette]]&amp;TableauRecette[[#This Row],[Conditionnement]]</f>
        <v>Curry MadrasEpice 100ml</v>
      </c>
      <c r="C90" t="s">
        <v>345</v>
      </c>
      <c r="D90">
        <v>0.5</v>
      </c>
      <c r="E90" t="s">
        <v>73</v>
      </c>
      <c r="F90">
        <f>IFERROR(TableauRecette[[#This Row],[Proportion]]/SUMIFS(TableauRecette[Proportion],TableauRecette[Recette],TableauRecette[[#This Row],[Recette]],TableauRecette[Conditionnement],TableauRecette[[#This Row],[Conditionnement]]),0)</f>
        <v>7.1428571428571425E-2</v>
      </c>
      <c r="G90">
        <f>IFERROR(_xlfn.XLOOKUP(TableauRecette[[#This Row],[Ingredients]],TableauIngredients[Ingredients],#REF!,0)*#REF!,0)</f>
        <v>0</v>
      </c>
      <c r="H90">
        <f>IFERROR(SUMIFS(TableauRecette[Proportion],TableauRecette[Recette],TableauRecette[[#This Row],[Recette]],TableauRecette[Conditionnement],TableauRecette[[#This Row],[Conditionnement]]),0)</f>
        <v>7</v>
      </c>
      <c r="I90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90" t="s">
        <v>384</v>
      </c>
      <c r="K90" t="s">
        <v>355</v>
      </c>
      <c r="L90">
        <f>_xlfn.XLOOKUP(TableauRecette[[#This Row],[ID]],TableauProduit[ID],TableauProduit[Total (kg) N1],0,0,1)*_xlfn.XLOOKUP(TableauRecette[[#This Row],[ID]],TableauProduit[ID],TableauProduit[Total (kg) N1],0,0,1)</f>
        <v>506.25</v>
      </c>
      <c r="M90" t="e">
        <f>_xlfn.XLOOKUP(TableauRecette[[#This Row],[ID]],TableauProduit[ID],TableauProduit[Total (kg) N1],0,0,1)*_xlfn.XLOOKUP(TableauRecette[[#This Row],[ID]],TableauProduit[ID],TableauProduit[Total (kg) N2],0,0,1)</f>
        <v>#REF!</v>
      </c>
      <c r="N90" t="e">
        <f>_xlfn.XLOOKUP(TableauRecette[[#This Row],[ID]],TableauProduit[ID],TableauProduit[Total (kg) N3],0,0,1)*#REF!</f>
        <v>#REF!</v>
      </c>
      <c r="O90" t="e">
        <f>_xlfn.XLOOKUP(TableauRecette[[#This Row],[ID]],TableauProduit[ID],TableauProduit[Total (kg) N4],0,0,1)*#REF!</f>
        <v>#REF!</v>
      </c>
      <c r="P90" t="e">
        <f>_xlfn.XLOOKUP(TableauRecette[[#This Row],[ID]],TableauProduit[ID],TableauProduit[Total (kg) N5],0,0,1)*#REF!</f>
        <v>#REF!</v>
      </c>
      <c r="Q90" t="e">
        <f>_xlfn.XLOOKUP(TableauRecette[[#This Row],[ID]],TableauProduit[ID],TableauProduit[Total (kg) N6],0,0,1)*#REF!</f>
        <v>#REF!</v>
      </c>
      <c r="R90" t="e">
        <f>_xlfn.XLOOKUP(TableauRecette[[#This Row],[ID]],TableauProduit[ID],TableauProduit[Total (kg) N7],0,0,1)*#REF!</f>
        <v>#REF!</v>
      </c>
      <c r="S90" t="e">
        <f>_xlfn.XLOOKUP(TableauRecette[[#This Row],[ID]],TableauProduit[ID],TableauProduit[Total (kg) N8],0,0,1)*#REF!</f>
        <v>#REF!</v>
      </c>
      <c r="T90" t="e">
        <f>_xlfn.XLOOKUP(TableauRecette[[#This Row],[ID]],TableauProduit[ID],TableauProduit[Total (kg) N9],0,0,1)*#REF!</f>
        <v>#REF!</v>
      </c>
    </row>
    <row r="91" spans="1:20" x14ac:dyDescent="0.2">
      <c r="A91" t="s">
        <v>101</v>
      </c>
      <c r="B91" t="str">
        <f>TableauRecette[[#This Row],[Recette]]&amp;TableauRecette[[#This Row],[Conditionnement]]</f>
        <v>Curry MadrasEpice 100ml</v>
      </c>
      <c r="C91" t="s">
        <v>385</v>
      </c>
      <c r="D91">
        <v>0.25</v>
      </c>
      <c r="E91" t="s">
        <v>73</v>
      </c>
      <c r="F91">
        <f>IFERROR(TableauRecette[[#This Row],[Proportion]]/SUMIFS(TableauRecette[Proportion],TableauRecette[Recette],TableauRecette[[#This Row],[Recette]],TableauRecette[Conditionnement],TableauRecette[[#This Row],[Conditionnement]]),0)</f>
        <v>3.5714285714285712E-2</v>
      </c>
      <c r="G91">
        <f>IFERROR(_xlfn.XLOOKUP(TableauRecette[[#This Row],[Ingredients]],TableauIngredients[Ingredients],#REF!,0)*#REF!,0)</f>
        <v>0</v>
      </c>
      <c r="H91">
        <f>IFERROR(SUMIFS(TableauRecette[Proportion],TableauRecette[Recette],TableauRecette[[#This Row],[Recette]],TableauRecette[Conditionnement],TableauRecette[[#This Row],[Conditionnement]]),0)</f>
        <v>7</v>
      </c>
      <c r="I9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91" t="s">
        <v>384</v>
      </c>
      <c r="K91" t="s">
        <v>355</v>
      </c>
      <c r="L91">
        <f>_xlfn.XLOOKUP(TableauRecette[[#This Row],[ID]],TableauProduit[ID],TableauProduit[Total (kg) N1],0,0,1)*_xlfn.XLOOKUP(TableauRecette[[#This Row],[ID]],TableauProduit[ID],TableauProduit[Total (kg) N1],0,0,1)</f>
        <v>506.25</v>
      </c>
      <c r="M91" t="e">
        <f>_xlfn.XLOOKUP(TableauRecette[[#This Row],[ID]],TableauProduit[ID],TableauProduit[Total (kg) N1],0,0,1)*_xlfn.XLOOKUP(TableauRecette[[#This Row],[ID]],TableauProduit[ID],TableauProduit[Total (kg) N2],0,0,1)</f>
        <v>#REF!</v>
      </c>
      <c r="N91" t="e">
        <f>_xlfn.XLOOKUP(TableauRecette[[#This Row],[ID]],TableauProduit[ID],TableauProduit[Total (kg) N3],0,0,1)*#REF!</f>
        <v>#REF!</v>
      </c>
      <c r="O91" t="e">
        <f>_xlfn.XLOOKUP(TableauRecette[[#This Row],[ID]],TableauProduit[ID],TableauProduit[Total (kg) N4],0,0,1)*#REF!</f>
        <v>#REF!</v>
      </c>
      <c r="P91" t="e">
        <f>_xlfn.XLOOKUP(TableauRecette[[#This Row],[ID]],TableauProduit[ID],TableauProduit[Total (kg) N5],0,0,1)*#REF!</f>
        <v>#REF!</v>
      </c>
      <c r="Q91" t="e">
        <f>_xlfn.XLOOKUP(TableauRecette[[#This Row],[ID]],TableauProduit[ID],TableauProduit[Total (kg) N6],0,0,1)*#REF!</f>
        <v>#REF!</v>
      </c>
      <c r="R91" t="e">
        <f>_xlfn.XLOOKUP(TableauRecette[[#This Row],[ID]],TableauProduit[ID],TableauProduit[Total (kg) N7],0,0,1)*#REF!</f>
        <v>#REF!</v>
      </c>
      <c r="S91" t="e">
        <f>_xlfn.XLOOKUP(TableauRecette[[#This Row],[ID]],TableauProduit[ID],TableauProduit[Total (kg) N8],0,0,1)*#REF!</f>
        <v>#REF!</v>
      </c>
      <c r="T91" t="e">
        <f>_xlfn.XLOOKUP(TableauRecette[[#This Row],[ID]],TableauProduit[ID],TableauProduit[Total (kg) N9],0,0,1)*#REF!</f>
        <v>#REF!</v>
      </c>
    </row>
    <row r="92" spans="1:20" x14ac:dyDescent="0.2">
      <c r="A92" t="s">
        <v>101</v>
      </c>
      <c r="B92" t="str">
        <f>TableauRecette[[#This Row],[Recette]]&amp;TableauRecette[[#This Row],[Conditionnement]]</f>
        <v>Curry MadrasEpice 100ml</v>
      </c>
      <c r="C92" t="s">
        <v>378</v>
      </c>
      <c r="D92">
        <v>0.25</v>
      </c>
      <c r="E92" t="s">
        <v>73</v>
      </c>
      <c r="F92">
        <f>IFERROR(TableauRecette[[#This Row],[Proportion]]/SUMIFS(TableauRecette[Proportion],TableauRecette[Recette],TableauRecette[[#This Row],[Recette]],TableauRecette[Conditionnement],TableauRecette[[#This Row],[Conditionnement]]),0)</f>
        <v>3.5714285714285712E-2</v>
      </c>
      <c r="G92">
        <f>IFERROR(_xlfn.XLOOKUP(TableauRecette[[#This Row],[Ingredients]],TableauIngredients[Ingredients],#REF!,0)*#REF!,0)</f>
        <v>0</v>
      </c>
      <c r="H92">
        <f>IFERROR(SUMIFS(TableauRecette[Proportion],TableauRecette[Recette],TableauRecette[[#This Row],[Recette]],TableauRecette[Conditionnement],TableauRecette[[#This Row],[Conditionnement]]),0)</f>
        <v>7</v>
      </c>
      <c r="I9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92" t="s">
        <v>384</v>
      </c>
      <c r="K92" t="s">
        <v>355</v>
      </c>
      <c r="L92">
        <f>_xlfn.XLOOKUP(TableauRecette[[#This Row],[ID]],TableauProduit[ID],TableauProduit[Total (kg) N1],0,0,1)*_xlfn.XLOOKUP(TableauRecette[[#This Row],[ID]],TableauProduit[ID],TableauProduit[Total (kg) N1],0,0,1)</f>
        <v>506.25</v>
      </c>
      <c r="M92" t="e">
        <f>_xlfn.XLOOKUP(TableauRecette[[#This Row],[ID]],TableauProduit[ID],TableauProduit[Total (kg) N1],0,0,1)*_xlfn.XLOOKUP(TableauRecette[[#This Row],[ID]],TableauProduit[ID],TableauProduit[Total (kg) N2],0,0,1)</f>
        <v>#REF!</v>
      </c>
      <c r="N92" t="e">
        <f>_xlfn.XLOOKUP(TableauRecette[[#This Row],[ID]],TableauProduit[ID],TableauProduit[Total (kg) N3],0,0,1)*#REF!</f>
        <v>#REF!</v>
      </c>
      <c r="O92" t="e">
        <f>_xlfn.XLOOKUP(TableauRecette[[#This Row],[ID]],TableauProduit[ID],TableauProduit[Total (kg) N4],0,0,1)*#REF!</f>
        <v>#REF!</v>
      </c>
      <c r="P92" t="e">
        <f>_xlfn.XLOOKUP(TableauRecette[[#This Row],[ID]],TableauProduit[ID],TableauProduit[Total (kg) N5],0,0,1)*#REF!</f>
        <v>#REF!</v>
      </c>
      <c r="Q92" t="e">
        <f>_xlfn.XLOOKUP(TableauRecette[[#This Row],[ID]],TableauProduit[ID],TableauProduit[Total (kg) N6],0,0,1)*#REF!</f>
        <v>#REF!</v>
      </c>
      <c r="R92" t="e">
        <f>_xlfn.XLOOKUP(TableauRecette[[#This Row],[ID]],TableauProduit[ID],TableauProduit[Total (kg) N7],0,0,1)*#REF!</f>
        <v>#REF!</v>
      </c>
      <c r="S92" t="e">
        <f>_xlfn.XLOOKUP(TableauRecette[[#This Row],[ID]],TableauProduit[ID],TableauProduit[Total (kg) N8],0,0,1)*#REF!</f>
        <v>#REF!</v>
      </c>
      <c r="T92" t="e">
        <f>_xlfn.XLOOKUP(TableauRecette[[#This Row],[ID]],TableauProduit[ID],TableauProduit[Total (kg) N9],0,0,1)*#REF!</f>
        <v>#REF!</v>
      </c>
    </row>
    <row r="93" spans="1:20" x14ac:dyDescent="0.2">
      <c r="A93" t="s">
        <v>101</v>
      </c>
      <c r="B93" t="str">
        <f>TableauRecette[[#This Row],[Recette]]&amp;TableauRecette[[#This Row],[Conditionnement]]</f>
        <v>Curry MadrasEpice 100ml</v>
      </c>
      <c r="C93" t="s">
        <v>386</v>
      </c>
      <c r="D93">
        <v>0.25</v>
      </c>
      <c r="E93" t="s">
        <v>73</v>
      </c>
      <c r="F93">
        <f>IFERROR(TableauRecette[[#This Row],[Proportion]]/SUMIFS(TableauRecette[Proportion],TableauRecette[Recette],TableauRecette[[#This Row],[Recette]],TableauRecette[Conditionnement],TableauRecette[[#This Row],[Conditionnement]]),0)</f>
        <v>3.5714285714285712E-2</v>
      </c>
      <c r="G93">
        <f>IFERROR(_xlfn.XLOOKUP(TableauRecette[[#This Row],[Ingredients]],TableauIngredients[Ingredients],#REF!,0)*#REF!,0)</f>
        <v>0</v>
      </c>
      <c r="H93">
        <f>IFERROR(SUMIFS(TableauRecette[Proportion],TableauRecette[Recette],TableauRecette[[#This Row],[Recette]],TableauRecette[Conditionnement],TableauRecette[[#This Row],[Conditionnement]]),0)</f>
        <v>7</v>
      </c>
      <c r="I93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93" t="s">
        <v>384</v>
      </c>
      <c r="K93" t="s">
        <v>355</v>
      </c>
      <c r="L93">
        <f>_xlfn.XLOOKUP(TableauRecette[[#This Row],[ID]],TableauProduit[ID],TableauProduit[Total (kg) N1],0,0,1)*_xlfn.XLOOKUP(TableauRecette[[#This Row],[ID]],TableauProduit[ID],TableauProduit[Total (kg) N1],0,0,1)</f>
        <v>506.25</v>
      </c>
      <c r="M93" t="e">
        <f>_xlfn.XLOOKUP(TableauRecette[[#This Row],[ID]],TableauProduit[ID],TableauProduit[Total (kg) N1],0,0,1)*_xlfn.XLOOKUP(TableauRecette[[#This Row],[ID]],TableauProduit[ID],TableauProduit[Total (kg) N2],0,0,1)</f>
        <v>#REF!</v>
      </c>
      <c r="N93" t="e">
        <f>_xlfn.XLOOKUP(TableauRecette[[#This Row],[ID]],TableauProduit[ID],TableauProduit[Total (kg) N3],0,0,1)*#REF!</f>
        <v>#REF!</v>
      </c>
      <c r="O93" t="e">
        <f>_xlfn.XLOOKUP(TableauRecette[[#This Row],[ID]],TableauProduit[ID],TableauProduit[Total (kg) N4],0,0,1)*#REF!</f>
        <v>#REF!</v>
      </c>
      <c r="P93" t="e">
        <f>_xlfn.XLOOKUP(TableauRecette[[#This Row],[ID]],TableauProduit[ID],TableauProduit[Total (kg) N5],0,0,1)*#REF!</f>
        <v>#REF!</v>
      </c>
      <c r="Q93" t="e">
        <f>_xlfn.XLOOKUP(TableauRecette[[#This Row],[ID]],TableauProduit[ID],TableauProduit[Total (kg) N6],0,0,1)*#REF!</f>
        <v>#REF!</v>
      </c>
      <c r="R93" t="e">
        <f>_xlfn.XLOOKUP(TableauRecette[[#This Row],[ID]],TableauProduit[ID],TableauProduit[Total (kg) N7],0,0,1)*#REF!</f>
        <v>#REF!</v>
      </c>
      <c r="S93" t="e">
        <f>_xlfn.XLOOKUP(TableauRecette[[#This Row],[ID]],TableauProduit[ID],TableauProduit[Total (kg) N8],0,0,1)*#REF!</f>
        <v>#REF!</v>
      </c>
      <c r="T93" t="e">
        <f>_xlfn.XLOOKUP(TableauRecette[[#This Row],[ID]],TableauProduit[ID],TableauProduit[Total (kg) N9],0,0,1)*#REF!</f>
        <v>#REF!</v>
      </c>
    </row>
    <row r="94" spans="1:20" x14ac:dyDescent="0.2">
      <c r="A94" t="s">
        <v>101</v>
      </c>
      <c r="B94" t="str">
        <f>TableauRecette[[#This Row],[Recette]]&amp;TableauRecette[[#This Row],[Conditionnement]]</f>
        <v>Curry MadrasEpice 100ml</v>
      </c>
      <c r="C94" t="s">
        <v>376</v>
      </c>
      <c r="D94">
        <v>0.25</v>
      </c>
      <c r="E94" t="s">
        <v>73</v>
      </c>
      <c r="F94">
        <f>IFERROR(TableauRecette[[#This Row],[Proportion]]/SUMIFS(TableauRecette[Proportion],TableauRecette[Recette],TableauRecette[[#This Row],[Recette]],TableauRecette[Conditionnement],TableauRecette[[#This Row],[Conditionnement]]),0)</f>
        <v>3.5714285714285712E-2</v>
      </c>
      <c r="G94">
        <f>IFERROR(_xlfn.XLOOKUP(TableauRecette[[#This Row],[Ingredients]],TableauIngredients[Ingredients],#REF!,0)*#REF!,0)</f>
        <v>0</v>
      </c>
      <c r="H94">
        <f>IFERROR(SUMIFS(TableauRecette[Proportion],TableauRecette[Recette],TableauRecette[[#This Row],[Recette]],TableauRecette[Conditionnement],TableauRecette[[#This Row],[Conditionnement]]),0)</f>
        <v>7</v>
      </c>
      <c r="I94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94" t="s">
        <v>384</v>
      </c>
      <c r="K94" t="s">
        <v>355</v>
      </c>
      <c r="L94">
        <f>_xlfn.XLOOKUP(TableauRecette[[#This Row],[ID]],TableauProduit[ID],TableauProduit[Total (kg) N1],0,0,1)*_xlfn.XLOOKUP(TableauRecette[[#This Row],[ID]],TableauProduit[ID],TableauProduit[Total (kg) N1],0,0,1)</f>
        <v>506.25</v>
      </c>
      <c r="M94" t="e">
        <f>_xlfn.XLOOKUP(TableauRecette[[#This Row],[ID]],TableauProduit[ID],TableauProduit[Total (kg) N1],0,0,1)*_xlfn.XLOOKUP(TableauRecette[[#This Row],[ID]],TableauProduit[ID],TableauProduit[Total (kg) N2],0,0,1)</f>
        <v>#REF!</v>
      </c>
      <c r="N94" t="e">
        <f>_xlfn.XLOOKUP(TableauRecette[[#This Row],[ID]],TableauProduit[ID],TableauProduit[Total (kg) N3],0,0,1)*#REF!</f>
        <v>#REF!</v>
      </c>
      <c r="O94" t="e">
        <f>_xlfn.XLOOKUP(TableauRecette[[#This Row],[ID]],TableauProduit[ID],TableauProduit[Total (kg) N4],0,0,1)*#REF!</f>
        <v>#REF!</v>
      </c>
      <c r="P94" t="e">
        <f>_xlfn.XLOOKUP(TableauRecette[[#This Row],[ID]],TableauProduit[ID],TableauProduit[Total (kg) N5],0,0,1)*#REF!</f>
        <v>#REF!</v>
      </c>
      <c r="Q94" t="e">
        <f>_xlfn.XLOOKUP(TableauRecette[[#This Row],[ID]],TableauProduit[ID],TableauProduit[Total (kg) N6],0,0,1)*#REF!</f>
        <v>#REF!</v>
      </c>
      <c r="R94" t="e">
        <f>_xlfn.XLOOKUP(TableauRecette[[#This Row],[ID]],TableauProduit[ID],TableauProduit[Total (kg) N7],0,0,1)*#REF!</f>
        <v>#REF!</v>
      </c>
      <c r="S94" t="e">
        <f>_xlfn.XLOOKUP(TableauRecette[[#This Row],[ID]],TableauProduit[ID],TableauProduit[Total (kg) N8],0,0,1)*#REF!</f>
        <v>#REF!</v>
      </c>
      <c r="T94" t="e">
        <f>_xlfn.XLOOKUP(TableauRecette[[#This Row],[ID]],TableauProduit[ID],TableauProduit[Total (kg) N9],0,0,1)*#REF!</f>
        <v>#REF!</v>
      </c>
    </row>
    <row r="95" spans="1:20" x14ac:dyDescent="0.2">
      <c r="A95" t="s">
        <v>101</v>
      </c>
      <c r="B95" t="str">
        <f>TableauRecette[[#This Row],[Recette]]&amp;TableauRecette[[#This Row],[Conditionnement]]</f>
        <v>Curry MadrasEpice 100ml</v>
      </c>
      <c r="C95" t="s">
        <v>372</v>
      </c>
      <c r="D95">
        <v>0.75</v>
      </c>
      <c r="E95" t="s">
        <v>73</v>
      </c>
      <c r="F95">
        <f>IFERROR(TableauRecette[[#This Row],[Proportion]]/SUMIFS(TableauRecette[Proportion],TableauRecette[Recette],TableauRecette[[#This Row],[Recette]],TableauRecette[Conditionnement],TableauRecette[[#This Row],[Conditionnement]]),0)</f>
        <v>0.10714285714285714</v>
      </c>
      <c r="G95">
        <f>IFERROR(_xlfn.XLOOKUP(TableauRecette[[#This Row],[Ingredients]],TableauIngredients[Ingredients],#REF!,0)*#REF!,0)</f>
        <v>0</v>
      </c>
      <c r="H95">
        <f>IFERROR(SUMIFS(TableauRecette[Proportion],TableauRecette[Recette],TableauRecette[[#This Row],[Recette]],TableauRecette[Conditionnement],TableauRecette[[#This Row],[Conditionnement]]),0)</f>
        <v>7</v>
      </c>
      <c r="I9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95" t="s">
        <v>383</v>
      </c>
      <c r="K95" t="s">
        <v>341</v>
      </c>
      <c r="L95">
        <f>_xlfn.XLOOKUP(TableauRecette[[#This Row],[ID]],TableauProduit[ID],TableauProduit[Total (kg) N1],0,0,1)*_xlfn.XLOOKUP(TableauRecette[[#This Row],[ID]],TableauProduit[ID],TableauProduit[Total (kg) N1],0,0,1)</f>
        <v>506.25</v>
      </c>
      <c r="M95" t="e">
        <f>_xlfn.XLOOKUP(TableauRecette[[#This Row],[ID]],TableauProduit[ID],TableauProduit[Total (kg) N1],0,0,1)*_xlfn.XLOOKUP(TableauRecette[[#This Row],[ID]],TableauProduit[ID],TableauProduit[Total (kg) N2],0,0,1)</f>
        <v>#REF!</v>
      </c>
      <c r="N95" t="e">
        <f>_xlfn.XLOOKUP(TableauRecette[[#This Row],[ID]],TableauProduit[ID],TableauProduit[Total (kg) N3],0,0,1)*#REF!</f>
        <v>#REF!</v>
      </c>
      <c r="O95" t="e">
        <f>_xlfn.XLOOKUP(TableauRecette[[#This Row],[ID]],TableauProduit[ID],TableauProduit[Total (kg) N4],0,0,1)*#REF!</f>
        <v>#REF!</v>
      </c>
      <c r="P95" t="e">
        <f>_xlfn.XLOOKUP(TableauRecette[[#This Row],[ID]],TableauProduit[ID],TableauProduit[Total (kg) N5],0,0,1)*#REF!</f>
        <v>#REF!</v>
      </c>
      <c r="Q95" t="e">
        <f>_xlfn.XLOOKUP(TableauRecette[[#This Row],[ID]],TableauProduit[ID],TableauProduit[Total (kg) N6],0,0,1)*#REF!</f>
        <v>#REF!</v>
      </c>
      <c r="R95" t="e">
        <f>_xlfn.XLOOKUP(TableauRecette[[#This Row],[ID]],TableauProduit[ID],TableauProduit[Total (kg) N7],0,0,1)*#REF!</f>
        <v>#REF!</v>
      </c>
      <c r="S95" t="e">
        <f>_xlfn.XLOOKUP(TableauRecette[[#This Row],[ID]],TableauProduit[ID],TableauProduit[Total (kg) N8],0,0,1)*#REF!</f>
        <v>#REF!</v>
      </c>
      <c r="T95" t="e">
        <f>_xlfn.XLOOKUP(TableauRecette[[#This Row],[ID]],TableauProduit[ID],TableauProduit[Total (kg) N9],0,0,1)*#REF!</f>
        <v>#REF!</v>
      </c>
    </row>
    <row r="96" spans="1:20" x14ac:dyDescent="0.2">
      <c r="A96" t="s">
        <v>101</v>
      </c>
      <c r="B96" t="str">
        <f>TableauRecette[[#This Row],[Recette]]&amp;TableauRecette[[#This Row],[Conditionnement]]</f>
        <v>Curry MadrasEpice 100ml</v>
      </c>
      <c r="C96" t="s">
        <v>346</v>
      </c>
      <c r="D96">
        <v>0.25</v>
      </c>
      <c r="E96" t="s">
        <v>73</v>
      </c>
      <c r="F96">
        <f>IFERROR(TableauRecette[[#This Row],[Proportion]]/SUMIFS(TableauRecette[Proportion],TableauRecette[Recette],TableauRecette[[#This Row],[Recette]],TableauRecette[Conditionnement],TableauRecette[[#This Row],[Conditionnement]]),0)</f>
        <v>3.5714285714285712E-2</v>
      </c>
      <c r="G96">
        <f>IFERROR(_xlfn.XLOOKUP(TableauRecette[[#This Row],[Ingredients]],TableauIngredients[Ingredients],#REF!,0)*#REF!,0)</f>
        <v>0</v>
      </c>
      <c r="H96">
        <f>IFERROR(SUMIFS(TableauRecette[Proportion],TableauRecette[Recette],TableauRecette[[#This Row],[Recette]],TableauRecette[Conditionnement],TableauRecette[[#This Row],[Conditionnement]]),0)</f>
        <v>7</v>
      </c>
      <c r="I9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96" t="s">
        <v>384</v>
      </c>
      <c r="K96" t="s">
        <v>355</v>
      </c>
      <c r="L96">
        <f>_xlfn.XLOOKUP(TableauRecette[[#This Row],[ID]],TableauProduit[ID],TableauProduit[Total (kg) N1],0,0,1)*_xlfn.XLOOKUP(TableauRecette[[#This Row],[ID]],TableauProduit[ID],TableauProduit[Total (kg) N1],0,0,1)</f>
        <v>506.25</v>
      </c>
      <c r="M96" t="e">
        <f>_xlfn.XLOOKUP(TableauRecette[[#This Row],[ID]],TableauProduit[ID],TableauProduit[Total (kg) N1],0,0,1)*_xlfn.XLOOKUP(TableauRecette[[#This Row],[ID]],TableauProduit[ID],TableauProduit[Total (kg) N2],0,0,1)</f>
        <v>#REF!</v>
      </c>
      <c r="N96" t="e">
        <f>_xlfn.XLOOKUP(TableauRecette[[#This Row],[ID]],TableauProduit[ID],TableauProduit[Total (kg) N3],0,0,1)*#REF!</f>
        <v>#REF!</v>
      </c>
      <c r="O96" t="e">
        <f>_xlfn.XLOOKUP(TableauRecette[[#This Row],[ID]],TableauProduit[ID],TableauProduit[Total (kg) N4],0,0,1)*#REF!</f>
        <v>#REF!</v>
      </c>
      <c r="P96" t="e">
        <f>_xlfn.XLOOKUP(TableauRecette[[#This Row],[ID]],TableauProduit[ID],TableauProduit[Total (kg) N5],0,0,1)*#REF!</f>
        <v>#REF!</v>
      </c>
      <c r="Q96" t="e">
        <f>_xlfn.XLOOKUP(TableauRecette[[#This Row],[ID]],TableauProduit[ID],TableauProduit[Total (kg) N6],0,0,1)*#REF!</f>
        <v>#REF!</v>
      </c>
      <c r="R96" t="e">
        <f>_xlfn.XLOOKUP(TableauRecette[[#This Row],[ID]],TableauProduit[ID],TableauProduit[Total (kg) N7],0,0,1)*#REF!</f>
        <v>#REF!</v>
      </c>
      <c r="S96" t="e">
        <f>_xlfn.XLOOKUP(TableauRecette[[#This Row],[ID]],TableauProduit[ID],TableauProduit[Total (kg) N8],0,0,1)*#REF!</f>
        <v>#REF!</v>
      </c>
      <c r="T96" t="e">
        <f>_xlfn.XLOOKUP(TableauRecette[[#This Row],[ID]],TableauProduit[ID],TableauProduit[Total (kg) N9],0,0,1)*#REF!</f>
        <v>#REF!</v>
      </c>
    </row>
    <row r="97" spans="1:20" x14ac:dyDescent="0.2">
      <c r="A97" t="s">
        <v>113</v>
      </c>
      <c r="B97" t="str">
        <f>TableauRecette[[#This Row],[Recette]]&amp;TableauRecette[[#This Row],[Conditionnement]]</f>
        <v>DukkahEpice 100ml</v>
      </c>
      <c r="C97" t="s">
        <v>387</v>
      </c>
      <c r="D97">
        <v>150</v>
      </c>
      <c r="E97" t="s">
        <v>73</v>
      </c>
      <c r="F97">
        <f>IFERROR(TableauRecette[[#This Row],[Proportion]]/SUMIFS(TableauRecette[Proportion],TableauRecette[Recette],TableauRecette[[#This Row],[Recette]],TableauRecette[Conditionnement],TableauRecette[[#This Row],[Conditionnement]]),0)</f>
        <v>0.46439628482972134</v>
      </c>
      <c r="G97">
        <f>IFERROR(_xlfn.XLOOKUP(TableauRecette[[#This Row],[Ingredients]],TableauIngredients[Ingredients],#REF!,0)*#REF!,0)</f>
        <v>0</v>
      </c>
      <c r="H97">
        <f>IFERROR(SUMIFS(TableauRecette[Proportion],TableauRecette[Recette],TableauRecette[[#This Row],[Recette]],TableauRecette[Conditionnement],TableauRecette[[#This Row],[Conditionnement]]),0)</f>
        <v>323</v>
      </c>
      <c r="I9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97" t="s">
        <v>384</v>
      </c>
      <c r="K97" t="s">
        <v>355</v>
      </c>
      <c r="L97">
        <f>_xlfn.XLOOKUP(TableauRecette[[#This Row],[ID]],TableauProduit[ID],TableauProduit[Total (kg) N1],0,0,1)*_xlfn.XLOOKUP(TableauRecette[[#This Row],[ID]],TableauProduit[ID],TableauProduit[Total (kg) N1],0,0,1)</f>
        <v>0</v>
      </c>
      <c r="M97" t="e">
        <f>_xlfn.XLOOKUP(TableauRecette[[#This Row],[ID]],TableauProduit[ID],TableauProduit[Total (kg) N1],0,0,1)*_xlfn.XLOOKUP(TableauRecette[[#This Row],[ID]],TableauProduit[ID],TableauProduit[Total (kg) N2],0,0,1)</f>
        <v>#REF!</v>
      </c>
      <c r="N97" t="e">
        <f>_xlfn.XLOOKUP(TableauRecette[[#This Row],[ID]],TableauProduit[ID],TableauProduit[Total (kg) N3],0,0,1)*#REF!</f>
        <v>#REF!</v>
      </c>
      <c r="O97" t="e">
        <f>_xlfn.XLOOKUP(TableauRecette[[#This Row],[ID]],TableauProduit[ID],TableauProduit[Total (kg) N4],0,0,1)*#REF!</f>
        <v>#REF!</v>
      </c>
      <c r="P97" t="e">
        <f>_xlfn.XLOOKUP(TableauRecette[[#This Row],[ID]],TableauProduit[ID],TableauProduit[Total (kg) N5],0,0,1)*#REF!</f>
        <v>#REF!</v>
      </c>
      <c r="Q97" t="e">
        <f>_xlfn.XLOOKUP(TableauRecette[[#This Row],[ID]],TableauProduit[ID],TableauProduit[Total (kg) N6],0,0,1)*#REF!</f>
        <v>#REF!</v>
      </c>
      <c r="R97" t="e">
        <f>_xlfn.XLOOKUP(TableauRecette[[#This Row],[ID]],TableauProduit[ID],TableauProduit[Total (kg) N7],0,0,1)*#REF!</f>
        <v>#REF!</v>
      </c>
      <c r="S97" t="e">
        <f>_xlfn.XLOOKUP(TableauRecette[[#This Row],[ID]],TableauProduit[ID],TableauProduit[Total (kg) N8],0,0,1)*#REF!</f>
        <v>#REF!</v>
      </c>
      <c r="T97" t="e">
        <f>_xlfn.XLOOKUP(TableauRecette[[#This Row],[ID]],TableauProduit[ID],TableauProduit[Total (kg) N9],0,0,1)*#REF!</f>
        <v>#REF!</v>
      </c>
    </row>
    <row r="98" spans="1:20" x14ac:dyDescent="0.2">
      <c r="A98" t="s">
        <v>113</v>
      </c>
      <c r="B98" t="str">
        <f>TableauRecette[[#This Row],[Recette]]&amp;TableauRecette[[#This Row],[Conditionnement]]</f>
        <v>DukkahEpice 100ml</v>
      </c>
      <c r="C98" t="s">
        <v>388</v>
      </c>
      <c r="D98">
        <v>150</v>
      </c>
      <c r="E98" t="s">
        <v>73</v>
      </c>
      <c r="F98">
        <f>IFERROR(TableauRecette[[#This Row],[Proportion]]/SUMIFS(TableauRecette[Proportion],TableauRecette[Recette],TableauRecette[[#This Row],[Recette]],TableauRecette[Conditionnement],TableauRecette[[#This Row],[Conditionnement]]),0)</f>
        <v>0.46439628482972134</v>
      </c>
      <c r="G98">
        <f>IFERROR(_xlfn.XLOOKUP(TableauRecette[[#This Row],[Ingredients]],TableauIngredients[Ingredients],#REF!,0)*#REF!,0)</f>
        <v>0</v>
      </c>
      <c r="H98">
        <f>IFERROR(SUMIFS(TableauRecette[Proportion],TableauRecette[Recette],TableauRecette[[#This Row],[Recette]],TableauRecette[Conditionnement],TableauRecette[[#This Row],[Conditionnement]]),0)</f>
        <v>323</v>
      </c>
      <c r="I98">
        <f>_xlfn.XLOOKUP(TableauRecette[[#This Row],[Ingredients]],TableauIngredients[Ingredients],TableauIngredients[Prix d''achat (kg)],0,0,1)*TableauRecette[[#This Row],[Proportion]]/TableauRecette[[#This Row],[Total Proportion]]</f>
        <v>10.291021671826625</v>
      </c>
      <c r="J98" t="s">
        <v>384</v>
      </c>
      <c r="K98" t="s">
        <v>355</v>
      </c>
      <c r="L98">
        <f>_xlfn.XLOOKUP(TableauRecette[[#This Row],[ID]],TableauProduit[ID],TableauProduit[Total (kg) N1],0,0,1)*_xlfn.XLOOKUP(TableauRecette[[#This Row],[ID]],TableauProduit[ID],TableauProduit[Total (kg) N1],0,0,1)</f>
        <v>0</v>
      </c>
      <c r="M98" t="e">
        <f>_xlfn.XLOOKUP(TableauRecette[[#This Row],[ID]],TableauProduit[ID],TableauProduit[Total (kg) N1],0,0,1)*_xlfn.XLOOKUP(TableauRecette[[#This Row],[ID]],TableauProduit[ID],TableauProduit[Total (kg) N2],0,0,1)</f>
        <v>#REF!</v>
      </c>
      <c r="N98" t="e">
        <f>_xlfn.XLOOKUP(TableauRecette[[#This Row],[ID]],TableauProduit[ID],TableauProduit[Total (kg) N3],0,0,1)*#REF!</f>
        <v>#REF!</v>
      </c>
      <c r="O98" t="e">
        <f>_xlfn.XLOOKUP(TableauRecette[[#This Row],[ID]],TableauProduit[ID],TableauProduit[Total (kg) N4],0,0,1)*#REF!</f>
        <v>#REF!</v>
      </c>
      <c r="P98" t="e">
        <f>_xlfn.XLOOKUP(TableauRecette[[#This Row],[ID]],TableauProduit[ID],TableauProduit[Total (kg) N5],0,0,1)*#REF!</f>
        <v>#REF!</v>
      </c>
      <c r="Q98" t="e">
        <f>_xlfn.XLOOKUP(TableauRecette[[#This Row],[ID]],TableauProduit[ID],TableauProduit[Total (kg) N6],0,0,1)*#REF!</f>
        <v>#REF!</v>
      </c>
      <c r="R98" t="e">
        <f>_xlfn.XLOOKUP(TableauRecette[[#This Row],[ID]],TableauProduit[ID],TableauProduit[Total (kg) N7],0,0,1)*#REF!</f>
        <v>#REF!</v>
      </c>
      <c r="S98" t="e">
        <f>_xlfn.XLOOKUP(TableauRecette[[#This Row],[ID]],TableauProduit[ID],TableauProduit[Total (kg) N8],0,0,1)*#REF!</f>
        <v>#REF!</v>
      </c>
      <c r="T98" t="e">
        <f>_xlfn.XLOOKUP(TableauRecette[[#This Row],[ID]],TableauProduit[ID],TableauProduit[Total (kg) N9],0,0,1)*#REF!</f>
        <v>#REF!</v>
      </c>
    </row>
    <row r="99" spans="1:20" x14ac:dyDescent="0.2">
      <c r="A99" t="s">
        <v>113</v>
      </c>
      <c r="B99" t="str">
        <f>TableauRecette[[#This Row],[Recette]]&amp;TableauRecette[[#This Row],[Conditionnement]]</f>
        <v>DukkahEpice 100ml</v>
      </c>
      <c r="C99" t="s">
        <v>351</v>
      </c>
      <c r="D99">
        <v>4</v>
      </c>
      <c r="E99" t="s">
        <v>73</v>
      </c>
      <c r="F99">
        <f>IFERROR(TableauRecette[[#This Row],[Proportion]]/SUMIFS(TableauRecette[Proportion],TableauRecette[Recette],TableauRecette[[#This Row],[Recette]],TableauRecette[Conditionnement],TableauRecette[[#This Row],[Conditionnement]]),0)</f>
        <v>1.238390092879257E-2</v>
      </c>
      <c r="G99">
        <f>IFERROR(_xlfn.XLOOKUP(TableauRecette[[#This Row],[Ingredients]],TableauIngredients[Ingredients],#REF!,0)*#REF!,0)</f>
        <v>0</v>
      </c>
      <c r="H99">
        <f>IFERROR(SUMIFS(TableauRecette[Proportion],TableauRecette[Recette],TableauRecette[[#This Row],[Recette]],TableauRecette[Conditionnement],TableauRecette[[#This Row],[Conditionnement]]),0)</f>
        <v>323</v>
      </c>
      <c r="I9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99" t="s">
        <v>389</v>
      </c>
      <c r="K99" t="s">
        <v>341</v>
      </c>
      <c r="L99">
        <f>_xlfn.XLOOKUP(TableauRecette[[#This Row],[ID]],TableauProduit[ID],TableauProduit[Total (kg) N1],0,0,1)*_xlfn.XLOOKUP(TableauRecette[[#This Row],[ID]],TableauProduit[ID],TableauProduit[Total (kg) N1],0,0,1)</f>
        <v>0</v>
      </c>
      <c r="M99" t="e">
        <f>_xlfn.XLOOKUP(TableauRecette[[#This Row],[ID]],TableauProduit[ID],TableauProduit[Total (kg) N1],0,0,1)*_xlfn.XLOOKUP(TableauRecette[[#This Row],[ID]],TableauProduit[ID],TableauProduit[Total (kg) N2],0,0,1)</f>
        <v>#REF!</v>
      </c>
      <c r="N99" t="e">
        <f>_xlfn.XLOOKUP(TableauRecette[[#This Row],[ID]],TableauProduit[ID],TableauProduit[Total (kg) N3],0,0,1)*#REF!</f>
        <v>#REF!</v>
      </c>
      <c r="O99" t="e">
        <f>_xlfn.XLOOKUP(TableauRecette[[#This Row],[ID]],TableauProduit[ID],TableauProduit[Total (kg) N4],0,0,1)*#REF!</f>
        <v>#REF!</v>
      </c>
      <c r="P99" t="e">
        <f>_xlfn.XLOOKUP(TableauRecette[[#This Row],[ID]],TableauProduit[ID],TableauProduit[Total (kg) N5],0,0,1)*#REF!</f>
        <v>#REF!</v>
      </c>
      <c r="Q99" t="e">
        <f>_xlfn.XLOOKUP(TableauRecette[[#This Row],[ID]],TableauProduit[ID],TableauProduit[Total (kg) N6],0,0,1)*#REF!</f>
        <v>#REF!</v>
      </c>
      <c r="R99" t="e">
        <f>_xlfn.XLOOKUP(TableauRecette[[#This Row],[ID]],TableauProduit[ID],TableauProduit[Total (kg) N7],0,0,1)*#REF!</f>
        <v>#REF!</v>
      </c>
      <c r="S99" t="e">
        <f>_xlfn.XLOOKUP(TableauRecette[[#This Row],[ID]],TableauProduit[ID],TableauProduit[Total (kg) N8],0,0,1)*#REF!</f>
        <v>#REF!</v>
      </c>
      <c r="T99" t="e">
        <f>_xlfn.XLOOKUP(TableauRecette[[#This Row],[ID]],TableauProduit[ID],TableauProduit[Total (kg) N9],0,0,1)*#REF!</f>
        <v>#REF!</v>
      </c>
    </row>
    <row r="100" spans="1:20" x14ac:dyDescent="0.2">
      <c r="A100" t="s">
        <v>113</v>
      </c>
      <c r="B100" t="str">
        <f>TableauRecette[[#This Row],[Recette]]&amp;TableauRecette[[#This Row],[Conditionnement]]</f>
        <v>DukkahEpice 100ml</v>
      </c>
      <c r="C100" t="s">
        <v>343</v>
      </c>
      <c r="D100">
        <v>6</v>
      </c>
      <c r="E100" t="s">
        <v>73</v>
      </c>
      <c r="F100">
        <f>IFERROR(TableauRecette[[#This Row],[Proportion]]/SUMIFS(TableauRecette[Proportion],TableauRecette[Recette],TableauRecette[[#This Row],[Recette]],TableauRecette[Conditionnement],TableauRecette[[#This Row],[Conditionnement]]),0)</f>
        <v>1.8575851393188854E-2</v>
      </c>
      <c r="G100">
        <f>IFERROR(_xlfn.XLOOKUP(TableauRecette[[#This Row],[Ingredients]],TableauIngredients[Ingredients],#REF!,0)*#REF!,0)</f>
        <v>0</v>
      </c>
      <c r="H100">
        <f>IFERROR(SUMIFS(TableauRecette[Proportion],TableauRecette[Recette],TableauRecette[[#This Row],[Recette]],TableauRecette[Conditionnement],TableauRecette[[#This Row],[Conditionnement]]),0)</f>
        <v>323</v>
      </c>
      <c r="I100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100" t="s">
        <v>389</v>
      </c>
      <c r="K100" t="s">
        <v>341</v>
      </c>
      <c r="L100">
        <f>_xlfn.XLOOKUP(TableauRecette[[#This Row],[ID]],TableauProduit[ID],TableauProduit[Total (kg) N1],0,0,1)*_xlfn.XLOOKUP(TableauRecette[[#This Row],[ID]],TableauProduit[ID],TableauProduit[Total (kg) N1],0,0,1)</f>
        <v>0</v>
      </c>
      <c r="M100" t="e">
        <f>_xlfn.XLOOKUP(TableauRecette[[#This Row],[ID]],TableauProduit[ID],TableauProduit[Total (kg) N1],0,0,1)*_xlfn.XLOOKUP(TableauRecette[[#This Row],[ID]],TableauProduit[ID],TableauProduit[Total (kg) N2],0,0,1)</f>
        <v>#REF!</v>
      </c>
      <c r="N100" t="e">
        <f>_xlfn.XLOOKUP(TableauRecette[[#This Row],[ID]],TableauProduit[ID],TableauProduit[Total (kg) N3],0,0,1)*#REF!</f>
        <v>#REF!</v>
      </c>
      <c r="O100" t="e">
        <f>_xlfn.XLOOKUP(TableauRecette[[#This Row],[ID]],TableauProduit[ID],TableauProduit[Total (kg) N4],0,0,1)*#REF!</f>
        <v>#REF!</v>
      </c>
      <c r="P100" t="e">
        <f>_xlfn.XLOOKUP(TableauRecette[[#This Row],[ID]],TableauProduit[ID],TableauProduit[Total (kg) N5],0,0,1)*#REF!</f>
        <v>#REF!</v>
      </c>
      <c r="Q100" t="e">
        <f>_xlfn.XLOOKUP(TableauRecette[[#This Row],[ID]],TableauProduit[ID],TableauProduit[Total (kg) N6],0,0,1)*#REF!</f>
        <v>#REF!</v>
      </c>
      <c r="R100" t="e">
        <f>_xlfn.XLOOKUP(TableauRecette[[#This Row],[ID]],TableauProduit[ID],TableauProduit[Total (kg) N7],0,0,1)*#REF!</f>
        <v>#REF!</v>
      </c>
      <c r="S100" t="e">
        <f>_xlfn.XLOOKUP(TableauRecette[[#This Row],[ID]],TableauProduit[ID],TableauProduit[Total (kg) N8],0,0,1)*#REF!</f>
        <v>#REF!</v>
      </c>
      <c r="T100" t="e">
        <f>_xlfn.XLOOKUP(TableauRecette[[#This Row],[ID]],TableauProduit[ID],TableauProduit[Total (kg) N9],0,0,1)*#REF!</f>
        <v>#REF!</v>
      </c>
    </row>
    <row r="101" spans="1:20" x14ac:dyDescent="0.2">
      <c r="A101" t="s">
        <v>113</v>
      </c>
      <c r="B101" t="str">
        <f>TableauRecette[[#This Row],[Recette]]&amp;TableauRecette[[#This Row],[Conditionnement]]</f>
        <v>DukkahEpice 100ml</v>
      </c>
      <c r="C101" t="s">
        <v>346</v>
      </c>
      <c r="D101">
        <v>12</v>
      </c>
      <c r="E101" t="s">
        <v>73</v>
      </c>
      <c r="F101">
        <f>IFERROR(TableauRecette[[#This Row],[Proportion]]/SUMIFS(TableauRecette[Proportion],TableauRecette[Recette],TableauRecette[[#This Row],[Recette]],TableauRecette[Conditionnement],TableauRecette[[#This Row],[Conditionnement]]),0)</f>
        <v>3.7151702786377708E-2</v>
      </c>
      <c r="G101">
        <f>IFERROR(_xlfn.XLOOKUP(TableauRecette[[#This Row],[Ingredients]],TableauIngredients[Ingredients],#REF!,0)*#REF!,0)</f>
        <v>0</v>
      </c>
      <c r="H101">
        <f>IFERROR(SUMIFS(TableauRecette[Proportion],TableauRecette[Recette],TableauRecette[[#This Row],[Recette]],TableauRecette[Conditionnement],TableauRecette[[#This Row],[Conditionnement]]),0)</f>
        <v>323</v>
      </c>
      <c r="I10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101" t="s">
        <v>389</v>
      </c>
      <c r="K101" t="s">
        <v>341</v>
      </c>
      <c r="L101">
        <f>_xlfn.XLOOKUP(TableauRecette[[#This Row],[ID]],TableauProduit[ID],TableauProduit[Total (kg) N1],0,0,1)*_xlfn.XLOOKUP(TableauRecette[[#This Row],[ID]],TableauProduit[ID],TableauProduit[Total (kg) N1],0,0,1)</f>
        <v>0</v>
      </c>
      <c r="M101" t="e">
        <f>_xlfn.XLOOKUP(TableauRecette[[#This Row],[ID]],TableauProduit[ID],TableauProduit[Total (kg) N1],0,0,1)*_xlfn.XLOOKUP(TableauRecette[[#This Row],[ID]],TableauProduit[ID],TableauProduit[Total (kg) N2],0,0,1)</f>
        <v>#REF!</v>
      </c>
      <c r="N101" t="e">
        <f>_xlfn.XLOOKUP(TableauRecette[[#This Row],[ID]],TableauProduit[ID],TableauProduit[Total (kg) N3],0,0,1)*#REF!</f>
        <v>#REF!</v>
      </c>
      <c r="O101" t="e">
        <f>_xlfn.XLOOKUP(TableauRecette[[#This Row],[ID]],TableauProduit[ID],TableauProduit[Total (kg) N4],0,0,1)*#REF!</f>
        <v>#REF!</v>
      </c>
      <c r="P101" t="e">
        <f>_xlfn.XLOOKUP(TableauRecette[[#This Row],[ID]],TableauProduit[ID],TableauProduit[Total (kg) N5],0,0,1)*#REF!</f>
        <v>#REF!</v>
      </c>
      <c r="Q101" t="e">
        <f>_xlfn.XLOOKUP(TableauRecette[[#This Row],[ID]],TableauProduit[ID],TableauProduit[Total (kg) N6],0,0,1)*#REF!</f>
        <v>#REF!</v>
      </c>
      <c r="R101" t="e">
        <f>_xlfn.XLOOKUP(TableauRecette[[#This Row],[ID]],TableauProduit[ID],TableauProduit[Total (kg) N7],0,0,1)*#REF!</f>
        <v>#REF!</v>
      </c>
      <c r="S101" t="e">
        <f>_xlfn.XLOOKUP(TableauRecette[[#This Row],[ID]],TableauProduit[ID],TableauProduit[Total (kg) N8],0,0,1)*#REF!</f>
        <v>#REF!</v>
      </c>
      <c r="T101" t="e">
        <f>_xlfn.XLOOKUP(TableauRecette[[#This Row],[ID]],TableauProduit[ID],TableauProduit[Total (kg) N9],0,0,1)*#REF!</f>
        <v>#REF!</v>
      </c>
    </row>
    <row r="102" spans="1:20" x14ac:dyDescent="0.2">
      <c r="A102" t="s">
        <v>113</v>
      </c>
      <c r="B102" t="str">
        <f>TableauRecette[[#This Row],[Recette]]&amp;TableauRecette[[#This Row],[Conditionnement]]</f>
        <v>DukkahEpice 100ml</v>
      </c>
      <c r="C102" t="s">
        <v>364</v>
      </c>
      <c r="D102">
        <v>1</v>
      </c>
      <c r="E102" t="s">
        <v>73</v>
      </c>
      <c r="F102">
        <f>IFERROR(TableauRecette[[#This Row],[Proportion]]/SUMIFS(TableauRecette[Proportion],TableauRecette[Recette],TableauRecette[[#This Row],[Recette]],TableauRecette[Conditionnement],TableauRecette[[#This Row],[Conditionnement]]),0)</f>
        <v>3.0959752321981426E-3</v>
      </c>
      <c r="G102">
        <f>IFERROR(_xlfn.XLOOKUP(TableauRecette[[#This Row],[Ingredients]],TableauIngredients[Ingredients],#REF!,0)*#REF!,0)</f>
        <v>0</v>
      </c>
      <c r="H102">
        <f>IFERROR(SUMIFS(TableauRecette[Proportion],TableauRecette[Recette],TableauRecette[[#This Row],[Recette]],TableauRecette[Conditionnement],TableauRecette[[#This Row],[Conditionnement]]),0)</f>
        <v>323</v>
      </c>
      <c r="I102">
        <f>_xlfn.XLOOKUP(TableauRecette[[#This Row],[Ingredients]],TableauIngredients[Ingredients],TableauIngredients[Prix d''achat (kg)],0,0,1)*TableauRecette[[#This Row],[Proportion]]/TableauRecette[[#This Row],[Total Proportion]]</f>
        <v>4.3343653250773988E-3</v>
      </c>
      <c r="J102" t="s">
        <v>389</v>
      </c>
      <c r="K102" t="s">
        <v>341</v>
      </c>
      <c r="L102">
        <f>_xlfn.XLOOKUP(TableauRecette[[#This Row],[ID]],TableauProduit[ID],TableauProduit[Total (kg) N1],0,0,1)*_xlfn.XLOOKUP(TableauRecette[[#This Row],[ID]],TableauProduit[ID],TableauProduit[Total (kg) N1],0,0,1)</f>
        <v>0</v>
      </c>
      <c r="M102" t="e">
        <f>_xlfn.XLOOKUP(TableauRecette[[#This Row],[ID]],TableauProduit[ID],TableauProduit[Total (kg) N1],0,0,1)*_xlfn.XLOOKUP(TableauRecette[[#This Row],[ID]],TableauProduit[ID],TableauProduit[Total (kg) N2],0,0,1)</f>
        <v>#REF!</v>
      </c>
      <c r="N102" t="e">
        <f>_xlfn.XLOOKUP(TableauRecette[[#This Row],[ID]],TableauProduit[ID],TableauProduit[Total (kg) N3],0,0,1)*#REF!</f>
        <v>#REF!</v>
      </c>
      <c r="O102" t="e">
        <f>_xlfn.XLOOKUP(TableauRecette[[#This Row],[ID]],TableauProduit[ID],TableauProduit[Total (kg) N4],0,0,1)*#REF!</f>
        <v>#REF!</v>
      </c>
      <c r="P102" t="e">
        <f>_xlfn.XLOOKUP(TableauRecette[[#This Row],[ID]],TableauProduit[ID],TableauProduit[Total (kg) N5],0,0,1)*#REF!</f>
        <v>#REF!</v>
      </c>
      <c r="Q102" t="e">
        <f>_xlfn.XLOOKUP(TableauRecette[[#This Row],[ID]],TableauProduit[ID],TableauProduit[Total (kg) N6],0,0,1)*#REF!</f>
        <v>#REF!</v>
      </c>
      <c r="R102" t="e">
        <f>_xlfn.XLOOKUP(TableauRecette[[#This Row],[ID]],TableauProduit[ID],TableauProduit[Total (kg) N7],0,0,1)*#REF!</f>
        <v>#REF!</v>
      </c>
      <c r="S102" t="e">
        <f>_xlfn.XLOOKUP(TableauRecette[[#This Row],[ID]],TableauProduit[ID],TableauProduit[Total (kg) N8],0,0,1)*#REF!</f>
        <v>#REF!</v>
      </c>
      <c r="T102" t="e">
        <f>_xlfn.XLOOKUP(TableauRecette[[#This Row],[ID]],TableauProduit[ID],TableauProduit[Total (kg) N9],0,0,1)*#REF!</f>
        <v>#REF!</v>
      </c>
    </row>
    <row r="103" spans="1:20" x14ac:dyDescent="0.2">
      <c r="A103" t="s">
        <v>129</v>
      </c>
      <c r="B103" t="str">
        <f>TableauRecette[[#This Row],[Recette]]&amp;TableauRecette[[#This Row],[Conditionnement]]</f>
        <v>Durban masalaEpice 100ml</v>
      </c>
      <c r="C103" t="s">
        <v>351</v>
      </c>
      <c r="D103">
        <v>2</v>
      </c>
      <c r="E103" t="s">
        <v>73</v>
      </c>
      <c r="F103">
        <f>IFERROR(TableauRecette[[#This Row],[Proportion]]/SUMIFS(TableauRecette[Proportion],TableauRecette[Recette],TableauRecette[[#This Row],[Recette]],TableauRecette[Conditionnement],TableauRecette[[#This Row],[Conditionnement]]),0)</f>
        <v>0.12422360248447203</v>
      </c>
      <c r="G103">
        <f>IFERROR(_xlfn.XLOOKUP(TableauRecette[[#This Row],[Ingredients]],TableauIngredients[Ingredients],#REF!,0)*#REF!,0)</f>
        <v>0</v>
      </c>
      <c r="H103">
        <f>IFERROR(SUMIFS(TableauRecette[Proportion],TableauRecette[Recette],TableauRecette[[#This Row],[Recette]],TableauRecette[Conditionnement],TableauRecette[[#This Row],[Conditionnement]]),0)</f>
        <v>16.100000000000001</v>
      </c>
      <c r="I103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103" t="s">
        <v>389</v>
      </c>
      <c r="K103" t="s">
        <v>341</v>
      </c>
      <c r="L103">
        <f>_xlfn.XLOOKUP(TableauRecette[[#This Row],[ID]],TableauProduit[ID],TableauProduit[Total (kg) N1],0,0,1)*_xlfn.XLOOKUP(TableauRecette[[#This Row],[ID]],TableauProduit[ID],TableauProduit[Total (kg) N1],0,0,1)</f>
        <v>0</v>
      </c>
      <c r="M103" t="e">
        <f>_xlfn.XLOOKUP(TableauRecette[[#This Row],[ID]],TableauProduit[ID],TableauProduit[Total (kg) N1],0,0,1)*_xlfn.XLOOKUP(TableauRecette[[#This Row],[ID]],TableauProduit[ID],TableauProduit[Total (kg) N2],0,0,1)</f>
        <v>#REF!</v>
      </c>
      <c r="N103" t="e">
        <f>_xlfn.XLOOKUP(TableauRecette[[#This Row],[ID]],TableauProduit[ID],TableauProduit[Total (kg) N3],0,0,1)*#REF!</f>
        <v>#REF!</v>
      </c>
      <c r="O103" t="e">
        <f>_xlfn.XLOOKUP(TableauRecette[[#This Row],[ID]],TableauProduit[ID],TableauProduit[Total (kg) N4],0,0,1)*#REF!</f>
        <v>#REF!</v>
      </c>
      <c r="P103" t="e">
        <f>_xlfn.XLOOKUP(TableauRecette[[#This Row],[ID]],TableauProduit[ID],TableauProduit[Total (kg) N5],0,0,1)*#REF!</f>
        <v>#REF!</v>
      </c>
      <c r="Q103" t="e">
        <f>_xlfn.XLOOKUP(TableauRecette[[#This Row],[ID]],TableauProduit[ID],TableauProduit[Total (kg) N6],0,0,1)*#REF!</f>
        <v>#REF!</v>
      </c>
      <c r="R103" t="e">
        <f>_xlfn.XLOOKUP(TableauRecette[[#This Row],[ID]],TableauProduit[ID],TableauProduit[Total (kg) N7],0,0,1)*#REF!</f>
        <v>#REF!</v>
      </c>
      <c r="S103" t="e">
        <f>_xlfn.XLOOKUP(TableauRecette[[#This Row],[ID]],TableauProduit[ID],TableauProduit[Total (kg) N8],0,0,1)*#REF!</f>
        <v>#REF!</v>
      </c>
      <c r="T103" t="e">
        <f>_xlfn.XLOOKUP(TableauRecette[[#This Row],[ID]],TableauProduit[ID],TableauProduit[Total (kg) N9],0,0,1)*#REF!</f>
        <v>#REF!</v>
      </c>
    </row>
    <row r="104" spans="1:20" x14ac:dyDescent="0.2">
      <c r="A104" t="s">
        <v>129</v>
      </c>
      <c r="B104" t="str">
        <f>TableauRecette[[#This Row],[Recette]]&amp;TableauRecette[[#This Row],[Conditionnement]]</f>
        <v>Durban masalaEpice 100ml</v>
      </c>
      <c r="C104" t="s">
        <v>343</v>
      </c>
      <c r="D104">
        <v>2</v>
      </c>
      <c r="E104" t="s">
        <v>73</v>
      </c>
      <c r="F104">
        <f>IFERROR(TableauRecette[[#This Row],[Proportion]]/SUMIFS(TableauRecette[Proportion],TableauRecette[Recette],TableauRecette[[#This Row],[Recette]],TableauRecette[Conditionnement],TableauRecette[[#This Row],[Conditionnement]]),0)</f>
        <v>0.12422360248447203</v>
      </c>
      <c r="G104">
        <f>IFERROR(_xlfn.XLOOKUP(TableauRecette[[#This Row],[Ingredients]],TableauIngredients[Ingredients],#REF!,0)*#REF!,0)</f>
        <v>0</v>
      </c>
      <c r="H104">
        <f>IFERROR(SUMIFS(TableauRecette[Proportion],TableauRecette[Recette],TableauRecette[[#This Row],[Recette]],TableauRecette[Conditionnement],TableauRecette[[#This Row],[Conditionnement]]),0)</f>
        <v>16.100000000000001</v>
      </c>
      <c r="I104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104" t="s">
        <v>389</v>
      </c>
      <c r="K104" t="s">
        <v>341</v>
      </c>
      <c r="L104">
        <f>_xlfn.XLOOKUP(TableauRecette[[#This Row],[ID]],TableauProduit[ID],TableauProduit[Total (kg) N1],0,0,1)*_xlfn.XLOOKUP(TableauRecette[[#This Row],[ID]],TableauProduit[ID],TableauProduit[Total (kg) N1],0,0,1)</f>
        <v>0</v>
      </c>
      <c r="M104" t="e">
        <f>_xlfn.XLOOKUP(TableauRecette[[#This Row],[ID]],TableauProduit[ID],TableauProduit[Total (kg) N1],0,0,1)*_xlfn.XLOOKUP(TableauRecette[[#This Row],[ID]],TableauProduit[ID],TableauProduit[Total (kg) N2],0,0,1)</f>
        <v>#REF!</v>
      </c>
      <c r="N104" t="e">
        <f>_xlfn.XLOOKUP(TableauRecette[[#This Row],[ID]],TableauProduit[ID],TableauProduit[Total (kg) N3],0,0,1)*#REF!</f>
        <v>#REF!</v>
      </c>
      <c r="O104" t="e">
        <f>_xlfn.XLOOKUP(TableauRecette[[#This Row],[ID]],TableauProduit[ID],TableauProduit[Total (kg) N4],0,0,1)*#REF!</f>
        <v>#REF!</v>
      </c>
      <c r="P104" t="e">
        <f>_xlfn.XLOOKUP(TableauRecette[[#This Row],[ID]],TableauProduit[ID],TableauProduit[Total (kg) N5],0,0,1)*#REF!</f>
        <v>#REF!</v>
      </c>
      <c r="Q104" t="e">
        <f>_xlfn.XLOOKUP(TableauRecette[[#This Row],[ID]],TableauProduit[ID],TableauProduit[Total (kg) N6],0,0,1)*#REF!</f>
        <v>#REF!</v>
      </c>
      <c r="R104" t="e">
        <f>_xlfn.XLOOKUP(TableauRecette[[#This Row],[ID]],TableauProduit[ID],TableauProduit[Total (kg) N7],0,0,1)*#REF!</f>
        <v>#REF!</v>
      </c>
      <c r="S104" t="e">
        <f>_xlfn.XLOOKUP(TableauRecette[[#This Row],[ID]],TableauProduit[ID],TableauProduit[Total (kg) N8],0,0,1)*#REF!</f>
        <v>#REF!</v>
      </c>
      <c r="T104" t="e">
        <f>_xlfn.XLOOKUP(TableauRecette[[#This Row],[ID]],TableauProduit[ID],TableauProduit[Total (kg) N9],0,0,1)*#REF!</f>
        <v>#REF!</v>
      </c>
    </row>
    <row r="105" spans="1:20" x14ac:dyDescent="0.2">
      <c r="A105" t="s">
        <v>129</v>
      </c>
      <c r="B105" t="str">
        <f>TableauRecette[[#This Row],[Recette]]&amp;TableauRecette[[#This Row],[Conditionnement]]</f>
        <v>Durban masalaEpice 100ml</v>
      </c>
      <c r="C105" t="s">
        <v>342</v>
      </c>
      <c r="D105">
        <v>1</v>
      </c>
      <c r="E105" t="s">
        <v>73</v>
      </c>
      <c r="F105">
        <f>IFERROR(TableauRecette[[#This Row],[Proportion]]/SUMIFS(TableauRecette[Proportion],TableauRecette[Recette],TableauRecette[[#This Row],[Recette]],TableauRecette[Conditionnement],TableauRecette[[#This Row],[Conditionnement]]),0)</f>
        <v>6.2111801242236017E-2</v>
      </c>
      <c r="G105">
        <f>IFERROR(_xlfn.XLOOKUP(TableauRecette[[#This Row],[Ingredients]],TableauIngredients[Ingredients],#REF!,0)*#REF!,0)</f>
        <v>0</v>
      </c>
      <c r="H105">
        <f>IFERROR(SUMIFS(TableauRecette[Proportion],TableauRecette[Recette],TableauRecette[[#This Row],[Recette]],TableauRecette[Conditionnement],TableauRecette[[#This Row],[Conditionnement]]),0)</f>
        <v>16.100000000000001</v>
      </c>
      <c r="I10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105" t="s">
        <v>389</v>
      </c>
      <c r="K105" t="s">
        <v>341</v>
      </c>
      <c r="L105">
        <f>_xlfn.XLOOKUP(TableauRecette[[#This Row],[ID]],TableauProduit[ID],TableauProduit[Total (kg) N1],0,0,1)*_xlfn.XLOOKUP(TableauRecette[[#This Row],[ID]],TableauProduit[ID],TableauProduit[Total (kg) N1],0,0,1)</f>
        <v>0</v>
      </c>
      <c r="M105" t="e">
        <f>_xlfn.XLOOKUP(TableauRecette[[#This Row],[ID]],TableauProduit[ID],TableauProduit[Total (kg) N1],0,0,1)*_xlfn.XLOOKUP(TableauRecette[[#This Row],[ID]],TableauProduit[ID],TableauProduit[Total (kg) N2],0,0,1)</f>
        <v>#REF!</v>
      </c>
      <c r="N105" t="e">
        <f>_xlfn.XLOOKUP(TableauRecette[[#This Row],[ID]],TableauProduit[ID],TableauProduit[Total (kg) N3],0,0,1)*#REF!</f>
        <v>#REF!</v>
      </c>
      <c r="O105" t="e">
        <f>_xlfn.XLOOKUP(TableauRecette[[#This Row],[ID]],TableauProduit[ID],TableauProduit[Total (kg) N4],0,0,1)*#REF!</f>
        <v>#REF!</v>
      </c>
      <c r="P105" t="e">
        <f>_xlfn.XLOOKUP(TableauRecette[[#This Row],[ID]],TableauProduit[ID],TableauProduit[Total (kg) N5],0,0,1)*#REF!</f>
        <v>#REF!</v>
      </c>
      <c r="Q105" t="e">
        <f>_xlfn.XLOOKUP(TableauRecette[[#This Row],[ID]],TableauProduit[ID],TableauProduit[Total (kg) N6],0,0,1)*#REF!</f>
        <v>#REF!</v>
      </c>
      <c r="R105" t="e">
        <f>_xlfn.XLOOKUP(TableauRecette[[#This Row],[ID]],TableauProduit[ID],TableauProduit[Total (kg) N7],0,0,1)*#REF!</f>
        <v>#REF!</v>
      </c>
      <c r="S105" t="e">
        <f>_xlfn.XLOOKUP(TableauRecette[[#This Row],[ID]],TableauProduit[ID],TableauProduit[Total (kg) N8],0,0,1)*#REF!</f>
        <v>#REF!</v>
      </c>
      <c r="T105" t="e">
        <f>_xlfn.XLOOKUP(TableauRecette[[#This Row],[ID]],TableauProduit[ID],TableauProduit[Total (kg) N9],0,0,1)*#REF!</f>
        <v>#REF!</v>
      </c>
    </row>
    <row r="106" spans="1:20" x14ac:dyDescent="0.2">
      <c r="A106" t="s">
        <v>129</v>
      </c>
      <c r="B106" t="str">
        <f>TableauRecette[[#This Row],[Recette]]&amp;TableauRecette[[#This Row],[Conditionnement]]</f>
        <v>Durban masalaEpice 100ml</v>
      </c>
      <c r="C106" t="s">
        <v>369</v>
      </c>
      <c r="D106">
        <v>0.5</v>
      </c>
      <c r="E106" t="s">
        <v>73</v>
      </c>
      <c r="F106">
        <f>IFERROR(TableauRecette[[#This Row],[Proportion]]/SUMIFS(TableauRecette[Proportion],TableauRecette[Recette],TableauRecette[[#This Row],[Recette]],TableauRecette[Conditionnement],TableauRecette[[#This Row],[Conditionnement]]),0)</f>
        <v>3.1055900621118009E-2</v>
      </c>
      <c r="G106">
        <f>IFERROR(_xlfn.XLOOKUP(TableauRecette[[#This Row],[Ingredients]],TableauIngredients[Ingredients],#REF!,0)*#REF!,0)</f>
        <v>0</v>
      </c>
      <c r="H106">
        <f>IFERROR(SUMIFS(TableauRecette[Proportion],TableauRecette[Recette],TableauRecette[[#This Row],[Recette]],TableauRecette[Conditionnement],TableauRecette[[#This Row],[Conditionnement]]),0)</f>
        <v>16.100000000000001</v>
      </c>
      <c r="I10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106" t="s">
        <v>389</v>
      </c>
      <c r="K106" t="s">
        <v>341</v>
      </c>
      <c r="L106">
        <f>_xlfn.XLOOKUP(TableauRecette[[#This Row],[ID]],TableauProduit[ID],TableauProduit[Total (kg) N1],0,0,1)*_xlfn.XLOOKUP(TableauRecette[[#This Row],[ID]],TableauProduit[ID],TableauProduit[Total (kg) N1],0,0,1)</f>
        <v>0</v>
      </c>
      <c r="M106" t="e">
        <f>_xlfn.XLOOKUP(TableauRecette[[#This Row],[ID]],TableauProduit[ID],TableauProduit[Total (kg) N1],0,0,1)*_xlfn.XLOOKUP(TableauRecette[[#This Row],[ID]],TableauProduit[ID],TableauProduit[Total (kg) N2],0,0,1)</f>
        <v>#REF!</v>
      </c>
      <c r="N106" t="e">
        <f>_xlfn.XLOOKUP(TableauRecette[[#This Row],[ID]],TableauProduit[ID],TableauProduit[Total (kg) N3],0,0,1)*#REF!</f>
        <v>#REF!</v>
      </c>
      <c r="O106" t="e">
        <f>_xlfn.XLOOKUP(TableauRecette[[#This Row],[ID]],TableauProduit[ID],TableauProduit[Total (kg) N4],0,0,1)*#REF!</f>
        <v>#REF!</v>
      </c>
      <c r="P106" t="e">
        <f>_xlfn.XLOOKUP(TableauRecette[[#This Row],[ID]],TableauProduit[ID],TableauProduit[Total (kg) N5],0,0,1)*#REF!</f>
        <v>#REF!</v>
      </c>
      <c r="Q106" t="e">
        <f>_xlfn.XLOOKUP(TableauRecette[[#This Row],[ID]],TableauProduit[ID],TableauProduit[Total (kg) N6],0,0,1)*#REF!</f>
        <v>#REF!</v>
      </c>
      <c r="R106" t="e">
        <f>_xlfn.XLOOKUP(TableauRecette[[#This Row],[ID]],TableauProduit[ID],TableauProduit[Total (kg) N7],0,0,1)*#REF!</f>
        <v>#REF!</v>
      </c>
      <c r="S106" t="e">
        <f>_xlfn.XLOOKUP(TableauRecette[[#This Row],[ID]],TableauProduit[ID],TableauProduit[Total (kg) N8],0,0,1)*#REF!</f>
        <v>#REF!</v>
      </c>
      <c r="T106" t="e">
        <f>_xlfn.XLOOKUP(TableauRecette[[#This Row],[ID]],TableauProduit[ID],TableauProduit[Total (kg) N9],0,0,1)*#REF!</f>
        <v>#REF!</v>
      </c>
    </row>
    <row r="107" spans="1:20" x14ac:dyDescent="0.2">
      <c r="A107" t="s">
        <v>129</v>
      </c>
      <c r="B107" t="str">
        <f>TableauRecette[[#This Row],[Recette]]&amp;TableauRecette[[#This Row],[Conditionnement]]</f>
        <v>Durban masalaEpice 100ml</v>
      </c>
      <c r="C107" t="s">
        <v>350</v>
      </c>
      <c r="D107">
        <v>0.1</v>
      </c>
      <c r="E107" t="s">
        <v>73</v>
      </c>
      <c r="F107">
        <f>IFERROR(TableauRecette[[#This Row],[Proportion]]/SUMIFS(TableauRecette[Proportion],TableauRecette[Recette],TableauRecette[[#This Row],[Recette]],TableauRecette[Conditionnement],TableauRecette[[#This Row],[Conditionnement]]),0)</f>
        <v>6.2111801242236021E-3</v>
      </c>
      <c r="G107">
        <f>IFERROR(_xlfn.XLOOKUP(TableauRecette[[#This Row],[Ingredients]],TableauIngredients[Ingredients],#REF!,0)*#REF!,0)</f>
        <v>0</v>
      </c>
      <c r="H107">
        <f>IFERROR(SUMIFS(TableauRecette[Proportion],TableauRecette[Recette],TableauRecette[[#This Row],[Recette]],TableauRecette[Conditionnement],TableauRecette[[#This Row],[Conditionnement]]),0)</f>
        <v>16.100000000000001</v>
      </c>
      <c r="I107">
        <f>_xlfn.XLOOKUP(TableauRecette[[#This Row],[Ingredients]],TableauIngredients[Ingredients],TableauIngredients[Prix d''achat (kg)],0,0,1)*TableauRecette[[#This Row],[Proportion]]/TableauRecette[[#This Row],[Total Proportion]]</f>
        <v>0.22360248447204967</v>
      </c>
      <c r="J107" t="s">
        <v>389</v>
      </c>
      <c r="K107" t="s">
        <v>341</v>
      </c>
      <c r="L107">
        <f>_xlfn.XLOOKUP(TableauRecette[[#This Row],[ID]],TableauProduit[ID],TableauProduit[Total (kg) N1],0,0,1)*_xlfn.XLOOKUP(TableauRecette[[#This Row],[ID]],TableauProduit[ID],TableauProduit[Total (kg) N1],0,0,1)</f>
        <v>0</v>
      </c>
      <c r="M107" t="e">
        <f>_xlfn.XLOOKUP(TableauRecette[[#This Row],[ID]],TableauProduit[ID],TableauProduit[Total (kg) N1],0,0,1)*_xlfn.XLOOKUP(TableauRecette[[#This Row],[ID]],TableauProduit[ID],TableauProduit[Total (kg) N2],0,0,1)</f>
        <v>#REF!</v>
      </c>
      <c r="N107" t="e">
        <f>_xlfn.XLOOKUP(TableauRecette[[#This Row],[ID]],TableauProduit[ID],TableauProduit[Total (kg) N3],0,0,1)*#REF!</f>
        <v>#REF!</v>
      </c>
      <c r="O107" t="e">
        <f>_xlfn.XLOOKUP(TableauRecette[[#This Row],[ID]],TableauProduit[ID],TableauProduit[Total (kg) N4],0,0,1)*#REF!</f>
        <v>#REF!</v>
      </c>
      <c r="P107" t="e">
        <f>_xlfn.XLOOKUP(TableauRecette[[#This Row],[ID]],TableauProduit[ID],TableauProduit[Total (kg) N5],0,0,1)*#REF!</f>
        <v>#REF!</v>
      </c>
      <c r="Q107" t="e">
        <f>_xlfn.XLOOKUP(TableauRecette[[#This Row],[ID]],TableauProduit[ID],TableauProduit[Total (kg) N6],0,0,1)*#REF!</f>
        <v>#REF!</v>
      </c>
      <c r="R107" t="e">
        <f>_xlfn.XLOOKUP(TableauRecette[[#This Row],[ID]],TableauProduit[ID],TableauProduit[Total (kg) N7],0,0,1)*#REF!</f>
        <v>#REF!</v>
      </c>
      <c r="S107" t="e">
        <f>_xlfn.XLOOKUP(TableauRecette[[#This Row],[ID]],TableauProduit[ID],TableauProduit[Total (kg) N8],0,0,1)*#REF!</f>
        <v>#REF!</v>
      </c>
      <c r="T107" t="e">
        <f>_xlfn.XLOOKUP(TableauRecette[[#This Row],[ID]],TableauProduit[ID],TableauProduit[Total (kg) N9],0,0,1)*#REF!</f>
        <v>#REF!</v>
      </c>
    </row>
    <row r="108" spans="1:20" x14ac:dyDescent="0.2">
      <c r="A108" t="s">
        <v>129</v>
      </c>
      <c r="B108" t="str">
        <f>TableauRecette[[#This Row],[Recette]]&amp;TableauRecette[[#This Row],[Conditionnement]]</f>
        <v>Durban masalaEpice 100ml</v>
      </c>
      <c r="C108" t="s">
        <v>344</v>
      </c>
      <c r="D108">
        <v>3</v>
      </c>
      <c r="E108" t="s">
        <v>73</v>
      </c>
      <c r="F108">
        <f>IFERROR(TableauRecette[[#This Row],[Proportion]]/SUMIFS(TableauRecette[Proportion],TableauRecette[Recette],TableauRecette[[#This Row],[Recette]],TableauRecette[Conditionnement],TableauRecette[[#This Row],[Conditionnement]]),0)</f>
        <v>0.18633540372670807</v>
      </c>
      <c r="G108">
        <f>IFERROR(_xlfn.XLOOKUP(TableauRecette[[#This Row],[Ingredients]],TableauIngredients[Ingredients],#REF!,0)*#REF!,0)</f>
        <v>0</v>
      </c>
      <c r="H108">
        <f>IFERROR(SUMIFS(TableauRecette[Proportion],TableauRecette[Recette],TableauRecette[[#This Row],[Recette]],TableauRecette[Conditionnement],TableauRecette[[#This Row],[Conditionnement]]),0)</f>
        <v>16.100000000000001</v>
      </c>
      <c r="I108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108" t="s">
        <v>390</v>
      </c>
      <c r="K108" t="s">
        <v>341</v>
      </c>
      <c r="L108">
        <f>_xlfn.XLOOKUP(TableauRecette[[#This Row],[ID]],TableauProduit[ID],TableauProduit[Total (kg) N1],0,0,1)*_xlfn.XLOOKUP(TableauRecette[[#This Row],[ID]],TableauProduit[ID],TableauProduit[Total (kg) N1],0,0,1)</f>
        <v>0</v>
      </c>
      <c r="M108" t="e">
        <f>_xlfn.XLOOKUP(TableauRecette[[#This Row],[ID]],TableauProduit[ID],TableauProduit[Total (kg) N1],0,0,1)*_xlfn.XLOOKUP(TableauRecette[[#This Row],[ID]],TableauProduit[ID],TableauProduit[Total (kg) N2],0,0,1)</f>
        <v>#REF!</v>
      </c>
      <c r="N108" t="e">
        <f>_xlfn.XLOOKUP(TableauRecette[[#This Row],[ID]],TableauProduit[ID],TableauProduit[Total (kg) N3],0,0,1)*#REF!</f>
        <v>#REF!</v>
      </c>
      <c r="O108" t="e">
        <f>_xlfn.XLOOKUP(TableauRecette[[#This Row],[ID]],TableauProduit[ID],TableauProduit[Total (kg) N4],0,0,1)*#REF!</f>
        <v>#REF!</v>
      </c>
      <c r="P108" t="e">
        <f>_xlfn.XLOOKUP(TableauRecette[[#This Row],[ID]],TableauProduit[ID],TableauProduit[Total (kg) N5],0,0,1)*#REF!</f>
        <v>#REF!</v>
      </c>
      <c r="Q108" t="e">
        <f>_xlfn.XLOOKUP(TableauRecette[[#This Row],[ID]],TableauProduit[ID],TableauProduit[Total (kg) N6],0,0,1)*#REF!</f>
        <v>#REF!</v>
      </c>
      <c r="R108" t="e">
        <f>_xlfn.XLOOKUP(TableauRecette[[#This Row],[ID]],TableauProduit[ID],TableauProduit[Total (kg) N7],0,0,1)*#REF!</f>
        <v>#REF!</v>
      </c>
      <c r="S108" t="e">
        <f>_xlfn.XLOOKUP(TableauRecette[[#This Row],[ID]],TableauProduit[ID],TableauProduit[Total (kg) N8],0,0,1)*#REF!</f>
        <v>#REF!</v>
      </c>
      <c r="T108" t="e">
        <f>_xlfn.XLOOKUP(TableauRecette[[#This Row],[ID]],TableauProduit[ID],TableauProduit[Total (kg) N9],0,0,1)*#REF!</f>
        <v>#REF!</v>
      </c>
    </row>
    <row r="109" spans="1:20" x14ac:dyDescent="0.2">
      <c r="A109" t="s">
        <v>129</v>
      </c>
      <c r="B109" t="str">
        <f>TableauRecette[[#This Row],[Recette]]&amp;TableauRecette[[#This Row],[Conditionnement]]</f>
        <v>Durban masalaEpice 100ml</v>
      </c>
      <c r="C109" t="s">
        <v>391</v>
      </c>
      <c r="D109">
        <v>1</v>
      </c>
      <c r="E109" t="s">
        <v>73</v>
      </c>
      <c r="F109">
        <f>IFERROR(TableauRecette[[#This Row],[Proportion]]/SUMIFS(TableauRecette[Proportion],TableauRecette[Recette],TableauRecette[[#This Row],[Recette]],TableauRecette[Conditionnement],TableauRecette[[#This Row],[Conditionnement]]),0)</f>
        <v>6.2111801242236017E-2</v>
      </c>
      <c r="G109">
        <f>IFERROR(_xlfn.XLOOKUP(TableauRecette[[#This Row],[Ingredients]],TableauIngredients[Ingredients],#REF!,0)*#REF!,0)</f>
        <v>0</v>
      </c>
      <c r="H109">
        <f>IFERROR(SUMIFS(TableauRecette[Proportion],TableauRecette[Recette],TableauRecette[[#This Row],[Recette]],TableauRecette[Conditionnement],TableauRecette[[#This Row],[Conditionnement]]),0)</f>
        <v>16.100000000000001</v>
      </c>
      <c r="I10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109" t="s">
        <v>390</v>
      </c>
      <c r="K109" t="s">
        <v>341</v>
      </c>
      <c r="L109">
        <f>_xlfn.XLOOKUP(TableauRecette[[#This Row],[ID]],TableauProduit[ID],TableauProduit[Total (kg) N1],0,0,1)*_xlfn.XLOOKUP(TableauRecette[[#This Row],[ID]],TableauProduit[ID],TableauProduit[Total (kg) N1],0,0,1)</f>
        <v>0</v>
      </c>
      <c r="M109" t="e">
        <f>_xlfn.XLOOKUP(TableauRecette[[#This Row],[ID]],TableauProduit[ID],TableauProduit[Total (kg) N1],0,0,1)*_xlfn.XLOOKUP(TableauRecette[[#This Row],[ID]],TableauProduit[ID],TableauProduit[Total (kg) N2],0,0,1)</f>
        <v>#REF!</v>
      </c>
      <c r="N109" t="e">
        <f>_xlfn.XLOOKUP(TableauRecette[[#This Row],[ID]],TableauProduit[ID],TableauProduit[Total (kg) N3],0,0,1)*#REF!</f>
        <v>#REF!</v>
      </c>
      <c r="O109" t="e">
        <f>_xlfn.XLOOKUP(TableauRecette[[#This Row],[ID]],TableauProduit[ID],TableauProduit[Total (kg) N4],0,0,1)*#REF!</f>
        <v>#REF!</v>
      </c>
      <c r="P109" t="e">
        <f>_xlfn.XLOOKUP(TableauRecette[[#This Row],[ID]],TableauProduit[ID],TableauProduit[Total (kg) N5],0,0,1)*#REF!</f>
        <v>#REF!</v>
      </c>
      <c r="Q109" t="e">
        <f>_xlfn.XLOOKUP(TableauRecette[[#This Row],[ID]],TableauProduit[ID],TableauProduit[Total (kg) N6],0,0,1)*#REF!</f>
        <v>#REF!</v>
      </c>
      <c r="R109" t="e">
        <f>_xlfn.XLOOKUP(TableauRecette[[#This Row],[ID]],TableauProduit[ID],TableauProduit[Total (kg) N7],0,0,1)*#REF!</f>
        <v>#REF!</v>
      </c>
      <c r="S109" t="e">
        <f>_xlfn.XLOOKUP(TableauRecette[[#This Row],[ID]],TableauProduit[ID],TableauProduit[Total (kg) N8],0,0,1)*#REF!</f>
        <v>#REF!</v>
      </c>
      <c r="T109" t="e">
        <f>_xlfn.XLOOKUP(TableauRecette[[#This Row],[ID]],TableauProduit[ID],TableauProduit[Total (kg) N9],0,0,1)*#REF!</f>
        <v>#REF!</v>
      </c>
    </row>
    <row r="110" spans="1:20" x14ac:dyDescent="0.2">
      <c r="A110" t="s">
        <v>129</v>
      </c>
      <c r="B110" t="str">
        <f>TableauRecette[[#This Row],[Recette]]&amp;TableauRecette[[#This Row],[Conditionnement]]</f>
        <v>Durban masalaEpice 100ml</v>
      </c>
      <c r="C110" t="s">
        <v>345</v>
      </c>
      <c r="D110">
        <v>0.5</v>
      </c>
      <c r="E110" t="s">
        <v>73</v>
      </c>
      <c r="F110">
        <f>IFERROR(TableauRecette[[#This Row],[Proportion]]/SUMIFS(TableauRecette[Proportion],TableauRecette[Recette],TableauRecette[[#This Row],[Recette]],TableauRecette[Conditionnement],TableauRecette[[#This Row],[Conditionnement]]),0)</f>
        <v>3.1055900621118009E-2</v>
      </c>
      <c r="G110">
        <f>IFERROR(_xlfn.XLOOKUP(TableauRecette[[#This Row],[Ingredients]],TableauIngredients[Ingredients],#REF!,0)*#REF!,0)</f>
        <v>0</v>
      </c>
      <c r="H110">
        <f>IFERROR(SUMIFS(TableauRecette[Proportion],TableauRecette[Recette],TableauRecette[[#This Row],[Recette]],TableauRecette[Conditionnement],TableauRecette[[#This Row],[Conditionnement]]),0)</f>
        <v>16.100000000000001</v>
      </c>
      <c r="I110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110" t="s">
        <v>390</v>
      </c>
      <c r="K110" t="s">
        <v>341</v>
      </c>
      <c r="L110">
        <f>_xlfn.XLOOKUP(TableauRecette[[#This Row],[ID]],TableauProduit[ID],TableauProduit[Total (kg) N1],0,0,1)*_xlfn.XLOOKUP(TableauRecette[[#This Row],[ID]],TableauProduit[ID],TableauProduit[Total (kg) N1],0,0,1)</f>
        <v>0</v>
      </c>
      <c r="M110" t="e">
        <f>_xlfn.XLOOKUP(TableauRecette[[#This Row],[ID]],TableauProduit[ID],TableauProduit[Total (kg) N1],0,0,1)*_xlfn.XLOOKUP(TableauRecette[[#This Row],[ID]],TableauProduit[ID],TableauProduit[Total (kg) N2],0,0,1)</f>
        <v>#REF!</v>
      </c>
      <c r="N110" t="e">
        <f>_xlfn.XLOOKUP(TableauRecette[[#This Row],[ID]],TableauProduit[ID],TableauProduit[Total (kg) N3],0,0,1)*#REF!</f>
        <v>#REF!</v>
      </c>
      <c r="O110" t="e">
        <f>_xlfn.XLOOKUP(TableauRecette[[#This Row],[ID]],TableauProduit[ID],TableauProduit[Total (kg) N4],0,0,1)*#REF!</f>
        <v>#REF!</v>
      </c>
      <c r="P110" t="e">
        <f>_xlfn.XLOOKUP(TableauRecette[[#This Row],[ID]],TableauProduit[ID],TableauProduit[Total (kg) N5],0,0,1)*#REF!</f>
        <v>#REF!</v>
      </c>
      <c r="Q110" t="e">
        <f>_xlfn.XLOOKUP(TableauRecette[[#This Row],[ID]],TableauProduit[ID],TableauProduit[Total (kg) N6],0,0,1)*#REF!</f>
        <v>#REF!</v>
      </c>
      <c r="R110" t="e">
        <f>_xlfn.XLOOKUP(TableauRecette[[#This Row],[ID]],TableauProduit[ID],TableauProduit[Total (kg) N7],0,0,1)*#REF!</f>
        <v>#REF!</v>
      </c>
      <c r="S110" t="e">
        <f>_xlfn.XLOOKUP(TableauRecette[[#This Row],[ID]],TableauProduit[ID],TableauProduit[Total (kg) N8],0,0,1)*#REF!</f>
        <v>#REF!</v>
      </c>
      <c r="T110" t="e">
        <f>_xlfn.XLOOKUP(TableauRecette[[#This Row],[ID]],TableauProduit[ID],TableauProduit[Total (kg) N9],0,0,1)*#REF!</f>
        <v>#REF!</v>
      </c>
    </row>
    <row r="111" spans="1:20" x14ac:dyDescent="0.2">
      <c r="A111" t="s">
        <v>129</v>
      </c>
      <c r="B111" t="str">
        <f>TableauRecette[[#This Row],[Recette]]&amp;TableauRecette[[#This Row],[Conditionnement]]</f>
        <v>Durban masalaEpice 100ml</v>
      </c>
      <c r="C111" t="s">
        <v>372</v>
      </c>
      <c r="D111">
        <v>6</v>
      </c>
      <c r="E111" t="s">
        <v>73</v>
      </c>
      <c r="F111">
        <f>IFERROR(TableauRecette[[#This Row],[Proportion]]/SUMIFS(TableauRecette[Proportion],TableauRecette[Recette],TableauRecette[[#This Row],[Recette]],TableauRecette[Conditionnement],TableauRecette[[#This Row],[Conditionnement]]),0)</f>
        <v>0.37267080745341613</v>
      </c>
      <c r="G111">
        <f>IFERROR(_xlfn.XLOOKUP(TableauRecette[[#This Row],[Ingredients]],TableauIngredients[Ingredients],#REF!,0)*#REF!,0)</f>
        <v>0</v>
      </c>
      <c r="H111">
        <f>IFERROR(SUMIFS(TableauRecette[Proportion],TableauRecette[Recette],TableauRecette[[#This Row],[Recette]],TableauRecette[Conditionnement],TableauRecette[[#This Row],[Conditionnement]]),0)</f>
        <v>16.100000000000001</v>
      </c>
      <c r="I11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111" t="s">
        <v>390</v>
      </c>
      <c r="K111" t="s">
        <v>341</v>
      </c>
      <c r="L111">
        <f>_xlfn.XLOOKUP(TableauRecette[[#This Row],[ID]],TableauProduit[ID],TableauProduit[Total (kg) N1],0,0,1)*_xlfn.XLOOKUP(TableauRecette[[#This Row],[ID]],TableauProduit[ID],TableauProduit[Total (kg) N1],0,0,1)</f>
        <v>0</v>
      </c>
      <c r="M111" t="e">
        <f>_xlfn.XLOOKUP(TableauRecette[[#This Row],[ID]],TableauProduit[ID],TableauProduit[Total (kg) N1],0,0,1)*_xlfn.XLOOKUP(TableauRecette[[#This Row],[ID]],TableauProduit[ID],TableauProduit[Total (kg) N2],0,0,1)</f>
        <v>#REF!</v>
      </c>
      <c r="N111" t="e">
        <f>_xlfn.XLOOKUP(TableauRecette[[#This Row],[ID]],TableauProduit[ID],TableauProduit[Total (kg) N3],0,0,1)*#REF!</f>
        <v>#REF!</v>
      </c>
      <c r="O111" t="e">
        <f>_xlfn.XLOOKUP(TableauRecette[[#This Row],[ID]],TableauProduit[ID],TableauProduit[Total (kg) N4],0,0,1)*#REF!</f>
        <v>#REF!</v>
      </c>
      <c r="P111" t="e">
        <f>_xlfn.XLOOKUP(TableauRecette[[#This Row],[ID]],TableauProduit[ID],TableauProduit[Total (kg) N5],0,0,1)*#REF!</f>
        <v>#REF!</v>
      </c>
      <c r="Q111" t="e">
        <f>_xlfn.XLOOKUP(TableauRecette[[#This Row],[ID]],TableauProduit[ID],TableauProduit[Total (kg) N6],0,0,1)*#REF!</f>
        <v>#REF!</v>
      </c>
      <c r="R111" t="e">
        <f>_xlfn.XLOOKUP(TableauRecette[[#This Row],[ID]],TableauProduit[ID],TableauProduit[Total (kg) N7],0,0,1)*#REF!</f>
        <v>#REF!</v>
      </c>
      <c r="S111" t="e">
        <f>_xlfn.XLOOKUP(TableauRecette[[#This Row],[ID]],TableauProduit[ID],TableauProduit[Total (kg) N8],0,0,1)*#REF!</f>
        <v>#REF!</v>
      </c>
      <c r="T111" t="e">
        <f>_xlfn.XLOOKUP(TableauRecette[[#This Row],[ID]],TableauProduit[ID],TableauProduit[Total (kg) N9],0,0,1)*#REF!</f>
        <v>#REF!</v>
      </c>
    </row>
    <row r="112" spans="1:20" x14ac:dyDescent="0.2">
      <c r="A112" t="s">
        <v>111</v>
      </c>
      <c r="B112" t="str">
        <f>TableauRecette[[#This Row],[Recette]]&amp;TableauRecette[[#This Row],[Conditionnement]]</f>
        <v>Épices cajunEpice 100ml</v>
      </c>
      <c r="C112" t="s">
        <v>87</v>
      </c>
      <c r="D112">
        <v>3</v>
      </c>
      <c r="E112" t="s">
        <v>73</v>
      </c>
      <c r="F112">
        <f>IFERROR(TableauRecette[[#This Row],[Proportion]]/SUMIFS(TableauRecette[Proportion],TableauRecette[Recette],TableauRecette[[#This Row],[Recette]],TableauRecette[Conditionnement],TableauRecette[[#This Row],[Conditionnement]]),0)</f>
        <v>0.17647058823529413</v>
      </c>
      <c r="G112">
        <f>IFERROR(_xlfn.XLOOKUP(TableauRecette[[#This Row],[Ingredients]],TableauIngredients[Ingredients],#REF!,0)*#REF!,0)</f>
        <v>0</v>
      </c>
      <c r="H112">
        <f>IFERROR(SUMIFS(TableauRecette[Proportion],TableauRecette[Recette],TableauRecette[[#This Row],[Recette]],TableauRecette[Conditionnement],TableauRecette[[#This Row],[Conditionnement]]),0)</f>
        <v>17</v>
      </c>
      <c r="I11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12">
        <f>_xlfn.XLOOKUP(TableauRecette[[#This Row],[ID]],TableauProduit[ID],TableauProduit[Total (kg) N1],0,0,1)*_xlfn.XLOOKUP(TableauRecette[[#This Row],[ID]],TableauProduit[ID],TableauProduit[Total (kg) N1],0,0,1)</f>
        <v>0</v>
      </c>
      <c r="M112" t="e">
        <f>_xlfn.XLOOKUP(TableauRecette[[#This Row],[ID]],TableauProduit[ID],TableauProduit[Total (kg) N1],0,0,1)*_xlfn.XLOOKUP(TableauRecette[[#This Row],[ID]],TableauProduit[ID],TableauProduit[Total (kg) N2],0,0,1)</f>
        <v>#REF!</v>
      </c>
      <c r="N112" t="e">
        <f>_xlfn.XLOOKUP(TableauRecette[[#This Row],[ID]],TableauProduit[ID],TableauProduit[Total (kg) N3],0,0,1)*#REF!</f>
        <v>#REF!</v>
      </c>
      <c r="O112" t="e">
        <f>_xlfn.XLOOKUP(TableauRecette[[#This Row],[ID]],TableauProduit[ID],TableauProduit[Total (kg) N4],0,0,1)*#REF!</f>
        <v>#REF!</v>
      </c>
      <c r="P112" t="e">
        <f>_xlfn.XLOOKUP(TableauRecette[[#This Row],[ID]],TableauProduit[ID],TableauProduit[Total (kg) N5],0,0,1)*#REF!</f>
        <v>#REF!</v>
      </c>
      <c r="Q112" t="e">
        <f>_xlfn.XLOOKUP(TableauRecette[[#This Row],[ID]],TableauProduit[ID],TableauProduit[Total (kg) N6],0,0,1)*#REF!</f>
        <v>#REF!</v>
      </c>
      <c r="R112" t="e">
        <f>_xlfn.XLOOKUP(TableauRecette[[#This Row],[ID]],TableauProduit[ID],TableauProduit[Total (kg) N7],0,0,1)*#REF!</f>
        <v>#REF!</v>
      </c>
      <c r="S112" t="e">
        <f>_xlfn.XLOOKUP(TableauRecette[[#This Row],[ID]],TableauProduit[ID],TableauProduit[Total (kg) N8],0,0,1)*#REF!</f>
        <v>#REF!</v>
      </c>
      <c r="T112" t="e">
        <f>_xlfn.XLOOKUP(TableauRecette[[#This Row],[ID]],TableauProduit[ID],TableauProduit[Total (kg) N9],0,0,1)*#REF!</f>
        <v>#REF!</v>
      </c>
    </row>
    <row r="113" spans="1:20" x14ac:dyDescent="0.2">
      <c r="A113" t="s">
        <v>111</v>
      </c>
      <c r="B113" t="str">
        <f>TableauRecette[[#This Row],[Recette]]&amp;TableauRecette[[#This Row],[Conditionnement]]</f>
        <v>Épices cajunEpice 100ml</v>
      </c>
      <c r="C113" t="s">
        <v>392</v>
      </c>
      <c r="D113">
        <v>3</v>
      </c>
      <c r="E113" t="s">
        <v>73</v>
      </c>
      <c r="F113">
        <f>IFERROR(TableauRecette[[#This Row],[Proportion]]/SUMIFS(TableauRecette[Proportion],TableauRecette[Recette],TableauRecette[[#This Row],[Recette]],TableauRecette[Conditionnement],TableauRecette[[#This Row],[Conditionnement]]),0)</f>
        <v>0.17647058823529413</v>
      </c>
      <c r="G113">
        <f>IFERROR(_xlfn.XLOOKUP(TableauRecette[[#This Row],[Ingredients]],TableauIngredients[Ingredients],#REF!,0)*#REF!,0)</f>
        <v>0</v>
      </c>
      <c r="H113">
        <f>IFERROR(SUMIFS(TableauRecette[Proportion],TableauRecette[Recette],TableauRecette[[#This Row],[Recette]],TableauRecette[Conditionnement],TableauRecette[[#This Row],[Conditionnement]]),0)</f>
        <v>17</v>
      </c>
      <c r="I113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13">
        <f>_xlfn.XLOOKUP(TableauRecette[[#This Row],[ID]],TableauProduit[ID],TableauProduit[Total (kg) N1],0,0,1)*_xlfn.XLOOKUP(TableauRecette[[#This Row],[ID]],TableauProduit[ID],TableauProduit[Total (kg) N1],0,0,1)</f>
        <v>0</v>
      </c>
      <c r="M113" t="e">
        <f>_xlfn.XLOOKUP(TableauRecette[[#This Row],[ID]],TableauProduit[ID],TableauProduit[Total (kg) N1],0,0,1)*_xlfn.XLOOKUP(TableauRecette[[#This Row],[ID]],TableauProduit[ID],TableauProduit[Total (kg) N2],0,0,1)</f>
        <v>#REF!</v>
      </c>
      <c r="N113" t="e">
        <f>_xlfn.XLOOKUP(TableauRecette[[#This Row],[ID]],TableauProduit[ID],TableauProduit[Total (kg) N3],0,0,1)*#REF!</f>
        <v>#REF!</v>
      </c>
      <c r="O113" t="e">
        <f>_xlfn.XLOOKUP(TableauRecette[[#This Row],[ID]],TableauProduit[ID],TableauProduit[Total (kg) N4],0,0,1)*#REF!</f>
        <v>#REF!</v>
      </c>
      <c r="P113" t="e">
        <f>_xlfn.XLOOKUP(TableauRecette[[#This Row],[ID]],TableauProduit[ID],TableauProduit[Total (kg) N5],0,0,1)*#REF!</f>
        <v>#REF!</v>
      </c>
      <c r="Q113" t="e">
        <f>_xlfn.XLOOKUP(TableauRecette[[#This Row],[ID]],TableauProduit[ID],TableauProduit[Total (kg) N6],0,0,1)*#REF!</f>
        <v>#REF!</v>
      </c>
      <c r="R113" t="e">
        <f>_xlfn.XLOOKUP(TableauRecette[[#This Row],[ID]],TableauProduit[ID],TableauProduit[Total (kg) N7],0,0,1)*#REF!</f>
        <v>#REF!</v>
      </c>
      <c r="S113" t="e">
        <f>_xlfn.XLOOKUP(TableauRecette[[#This Row],[ID]],TableauProduit[ID],TableauProduit[Total (kg) N8],0,0,1)*#REF!</f>
        <v>#REF!</v>
      </c>
      <c r="T113" t="e">
        <f>_xlfn.XLOOKUP(TableauRecette[[#This Row],[ID]],TableauProduit[ID],TableauProduit[Total (kg) N9],0,0,1)*#REF!</f>
        <v>#REF!</v>
      </c>
    </row>
    <row r="114" spans="1:20" x14ac:dyDescent="0.2">
      <c r="A114" t="s">
        <v>111</v>
      </c>
      <c r="B114" t="str">
        <f>TableauRecette[[#This Row],[Recette]]&amp;TableauRecette[[#This Row],[Conditionnement]]</f>
        <v>Épices cajunEpice 100ml</v>
      </c>
      <c r="C114" t="s">
        <v>381</v>
      </c>
      <c r="D114">
        <v>3</v>
      </c>
      <c r="E114" t="s">
        <v>73</v>
      </c>
      <c r="F114">
        <f>IFERROR(TableauRecette[[#This Row],[Proportion]]/SUMIFS(TableauRecette[Proportion],TableauRecette[Recette],TableauRecette[[#This Row],[Recette]],TableauRecette[Conditionnement],TableauRecette[[#This Row],[Conditionnement]]),0)</f>
        <v>0.17647058823529413</v>
      </c>
      <c r="G114">
        <f>IFERROR(_xlfn.XLOOKUP(TableauRecette[[#This Row],[Ingredients]],TableauIngredients[Ingredients],#REF!,0)*#REF!,0)</f>
        <v>0</v>
      </c>
      <c r="H114">
        <f>IFERROR(SUMIFS(TableauRecette[Proportion],TableauRecette[Recette],TableauRecette[[#This Row],[Recette]],TableauRecette[Conditionnement],TableauRecette[[#This Row],[Conditionnement]]),0)</f>
        <v>17</v>
      </c>
      <c r="I114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14">
        <f>_xlfn.XLOOKUP(TableauRecette[[#This Row],[ID]],TableauProduit[ID],TableauProduit[Total (kg) N1],0,0,1)*_xlfn.XLOOKUP(TableauRecette[[#This Row],[ID]],TableauProduit[ID],TableauProduit[Total (kg) N1],0,0,1)</f>
        <v>0</v>
      </c>
      <c r="M114" t="e">
        <f>_xlfn.XLOOKUP(TableauRecette[[#This Row],[ID]],TableauProduit[ID],TableauProduit[Total (kg) N1],0,0,1)*_xlfn.XLOOKUP(TableauRecette[[#This Row],[ID]],TableauProduit[ID],TableauProduit[Total (kg) N2],0,0,1)</f>
        <v>#REF!</v>
      </c>
      <c r="N114" t="e">
        <f>_xlfn.XLOOKUP(TableauRecette[[#This Row],[ID]],TableauProduit[ID],TableauProduit[Total (kg) N3],0,0,1)*#REF!</f>
        <v>#REF!</v>
      </c>
      <c r="O114" t="e">
        <f>_xlfn.XLOOKUP(TableauRecette[[#This Row],[ID]],TableauProduit[ID],TableauProduit[Total (kg) N4],0,0,1)*#REF!</f>
        <v>#REF!</v>
      </c>
      <c r="P114" t="e">
        <f>_xlfn.XLOOKUP(TableauRecette[[#This Row],[ID]],TableauProduit[ID],TableauProduit[Total (kg) N5],0,0,1)*#REF!</f>
        <v>#REF!</v>
      </c>
      <c r="Q114" t="e">
        <f>_xlfn.XLOOKUP(TableauRecette[[#This Row],[ID]],TableauProduit[ID],TableauProduit[Total (kg) N6],0,0,1)*#REF!</f>
        <v>#REF!</v>
      </c>
      <c r="R114" t="e">
        <f>_xlfn.XLOOKUP(TableauRecette[[#This Row],[ID]],TableauProduit[ID],TableauProduit[Total (kg) N7],0,0,1)*#REF!</f>
        <v>#REF!</v>
      </c>
      <c r="S114" t="e">
        <f>_xlfn.XLOOKUP(TableauRecette[[#This Row],[ID]],TableauProduit[ID],TableauProduit[Total (kg) N8],0,0,1)*#REF!</f>
        <v>#REF!</v>
      </c>
      <c r="T114" t="e">
        <f>_xlfn.XLOOKUP(TableauRecette[[#This Row],[ID]],TableauProduit[ID],TableauProduit[Total (kg) N9],0,0,1)*#REF!</f>
        <v>#REF!</v>
      </c>
    </row>
    <row r="115" spans="1:20" x14ac:dyDescent="0.2">
      <c r="A115" t="s">
        <v>111</v>
      </c>
      <c r="B115" t="str">
        <f>TableauRecette[[#This Row],[Recette]]&amp;TableauRecette[[#This Row],[Conditionnement]]</f>
        <v>Épices cajunEpice 100ml</v>
      </c>
      <c r="C115" t="s">
        <v>385</v>
      </c>
      <c r="D115">
        <v>3</v>
      </c>
      <c r="E115" t="s">
        <v>73</v>
      </c>
      <c r="F115">
        <f>IFERROR(TableauRecette[[#This Row],[Proportion]]/SUMIFS(TableauRecette[Proportion],TableauRecette[Recette],TableauRecette[[#This Row],[Recette]],TableauRecette[Conditionnement],TableauRecette[[#This Row],[Conditionnement]]),0)</f>
        <v>0.17647058823529413</v>
      </c>
      <c r="G115">
        <f>IFERROR(_xlfn.XLOOKUP(TableauRecette[[#This Row],[Ingredients]],TableauIngredients[Ingredients],#REF!,0)*#REF!,0)</f>
        <v>0</v>
      </c>
      <c r="H115">
        <f>IFERROR(SUMIFS(TableauRecette[Proportion],TableauRecette[Recette],TableauRecette[[#This Row],[Recette]],TableauRecette[Conditionnement],TableauRecette[[#This Row],[Conditionnement]]),0)</f>
        <v>17</v>
      </c>
      <c r="I11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15">
        <f>_xlfn.XLOOKUP(TableauRecette[[#This Row],[ID]],TableauProduit[ID],TableauProduit[Total (kg) N1],0,0,1)*_xlfn.XLOOKUP(TableauRecette[[#This Row],[ID]],TableauProduit[ID],TableauProduit[Total (kg) N1],0,0,1)</f>
        <v>0</v>
      </c>
      <c r="M115" t="e">
        <f>_xlfn.XLOOKUP(TableauRecette[[#This Row],[ID]],TableauProduit[ID],TableauProduit[Total (kg) N1],0,0,1)*_xlfn.XLOOKUP(TableauRecette[[#This Row],[ID]],TableauProduit[ID],TableauProduit[Total (kg) N2],0,0,1)</f>
        <v>#REF!</v>
      </c>
      <c r="N115" t="e">
        <f>_xlfn.XLOOKUP(TableauRecette[[#This Row],[ID]],TableauProduit[ID],TableauProduit[Total (kg) N3],0,0,1)*#REF!</f>
        <v>#REF!</v>
      </c>
      <c r="O115" t="e">
        <f>_xlfn.XLOOKUP(TableauRecette[[#This Row],[ID]],TableauProduit[ID],TableauProduit[Total (kg) N4],0,0,1)*#REF!</f>
        <v>#REF!</v>
      </c>
      <c r="P115" t="e">
        <f>_xlfn.XLOOKUP(TableauRecette[[#This Row],[ID]],TableauProduit[ID],TableauProduit[Total (kg) N5],0,0,1)*#REF!</f>
        <v>#REF!</v>
      </c>
      <c r="Q115" t="e">
        <f>_xlfn.XLOOKUP(TableauRecette[[#This Row],[ID]],TableauProduit[ID],TableauProduit[Total (kg) N6],0,0,1)*#REF!</f>
        <v>#REF!</v>
      </c>
      <c r="R115" t="e">
        <f>_xlfn.XLOOKUP(TableauRecette[[#This Row],[ID]],TableauProduit[ID],TableauProduit[Total (kg) N7],0,0,1)*#REF!</f>
        <v>#REF!</v>
      </c>
      <c r="S115" t="e">
        <f>_xlfn.XLOOKUP(TableauRecette[[#This Row],[ID]],TableauProduit[ID],TableauProduit[Total (kg) N8],0,0,1)*#REF!</f>
        <v>#REF!</v>
      </c>
      <c r="T115" t="e">
        <f>_xlfn.XLOOKUP(TableauRecette[[#This Row],[ID]],TableauProduit[ID],TableauProduit[Total (kg) N9],0,0,1)*#REF!</f>
        <v>#REF!</v>
      </c>
    </row>
    <row r="116" spans="1:20" x14ac:dyDescent="0.2">
      <c r="A116" t="s">
        <v>111</v>
      </c>
      <c r="B116" t="str">
        <f>TableauRecette[[#This Row],[Recette]]&amp;TableauRecette[[#This Row],[Conditionnement]]</f>
        <v>Épices cajunEpice 100ml</v>
      </c>
      <c r="C116" t="s">
        <v>386</v>
      </c>
      <c r="D116">
        <v>1</v>
      </c>
      <c r="E116" t="s">
        <v>73</v>
      </c>
      <c r="F116">
        <f>IFERROR(TableauRecette[[#This Row],[Proportion]]/SUMIFS(TableauRecette[Proportion],TableauRecette[Recette],TableauRecette[[#This Row],[Recette]],TableauRecette[Conditionnement],TableauRecette[[#This Row],[Conditionnement]]),0)</f>
        <v>5.8823529411764705E-2</v>
      </c>
      <c r="G116">
        <f>IFERROR(_xlfn.XLOOKUP(TableauRecette[[#This Row],[Ingredients]],TableauIngredients[Ingredients],#REF!,0)*#REF!,0)</f>
        <v>0</v>
      </c>
      <c r="H116">
        <f>IFERROR(SUMIFS(TableauRecette[Proportion],TableauRecette[Recette],TableauRecette[[#This Row],[Recette]],TableauRecette[Conditionnement],TableauRecette[[#This Row],[Conditionnement]]),0)</f>
        <v>17</v>
      </c>
      <c r="I11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16">
        <f>_xlfn.XLOOKUP(TableauRecette[[#This Row],[ID]],TableauProduit[ID],TableauProduit[Total (kg) N1],0,0,1)*_xlfn.XLOOKUP(TableauRecette[[#This Row],[ID]],TableauProduit[ID],TableauProduit[Total (kg) N1],0,0,1)</f>
        <v>0</v>
      </c>
      <c r="M116" t="e">
        <f>_xlfn.XLOOKUP(TableauRecette[[#This Row],[ID]],TableauProduit[ID],TableauProduit[Total (kg) N1],0,0,1)*_xlfn.XLOOKUP(TableauRecette[[#This Row],[ID]],TableauProduit[ID],TableauProduit[Total (kg) N2],0,0,1)</f>
        <v>#REF!</v>
      </c>
      <c r="N116" t="e">
        <f>_xlfn.XLOOKUP(TableauRecette[[#This Row],[ID]],TableauProduit[ID],TableauProduit[Total (kg) N3],0,0,1)*#REF!</f>
        <v>#REF!</v>
      </c>
      <c r="O116" t="e">
        <f>_xlfn.XLOOKUP(TableauRecette[[#This Row],[ID]],TableauProduit[ID],TableauProduit[Total (kg) N4],0,0,1)*#REF!</f>
        <v>#REF!</v>
      </c>
      <c r="P116" t="e">
        <f>_xlfn.XLOOKUP(TableauRecette[[#This Row],[ID]],TableauProduit[ID],TableauProduit[Total (kg) N5],0,0,1)*#REF!</f>
        <v>#REF!</v>
      </c>
      <c r="Q116" t="e">
        <f>_xlfn.XLOOKUP(TableauRecette[[#This Row],[ID]],TableauProduit[ID],TableauProduit[Total (kg) N6],0,0,1)*#REF!</f>
        <v>#REF!</v>
      </c>
      <c r="R116" t="e">
        <f>_xlfn.XLOOKUP(TableauRecette[[#This Row],[ID]],TableauProduit[ID],TableauProduit[Total (kg) N7],0,0,1)*#REF!</f>
        <v>#REF!</v>
      </c>
      <c r="S116" t="e">
        <f>_xlfn.XLOOKUP(TableauRecette[[#This Row],[ID]],TableauProduit[ID],TableauProduit[Total (kg) N8],0,0,1)*#REF!</f>
        <v>#REF!</v>
      </c>
      <c r="T116" t="e">
        <f>_xlfn.XLOOKUP(TableauRecette[[#This Row],[ID]],TableauProduit[ID],TableauProduit[Total (kg) N9],0,0,1)*#REF!</f>
        <v>#REF!</v>
      </c>
    </row>
    <row r="117" spans="1:20" x14ac:dyDescent="0.2">
      <c r="A117" t="s">
        <v>111</v>
      </c>
      <c r="B117" t="str">
        <f>TableauRecette[[#This Row],[Recette]]&amp;TableauRecette[[#This Row],[Conditionnement]]</f>
        <v>Épices cajunEpice 100ml</v>
      </c>
      <c r="C117" t="s">
        <v>348</v>
      </c>
      <c r="D117">
        <v>1</v>
      </c>
      <c r="E117" t="s">
        <v>73</v>
      </c>
      <c r="F117">
        <f>IFERROR(TableauRecette[[#This Row],[Proportion]]/SUMIFS(TableauRecette[Proportion],TableauRecette[Recette],TableauRecette[[#This Row],[Recette]],TableauRecette[Conditionnement],TableauRecette[[#This Row],[Conditionnement]]),0)</f>
        <v>5.8823529411764705E-2</v>
      </c>
      <c r="G117">
        <f>IFERROR(_xlfn.XLOOKUP(TableauRecette[[#This Row],[Ingredients]],TableauIngredients[Ingredients],#REF!,0)*#REF!,0)</f>
        <v>0</v>
      </c>
      <c r="H117">
        <f>IFERROR(SUMIFS(TableauRecette[Proportion],TableauRecette[Recette],TableauRecette[[#This Row],[Recette]],TableauRecette[Conditionnement],TableauRecette[[#This Row],[Conditionnement]]),0)</f>
        <v>17</v>
      </c>
      <c r="I117">
        <f>_xlfn.XLOOKUP(TableauRecette[[#This Row],[Ingredients]],TableauIngredients[Ingredients],TableauIngredients[Prix d''achat (kg)],0,0,1)*TableauRecette[[#This Row],[Proportion]]/TableauRecette[[#This Row],[Total Proportion]]</f>
        <v>2.1676470588235297</v>
      </c>
      <c r="L117">
        <f>_xlfn.XLOOKUP(TableauRecette[[#This Row],[ID]],TableauProduit[ID],TableauProduit[Total (kg) N1],0,0,1)*_xlfn.XLOOKUP(TableauRecette[[#This Row],[ID]],TableauProduit[ID],TableauProduit[Total (kg) N1],0,0,1)</f>
        <v>0</v>
      </c>
      <c r="M117" t="e">
        <f>_xlfn.XLOOKUP(TableauRecette[[#This Row],[ID]],TableauProduit[ID],TableauProduit[Total (kg) N1],0,0,1)*_xlfn.XLOOKUP(TableauRecette[[#This Row],[ID]],TableauProduit[ID],TableauProduit[Total (kg) N2],0,0,1)</f>
        <v>#REF!</v>
      </c>
      <c r="N117" t="e">
        <f>_xlfn.XLOOKUP(TableauRecette[[#This Row],[ID]],TableauProduit[ID],TableauProduit[Total (kg) N3],0,0,1)*#REF!</f>
        <v>#REF!</v>
      </c>
      <c r="O117" t="e">
        <f>_xlfn.XLOOKUP(TableauRecette[[#This Row],[ID]],TableauProduit[ID],TableauProduit[Total (kg) N4],0,0,1)*#REF!</f>
        <v>#REF!</v>
      </c>
      <c r="P117" t="e">
        <f>_xlfn.XLOOKUP(TableauRecette[[#This Row],[ID]],TableauProduit[ID],TableauProduit[Total (kg) N5],0,0,1)*#REF!</f>
        <v>#REF!</v>
      </c>
      <c r="Q117" t="e">
        <f>_xlfn.XLOOKUP(TableauRecette[[#This Row],[ID]],TableauProduit[ID],TableauProduit[Total (kg) N6],0,0,1)*#REF!</f>
        <v>#REF!</v>
      </c>
      <c r="R117" t="e">
        <f>_xlfn.XLOOKUP(TableauRecette[[#This Row],[ID]],TableauProduit[ID],TableauProduit[Total (kg) N7],0,0,1)*#REF!</f>
        <v>#REF!</v>
      </c>
      <c r="S117" t="e">
        <f>_xlfn.XLOOKUP(TableauRecette[[#This Row],[ID]],TableauProduit[ID],TableauProduit[Total (kg) N8],0,0,1)*#REF!</f>
        <v>#REF!</v>
      </c>
      <c r="T117" t="e">
        <f>_xlfn.XLOOKUP(TableauRecette[[#This Row],[ID]],TableauProduit[ID],TableauProduit[Total (kg) N9],0,0,1)*#REF!</f>
        <v>#REF!</v>
      </c>
    </row>
    <row r="118" spans="1:20" x14ac:dyDescent="0.2">
      <c r="A118" t="s">
        <v>111</v>
      </c>
      <c r="B118" t="str">
        <f>TableauRecette[[#This Row],[Recette]]&amp;TableauRecette[[#This Row],[Conditionnement]]</f>
        <v>Épices cajunEpice 100ml</v>
      </c>
      <c r="C118" t="s">
        <v>368</v>
      </c>
      <c r="D118">
        <v>1</v>
      </c>
      <c r="E118" t="s">
        <v>73</v>
      </c>
      <c r="F118">
        <f>IFERROR(TableauRecette[[#This Row],[Proportion]]/SUMIFS(TableauRecette[Proportion],TableauRecette[Recette],TableauRecette[[#This Row],[Recette]],TableauRecette[Conditionnement],TableauRecette[[#This Row],[Conditionnement]]),0)</f>
        <v>5.8823529411764705E-2</v>
      </c>
      <c r="G118">
        <f>IFERROR(_xlfn.XLOOKUP(TableauRecette[[#This Row],[Ingredients]],TableauIngredients[Ingredients],#REF!,0)*#REF!,0)</f>
        <v>0</v>
      </c>
      <c r="H118">
        <f>IFERROR(SUMIFS(TableauRecette[Proportion],TableauRecette[Recette],TableauRecette[[#This Row],[Recette]],TableauRecette[Conditionnement],TableauRecette[[#This Row],[Conditionnement]]),0)</f>
        <v>17</v>
      </c>
      <c r="I118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18">
        <f>_xlfn.XLOOKUP(TableauRecette[[#This Row],[ID]],TableauProduit[ID],TableauProduit[Total (kg) N1],0,0,1)*_xlfn.XLOOKUP(TableauRecette[[#This Row],[ID]],TableauProduit[ID],TableauProduit[Total (kg) N1],0,0,1)</f>
        <v>0</v>
      </c>
      <c r="M118" t="e">
        <f>_xlfn.XLOOKUP(TableauRecette[[#This Row],[ID]],TableauProduit[ID],TableauProduit[Total (kg) N1],0,0,1)*_xlfn.XLOOKUP(TableauRecette[[#This Row],[ID]],TableauProduit[ID],TableauProduit[Total (kg) N2],0,0,1)</f>
        <v>#REF!</v>
      </c>
      <c r="N118" t="e">
        <f>_xlfn.XLOOKUP(TableauRecette[[#This Row],[ID]],TableauProduit[ID],TableauProduit[Total (kg) N3],0,0,1)*#REF!</f>
        <v>#REF!</v>
      </c>
      <c r="O118" t="e">
        <f>_xlfn.XLOOKUP(TableauRecette[[#This Row],[ID]],TableauProduit[ID],TableauProduit[Total (kg) N4],0,0,1)*#REF!</f>
        <v>#REF!</v>
      </c>
      <c r="P118" t="e">
        <f>_xlfn.XLOOKUP(TableauRecette[[#This Row],[ID]],TableauProduit[ID],TableauProduit[Total (kg) N5],0,0,1)*#REF!</f>
        <v>#REF!</v>
      </c>
      <c r="Q118" t="e">
        <f>_xlfn.XLOOKUP(TableauRecette[[#This Row],[ID]],TableauProduit[ID],TableauProduit[Total (kg) N6],0,0,1)*#REF!</f>
        <v>#REF!</v>
      </c>
      <c r="R118" t="e">
        <f>_xlfn.XLOOKUP(TableauRecette[[#This Row],[ID]],TableauProduit[ID],TableauProduit[Total (kg) N7],0,0,1)*#REF!</f>
        <v>#REF!</v>
      </c>
      <c r="S118" t="e">
        <f>_xlfn.XLOOKUP(TableauRecette[[#This Row],[ID]],TableauProduit[ID],TableauProduit[Total (kg) N8],0,0,1)*#REF!</f>
        <v>#REF!</v>
      </c>
      <c r="T118" t="e">
        <f>_xlfn.XLOOKUP(TableauRecette[[#This Row],[ID]],TableauProduit[ID],TableauProduit[Total (kg) N9],0,0,1)*#REF!</f>
        <v>#REF!</v>
      </c>
    </row>
    <row r="119" spans="1:20" x14ac:dyDescent="0.2">
      <c r="A119" t="s">
        <v>111</v>
      </c>
      <c r="B119" t="str">
        <f>TableauRecette[[#This Row],[Recette]]&amp;TableauRecette[[#This Row],[Conditionnement]]</f>
        <v>Épices cajunEpice 100ml</v>
      </c>
      <c r="C119" t="s">
        <v>364</v>
      </c>
      <c r="D119">
        <v>1</v>
      </c>
      <c r="E119" t="s">
        <v>73</v>
      </c>
      <c r="F119">
        <f>IFERROR(TableauRecette[[#This Row],[Proportion]]/SUMIFS(TableauRecette[Proportion],TableauRecette[Recette],TableauRecette[[#This Row],[Recette]],TableauRecette[Conditionnement],TableauRecette[[#This Row],[Conditionnement]]),0)</f>
        <v>5.8823529411764705E-2</v>
      </c>
      <c r="G119">
        <f>IFERROR(_xlfn.XLOOKUP(TableauRecette[[#This Row],[Ingredients]],TableauIngredients[Ingredients],#REF!,0)*#REF!,0)</f>
        <v>0</v>
      </c>
      <c r="H119">
        <f>IFERROR(SUMIFS(TableauRecette[Proportion],TableauRecette[Recette],TableauRecette[[#This Row],[Recette]],TableauRecette[Conditionnement],TableauRecette[[#This Row],[Conditionnement]]),0)</f>
        <v>17</v>
      </c>
      <c r="I119">
        <f>_xlfn.XLOOKUP(TableauRecette[[#This Row],[Ingredients]],TableauIngredients[Ingredients],TableauIngredients[Prix d''achat (kg)],0,0,1)*TableauRecette[[#This Row],[Proportion]]/TableauRecette[[#This Row],[Total Proportion]]</f>
        <v>8.2352941176470587E-2</v>
      </c>
      <c r="L119">
        <f>_xlfn.XLOOKUP(TableauRecette[[#This Row],[ID]],TableauProduit[ID],TableauProduit[Total (kg) N1],0,0,1)*_xlfn.XLOOKUP(TableauRecette[[#This Row],[ID]],TableauProduit[ID],TableauProduit[Total (kg) N1],0,0,1)</f>
        <v>0</v>
      </c>
      <c r="M119" t="e">
        <f>_xlfn.XLOOKUP(TableauRecette[[#This Row],[ID]],TableauProduit[ID],TableauProduit[Total (kg) N1],0,0,1)*_xlfn.XLOOKUP(TableauRecette[[#This Row],[ID]],TableauProduit[ID],TableauProduit[Total (kg) N2],0,0,1)</f>
        <v>#REF!</v>
      </c>
      <c r="N119" t="e">
        <f>_xlfn.XLOOKUP(TableauRecette[[#This Row],[ID]],TableauProduit[ID],TableauProduit[Total (kg) N3],0,0,1)*#REF!</f>
        <v>#REF!</v>
      </c>
      <c r="O119" t="e">
        <f>_xlfn.XLOOKUP(TableauRecette[[#This Row],[ID]],TableauProduit[ID],TableauProduit[Total (kg) N4],0,0,1)*#REF!</f>
        <v>#REF!</v>
      </c>
      <c r="P119" t="e">
        <f>_xlfn.XLOOKUP(TableauRecette[[#This Row],[ID]],TableauProduit[ID],TableauProduit[Total (kg) N5],0,0,1)*#REF!</f>
        <v>#REF!</v>
      </c>
      <c r="Q119" t="e">
        <f>_xlfn.XLOOKUP(TableauRecette[[#This Row],[ID]],TableauProduit[ID],TableauProduit[Total (kg) N6],0,0,1)*#REF!</f>
        <v>#REF!</v>
      </c>
      <c r="R119" t="e">
        <f>_xlfn.XLOOKUP(TableauRecette[[#This Row],[ID]],TableauProduit[ID],TableauProduit[Total (kg) N7],0,0,1)*#REF!</f>
        <v>#REF!</v>
      </c>
      <c r="S119" t="e">
        <f>_xlfn.XLOOKUP(TableauRecette[[#This Row],[ID]],TableauProduit[ID],TableauProduit[Total (kg) N8],0,0,1)*#REF!</f>
        <v>#REF!</v>
      </c>
      <c r="T119" t="e">
        <f>_xlfn.XLOOKUP(TableauRecette[[#This Row],[ID]],TableauProduit[ID],TableauProduit[Total (kg) N9],0,0,1)*#REF!</f>
        <v>#REF!</v>
      </c>
    </row>
    <row r="120" spans="1:20" x14ac:dyDescent="0.2">
      <c r="A120" t="s">
        <v>111</v>
      </c>
      <c r="B120" t="str">
        <f>TableauRecette[[#This Row],[Recette]]&amp;TableauRecette[[#This Row],[Conditionnement]]</f>
        <v>Épices cajunEpice 100ml</v>
      </c>
      <c r="C120" t="s">
        <v>346</v>
      </c>
      <c r="D120">
        <v>1</v>
      </c>
      <c r="E120" t="s">
        <v>73</v>
      </c>
      <c r="F120">
        <f>IFERROR(TableauRecette[[#This Row],[Proportion]]/SUMIFS(TableauRecette[Proportion],TableauRecette[Recette],TableauRecette[[#This Row],[Recette]],TableauRecette[Conditionnement],TableauRecette[[#This Row],[Conditionnement]]),0)</f>
        <v>5.8823529411764705E-2</v>
      </c>
      <c r="G120">
        <f>IFERROR(_xlfn.XLOOKUP(TableauRecette[[#This Row],[Ingredients]],TableauIngredients[Ingredients],#REF!,0)*#REF!,0)</f>
        <v>0</v>
      </c>
      <c r="H120">
        <f>IFERROR(SUMIFS(TableauRecette[Proportion],TableauRecette[Recette],TableauRecette[[#This Row],[Recette]],TableauRecette[Conditionnement],TableauRecette[[#This Row],[Conditionnement]]),0)</f>
        <v>17</v>
      </c>
      <c r="I120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120" t="s">
        <v>341</v>
      </c>
      <c r="L120">
        <f>_xlfn.XLOOKUP(TableauRecette[[#This Row],[ID]],TableauProduit[ID],TableauProduit[Total (kg) N1],0,0,1)*_xlfn.XLOOKUP(TableauRecette[[#This Row],[ID]],TableauProduit[ID],TableauProduit[Total (kg) N1],0,0,1)</f>
        <v>0</v>
      </c>
      <c r="M120" t="e">
        <f>_xlfn.XLOOKUP(TableauRecette[[#This Row],[ID]],TableauProduit[ID],TableauProduit[Total (kg) N1],0,0,1)*_xlfn.XLOOKUP(TableauRecette[[#This Row],[ID]],TableauProduit[ID],TableauProduit[Total (kg) N2],0,0,1)</f>
        <v>#REF!</v>
      </c>
      <c r="N120" t="e">
        <f>_xlfn.XLOOKUP(TableauRecette[[#This Row],[ID]],TableauProduit[ID],TableauProduit[Total (kg) N3],0,0,1)*#REF!</f>
        <v>#REF!</v>
      </c>
      <c r="O120" t="e">
        <f>_xlfn.XLOOKUP(TableauRecette[[#This Row],[ID]],TableauProduit[ID],TableauProduit[Total (kg) N4],0,0,1)*#REF!</f>
        <v>#REF!</v>
      </c>
      <c r="P120" t="e">
        <f>_xlfn.XLOOKUP(TableauRecette[[#This Row],[ID]],TableauProduit[ID],TableauProduit[Total (kg) N5],0,0,1)*#REF!</f>
        <v>#REF!</v>
      </c>
      <c r="Q120" t="e">
        <f>_xlfn.XLOOKUP(TableauRecette[[#This Row],[ID]],TableauProduit[ID],TableauProduit[Total (kg) N6],0,0,1)*#REF!</f>
        <v>#REF!</v>
      </c>
      <c r="R120" t="e">
        <f>_xlfn.XLOOKUP(TableauRecette[[#This Row],[ID]],TableauProduit[ID],TableauProduit[Total (kg) N7],0,0,1)*#REF!</f>
        <v>#REF!</v>
      </c>
      <c r="S120" t="e">
        <f>_xlfn.XLOOKUP(TableauRecette[[#This Row],[ID]],TableauProduit[ID],TableauProduit[Total (kg) N8],0,0,1)*#REF!</f>
        <v>#REF!</v>
      </c>
      <c r="T120" t="e">
        <f>_xlfn.XLOOKUP(TableauRecette[[#This Row],[ID]],TableauProduit[ID],TableauProduit[Total (kg) N9],0,0,1)*#REF!</f>
        <v>#REF!</v>
      </c>
    </row>
    <row r="121" spans="1:20" x14ac:dyDescent="0.2">
      <c r="A121" t="s">
        <v>123</v>
      </c>
      <c r="B121" t="str">
        <f>TableauRecette[[#This Row],[Recette]]&amp;TableauRecette[[#This Row],[Conditionnement]]</f>
        <v>Épices guacamoleEpice 100ml</v>
      </c>
      <c r="C121" t="s">
        <v>379</v>
      </c>
      <c r="D121">
        <v>1</v>
      </c>
      <c r="E121" t="s">
        <v>73</v>
      </c>
      <c r="F121">
        <f>IFERROR(TableauRecette[[#This Row],[Proportion]]/SUMIFS(TableauRecette[Proportion],TableauRecette[Recette],TableauRecette[[#This Row],[Recette]],TableauRecette[Conditionnement],TableauRecette[[#This Row],[Conditionnement]]),0)</f>
        <v>0.15384615384615385</v>
      </c>
      <c r="G121">
        <f>IFERROR(_xlfn.XLOOKUP(TableauRecette[[#This Row],[Ingredients]],TableauIngredients[Ingredients],#REF!,0)*#REF!,0)</f>
        <v>0</v>
      </c>
      <c r="H121">
        <f>IFERROR(SUMIFS(TableauRecette[Proportion],TableauRecette[Recette],TableauRecette[[#This Row],[Recette]],TableauRecette[Conditionnement],TableauRecette[[#This Row],[Conditionnement]]),0)</f>
        <v>6.5</v>
      </c>
      <c r="I12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121" t="s">
        <v>341</v>
      </c>
      <c r="L121">
        <f>_xlfn.XLOOKUP(TableauRecette[[#This Row],[ID]],TableauProduit[ID],TableauProduit[Total (kg) N1],0,0,1)*_xlfn.XLOOKUP(TableauRecette[[#This Row],[ID]],TableauProduit[ID],TableauProduit[Total (kg) N1],0,0,1)</f>
        <v>0</v>
      </c>
      <c r="M121" t="e">
        <f>_xlfn.XLOOKUP(TableauRecette[[#This Row],[ID]],TableauProduit[ID],TableauProduit[Total (kg) N1],0,0,1)*_xlfn.XLOOKUP(TableauRecette[[#This Row],[ID]],TableauProduit[ID],TableauProduit[Total (kg) N2],0,0,1)</f>
        <v>#REF!</v>
      </c>
      <c r="N121" t="e">
        <f>_xlfn.XLOOKUP(TableauRecette[[#This Row],[ID]],TableauProduit[ID],TableauProduit[Total (kg) N3],0,0,1)*#REF!</f>
        <v>#REF!</v>
      </c>
      <c r="O121" t="e">
        <f>_xlfn.XLOOKUP(TableauRecette[[#This Row],[ID]],TableauProduit[ID],TableauProduit[Total (kg) N4],0,0,1)*#REF!</f>
        <v>#REF!</v>
      </c>
      <c r="P121" t="e">
        <f>_xlfn.XLOOKUP(TableauRecette[[#This Row],[ID]],TableauProduit[ID],TableauProduit[Total (kg) N5],0,0,1)*#REF!</f>
        <v>#REF!</v>
      </c>
      <c r="Q121" t="e">
        <f>_xlfn.XLOOKUP(TableauRecette[[#This Row],[ID]],TableauProduit[ID],TableauProduit[Total (kg) N6],0,0,1)*#REF!</f>
        <v>#REF!</v>
      </c>
      <c r="R121" t="e">
        <f>_xlfn.XLOOKUP(TableauRecette[[#This Row],[ID]],TableauProduit[ID],TableauProduit[Total (kg) N7],0,0,1)*#REF!</f>
        <v>#REF!</v>
      </c>
      <c r="S121" t="e">
        <f>_xlfn.XLOOKUP(TableauRecette[[#This Row],[ID]],TableauProduit[ID],TableauProduit[Total (kg) N8],0,0,1)*#REF!</f>
        <v>#REF!</v>
      </c>
      <c r="T121" t="e">
        <f>_xlfn.XLOOKUP(TableauRecette[[#This Row],[ID]],TableauProduit[ID],TableauProduit[Total (kg) N9],0,0,1)*#REF!</f>
        <v>#REF!</v>
      </c>
    </row>
    <row r="122" spans="1:20" x14ac:dyDescent="0.2">
      <c r="A122" t="s">
        <v>123</v>
      </c>
      <c r="B122" t="str">
        <f>TableauRecette[[#This Row],[Recette]]&amp;TableauRecette[[#This Row],[Conditionnement]]</f>
        <v>Épices guacamoleEpice 100ml</v>
      </c>
      <c r="C122" t="s">
        <v>375</v>
      </c>
      <c r="D122">
        <v>1</v>
      </c>
      <c r="E122" t="s">
        <v>73</v>
      </c>
      <c r="F122">
        <f>IFERROR(TableauRecette[[#This Row],[Proportion]]/SUMIFS(TableauRecette[Proportion],TableauRecette[Recette],TableauRecette[[#This Row],[Recette]],TableauRecette[Conditionnement],TableauRecette[[#This Row],[Conditionnement]]),0)</f>
        <v>0.15384615384615385</v>
      </c>
      <c r="G122">
        <f>IFERROR(_xlfn.XLOOKUP(TableauRecette[[#This Row],[Ingredients]],TableauIngredients[Ingredients],#REF!,0)*#REF!,0)</f>
        <v>0</v>
      </c>
      <c r="H122">
        <f>IFERROR(SUMIFS(TableauRecette[Proportion],TableauRecette[Recette],TableauRecette[[#This Row],[Recette]],TableauRecette[Conditionnement],TableauRecette[[#This Row],[Conditionnement]]),0)</f>
        <v>6.5</v>
      </c>
      <c r="I12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22">
        <f>_xlfn.XLOOKUP(TableauRecette[[#This Row],[ID]],TableauProduit[ID],TableauProduit[Total (kg) N1],0,0,1)*_xlfn.XLOOKUP(TableauRecette[[#This Row],[ID]],TableauProduit[ID],TableauProduit[Total (kg) N1],0,0,1)</f>
        <v>0</v>
      </c>
      <c r="M122" t="e">
        <f>_xlfn.XLOOKUP(TableauRecette[[#This Row],[ID]],TableauProduit[ID],TableauProduit[Total (kg) N1],0,0,1)*_xlfn.XLOOKUP(TableauRecette[[#This Row],[ID]],TableauProduit[ID],TableauProduit[Total (kg) N2],0,0,1)</f>
        <v>#REF!</v>
      </c>
      <c r="N122" t="e">
        <f>_xlfn.XLOOKUP(TableauRecette[[#This Row],[ID]],TableauProduit[ID],TableauProduit[Total (kg) N3],0,0,1)*#REF!</f>
        <v>#REF!</v>
      </c>
      <c r="O122" t="e">
        <f>_xlfn.XLOOKUP(TableauRecette[[#This Row],[ID]],TableauProduit[ID],TableauProduit[Total (kg) N4],0,0,1)*#REF!</f>
        <v>#REF!</v>
      </c>
      <c r="P122" t="e">
        <f>_xlfn.XLOOKUP(TableauRecette[[#This Row],[ID]],TableauProduit[ID],TableauProduit[Total (kg) N5],0,0,1)*#REF!</f>
        <v>#REF!</v>
      </c>
      <c r="Q122" t="e">
        <f>_xlfn.XLOOKUP(TableauRecette[[#This Row],[ID]],TableauProduit[ID],TableauProduit[Total (kg) N6],0,0,1)*#REF!</f>
        <v>#REF!</v>
      </c>
      <c r="R122" t="e">
        <f>_xlfn.XLOOKUP(TableauRecette[[#This Row],[ID]],TableauProduit[ID],TableauProduit[Total (kg) N7],0,0,1)*#REF!</f>
        <v>#REF!</v>
      </c>
      <c r="S122" t="e">
        <f>_xlfn.XLOOKUP(TableauRecette[[#This Row],[ID]],TableauProduit[ID],TableauProduit[Total (kg) N8],0,0,1)*#REF!</f>
        <v>#REF!</v>
      </c>
      <c r="T122" t="e">
        <f>_xlfn.XLOOKUP(TableauRecette[[#This Row],[ID]],TableauProduit[ID],TableauProduit[Total (kg) N9],0,0,1)*#REF!</f>
        <v>#REF!</v>
      </c>
    </row>
    <row r="123" spans="1:20" x14ac:dyDescent="0.2">
      <c r="A123" t="s">
        <v>123</v>
      </c>
      <c r="B123" t="str">
        <f>TableauRecette[[#This Row],[Recette]]&amp;TableauRecette[[#This Row],[Conditionnement]]</f>
        <v>Épices guacamoleEpice 100ml</v>
      </c>
      <c r="C123" t="s">
        <v>393</v>
      </c>
      <c r="D123">
        <v>1</v>
      </c>
      <c r="E123" t="s">
        <v>73</v>
      </c>
      <c r="F123">
        <f>IFERROR(TableauRecette[[#This Row],[Proportion]]/SUMIFS(TableauRecette[Proportion],TableauRecette[Recette],TableauRecette[[#This Row],[Recette]],TableauRecette[Conditionnement],TableauRecette[[#This Row],[Conditionnement]]),0)</f>
        <v>0.15384615384615385</v>
      </c>
      <c r="G123">
        <f>IFERROR(_xlfn.XLOOKUP(TableauRecette[[#This Row],[Ingredients]],TableauIngredients[Ingredients],#REF!,0)*#REF!,0)</f>
        <v>0</v>
      </c>
      <c r="H123">
        <f>IFERROR(SUMIFS(TableauRecette[Proportion],TableauRecette[Recette],TableauRecette[[#This Row],[Recette]],TableauRecette[Conditionnement],TableauRecette[[#This Row],[Conditionnement]]),0)</f>
        <v>6.5</v>
      </c>
      <c r="I123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23">
        <f>_xlfn.XLOOKUP(TableauRecette[[#This Row],[ID]],TableauProduit[ID],TableauProduit[Total (kg) N1],0,0,1)*_xlfn.XLOOKUP(TableauRecette[[#This Row],[ID]],TableauProduit[ID],TableauProduit[Total (kg) N1],0,0,1)</f>
        <v>0</v>
      </c>
      <c r="M123" t="e">
        <f>_xlfn.XLOOKUP(TableauRecette[[#This Row],[ID]],TableauProduit[ID],TableauProduit[Total (kg) N1],0,0,1)*_xlfn.XLOOKUP(TableauRecette[[#This Row],[ID]],TableauProduit[ID],TableauProduit[Total (kg) N2],0,0,1)</f>
        <v>#REF!</v>
      </c>
      <c r="N123" t="e">
        <f>_xlfn.XLOOKUP(TableauRecette[[#This Row],[ID]],TableauProduit[ID],TableauProduit[Total (kg) N3],0,0,1)*#REF!</f>
        <v>#REF!</v>
      </c>
      <c r="O123" t="e">
        <f>_xlfn.XLOOKUP(TableauRecette[[#This Row],[ID]],TableauProduit[ID],TableauProduit[Total (kg) N4],0,0,1)*#REF!</f>
        <v>#REF!</v>
      </c>
      <c r="P123" t="e">
        <f>_xlfn.XLOOKUP(TableauRecette[[#This Row],[ID]],TableauProduit[ID],TableauProduit[Total (kg) N5],0,0,1)*#REF!</f>
        <v>#REF!</v>
      </c>
      <c r="Q123" t="e">
        <f>_xlfn.XLOOKUP(TableauRecette[[#This Row],[ID]],TableauProduit[ID],TableauProduit[Total (kg) N6],0,0,1)*#REF!</f>
        <v>#REF!</v>
      </c>
      <c r="R123" t="e">
        <f>_xlfn.XLOOKUP(TableauRecette[[#This Row],[ID]],TableauProduit[ID],TableauProduit[Total (kg) N7],0,0,1)*#REF!</f>
        <v>#REF!</v>
      </c>
      <c r="S123" t="e">
        <f>_xlfn.XLOOKUP(TableauRecette[[#This Row],[ID]],TableauProduit[ID],TableauProduit[Total (kg) N8],0,0,1)*#REF!</f>
        <v>#REF!</v>
      </c>
      <c r="T123" t="e">
        <f>_xlfn.XLOOKUP(TableauRecette[[#This Row],[ID]],TableauProduit[ID],TableauProduit[Total (kg) N9],0,0,1)*#REF!</f>
        <v>#REF!</v>
      </c>
    </row>
    <row r="124" spans="1:20" x14ac:dyDescent="0.2">
      <c r="A124" t="s">
        <v>123</v>
      </c>
      <c r="B124" t="str">
        <f>TableauRecette[[#This Row],[Recette]]&amp;TableauRecette[[#This Row],[Conditionnement]]</f>
        <v>Épices guacamoleEpice 100ml</v>
      </c>
      <c r="C124" t="s">
        <v>353</v>
      </c>
      <c r="D124">
        <v>1</v>
      </c>
      <c r="E124" t="s">
        <v>73</v>
      </c>
      <c r="F124">
        <f>IFERROR(TableauRecette[[#This Row],[Proportion]]/SUMIFS(TableauRecette[Proportion],TableauRecette[Recette],TableauRecette[[#This Row],[Recette]],TableauRecette[Conditionnement],TableauRecette[[#This Row],[Conditionnement]]),0)</f>
        <v>0.15384615384615385</v>
      </c>
      <c r="G124">
        <f>IFERROR(_xlfn.XLOOKUP(TableauRecette[[#This Row],[Ingredients]],TableauIngredients[Ingredients],#REF!,0)*#REF!,0)</f>
        <v>0</v>
      </c>
      <c r="H124">
        <f>IFERROR(SUMIFS(TableauRecette[Proportion],TableauRecette[Recette],TableauRecette[[#This Row],[Recette]],TableauRecette[Conditionnement],TableauRecette[[#This Row],[Conditionnement]]),0)</f>
        <v>6.5</v>
      </c>
      <c r="I124">
        <f>_xlfn.XLOOKUP(TableauRecette[[#This Row],[Ingredients]],TableauIngredients[Ingredients],TableauIngredients[Prix d''achat (kg)],0,0,1)*TableauRecette[[#This Row],[Proportion]]/TableauRecette[[#This Row],[Total Proportion]]</f>
        <v>9.2307692307692299</v>
      </c>
      <c r="L124">
        <f>_xlfn.XLOOKUP(TableauRecette[[#This Row],[ID]],TableauProduit[ID],TableauProduit[Total (kg) N1],0,0,1)*_xlfn.XLOOKUP(TableauRecette[[#This Row],[ID]],TableauProduit[ID],TableauProduit[Total (kg) N1],0,0,1)</f>
        <v>0</v>
      </c>
      <c r="M124" t="e">
        <f>_xlfn.XLOOKUP(TableauRecette[[#This Row],[ID]],TableauProduit[ID],TableauProduit[Total (kg) N1],0,0,1)*_xlfn.XLOOKUP(TableauRecette[[#This Row],[ID]],TableauProduit[ID],TableauProduit[Total (kg) N2],0,0,1)</f>
        <v>#REF!</v>
      </c>
      <c r="N124" t="e">
        <f>_xlfn.XLOOKUP(TableauRecette[[#This Row],[ID]],TableauProduit[ID],TableauProduit[Total (kg) N3],0,0,1)*#REF!</f>
        <v>#REF!</v>
      </c>
      <c r="O124" t="e">
        <f>_xlfn.XLOOKUP(TableauRecette[[#This Row],[ID]],TableauProduit[ID],TableauProduit[Total (kg) N4],0,0,1)*#REF!</f>
        <v>#REF!</v>
      </c>
      <c r="P124" t="e">
        <f>_xlfn.XLOOKUP(TableauRecette[[#This Row],[ID]],TableauProduit[ID],TableauProduit[Total (kg) N5],0,0,1)*#REF!</f>
        <v>#REF!</v>
      </c>
      <c r="Q124" t="e">
        <f>_xlfn.XLOOKUP(TableauRecette[[#This Row],[ID]],TableauProduit[ID],TableauProduit[Total (kg) N6],0,0,1)*#REF!</f>
        <v>#REF!</v>
      </c>
      <c r="R124" t="e">
        <f>_xlfn.XLOOKUP(TableauRecette[[#This Row],[ID]],TableauProduit[ID],TableauProduit[Total (kg) N7],0,0,1)*#REF!</f>
        <v>#REF!</v>
      </c>
      <c r="S124" t="e">
        <f>_xlfn.XLOOKUP(TableauRecette[[#This Row],[ID]],TableauProduit[ID],TableauProduit[Total (kg) N8],0,0,1)*#REF!</f>
        <v>#REF!</v>
      </c>
      <c r="T124" t="e">
        <f>_xlfn.XLOOKUP(TableauRecette[[#This Row],[ID]],TableauProduit[ID],TableauProduit[Total (kg) N9],0,0,1)*#REF!</f>
        <v>#REF!</v>
      </c>
    </row>
    <row r="125" spans="1:20" x14ac:dyDescent="0.2">
      <c r="A125" t="s">
        <v>123</v>
      </c>
      <c r="B125" t="str">
        <f>TableauRecette[[#This Row],[Recette]]&amp;TableauRecette[[#This Row],[Conditionnement]]</f>
        <v>Épices guacamoleEpice 100ml</v>
      </c>
      <c r="C125" t="s">
        <v>352</v>
      </c>
      <c r="D125">
        <v>1</v>
      </c>
      <c r="E125" t="s">
        <v>73</v>
      </c>
      <c r="F125">
        <f>IFERROR(TableauRecette[[#This Row],[Proportion]]/SUMIFS(TableauRecette[Proportion],TableauRecette[Recette],TableauRecette[[#This Row],[Recette]],TableauRecette[Conditionnement],TableauRecette[[#This Row],[Conditionnement]]),0)</f>
        <v>0.15384615384615385</v>
      </c>
      <c r="G125">
        <f>IFERROR(_xlfn.XLOOKUP(TableauRecette[[#This Row],[Ingredients]],TableauIngredients[Ingredients],#REF!,0)*#REF!,0)</f>
        <v>0</v>
      </c>
      <c r="H125">
        <f>IFERROR(SUMIFS(TableauRecette[Proportion],TableauRecette[Recette],TableauRecette[[#This Row],[Recette]],TableauRecette[Conditionnement],TableauRecette[[#This Row],[Conditionnement]]),0)</f>
        <v>6.5</v>
      </c>
      <c r="I12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25">
        <f>_xlfn.XLOOKUP(TableauRecette[[#This Row],[ID]],TableauProduit[ID],TableauProduit[Total (kg) N1],0,0,1)*_xlfn.XLOOKUP(TableauRecette[[#This Row],[ID]],TableauProduit[ID],TableauProduit[Total (kg) N1],0,0,1)</f>
        <v>0</v>
      </c>
      <c r="M125" t="e">
        <f>_xlfn.XLOOKUP(TableauRecette[[#This Row],[ID]],TableauProduit[ID],TableauProduit[Total (kg) N1],0,0,1)*_xlfn.XLOOKUP(TableauRecette[[#This Row],[ID]],TableauProduit[ID],TableauProduit[Total (kg) N2],0,0,1)</f>
        <v>#REF!</v>
      </c>
      <c r="N125" t="e">
        <f>_xlfn.XLOOKUP(TableauRecette[[#This Row],[ID]],TableauProduit[ID],TableauProduit[Total (kg) N3],0,0,1)*#REF!</f>
        <v>#REF!</v>
      </c>
      <c r="O125" t="e">
        <f>_xlfn.XLOOKUP(TableauRecette[[#This Row],[ID]],TableauProduit[ID],TableauProduit[Total (kg) N4],0,0,1)*#REF!</f>
        <v>#REF!</v>
      </c>
      <c r="P125" t="e">
        <f>_xlfn.XLOOKUP(TableauRecette[[#This Row],[ID]],TableauProduit[ID],TableauProduit[Total (kg) N5],0,0,1)*#REF!</f>
        <v>#REF!</v>
      </c>
      <c r="Q125" t="e">
        <f>_xlfn.XLOOKUP(TableauRecette[[#This Row],[ID]],TableauProduit[ID],TableauProduit[Total (kg) N6],0,0,1)*#REF!</f>
        <v>#REF!</v>
      </c>
      <c r="R125" t="e">
        <f>_xlfn.XLOOKUP(TableauRecette[[#This Row],[ID]],TableauProduit[ID],TableauProduit[Total (kg) N7],0,0,1)*#REF!</f>
        <v>#REF!</v>
      </c>
      <c r="S125" t="e">
        <f>_xlfn.XLOOKUP(TableauRecette[[#This Row],[ID]],TableauProduit[ID],TableauProduit[Total (kg) N8],0,0,1)*#REF!</f>
        <v>#REF!</v>
      </c>
      <c r="T125" t="e">
        <f>_xlfn.XLOOKUP(TableauRecette[[#This Row],[ID]],TableauProduit[ID],TableauProduit[Total (kg) N9],0,0,1)*#REF!</f>
        <v>#REF!</v>
      </c>
    </row>
    <row r="126" spans="1:20" x14ac:dyDescent="0.2">
      <c r="A126" t="s">
        <v>123</v>
      </c>
      <c r="B126" t="str">
        <f>TableauRecette[[#This Row],[Recette]]&amp;TableauRecette[[#This Row],[Conditionnement]]</f>
        <v>Épices guacamoleEpice 100ml</v>
      </c>
      <c r="C126" t="s">
        <v>364</v>
      </c>
      <c r="D126">
        <v>0.5</v>
      </c>
      <c r="E126" t="s">
        <v>73</v>
      </c>
      <c r="F126">
        <f>IFERROR(TableauRecette[[#This Row],[Proportion]]/SUMIFS(TableauRecette[Proportion],TableauRecette[Recette],TableauRecette[[#This Row],[Recette]],TableauRecette[Conditionnement],TableauRecette[[#This Row],[Conditionnement]]),0)</f>
        <v>7.6923076923076927E-2</v>
      </c>
      <c r="G126">
        <f>IFERROR(_xlfn.XLOOKUP(TableauRecette[[#This Row],[Ingredients]],TableauIngredients[Ingredients],#REF!,0)*#REF!,0)</f>
        <v>0</v>
      </c>
      <c r="H126">
        <f>IFERROR(SUMIFS(TableauRecette[Proportion],TableauRecette[Recette],TableauRecette[[#This Row],[Recette]],TableauRecette[Conditionnement],TableauRecette[[#This Row],[Conditionnement]]),0)</f>
        <v>6.5</v>
      </c>
      <c r="I126">
        <f>_xlfn.XLOOKUP(TableauRecette[[#This Row],[Ingredients]],TableauIngredients[Ingredients],TableauIngredients[Prix d''achat (kg)],0,0,1)*TableauRecette[[#This Row],[Proportion]]/TableauRecette[[#This Row],[Total Proportion]]</f>
        <v>0.10769230769230768</v>
      </c>
      <c r="L126">
        <f>_xlfn.XLOOKUP(TableauRecette[[#This Row],[ID]],TableauProduit[ID],TableauProduit[Total (kg) N1],0,0,1)*_xlfn.XLOOKUP(TableauRecette[[#This Row],[ID]],TableauProduit[ID],TableauProduit[Total (kg) N1],0,0,1)</f>
        <v>0</v>
      </c>
      <c r="M126" t="e">
        <f>_xlfn.XLOOKUP(TableauRecette[[#This Row],[ID]],TableauProduit[ID],TableauProduit[Total (kg) N1],0,0,1)*_xlfn.XLOOKUP(TableauRecette[[#This Row],[ID]],TableauProduit[ID],TableauProduit[Total (kg) N2],0,0,1)</f>
        <v>#REF!</v>
      </c>
      <c r="N126" t="e">
        <f>_xlfn.XLOOKUP(TableauRecette[[#This Row],[ID]],TableauProduit[ID],TableauProduit[Total (kg) N3],0,0,1)*#REF!</f>
        <v>#REF!</v>
      </c>
      <c r="O126" t="e">
        <f>_xlfn.XLOOKUP(TableauRecette[[#This Row],[ID]],TableauProduit[ID],TableauProduit[Total (kg) N4],0,0,1)*#REF!</f>
        <v>#REF!</v>
      </c>
      <c r="P126" t="e">
        <f>_xlfn.XLOOKUP(TableauRecette[[#This Row],[ID]],TableauProduit[ID],TableauProduit[Total (kg) N5],0,0,1)*#REF!</f>
        <v>#REF!</v>
      </c>
      <c r="Q126" t="e">
        <f>_xlfn.XLOOKUP(TableauRecette[[#This Row],[ID]],TableauProduit[ID],TableauProduit[Total (kg) N6],0,0,1)*#REF!</f>
        <v>#REF!</v>
      </c>
      <c r="R126" t="e">
        <f>_xlfn.XLOOKUP(TableauRecette[[#This Row],[ID]],TableauProduit[ID],TableauProduit[Total (kg) N7],0,0,1)*#REF!</f>
        <v>#REF!</v>
      </c>
      <c r="S126" t="e">
        <f>_xlfn.XLOOKUP(TableauRecette[[#This Row],[ID]],TableauProduit[ID],TableauProduit[Total (kg) N8],0,0,1)*#REF!</f>
        <v>#REF!</v>
      </c>
      <c r="T126" t="e">
        <f>_xlfn.XLOOKUP(TableauRecette[[#This Row],[ID]],TableauProduit[ID],TableauProduit[Total (kg) N9],0,0,1)*#REF!</f>
        <v>#REF!</v>
      </c>
    </row>
    <row r="127" spans="1:20" x14ac:dyDescent="0.2">
      <c r="A127" t="s">
        <v>123</v>
      </c>
      <c r="B127" t="str">
        <f>TableauRecette[[#This Row],[Recette]]&amp;TableauRecette[[#This Row],[Conditionnement]]</f>
        <v>Épices guacamoleEpice 100ml</v>
      </c>
      <c r="C127" t="s">
        <v>346</v>
      </c>
      <c r="D127">
        <v>1</v>
      </c>
      <c r="E127" t="s">
        <v>73</v>
      </c>
      <c r="F127">
        <f>IFERROR(TableauRecette[[#This Row],[Proportion]]/SUMIFS(TableauRecette[Proportion],TableauRecette[Recette],TableauRecette[[#This Row],[Recette]],TableauRecette[Conditionnement],TableauRecette[[#This Row],[Conditionnement]]),0)</f>
        <v>0.15384615384615385</v>
      </c>
      <c r="G127">
        <f>IFERROR(_xlfn.XLOOKUP(TableauRecette[[#This Row],[Ingredients]],TableauIngredients[Ingredients],#REF!,0)*#REF!,0)</f>
        <v>0</v>
      </c>
      <c r="H127">
        <f>IFERROR(SUMIFS(TableauRecette[Proportion],TableauRecette[Recette],TableauRecette[[#This Row],[Recette]],TableauRecette[Conditionnement],TableauRecette[[#This Row],[Conditionnement]]),0)</f>
        <v>6.5</v>
      </c>
      <c r="I12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127" t="s">
        <v>341</v>
      </c>
      <c r="L127">
        <f>_xlfn.XLOOKUP(TableauRecette[[#This Row],[ID]],TableauProduit[ID],TableauProduit[Total (kg) N1],0,0,1)*_xlfn.XLOOKUP(TableauRecette[[#This Row],[ID]],TableauProduit[ID],TableauProduit[Total (kg) N1],0,0,1)</f>
        <v>0</v>
      </c>
      <c r="M127" t="e">
        <f>_xlfn.XLOOKUP(TableauRecette[[#This Row],[ID]],TableauProduit[ID],TableauProduit[Total (kg) N1],0,0,1)*_xlfn.XLOOKUP(TableauRecette[[#This Row],[ID]],TableauProduit[ID],TableauProduit[Total (kg) N2],0,0,1)</f>
        <v>#REF!</v>
      </c>
      <c r="N127" t="e">
        <f>_xlfn.XLOOKUP(TableauRecette[[#This Row],[ID]],TableauProduit[ID],TableauProduit[Total (kg) N3],0,0,1)*#REF!</f>
        <v>#REF!</v>
      </c>
      <c r="O127" t="e">
        <f>_xlfn.XLOOKUP(TableauRecette[[#This Row],[ID]],TableauProduit[ID],TableauProduit[Total (kg) N4],0,0,1)*#REF!</f>
        <v>#REF!</v>
      </c>
      <c r="P127" t="e">
        <f>_xlfn.XLOOKUP(TableauRecette[[#This Row],[ID]],TableauProduit[ID],TableauProduit[Total (kg) N5],0,0,1)*#REF!</f>
        <v>#REF!</v>
      </c>
      <c r="Q127" t="e">
        <f>_xlfn.XLOOKUP(TableauRecette[[#This Row],[ID]],TableauProduit[ID],TableauProduit[Total (kg) N6],0,0,1)*#REF!</f>
        <v>#REF!</v>
      </c>
      <c r="R127" t="e">
        <f>_xlfn.XLOOKUP(TableauRecette[[#This Row],[ID]],TableauProduit[ID],TableauProduit[Total (kg) N7],0,0,1)*#REF!</f>
        <v>#REF!</v>
      </c>
      <c r="S127" t="e">
        <f>_xlfn.XLOOKUP(TableauRecette[[#This Row],[ID]],TableauProduit[ID],TableauProduit[Total (kg) N8],0,0,1)*#REF!</f>
        <v>#REF!</v>
      </c>
      <c r="T127" t="e">
        <f>_xlfn.XLOOKUP(TableauRecette[[#This Row],[ID]],TableauProduit[ID],TableauProduit[Total (kg) N9],0,0,1)*#REF!</f>
        <v>#REF!</v>
      </c>
    </row>
    <row r="128" spans="1:20" x14ac:dyDescent="0.2">
      <c r="A128" t="s">
        <v>117</v>
      </c>
      <c r="B128" t="str">
        <f>TableauRecette[[#This Row],[Recette]]&amp;TableauRecette[[#This Row],[Conditionnement]]</f>
        <v>Épices poissons et fruits de merEpice 100ml</v>
      </c>
      <c r="C128" t="s">
        <v>376</v>
      </c>
      <c r="D128">
        <v>2</v>
      </c>
      <c r="E128" t="s">
        <v>73</v>
      </c>
      <c r="F128">
        <f>IFERROR(TableauRecette[[#This Row],[Proportion]]/SUMIFS(TableauRecette[Proportion],TableauRecette[Recette],TableauRecette[[#This Row],[Recette]],TableauRecette[Conditionnement],TableauRecette[[#This Row],[Conditionnement]]),0)</f>
        <v>6.6666666666666666E-2</v>
      </c>
      <c r="G128">
        <f>IFERROR(_xlfn.XLOOKUP(TableauRecette[[#This Row],[Ingredients]],TableauIngredients[Ingredients],#REF!,0)*#REF!,0)</f>
        <v>0</v>
      </c>
      <c r="H128">
        <f>IFERROR(SUMIFS(TableauRecette[Proportion],TableauRecette[Recette],TableauRecette[[#This Row],[Recette]],TableauRecette[Conditionnement],TableauRecette[[#This Row],[Conditionnement]]),0)</f>
        <v>30</v>
      </c>
      <c r="I128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28">
        <f>_xlfn.XLOOKUP(TableauRecette[[#This Row],[ID]],TableauProduit[ID],TableauProduit[Total (kg) N1],0,0,1)*_xlfn.XLOOKUP(TableauRecette[[#This Row],[ID]],TableauProduit[ID],TableauProduit[Total (kg) N1],0,0,1)</f>
        <v>0</v>
      </c>
      <c r="M128" t="e">
        <f>_xlfn.XLOOKUP(TableauRecette[[#This Row],[ID]],TableauProduit[ID],TableauProduit[Total (kg) N1],0,0,1)*_xlfn.XLOOKUP(TableauRecette[[#This Row],[ID]],TableauProduit[ID],TableauProduit[Total (kg) N2],0,0,1)</f>
        <v>#REF!</v>
      </c>
      <c r="N128" t="e">
        <f>_xlfn.XLOOKUP(TableauRecette[[#This Row],[ID]],TableauProduit[ID],TableauProduit[Total (kg) N3],0,0,1)*#REF!</f>
        <v>#REF!</v>
      </c>
      <c r="O128" t="e">
        <f>_xlfn.XLOOKUP(TableauRecette[[#This Row],[ID]],TableauProduit[ID],TableauProduit[Total (kg) N4],0,0,1)*#REF!</f>
        <v>#REF!</v>
      </c>
      <c r="P128" t="e">
        <f>_xlfn.XLOOKUP(TableauRecette[[#This Row],[ID]],TableauProduit[ID],TableauProduit[Total (kg) N5],0,0,1)*#REF!</f>
        <v>#REF!</v>
      </c>
      <c r="Q128" t="e">
        <f>_xlfn.XLOOKUP(TableauRecette[[#This Row],[ID]],TableauProduit[ID],TableauProduit[Total (kg) N6],0,0,1)*#REF!</f>
        <v>#REF!</v>
      </c>
      <c r="R128" t="e">
        <f>_xlfn.XLOOKUP(TableauRecette[[#This Row],[ID]],TableauProduit[ID],TableauProduit[Total (kg) N7],0,0,1)*#REF!</f>
        <v>#REF!</v>
      </c>
      <c r="S128" t="e">
        <f>_xlfn.XLOOKUP(TableauRecette[[#This Row],[ID]],TableauProduit[ID],TableauProduit[Total (kg) N8],0,0,1)*#REF!</f>
        <v>#REF!</v>
      </c>
      <c r="T128" t="e">
        <f>_xlfn.XLOOKUP(TableauRecette[[#This Row],[ID]],TableauProduit[ID],TableauProduit[Total (kg) N9],0,0,1)*#REF!</f>
        <v>#REF!</v>
      </c>
    </row>
    <row r="129" spans="1:20" x14ac:dyDescent="0.2">
      <c r="A129" t="s">
        <v>117</v>
      </c>
      <c r="B129" t="str">
        <f>TableauRecette[[#This Row],[Recette]]&amp;TableauRecette[[#This Row],[Conditionnement]]</f>
        <v>Épices poissons et fruits de merEpice 100ml</v>
      </c>
      <c r="C129" t="s">
        <v>364</v>
      </c>
      <c r="D129">
        <v>15</v>
      </c>
      <c r="E129" t="s">
        <v>73</v>
      </c>
      <c r="F129">
        <f>IFERROR(TableauRecette[[#This Row],[Proportion]]/SUMIFS(TableauRecette[Proportion],TableauRecette[Recette],TableauRecette[[#This Row],[Recette]],TableauRecette[Conditionnement],TableauRecette[[#This Row],[Conditionnement]]),0)</f>
        <v>0.5</v>
      </c>
      <c r="G129">
        <f>IFERROR(_xlfn.XLOOKUP(TableauRecette[[#This Row],[Ingredients]],TableauIngredients[Ingredients],#REF!,0)*#REF!,0)</f>
        <v>0</v>
      </c>
      <c r="H129">
        <f>IFERROR(SUMIFS(TableauRecette[Proportion],TableauRecette[Recette],TableauRecette[[#This Row],[Recette]],TableauRecette[Conditionnement],TableauRecette[[#This Row],[Conditionnement]]),0)</f>
        <v>30</v>
      </c>
      <c r="I129">
        <f>_xlfn.XLOOKUP(TableauRecette[[#This Row],[Ingredients]],TableauIngredients[Ingredients],TableauIngredients[Prix d''achat (kg)],0,0,1)*TableauRecette[[#This Row],[Proportion]]/TableauRecette[[#This Row],[Total Proportion]]</f>
        <v>0.7</v>
      </c>
      <c r="L129">
        <f>_xlfn.XLOOKUP(TableauRecette[[#This Row],[ID]],TableauProduit[ID],TableauProduit[Total (kg) N1],0,0,1)*_xlfn.XLOOKUP(TableauRecette[[#This Row],[ID]],TableauProduit[ID],TableauProduit[Total (kg) N1],0,0,1)</f>
        <v>0</v>
      </c>
      <c r="M129" t="e">
        <f>_xlfn.XLOOKUP(TableauRecette[[#This Row],[ID]],TableauProduit[ID],TableauProduit[Total (kg) N1],0,0,1)*_xlfn.XLOOKUP(TableauRecette[[#This Row],[ID]],TableauProduit[ID],TableauProduit[Total (kg) N2],0,0,1)</f>
        <v>#REF!</v>
      </c>
      <c r="N129" t="e">
        <f>_xlfn.XLOOKUP(TableauRecette[[#This Row],[ID]],TableauProduit[ID],TableauProduit[Total (kg) N3],0,0,1)*#REF!</f>
        <v>#REF!</v>
      </c>
      <c r="O129" t="e">
        <f>_xlfn.XLOOKUP(TableauRecette[[#This Row],[ID]],TableauProduit[ID],TableauProduit[Total (kg) N4],0,0,1)*#REF!</f>
        <v>#REF!</v>
      </c>
      <c r="P129" t="e">
        <f>_xlfn.XLOOKUP(TableauRecette[[#This Row],[ID]],TableauProduit[ID],TableauProduit[Total (kg) N5],0,0,1)*#REF!</f>
        <v>#REF!</v>
      </c>
      <c r="Q129" t="e">
        <f>_xlfn.XLOOKUP(TableauRecette[[#This Row],[ID]],TableauProduit[ID],TableauProduit[Total (kg) N6],0,0,1)*#REF!</f>
        <v>#REF!</v>
      </c>
      <c r="R129" t="e">
        <f>_xlfn.XLOOKUP(TableauRecette[[#This Row],[ID]],TableauProduit[ID],TableauProduit[Total (kg) N7],0,0,1)*#REF!</f>
        <v>#REF!</v>
      </c>
      <c r="S129" t="e">
        <f>_xlfn.XLOOKUP(TableauRecette[[#This Row],[ID]],TableauProduit[ID],TableauProduit[Total (kg) N8],0,0,1)*#REF!</f>
        <v>#REF!</v>
      </c>
      <c r="T129" t="e">
        <f>_xlfn.XLOOKUP(TableauRecette[[#This Row],[ID]],TableauProduit[ID],TableauProduit[Total (kg) N9],0,0,1)*#REF!</f>
        <v>#REF!</v>
      </c>
    </row>
    <row r="130" spans="1:20" x14ac:dyDescent="0.2">
      <c r="A130" t="s">
        <v>117</v>
      </c>
      <c r="B130" t="str">
        <f>TableauRecette[[#This Row],[Recette]]&amp;TableauRecette[[#This Row],[Conditionnement]]</f>
        <v>Épices poissons et fruits de merEpice 100ml</v>
      </c>
      <c r="C130" t="s">
        <v>394</v>
      </c>
      <c r="D130">
        <v>6</v>
      </c>
      <c r="E130" t="s">
        <v>73</v>
      </c>
      <c r="F130">
        <f>IFERROR(TableauRecette[[#This Row],[Proportion]]/SUMIFS(TableauRecette[Proportion],TableauRecette[Recette],TableauRecette[[#This Row],[Recette]],TableauRecette[Conditionnement],TableauRecette[[#This Row],[Conditionnement]]),0)</f>
        <v>0.2</v>
      </c>
      <c r="G130">
        <f>IFERROR(_xlfn.XLOOKUP(TableauRecette[[#This Row],[Ingredients]],TableauIngredients[Ingredients],#REF!,0)*#REF!,0)</f>
        <v>0</v>
      </c>
      <c r="H130">
        <f>IFERROR(SUMIFS(TableauRecette[Proportion],TableauRecette[Recette],TableauRecette[[#This Row],[Recette]],TableauRecette[Conditionnement],TableauRecette[[#This Row],[Conditionnement]]),0)</f>
        <v>30</v>
      </c>
      <c r="I130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30">
        <f>_xlfn.XLOOKUP(TableauRecette[[#This Row],[ID]],TableauProduit[ID],TableauProduit[Total (kg) N1],0,0,1)*_xlfn.XLOOKUP(TableauRecette[[#This Row],[ID]],TableauProduit[ID],TableauProduit[Total (kg) N1],0,0,1)</f>
        <v>0</v>
      </c>
      <c r="M130" t="e">
        <f>_xlfn.XLOOKUP(TableauRecette[[#This Row],[ID]],TableauProduit[ID],TableauProduit[Total (kg) N1],0,0,1)*_xlfn.XLOOKUP(TableauRecette[[#This Row],[ID]],TableauProduit[ID],TableauProduit[Total (kg) N2],0,0,1)</f>
        <v>#REF!</v>
      </c>
      <c r="N130" t="e">
        <f>_xlfn.XLOOKUP(TableauRecette[[#This Row],[ID]],TableauProduit[ID],TableauProduit[Total (kg) N3],0,0,1)*#REF!</f>
        <v>#REF!</v>
      </c>
      <c r="O130" t="e">
        <f>_xlfn.XLOOKUP(TableauRecette[[#This Row],[ID]],TableauProduit[ID],TableauProduit[Total (kg) N4],0,0,1)*#REF!</f>
        <v>#REF!</v>
      </c>
      <c r="P130" t="e">
        <f>_xlfn.XLOOKUP(TableauRecette[[#This Row],[ID]],TableauProduit[ID],TableauProduit[Total (kg) N5],0,0,1)*#REF!</f>
        <v>#REF!</v>
      </c>
      <c r="Q130" t="e">
        <f>_xlfn.XLOOKUP(TableauRecette[[#This Row],[ID]],TableauProduit[ID],TableauProduit[Total (kg) N6],0,0,1)*#REF!</f>
        <v>#REF!</v>
      </c>
      <c r="R130" t="e">
        <f>_xlfn.XLOOKUP(TableauRecette[[#This Row],[ID]],TableauProduit[ID],TableauProduit[Total (kg) N7],0,0,1)*#REF!</f>
        <v>#REF!</v>
      </c>
      <c r="S130" t="e">
        <f>_xlfn.XLOOKUP(TableauRecette[[#This Row],[ID]],TableauProduit[ID],TableauProduit[Total (kg) N8],0,0,1)*#REF!</f>
        <v>#REF!</v>
      </c>
      <c r="T130" t="e">
        <f>_xlfn.XLOOKUP(TableauRecette[[#This Row],[ID]],TableauProduit[ID],TableauProduit[Total (kg) N9],0,0,1)*#REF!</f>
        <v>#REF!</v>
      </c>
    </row>
    <row r="131" spans="1:20" x14ac:dyDescent="0.2">
      <c r="A131" t="s">
        <v>117</v>
      </c>
      <c r="B131" t="str">
        <f>TableauRecette[[#This Row],[Recette]]&amp;TableauRecette[[#This Row],[Conditionnement]]</f>
        <v>Épices poissons et fruits de merEpice 100ml</v>
      </c>
      <c r="C131" t="s">
        <v>368</v>
      </c>
      <c r="D131">
        <v>2</v>
      </c>
      <c r="E131" t="s">
        <v>73</v>
      </c>
      <c r="F131">
        <f>IFERROR(TableauRecette[[#This Row],[Proportion]]/SUMIFS(TableauRecette[Proportion],TableauRecette[Recette],TableauRecette[[#This Row],[Recette]],TableauRecette[Conditionnement],TableauRecette[[#This Row],[Conditionnement]]),0)</f>
        <v>6.6666666666666666E-2</v>
      </c>
      <c r="G131">
        <f>IFERROR(_xlfn.XLOOKUP(TableauRecette[[#This Row],[Ingredients]],TableauIngredients[Ingredients],#REF!,0)*#REF!,0)</f>
        <v>0</v>
      </c>
      <c r="H131">
        <f>IFERROR(SUMIFS(TableauRecette[Proportion],TableauRecette[Recette],TableauRecette[[#This Row],[Recette]],TableauRecette[Conditionnement],TableauRecette[[#This Row],[Conditionnement]]),0)</f>
        <v>30</v>
      </c>
      <c r="I13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31">
        <f>_xlfn.XLOOKUP(TableauRecette[[#This Row],[ID]],TableauProduit[ID],TableauProduit[Total (kg) N1],0,0,1)*_xlfn.XLOOKUP(TableauRecette[[#This Row],[ID]],TableauProduit[ID],TableauProduit[Total (kg) N1],0,0,1)</f>
        <v>0</v>
      </c>
      <c r="M131" t="e">
        <f>_xlfn.XLOOKUP(TableauRecette[[#This Row],[ID]],TableauProduit[ID],TableauProduit[Total (kg) N1],0,0,1)*_xlfn.XLOOKUP(TableauRecette[[#This Row],[ID]],TableauProduit[ID],TableauProduit[Total (kg) N2],0,0,1)</f>
        <v>#REF!</v>
      </c>
      <c r="N131" t="e">
        <f>_xlfn.XLOOKUP(TableauRecette[[#This Row],[ID]],TableauProduit[ID],TableauProduit[Total (kg) N3],0,0,1)*#REF!</f>
        <v>#REF!</v>
      </c>
      <c r="O131" t="e">
        <f>_xlfn.XLOOKUP(TableauRecette[[#This Row],[ID]],TableauProduit[ID],TableauProduit[Total (kg) N4],0,0,1)*#REF!</f>
        <v>#REF!</v>
      </c>
      <c r="P131" t="e">
        <f>_xlfn.XLOOKUP(TableauRecette[[#This Row],[ID]],TableauProduit[ID],TableauProduit[Total (kg) N5],0,0,1)*#REF!</f>
        <v>#REF!</v>
      </c>
      <c r="Q131" t="e">
        <f>_xlfn.XLOOKUP(TableauRecette[[#This Row],[ID]],TableauProduit[ID],TableauProduit[Total (kg) N6],0,0,1)*#REF!</f>
        <v>#REF!</v>
      </c>
      <c r="R131" t="e">
        <f>_xlfn.XLOOKUP(TableauRecette[[#This Row],[ID]],TableauProduit[ID],TableauProduit[Total (kg) N7],0,0,1)*#REF!</f>
        <v>#REF!</v>
      </c>
      <c r="S131" t="e">
        <f>_xlfn.XLOOKUP(TableauRecette[[#This Row],[ID]],TableauProduit[ID],TableauProduit[Total (kg) N8],0,0,1)*#REF!</f>
        <v>#REF!</v>
      </c>
      <c r="T131" t="e">
        <f>_xlfn.XLOOKUP(TableauRecette[[#This Row],[ID]],TableauProduit[ID],TableauProduit[Total (kg) N9],0,0,1)*#REF!</f>
        <v>#REF!</v>
      </c>
    </row>
    <row r="132" spans="1:20" x14ac:dyDescent="0.2">
      <c r="A132" t="s">
        <v>117</v>
      </c>
      <c r="B132" t="str">
        <f>TableauRecette[[#This Row],[Recette]]&amp;TableauRecette[[#This Row],[Conditionnement]]</f>
        <v>Épices poissons et fruits de merEpice 100ml</v>
      </c>
      <c r="C132" t="s">
        <v>348</v>
      </c>
      <c r="D132">
        <v>1</v>
      </c>
      <c r="E132" t="s">
        <v>73</v>
      </c>
      <c r="F132">
        <f>IFERROR(TableauRecette[[#This Row],[Proportion]]/SUMIFS(TableauRecette[Proportion],TableauRecette[Recette],TableauRecette[[#This Row],[Recette]],TableauRecette[Conditionnement],TableauRecette[[#This Row],[Conditionnement]]),0)</f>
        <v>3.3333333333333333E-2</v>
      </c>
      <c r="G132">
        <f>IFERROR(_xlfn.XLOOKUP(TableauRecette[[#This Row],[Ingredients]],TableauIngredients[Ingredients],#REF!,0)*#REF!,0)</f>
        <v>0</v>
      </c>
      <c r="H132">
        <f>IFERROR(SUMIFS(TableauRecette[Proportion],TableauRecette[Recette],TableauRecette[[#This Row],[Recette]],TableauRecette[Conditionnement],TableauRecette[[#This Row],[Conditionnement]]),0)</f>
        <v>30</v>
      </c>
      <c r="I132">
        <f>_xlfn.XLOOKUP(TableauRecette[[#This Row],[Ingredients]],TableauIngredients[Ingredients],TableauIngredients[Prix d''achat (kg)],0,0,1)*TableauRecette[[#This Row],[Proportion]]/TableauRecette[[#This Row],[Total Proportion]]</f>
        <v>1.2283333333333333</v>
      </c>
      <c r="L132">
        <f>_xlfn.XLOOKUP(TableauRecette[[#This Row],[ID]],TableauProduit[ID],TableauProduit[Total (kg) N1],0,0,1)*_xlfn.XLOOKUP(TableauRecette[[#This Row],[ID]],TableauProduit[ID],TableauProduit[Total (kg) N1],0,0,1)</f>
        <v>0</v>
      </c>
      <c r="M132" t="e">
        <f>_xlfn.XLOOKUP(TableauRecette[[#This Row],[ID]],TableauProduit[ID],TableauProduit[Total (kg) N1],0,0,1)*_xlfn.XLOOKUP(TableauRecette[[#This Row],[ID]],TableauProduit[ID],TableauProduit[Total (kg) N2],0,0,1)</f>
        <v>#REF!</v>
      </c>
      <c r="N132" t="e">
        <f>_xlfn.XLOOKUP(TableauRecette[[#This Row],[ID]],TableauProduit[ID],TableauProduit[Total (kg) N3],0,0,1)*#REF!</f>
        <v>#REF!</v>
      </c>
      <c r="O132" t="e">
        <f>_xlfn.XLOOKUP(TableauRecette[[#This Row],[ID]],TableauProduit[ID],TableauProduit[Total (kg) N4],0,0,1)*#REF!</f>
        <v>#REF!</v>
      </c>
      <c r="P132" t="e">
        <f>_xlfn.XLOOKUP(TableauRecette[[#This Row],[ID]],TableauProduit[ID],TableauProduit[Total (kg) N5],0,0,1)*#REF!</f>
        <v>#REF!</v>
      </c>
      <c r="Q132" t="e">
        <f>_xlfn.XLOOKUP(TableauRecette[[#This Row],[ID]],TableauProduit[ID],TableauProduit[Total (kg) N6],0,0,1)*#REF!</f>
        <v>#REF!</v>
      </c>
      <c r="R132" t="e">
        <f>_xlfn.XLOOKUP(TableauRecette[[#This Row],[ID]],TableauProduit[ID],TableauProduit[Total (kg) N7],0,0,1)*#REF!</f>
        <v>#REF!</v>
      </c>
      <c r="S132" t="e">
        <f>_xlfn.XLOOKUP(TableauRecette[[#This Row],[ID]],TableauProduit[ID],TableauProduit[Total (kg) N8],0,0,1)*#REF!</f>
        <v>#REF!</v>
      </c>
      <c r="T132" t="e">
        <f>_xlfn.XLOOKUP(TableauRecette[[#This Row],[ID]],TableauProduit[ID],TableauProduit[Total (kg) N9],0,0,1)*#REF!</f>
        <v>#REF!</v>
      </c>
    </row>
    <row r="133" spans="1:20" x14ac:dyDescent="0.2">
      <c r="A133" t="s">
        <v>117</v>
      </c>
      <c r="B133" t="str">
        <f>TableauRecette[[#This Row],[Recette]]&amp;TableauRecette[[#This Row],[Conditionnement]]</f>
        <v>Épices poissons et fruits de merEpice 100ml</v>
      </c>
      <c r="C133" t="s">
        <v>395</v>
      </c>
      <c r="D133">
        <v>1</v>
      </c>
      <c r="E133" t="s">
        <v>73</v>
      </c>
      <c r="F133">
        <f>IFERROR(TableauRecette[[#This Row],[Proportion]]/SUMIFS(TableauRecette[Proportion],TableauRecette[Recette],TableauRecette[[#This Row],[Recette]],TableauRecette[Conditionnement],TableauRecette[[#This Row],[Conditionnement]]),0)</f>
        <v>3.3333333333333333E-2</v>
      </c>
      <c r="G133">
        <f>IFERROR(_xlfn.XLOOKUP(TableauRecette[[#This Row],[Ingredients]],TableauIngredients[Ingredients],#REF!,0)*#REF!,0)</f>
        <v>0</v>
      </c>
      <c r="H133">
        <f>IFERROR(SUMIFS(TableauRecette[Proportion],TableauRecette[Recette],TableauRecette[[#This Row],[Recette]],TableauRecette[Conditionnement],TableauRecette[[#This Row],[Conditionnement]]),0)</f>
        <v>30</v>
      </c>
      <c r="I133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33">
        <f>_xlfn.XLOOKUP(TableauRecette[[#This Row],[ID]],TableauProduit[ID],TableauProduit[Total (kg) N1],0,0,1)*_xlfn.XLOOKUP(TableauRecette[[#This Row],[ID]],TableauProduit[ID],TableauProduit[Total (kg) N1],0,0,1)</f>
        <v>0</v>
      </c>
      <c r="M133" t="e">
        <f>_xlfn.XLOOKUP(TableauRecette[[#This Row],[ID]],TableauProduit[ID],TableauProduit[Total (kg) N1],0,0,1)*_xlfn.XLOOKUP(TableauRecette[[#This Row],[ID]],TableauProduit[ID],TableauProduit[Total (kg) N2],0,0,1)</f>
        <v>#REF!</v>
      </c>
      <c r="N133" t="e">
        <f>_xlfn.XLOOKUP(TableauRecette[[#This Row],[ID]],TableauProduit[ID],TableauProduit[Total (kg) N3],0,0,1)*#REF!</f>
        <v>#REF!</v>
      </c>
      <c r="O133" t="e">
        <f>_xlfn.XLOOKUP(TableauRecette[[#This Row],[ID]],TableauProduit[ID],TableauProduit[Total (kg) N4],0,0,1)*#REF!</f>
        <v>#REF!</v>
      </c>
      <c r="P133" t="e">
        <f>_xlfn.XLOOKUP(TableauRecette[[#This Row],[ID]],TableauProduit[ID],TableauProduit[Total (kg) N5],0,0,1)*#REF!</f>
        <v>#REF!</v>
      </c>
      <c r="Q133" t="e">
        <f>_xlfn.XLOOKUP(TableauRecette[[#This Row],[ID]],TableauProduit[ID],TableauProduit[Total (kg) N6],0,0,1)*#REF!</f>
        <v>#REF!</v>
      </c>
      <c r="R133" t="e">
        <f>_xlfn.XLOOKUP(TableauRecette[[#This Row],[ID]],TableauProduit[ID],TableauProduit[Total (kg) N7],0,0,1)*#REF!</f>
        <v>#REF!</v>
      </c>
      <c r="S133" t="e">
        <f>_xlfn.XLOOKUP(TableauRecette[[#This Row],[ID]],TableauProduit[ID],TableauProduit[Total (kg) N8],0,0,1)*#REF!</f>
        <v>#REF!</v>
      </c>
      <c r="T133" t="e">
        <f>_xlfn.XLOOKUP(TableauRecette[[#This Row],[ID]],TableauProduit[ID],TableauProduit[Total (kg) N9],0,0,1)*#REF!</f>
        <v>#REF!</v>
      </c>
    </row>
    <row r="134" spans="1:20" x14ac:dyDescent="0.2">
      <c r="A134" t="s">
        <v>117</v>
      </c>
      <c r="B134" t="str">
        <f>TableauRecette[[#This Row],[Recette]]&amp;TableauRecette[[#This Row],[Conditionnement]]</f>
        <v>Épices poissons et fruits de merEpice 100ml</v>
      </c>
      <c r="C134" t="s">
        <v>345</v>
      </c>
      <c r="D134">
        <v>1</v>
      </c>
      <c r="E134" t="s">
        <v>73</v>
      </c>
      <c r="F134">
        <f>IFERROR(TableauRecette[[#This Row],[Proportion]]/SUMIFS(TableauRecette[Proportion],TableauRecette[Recette],TableauRecette[[#This Row],[Recette]],TableauRecette[Conditionnement],TableauRecette[[#This Row],[Conditionnement]]),0)</f>
        <v>3.3333333333333333E-2</v>
      </c>
      <c r="G134">
        <f>IFERROR(_xlfn.XLOOKUP(TableauRecette[[#This Row],[Ingredients]],TableauIngredients[Ingredients],#REF!,0)*#REF!,0)</f>
        <v>0</v>
      </c>
      <c r="H134">
        <f>IFERROR(SUMIFS(TableauRecette[Proportion],TableauRecette[Recette],TableauRecette[[#This Row],[Recette]],TableauRecette[Conditionnement],TableauRecette[[#This Row],[Conditionnement]]),0)</f>
        <v>30</v>
      </c>
      <c r="I134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134" t="s">
        <v>341</v>
      </c>
      <c r="L134">
        <f>_xlfn.XLOOKUP(TableauRecette[[#This Row],[ID]],TableauProduit[ID],TableauProduit[Total (kg) N1],0,0,1)*_xlfn.XLOOKUP(TableauRecette[[#This Row],[ID]],TableauProduit[ID],TableauProduit[Total (kg) N1],0,0,1)</f>
        <v>0</v>
      </c>
      <c r="M134" t="e">
        <f>_xlfn.XLOOKUP(TableauRecette[[#This Row],[ID]],TableauProduit[ID],TableauProduit[Total (kg) N1],0,0,1)*_xlfn.XLOOKUP(TableauRecette[[#This Row],[ID]],TableauProduit[ID],TableauProduit[Total (kg) N2],0,0,1)</f>
        <v>#REF!</v>
      </c>
      <c r="N134" t="e">
        <f>_xlfn.XLOOKUP(TableauRecette[[#This Row],[ID]],TableauProduit[ID],TableauProduit[Total (kg) N3],0,0,1)*#REF!</f>
        <v>#REF!</v>
      </c>
      <c r="O134" t="e">
        <f>_xlfn.XLOOKUP(TableauRecette[[#This Row],[ID]],TableauProduit[ID],TableauProduit[Total (kg) N4],0,0,1)*#REF!</f>
        <v>#REF!</v>
      </c>
      <c r="P134" t="e">
        <f>_xlfn.XLOOKUP(TableauRecette[[#This Row],[ID]],TableauProduit[ID],TableauProduit[Total (kg) N5],0,0,1)*#REF!</f>
        <v>#REF!</v>
      </c>
      <c r="Q134" t="e">
        <f>_xlfn.XLOOKUP(TableauRecette[[#This Row],[ID]],TableauProduit[ID],TableauProduit[Total (kg) N6],0,0,1)*#REF!</f>
        <v>#REF!</v>
      </c>
      <c r="R134" t="e">
        <f>_xlfn.XLOOKUP(TableauRecette[[#This Row],[ID]],TableauProduit[ID],TableauProduit[Total (kg) N7],0,0,1)*#REF!</f>
        <v>#REF!</v>
      </c>
      <c r="S134" t="e">
        <f>_xlfn.XLOOKUP(TableauRecette[[#This Row],[ID]],TableauProduit[ID],TableauProduit[Total (kg) N8],0,0,1)*#REF!</f>
        <v>#REF!</v>
      </c>
      <c r="T134" t="e">
        <f>_xlfn.XLOOKUP(TableauRecette[[#This Row],[ID]],TableauProduit[ID],TableauProduit[Total (kg) N9],0,0,1)*#REF!</f>
        <v>#REF!</v>
      </c>
    </row>
    <row r="135" spans="1:20" x14ac:dyDescent="0.2">
      <c r="A135" t="s">
        <v>117</v>
      </c>
      <c r="B135" t="str">
        <f>TableauRecette[[#This Row],[Recette]]&amp;TableauRecette[[#This Row],[Conditionnement]]</f>
        <v>Épices poissons et fruits de merEpice 100ml</v>
      </c>
      <c r="C135" t="s">
        <v>344</v>
      </c>
      <c r="D135">
        <v>1</v>
      </c>
      <c r="E135" t="s">
        <v>73</v>
      </c>
      <c r="F135">
        <f>IFERROR(TableauRecette[[#This Row],[Proportion]]/SUMIFS(TableauRecette[Proportion],TableauRecette[Recette],TableauRecette[[#This Row],[Recette]],TableauRecette[Conditionnement],TableauRecette[[#This Row],[Conditionnement]]),0)</f>
        <v>3.3333333333333333E-2</v>
      </c>
      <c r="G135">
        <f>IFERROR(_xlfn.XLOOKUP(TableauRecette[[#This Row],[Ingredients]],TableauIngredients[Ingredients],#REF!,0)*#REF!,0)</f>
        <v>0</v>
      </c>
      <c r="H135">
        <f>IFERROR(SUMIFS(TableauRecette[Proportion],TableauRecette[Recette],TableauRecette[[#This Row],[Recette]],TableauRecette[Conditionnement],TableauRecette[[#This Row],[Conditionnement]]),0)</f>
        <v>30</v>
      </c>
      <c r="I13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35">
        <f>_xlfn.XLOOKUP(TableauRecette[[#This Row],[ID]],TableauProduit[ID],TableauProduit[Total (kg) N1],0,0,1)*_xlfn.XLOOKUP(TableauRecette[[#This Row],[ID]],TableauProduit[ID],TableauProduit[Total (kg) N1],0,0,1)</f>
        <v>0</v>
      </c>
      <c r="M135" t="e">
        <f>_xlfn.XLOOKUP(TableauRecette[[#This Row],[ID]],TableauProduit[ID],TableauProduit[Total (kg) N1],0,0,1)*_xlfn.XLOOKUP(TableauRecette[[#This Row],[ID]],TableauProduit[ID],TableauProduit[Total (kg) N2],0,0,1)</f>
        <v>#REF!</v>
      </c>
      <c r="N135" t="e">
        <f>_xlfn.XLOOKUP(TableauRecette[[#This Row],[ID]],TableauProduit[ID],TableauProduit[Total (kg) N3],0,0,1)*#REF!</f>
        <v>#REF!</v>
      </c>
      <c r="O135" t="e">
        <f>_xlfn.XLOOKUP(TableauRecette[[#This Row],[ID]],TableauProduit[ID],TableauProduit[Total (kg) N4],0,0,1)*#REF!</f>
        <v>#REF!</v>
      </c>
      <c r="P135" t="e">
        <f>_xlfn.XLOOKUP(TableauRecette[[#This Row],[ID]],TableauProduit[ID],TableauProduit[Total (kg) N5],0,0,1)*#REF!</f>
        <v>#REF!</v>
      </c>
      <c r="Q135" t="e">
        <f>_xlfn.XLOOKUP(TableauRecette[[#This Row],[ID]],TableauProduit[ID],TableauProduit[Total (kg) N6],0,0,1)*#REF!</f>
        <v>#REF!</v>
      </c>
      <c r="R135" t="e">
        <f>_xlfn.XLOOKUP(TableauRecette[[#This Row],[ID]],TableauProduit[ID],TableauProduit[Total (kg) N7],0,0,1)*#REF!</f>
        <v>#REF!</v>
      </c>
      <c r="S135" t="e">
        <f>_xlfn.XLOOKUP(TableauRecette[[#This Row],[ID]],TableauProduit[ID],TableauProduit[Total (kg) N8],0,0,1)*#REF!</f>
        <v>#REF!</v>
      </c>
      <c r="T135" t="e">
        <f>_xlfn.XLOOKUP(TableauRecette[[#This Row],[ID]],TableauProduit[ID],TableauProduit[Total (kg) N9],0,0,1)*#REF!</f>
        <v>#REF!</v>
      </c>
    </row>
    <row r="136" spans="1:20" x14ac:dyDescent="0.2">
      <c r="A136" t="s">
        <v>117</v>
      </c>
      <c r="B136" t="str">
        <f>TableauRecette[[#This Row],[Recette]]&amp;TableauRecette[[#This Row],[Conditionnement]]</f>
        <v>Épices poissons et fruits de merEpice 100ml</v>
      </c>
      <c r="C136" t="s">
        <v>350</v>
      </c>
      <c r="D136">
        <v>0.5</v>
      </c>
      <c r="E136" t="s">
        <v>73</v>
      </c>
      <c r="F136">
        <f>IFERROR(TableauRecette[[#This Row],[Proportion]]/SUMIFS(TableauRecette[Proportion],TableauRecette[Recette],TableauRecette[[#This Row],[Recette]],TableauRecette[Conditionnement],TableauRecette[[#This Row],[Conditionnement]]),0)</f>
        <v>1.6666666666666666E-2</v>
      </c>
      <c r="G136">
        <f>IFERROR(_xlfn.XLOOKUP(TableauRecette[[#This Row],[Ingredients]],TableauIngredients[Ingredients],#REF!,0)*#REF!,0)</f>
        <v>0</v>
      </c>
      <c r="H136">
        <f>IFERROR(SUMIFS(TableauRecette[Proportion],TableauRecette[Recette],TableauRecette[[#This Row],[Recette]],TableauRecette[Conditionnement],TableauRecette[[#This Row],[Conditionnement]]),0)</f>
        <v>30</v>
      </c>
      <c r="I136">
        <f>_xlfn.XLOOKUP(TableauRecette[[#This Row],[Ingredients]],TableauIngredients[Ingredients],TableauIngredients[Prix d''achat (kg)],0,0,1)*TableauRecette[[#This Row],[Proportion]]/TableauRecette[[#This Row],[Total Proportion]]</f>
        <v>0.6</v>
      </c>
      <c r="L136">
        <f>_xlfn.XLOOKUP(TableauRecette[[#This Row],[ID]],TableauProduit[ID],TableauProduit[Total (kg) N1],0,0,1)*_xlfn.XLOOKUP(TableauRecette[[#This Row],[ID]],TableauProduit[ID],TableauProduit[Total (kg) N1],0,0,1)</f>
        <v>0</v>
      </c>
      <c r="M136" t="e">
        <f>_xlfn.XLOOKUP(TableauRecette[[#This Row],[ID]],TableauProduit[ID],TableauProduit[Total (kg) N1],0,0,1)*_xlfn.XLOOKUP(TableauRecette[[#This Row],[ID]],TableauProduit[ID],TableauProduit[Total (kg) N2],0,0,1)</f>
        <v>#REF!</v>
      </c>
      <c r="N136" t="e">
        <f>_xlfn.XLOOKUP(TableauRecette[[#This Row],[ID]],TableauProduit[ID],TableauProduit[Total (kg) N3],0,0,1)*#REF!</f>
        <v>#REF!</v>
      </c>
      <c r="O136" t="e">
        <f>_xlfn.XLOOKUP(TableauRecette[[#This Row],[ID]],TableauProduit[ID],TableauProduit[Total (kg) N4],0,0,1)*#REF!</f>
        <v>#REF!</v>
      </c>
      <c r="P136" t="e">
        <f>_xlfn.XLOOKUP(TableauRecette[[#This Row],[ID]],TableauProduit[ID],TableauProduit[Total (kg) N5],0,0,1)*#REF!</f>
        <v>#REF!</v>
      </c>
      <c r="Q136" t="e">
        <f>_xlfn.XLOOKUP(TableauRecette[[#This Row],[ID]],TableauProduit[ID],TableauProduit[Total (kg) N6],0,0,1)*#REF!</f>
        <v>#REF!</v>
      </c>
      <c r="R136" t="e">
        <f>_xlfn.XLOOKUP(TableauRecette[[#This Row],[ID]],TableauProduit[ID],TableauProduit[Total (kg) N7],0,0,1)*#REF!</f>
        <v>#REF!</v>
      </c>
      <c r="S136" t="e">
        <f>_xlfn.XLOOKUP(TableauRecette[[#This Row],[ID]],TableauProduit[ID],TableauProduit[Total (kg) N8],0,0,1)*#REF!</f>
        <v>#REF!</v>
      </c>
      <c r="T136" t="e">
        <f>_xlfn.XLOOKUP(TableauRecette[[#This Row],[ID]],TableauProduit[ID],TableauProduit[Total (kg) N9],0,0,1)*#REF!</f>
        <v>#REF!</v>
      </c>
    </row>
    <row r="137" spans="1:20" x14ac:dyDescent="0.2">
      <c r="A137" t="s">
        <v>117</v>
      </c>
      <c r="B137" t="str">
        <f>TableauRecette[[#This Row],[Recette]]&amp;TableauRecette[[#This Row],[Conditionnement]]</f>
        <v>Épices poissons et fruits de merEpice 100ml</v>
      </c>
      <c r="C137" t="s">
        <v>342</v>
      </c>
      <c r="D137">
        <v>0.5</v>
      </c>
      <c r="E137" t="s">
        <v>73</v>
      </c>
      <c r="F137">
        <f>IFERROR(TableauRecette[[#This Row],[Proportion]]/SUMIFS(TableauRecette[Proportion],TableauRecette[Recette],TableauRecette[[#This Row],[Recette]],TableauRecette[Conditionnement],TableauRecette[[#This Row],[Conditionnement]]),0)</f>
        <v>1.6666666666666666E-2</v>
      </c>
      <c r="G137">
        <f>IFERROR(_xlfn.XLOOKUP(TableauRecette[[#This Row],[Ingredients]],TableauIngredients[Ingredients],#REF!,0)*#REF!,0)</f>
        <v>0</v>
      </c>
      <c r="H137">
        <f>IFERROR(SUMIFS(TableauRecette[Proportion],TableauRecette[Recette],TableauRecette[[#This Row],[Recette]],TableauRecette[Conditionnement],TableauRecette[[#This Row],[Conditionnement]]),0)</f>
        <v>30</v>
      </c>
      <c r="I13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37">
        <f>_xlfn.XLOOKUP(TableauRecette[[#This Row],[ID]],TableauProduit[ID],TableauProduit[Total (kg) N1],0,0,1)*_xlfn.XLOOKUP(TableauRecette[[#This Row],[ID]],TableauProduit[ID],TableauProduit[Total (kg) N1],0,0,1)</f>
        <v>0</v>
      </c>
      <c r="M137" t="e">
        <f>_xlfn.XLOOKUP(TableauRecette[[#This Row],[ID]],TableauProduit[ID],TableauProduit[Total (kg) N1],0,0,1)*_xlfn.XLOOKUP(TableauRecette[[#This Row],[ID]],TableauProduit[ID],TableauProduit[Total (kg) N2],0,0,1)</f>
        <v>#REF!</v>
      </c>
      <c r="N137" t="e">
        <f>_xlfn.XLOOKUP(TableauRecette[[#This Row],[ID]],TableauProduit[ID],TableauProduit[Total (kg) N3],0,0,1)*#REF!</f>
        <v>#REF!</v>
      </c>
      <c r="O137" t="e">
        <f>_xlfn.XLOOKUP(TableauRecette[[#This Row],[ID]],TableauProduit[ID],TableauProduit[Total (kg) N4],0,0,1)*#REF!</f>
        <v>#REF!</v>
      </c>
      <c r="P137" t="e">
        <f>_xlfn.XLOOKUP(TableauRecette[[#This Row],[ID]],TableauProduit[ID],TableauProduit[Total (kg) N5],0,0,1)*#REF!</f>
        <v>#REF!</v>
      </c>
      <c r="Q137" t="e">
        <f>_xlfn.XLOOKUP(TableauRecette[[#This Row],[ID]],TableauProduit[ID],TableauProduit[Total (kg) N6],0,0,1)*#REF!</f>
        <v>#REF!</v>
      </c>
      <c r="R137" t="e">
        <f>_xlfn.XLOOKUP(TableauRecette[[#This Row],[ID]],TableauProduit[ID],TableauProduit[Total (kg) N7],0,0,1)*#REF!</f>
        <v>#REF!</v>
      </c>
      <c r="S137" t="e">
        <f>_xlfn.XLOOKUP(TableauRecette[[#This Row],[ID]],TableauProduit[ID],TableauProduit[Total (kg) N8],0,0,1)*#REF!</f>
        <v>#REF!</v>
      </c>
      <c r="T137" t="e">
        <f>_xlfn.XLOOKUP(TableauRecette[[#This Row],[ID]],TableauProduit[ID],TableauProduit[Total (kg) N9],0,0,1)*#REF!</f>
        <v>#REF!</v>
      </c>
    </row>
    <row r="138" spans="1:20" x14ac:dyDescent="0.2">
      <c r="A138" t="s">
        <v>116</v>
      </c>
      <c r="B138" t="str">
        <f>TableauRecette[[#This Row],[Recette]]&amp;TableauRecette[[#This Row],[Conditionnement]]</f>
        <v>Épices pour marinadeEpice 100ml</v>
      </c>
      <c r="C138" t="s">
        <v>368</v>
      </c>
      <c r="D138">
        <v>6</v>
      </c>
      <c r="E138" t="s">
        <v>73</v>
      </c>
      <c r="F138">
        <f>IFERROR(TableauRecette[[#This Row],[Proportion]]/SUMIFS(TableauRecette[Proportion],TableauRecette[Recette],TableauRecette[[#This Row],[Recette]],TableauRecette[Conditionnement],TableauRecette[[#This Row],[Conditionnement]]),0)</f>
        <v>0.3592814371257485</v>
      </c>
      <c r="G138">
        <f>IFERROR(_xlfn.XLOOKUP(TableauRecette[[#This Row],[Ingredients]],TableauIngredients[Ingredients],#REF!,0)*#REF!,0)</f>
        <v>0</v>
      </c>
      <c r="H138">
        <f>IFERROR(SUMIFS(TableauRecette[Proportion],TableauRecette[Recette],TableauRecette[[#This Row],[Recette]],TableauRecette[Conditionnement],TableauRecette[[#This Row],[Conditionnement]]),0)</f>
        <v>16.7</v>
      </c>
      <c r="I138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38">
        <f>_xlfn.XLOOKUP(TableauRecette[[#This Row],[ID]],TableauProduit[ID],TableauProduit[Total (kg) N1],0,0,1)*_xlfn.XLOOKUP(TableauRecette[[#This Row],[ID]],TableauProduit[ID],TableauProduit[Total (kg) N1],0,0,1)</f>
        <v>0</v>
      </c>
      <c r="M138" t="e">
        <f>_xlfn.XLOOKUP(TableauRecette[[#This Row],[ID]],TableauProduit[ID],TableauProduit[Total (kg) N1],0,0,1)*_xlfn.XLOOKUP(TableauRecette[[#This Row],[ID]],TableauProduit[ID],TableauProduit[Total (kg) N2],0,0,1)</f>
        <v>#REF!</v>
      </c>
      <c r="N138" t="e">
        <f>_xlfn.XLOOKUP(TableauRecette[[#This Row],[ID]],TableauProduit[ID],TableauProduit[Total (kg) N3],0,0,1)*#REF!</f>
        <v>#REF!</v>
      </c>
      <c r="O138" t="e">
        <f>_xlfn.XLOOKUP(TableauRecette[[#This Row],[ID]],TableauProduit[ID],TableauProduit[Total (kg) N4],0,0,1)*#REF!</f>
        <v>#REF!</v>
      </c>
      <c r="P138" t="e">
        <f>_xlfn.XLOOKUP(TableauRecette[[#This Row],[ID]],TableauProduit[ID],TableauProduit[Total (kg) N5],0,0,1)*#REF!</f>
        <v>#REF!</v>
      </c>
      <c r="Q138" t="e">
        <f>_xlfn.XLOOKUP(TableauRecette[[#This Row],[ID]],TableauProduit[ID],TableauProduit[Total (kg) N6],0,0,1)*#REF!</f>
        <v>#REF!</v>
      </c>
      <c r="R138" t="e">
        <f>_xlfn.XLOOKUP(TableauRecette[[#This Row],[ID]],TableauProduit[ID],TableauProduit[Total (kg) N7],0,0,1)*#REF!</f>
        <v>#REF!</v>
      </c>
      <c r="S138" t="e">
        <f>_xlfn.XLOOKUP(TableauRecette[[#This Row],[ID]],TableauProduit[ID],TableauProduit[Total (kg) N8],0,0,1)*#REF!</f>
        <v>#REF!</v>
      </c>
      <c r="T138" t="e">
        <f>_xlfn.XLOOKUP(TableauRecette[[#This Row],[ID]],TableauProduit[ID],TableauProduit[Total (kg) N9],0,0,1)*#REF!</f>
        <v>#REF!</v>
      </c>
    </row>
    <row r="139" spans="1:20" x14ac:dyDescent="0.2">
      <c r="A139" t="s">
        <v>116</v>
      </c>
      <c r="B139" t="str">
        <f>TableauRecette[[#This Row],[Recette]]&amp;TableauRecette[[#This Row],[Conditionnement]]</f>
        <v>Épices pour marinadeEpice 100ml</v>
      </c>
      <c r="C139" t="s">
        <v>396</v>
      </c>
      <c r="D139">
        <v>3</v>
      </c>
      <c r="E139" t="s">
        <v>73</v>
      </c>
      <c r="F139">
        <f>IFERROR(TableauRecette[[#This Row],[Proportion]]/SUMIFS(TableauRecette[Proportion],TableauRecette[Recette],TableauRecette[[#This Row],[Recette]],TableauRecette[Conditionnement],TableauRecette[[#This Row],[Conditionnement]]),0)</f>
        <v>0.17964071856287425</v>
      </c>
      <c r="G139">
        <f>IFERROR(_xlfn.XLOOKUP(TableauRecette[[#This Row],[Ingredients]],TableauIngredients[Ingredients],#REF!,0)*#REF!,0)</f>
        <v>0</v>
      </c>
      <c r="H139">
        <f>IFERROR(SUMIFS(TableauRecette[Proportion],TableauRecette[Recette],TableauRecette[[#This Row],[Recette]],TableauRecette[Conditionnement],TableauRecette[[#This Row],[Conditionnement]]),0)</f>
        <v>16.7</v>
      </c>
      <c r="I13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39">
        <f>_xlfn.XLOOKUP(TableauRecette[[#This Row],[ID]],TableauProduit[ID],TableauProduit[Total (kg) N1],0,0,1)*_xlfn.XLOOKUP(TableauRecette[[#This Row],[ID]],TableauProduit[ID],TableauProduit[Total (kg) N1],0,0,1)</f>
        <v>0</v>
      </c>
      <c r="M139" t="e">
        <f>_xlfn.XLOOKUP(TableauRecette[[#This Row],[ID]],TableauProduit[ID],TableauProduit[Total (kg) N1],0,0,1)*_xlfn.XLOOKUP(TableauRecette[[#This Row],[ID]],TableauProduit[ID],TableauProduit[Total (kg) N2],0,0,1)</f>
        <v>#REF!</v>
      </c>
      <c r="N139" t="e">
        <f>_xlfn.XLOOKUP(TableauRecette[[#This Row],[ID]],TableauProduit[ID],TableauProduit[Total (kg) N3],0,0,1)*#REF!</f>
        <v>#REF!</v>
      </c>
      <c r="O139" t="e">
        <f>_xlfn.XLOOKUP(TableauRecette[[#This Row],[ID]],TableauProduit[ID],TableauProduit[Total (kg) N4],0,0,1)*#REF!</f>
        <v>#REF!</v>
      </c>
      <c r="P139" t="e">
        <f>_xlfn.XLOOKUP(TableauRecette[[#This Row],[ID]],TableauProduit[ID],TableauProduit[Total (kg) N5],0,0,1)*#REF!</f>
        <v>#REF!</v>
      </c>
      <c r="Q139" t="e">
        <f>_xlfn.XLOOKUP(TableauRecette[[#This Row],[ID]],TableauProduit[ID],TableauProduit[Total (kg) N6],0,0,1)*#REF!</f>
        <v>#REF!</v>
      </c>
      <c r="R139" t="e">
        <f>_xlfn.XLOOKUP(TableauRecette[[#This Row],[ID]],TableauProduit[ID],TableauProduit[Total (kg) N7],0,0,1)*#REF!</f>
        <v>#REF!</v>
      </c>
      <c r="S139" t="e">
        <f>_xlfn.XLOOKUP(TableauRecette[[#This Row],[ID]],TableauProduit[ID],TableauProduit[Total (kg) N8],0,0,1)*#REF!</f>
        <v>#REF!</v>
      </c>
      <c r="T139" t="e">
        <f>_xlfn.XLOOKUP(TableauRecette[[#This Row],[ID]],TableauProduit[ID],TableauProduit[Total (kg) N9],0,0,1)*#REF!</f>
        <v>#REF!</v>
      </c>
    </row>
    <row r="140" spans="1:20" x14ac:dyDescent="0.2">
      <c r="A140" t="s">
        <v>116</v>
      </c>
      <c r="B140" t="str">
        <f>TableauRecette[[#This Row],[Recette]]&amp;TableauRecette[[#This Row],[Conditionnement]]</f>
        <v>Épices pour marinadeEpice 100ml</v>
      </c>
      <c r="C140" t="s">
        <v>351</v>
      </c>
      <c r="D140">
        <v>2</v>
      </c>
      <c r="E140" t="s">
        <v>73</v>
      </c>
      <c r="F140">
        <f>IFERROR(TableauRecette[[#This Row],[Proportion]]/SUMIFS(TableauRecette[Proportion],TableauRecette[Recette],TableauRecette[[#This Row],[Recette]],TableauRecette[Conditionnement],TableauRecette[[#This Row],[Conditionnement]]),0)</f>
        <v>0.11976047904191617</v>
      </c>
      <c r="G140">
        <f>IFERROR(_xlfn.XLOOKUP(TableauRecette[[#This Row],[Ingredients]],TableauIngredients[Ingredients],#REF!,0)*#REF!,0)</f>
        <v>0</v>
      </c>
      <c r="H140">
        <f>IFERROR(SUMIFS(TableauRecette[Proportion],TableauRecette[Recette],TableauRecette[[#This Row],[Recette]],TableauRecette[Conditionnement],TableauRecette[[#This Row],[Conditionnement]]),0)</f>
        <v>16.7</v>
      </c>
      <c r="I140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40">
        <f>_xlfn.XLOOKUP(TableauRecette[[#This Row],[ID]],TableauProduit[ID],TableauProduit[Total (kg) N1],0,0,1)*_xlfn.XLOOKUP(TableauRecette[[#This Row],[ID]],TableauProduit[ID],TableauProduit[Total (kg) N1],0,0,1)</f>
        <v>0</v>
      </c>
      <c r="M140" t="e">
        <f>_xlfn.XLOOKUP(TableauRecette[[#This Row],[ID]],TableauProduit[ID],TableauProduit[Total (kg) N1],0,0,1)*_xlfn.XLOOKUP(TableauRecette[[#This Row],[ID]],TableauProduit[ID],TableauProduit[Total (kg) N2],0,0,1)</f>
        <v>#REF!</v>
      </c>
      <c r="N140" t="e">
        <f>_xlfn.XLOOKUP(TableauRecette[[#This Row],[ID]],TableauProduit[ID],TableauProduit[Total (kg) N3],0,0,1)*#REF!</f>
        <v>#REF!</v>
      </c>
      <c r="O140" t="e">
        <f>_xlfn.XLOOKUP(TableauRecette[[#This Row],[ID]],TableauProduit[ID],TableauProduit[Total (kg) N4],0,0,1)*#REF!</f>
        <v>#REF!</v>
      </c>
      <c r="P140" t="e">
        <f>_xlfn.XLOOKUP(TableauRecette[[#This Row],[ID]],TableauProduit[ID],TableauProduit[Total (kg) N5],0,0,1)*#REF!</f>
        <v>#REF!</v>
      </c>
      <c r="Q140" t="e">
        <f>_xlfn.XLOOKUP(TableauRecette[[#This Row],[ID]],TableauProduit[ID],TableauProduit[Total (kg) N6],0,0,1)*#REF!</f>
        <v>#REF!</v>
      </c>
      <c r="R140" t="e">
        <f>_xlfn.XLOOKUP(TableauRecette[[#This Row],[ID]],TableauProduit[ID],TableauProduit[Total (kg) N7],0,0,1)*#REF!</f>
        <v>#REF!</v>
      </c>
      <c r="S140" t="e">
        <f>_xlfn.XLOOKUP(TableauRecette[[#This Row],[ID]],TableauProduit[ID],TableauProduit[Total (kg) N8],0,0,1)*#REF!</f>
        <v>#REF!</v>
      </c>
      <c r="T140" t="e">
        <f>_xlfn.XLOOKUP(TableauRecette[[#This Row],[ID]],TableauProduit[ID],TableauProduit[Total (kg) N9],0,0,1)*#REF!</f>
        <v>#REF!</v>
      </c>
    </row>
    <row r="141" spans="1:20" x14ac:dyDescent="0.2">
      <c r="A141" t="s">
        <v>116</v>
      </c>
      <c r="B141" t="str">
        <f>TableauRecette[[#This Row],[Recette]]&amp;TableauRecette[[#This Row],[Conditionnement]]</f>
        <v>Épices pour marinadeEpice 100ml</v>
      </c>
      <c r="C141" t="s">
        <v>386</v>
      </c>
      <c r="D141">
        <v>1</v>
      </c>
      <c r="E141" t="s">
        <v>73</v>
      </c>
      <c r="F141">
        <f>IFERROR(TableauRecette[[#This Row],[Proportion]]/SUMIFS(TableauRecette[Proportion],TableauRecette[Recette],TableauRecette[[#This Row],[Recette]],TableauRecette[Conditionnement],TableauRecette[[#This Row],[Conditionnement]]),0)</f>
        <v>5.9880239520958084E-2</v>
      </c>
      <c r="G141">
        <f>IFERROR(_xlfn.XLOOKUP(TableauRecette[[#This Row],[Ingredients]],TableauIngredients[Ingredients],#REF!,0)*#REF!,0)</f>
        <v>0</v>
      </c>
      <c r="H141">
        <f>IFERROR(SUMIFS(TableauRecette[Proportion],TableauRecette[Recette],TableauRecette[[#This Row],[Recette]],TableauRecette[Conditionnement],TableauRecette[[#This Row],[Conditionnement]]),0)</f>
        <v>16.7</v>
      </c>
      <c r="I14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41">
        <f>_xlfn.XLOOKUP(TableauRecette[[#This Row],[ID]],TableauProduit[ID],TableauProduit[Total (kg) N1],0,0,1)*_xlfn.XLOOKUP(TableauRecette[[#This Row],[ID]],TableauProduit[ID],TableauProduit[Total (kg) N1],0,0,1)</f>
        <v>0</v>
      </c>
      <c r="M141" t="e">
        <f>_xlfn.XLOOKUP(TableauRecette[[#This Row],[ID]],TableauProduit[ID],TableauProduit[Total (kg) N1],0,0,1)*_xlfn.XLOOKUP(TableauRecette[[#This Row],[ID]],TableauProduit[ID],TableauProduit[Total (kg) N2],0,0,1)</f>
        <v>#REF!</v>
      </c>
      <c r="N141" t="e">
        <f>_xlfn.XLOOKUP(TableauRecette[[#This Row],[ID]],TableauProduit[ID],TableauProduit[Total (kg) N3],0,0,1)*#REF!</f>
        <v>#REF!</v>
      </c>
      <c r="O141" t="e">
        <f>_xlfn.XLOOKUP(TableauRecette[[#This Row],[ID]],TableauProduit[ID],TableauProduit[Total (kg) N4],0,0,1)*#REF!</f>
        <v>#REF!</v>
      </c>
      <c r="P141" t="e">
        <f>_xlfn.XLOOKUP(TableauRecette[[#This Row],[ID]],TableauProduit[ID],TableauProduit[Total (kg) N5],0,0,1)*#REF!</f>
        <v>#REF!</v>
      </c>
      <c r="Q141" t="e">
        <f>_xlfn.XLOOKUP(TableauRecette[[#This Row],[ID]],TableauProduit[ID],TableauProduit[Total (kg) N6],0,0,1)*#REF!</f>
        <v>#REF!</v>
      </c>
      <c r="R141" t="e">
        <f>_xlfn.XLOOKUP(TableauRecette[[#This Row],[ID]],TableauProduit[ID],TableauProduit[Total (kg) N7],0,0,1)*#REF!</f>
        <v>#REF!</v>
      </c>
      <c r="S141" t="e">
        <f>_xlfn.XLOOKUP(TableauRecette[[#This Row],[ID]],TableauProduit[ID],TableauProduit[Total (kg) N8],0,0,1)*#REF!</f>
        <v>#REF!</v>
      </c>
      <c r="T141" t="e">
        <f>_xlfn.XLOOKUP(TableauRecette[[#This Row],[ID]],TableauProduit[ID],TableauProduit[Total (kg) N9],0,0,1)*#REF!</f>
        <v>#REF!</v>
      </c>
    </row>
    <row r="142" spans="1:20" x14ac:dyDescent="0.2">
      <c r="A142" t="s">
        <v>116</v>
      </c>
      <c r="B142" t="str">
        <f>TableauRecette[[#This Row],[Recette]]&amp;TableauRecette[[#This Row],[Conditionnement]]</f>
        <v>Épices pour marinadeEpice 100ml</v>
      </c>
      <c r="C142" t="s">
        <v>345</v>
      </c>
      <c r="D142">
        <v>0.5</v>
      </c>
      <c r="E142" t="s">
        <v>73</v>
      </c>
      <c r="F142">
        <f>IFERROR(TableauRecette[[#This Row],[Proportion]]/SUMIFS(TableauRecette[Proportion],TableauRecette[Recette],TableauRecette[[#This Row],[Recette]],TableauRecette[Conditionnement],TableauRecette[[#This Row],[Conditionnement]]),0)</f>
        <v>2.9940119760479042E-2</v>
      </c>
      <c r="G142">
        <f>IFERROR(_xlfn.XLOOKUP(TableauRecette[[#This Row],[Ingredients]],TableauIngredients[Ingredients],#REF!,0)*#REF!,0)</f>
        <v>0</v>
      </c>
      <c r="H142">
        <f>IFERROR(SUMIFS(TableauRecette[Proportion],TableauRecette[Recette],TableauRecette[[#This Row],[Recette]],TableauRecette[Conditionnement],TableauRecette[[#This Row],[Conditionnement]]),0)</f>
        <v>16.7</v>
      </c>
      <c r="I14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142" t="s">
        <v>341</v>
      </c>
      <c r="L142">
        <f>_xlfn.XLOOKUP(TableauRecette[[#This Row],[ID]],TableauProduit[ID],TableauProduit[Total (kg) N1],0,0,1)*_xlfn.XLOOKUP(TableauRecette[[#This Row],[ID]],TableauProduit[ID],TableauProduit[Total (kg) N1],0,0,1)</f>
        <v>0</v>
      </c>
      <c r="M142" t="e">
        <f>_xlfn.XLOOKUP(TableauRecette[[#This Row],[ID]],TableauProduit[ID],TableauProduit[Total (kg) N1],0,0,1)*_xlfn.XLOOKUP(TableauRecette[[#This Row],[ID]],TableauProduit[ID],TableauProduit[Total (kg) N2],0,0,1)</f>
        <v>#REF!</v>
      </c>
      <c r="N142" t="e">
        <f>_xlfn.XLOOKUP(TableauRecette[[#This Row],[ID]],TableauProduit[ID],TableauProduit[Total (kg) N3],0,0,1)*#REF!</f>
        <v>#REF!</v>
      </c>
      <c r="O142" t="e">
        <f>_xlfn.XLOOKUP(TableauRecette[[#This Row],[ID]],TableauProduit[ID],TableauProduit[Total (kg) N4],0,0,1)*#REF!</f>
        <v>#REF!</v>
      </c>
      <c r="P142" t="e">
        <f>_xlfn.XLOOKUP(TableauRecette[[#This Row],[ID]],TableauProduit[ID],TableauProduit[Total (kg) N5],0,0,1)*#REF!</f>
        <v>#REF!</v>
      </c>
      <c r="Q142" t="e">
        <f>_xlfn.XLOOKUP(TableauRecette[[#This Row],[ID]],TableauProduit[ID],TableauProduit[Total (kg) N6],0,0,1)*#REF!</f>
        <v>#REF!</v>
      </c>
      <c r="R142" t="e">
        <f>_xlfn.XLOOKUP(TableauRecette[[#This Row],[ID]],TableauProduit[ID],TableauProduit[Total (kg) N7],0,0,1)*#REF!</f>
        <v>#REF!</v>
      </c>
      <c r="S142" t="e">
        <f>_xlfn.XLOOKUP(TableauRecette[[#This Row],[ID]],TableauProduit[ID],TableauProduit[Total (kg) N8],0,0,1)*#REF!</f>
        <v>#REF!</v>
      </c>
      <c r="T142" t="e">
        <f>_xlfn.XLOOKUP(TableauRecette[[#This Row],[ID]],TableauProduit[ID],TableauProduit[Total (kg) N9],0,0,1)*#REF!</f>
        <v>#REF!</v>
      </c>
    </row>
    <row r="143" spans="1:20" x14ac:dyDescent="0.2">
      <c r="A143" t="s">
        <v>116</v>
      </c>
      <c r="B143" t="str">
        <f>TableauRecette[[#This Row],[Recette]]&amp;TableauRecette[[#This Row],[Conditionnement]]</f>
        <v>Épices pour marinadeEpice 100ml</v>
      </c>
      <c r="C143" t="s">
        <v>382</v>
      </c>
      <c r="D143">
        <v>0.2</v>
      </c>
      <c r="E143" t="s">
        <v>73</v>
      </c>
      <c r="F143">
        <f>IFERROR(TableauRecette[[#This Row],[Proportion]]/SUMIFS(TableauRecette[Proportion],TableauRecette[Recette],TableauRecette[[#This Row],[Recette]],TableauRecette[Conditionnement],TableauRecette[[#This Row],[Conditionnement]]),0)</f>
        <v>1.1976047904191617E-2</v>
      </c>
      <c r="G143">
        <f>IFERROR(_xlfn.XLOOKUP(TableauRecette[[#This Row],[Ingredients]],TableauIngredients[Ingredients],#REF!,0)*#REF!,0)</f>
        <v>0</v>
      </c>
      <c r="H143">
        <f>IFERROR(SUMIFS(TableauRecette[Proportion],TableauRecette[Recette],TableauRecette[[#This Row],[Recette]],TableauRecette[Conditionnement],TableauRecette[[#This Row],[Conditionnement]]),0)</f>
        <v>16.7</v>
      </c>
      <c r="I143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43">
        <f>_xlfn.XLOOKUP(TableauRecette[[#This Row],[ID]],TableauProduit[ID],TableauProduit[Total (kg) N1],0,0,1)*_xlfn.XLOOKUP(TableauRecette[[#This Row],[ID]],TableauProduit[ID],TableauProduit[Total (kg) N1],0,0,1)</f>
        <v>0</v>
      </c>
      <c r="M143" t="e">
        <f>_xlfn.XLOOKUP(TableauRecette[[#This Row],[ID]],TableauProduit[ID],TableauProduit[Total (kg) N1],0,0,1)*_xlfn.XLOOKUP(TableauRecette[[#This Row],[ID]],TableauProduit[ID],TableauProduit[Total (kg) N2],0,0,1)</f>
        <v>#REF!</v>
      </c>
      <c r="N143" t="e">
        <f>_xlfn.XLOOKUP(TableauRecette[[#This Row],[ID]],TableauProduit[ID],TableauProduit[Total (kg) N3],0,0,1)*#REF!</f>
        <v>#REF!</v>
      </c>
      <c r="O143" t="e">
        <f>_xlfn.XLOOKUP(TableauRecette[[#This Row],[ID]],TableauProduit[ID],TableauProduit[Total (kg) N4],0,0,1)*#REF!</f>
        <v>#REF!</v>
      </c>
      <c r="P143" t="e">
        <f>_xlfn.XLOOKUP(TableauRecette[[#This Row],[ID]],TableauProduit[ID],TableauProduit[Total (kg) N5],0,0,1)*#REF!</f>
        <v>#REF!</v>
      </c>
      <c r="Q143" t="e">
        <f>_xlfn.XLOOKUP(TableauRecette[[#This Row],[ID]],TableauProduit[ID],TableauProduit[Total (kg) N6],0,0,1)*#REF!</f>
        <v>#REF!</v>
      </c>
      <c r="R143" t="e">
        <f>_xlfn.XLOOKUP(TableauRecette[[#This Row],[ID]],TableauProduit[ID],TableauProduit[Total (kg) N7],0,0,1)*#REF!</f>
        <v>#REF!</v>
      </c>
      <c r="S143" t="e">
        <f>_xlfn.XLOOKUP(TableauRecette[[#This Row],[ID]],TableauProduit[ID],TableauProduit[Total (kg) N8],0,0,1)*#REF!</f>
        <v>#REF!</v>
      </c>
      <c r="T143" t="e">
        <f>_xlfn.XLOOKUP(TableauRecette[[#This Row],[ID]],TableauProduit[ID],TableauProduit[Total (kg) N9],0,0,1)*#REF!</f>
        <v>#REF!</v>
      </c>
    </row>
    <row r="144" spans="1:20" x14ac:dyDescent="0.2">
      <c r="A144" t="s">
        <v>116</v>
      </c>
      <c r="B144" t="str">
        <f>TableauRecette[[#This Row],[Recette]]&amp;TableauRecette[[#This Row],[Conditionnement]]</f>
        <v>Épices pour marinadeEpice 100ml</v>
      </c>
      <c r="C144" t="s">
        <v>356</v>
      </c>
      <c r="D144">
        <v>4</v>
      </c>
      <c r="E144" t="s">
        <v>73</v>
      </c>
      <c r="F144">
        <f>IFERROR(TableauRecette[[#This Row],[Proportion]]/SUMIFS(TableauRecette[Proportion],TableauRecette[Recette],TableauRecette[[#This Row],[Recette]],TableauRecette[Conditionnement],TableauRecette[[#This Row],[Conditionnement]]),0)</f>
        <v>0.23952095808383234</v>
      </c>
      <c r="G144">
        <f>IFERROR(_xlfn.XLOOKUP(TableauRecette[[#This Row],[Ingredients]],TableauIngredients[Ingredients],#REF!,0)*#REF!,0)</f>
        <v>0</v>
      </c>
      <c r="H144">
        <f>IFERROR(SUMIFS(TableauRecette[Proportion],TableauRecette[Recette],TableauRecette[[#This Row],[Recette]],TableauRecette[Conditionnement],TableauRecette[[#This Row],[Conditionnement]]),0)</f>
        <v>16.7</v>
      </c>
      <c r="I144">
        <f>_xlfn.XLOOKUP(TableauRecette[[#This Row],[Ingredients]],TableauIngredients[Ingredients],TableauIngredients[Prix d''achat (kg)],0,0,1)*TableauRecette[[#This Row],[Proportion]]/TableauRecette[[#This Row],[Total Proportion]]</f>
        <v>5.2694610778443112</v>
      </c>
      <c r="L144">
        <f>_xlfn.XLOOKUP(TableauRecette[[#This Row],[ID]],TableauProduit[ID],TableauProduit[Total (kg) N1],0,0,1)*_xlfn.XLOOKUP(TableauRecette[[#This Row],[ID]],TableauProduit[ID],TableauProduit[Total (kg) N1],0,0,1)</f>
        <v>0</v>
      </c>
      <c r="M144" t="e">
        <f>_xlfn.XLOOKUP(TableauRecette[[#This Row],[ID]],TableauProduit[ID],TableauProduit[Total (kg) N1],0,0,1)*_xlfn.XLOOKUP(TableauRecette[[#This Row],[ID]],TableauProduit[ID],TableauProduit[Total (kg) N2],0,0,1)</f>
        <v>#REF!</v>
      </c>
      <c r="N144" t="e">
        <f>_xlfn.XLOOKUP(TableauRecette[[#This Row],[ID]],TableauProduit[ID],TableauProduit[Total (kg) N3],0,0,1)*#REF!</f>
        <v>#REF!</v>
      </c>
      <c r="O144" t="e">
        <f>_xlfn.XLOOKUP(TableauRecette[[#This Row],[ID]],TableauProduit[ID],TableauProduit[Total (kg) N4],0,0,1)*#REF!</f>
        <v>#REF!</v>
      </c>
      <c r="P144" t="e">
        <f>_xlfn.XLOOKUP(TableauRecette[[#This Row],[ID]],TableauProduit[ID],TableauProduit[Total (kg) N5],0,0,1)*#REF!</f>
        <v>#REF!</v>
      </c>
      <c r="Q144" t="e">
        <f>_xlfn.XLOOKUP(TableauRecette[[#This Row],[ID]],TableauProduit[ID],TableauProduit[Total (kg) N6],0,0,1)*#REF!</f>
        <v>#REF!</v>
      </c>
      <c r="R144" t="e">
        <f>_xlfn.XLOOKUP(TableauRecette[[#This Row],[ID]],TableauProduit[ID],TableauProduit[Total (kg) N7],0,0,1)*#REF!</f>
        <v>#REF!</v>
      </c>
      <c r="S144" t="e">
        <f>_xlfn.XLOOKUP(TableauRecette[[#This Row],[ID]],TableauProduit[ID],TableauProduit[Total (kg) N8],0,0,1)*#REF!</f>
        <v>#REF!</v>
      </c>
      <c r="T144" t="e">
        <f>_xlfn.XLOOKUP(TableauRecette[[#This Row],[ID]],TableauProduit[ID],TableauProduit[Total (kg) N9],0,0,1)*#REF!</f>
        <v>#REF!</v>
      </c>
    </row>
    <row r="145" spans="1:20" x14ac:dyDescent="0.2">
      <c r="A145" t="s">
        <v>100</v>
      </c>
      <c r="B145" t="str">
        <f>TableauRecette[[#This Row],[Recette]]&amp;TableauRecette[[#This Row],[Conditionnement]]</f>
        <v>Épices tandooriEpice 100ml</v>
      </c>
      <c r="C145" t="s">
        <v>87</v>
      </c>
      <c r="D145">
        <v>3</v>
      </c>
      <c r="E145" t="s">
        <v>73</v>
      </c>
      <c r="F145">
        <f>IFERROR(TableauRecette[[#This Row],[Proportion]]/SUMIFS(TableauRecette[Proportion],TableauRecette[Recette],TableauRecette[[#This Row],[Recette]],TableauRecette[Conditionnement],TableauRecette[[#This Row],[Conditionnement]]),0)</f>
        <v>6.4377682403433487E-2</v>
      </c>
      <c r="G145">
        <f>IFERROR(_xlfn.XLOOKUP(TableauRecette[[#This Row],[Ingredients]],TableauIngredients[Ingredients],#REF!,0)*#REF!,0)</f>
        <v>0</v>
      </c>
      <c r="H145">
        <f>IFERROR(SUMIFS(TableauRecette[Proportion],TableauRecette[Recette],TableauRecette[[#This Row],[Recette]],TableauRecette[Conditionnement],TableauRecette[[#This Row],[Conditionnement]]),0)</f>
        <v>46.599999999999994</v>
      </c>
      <c r="I14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45">
        <f>_xlfn.XLOOKUP(TableauRecette[[#This Row],[ID]],TableauProduit[ID],TableauProduit[Total (kg) N1],0,0,1)*_xlfn.XLOOKUP(TableauRecette[[#This Row],[ID]],TableauProduit[ID],TableauProduit[Total (kg) N1],0,0,1)</f>
        <v>0</v>
      </c>
      <c r="M145" t="e">
        <f>_xlfn.XLOOKUP(TableauRecette[[#This Row],[ID]],TableauProduit[ID],TableauProduit[Total (kg) N1],0,0,1)*_xlfn.XLOOKUP(TableauRecette[[#This Row],[ID]],TableauProduit[ID],TableauProduit[Total (kg) N2],0,0,1)</f>
        <v>#REF!</v>
      </c>
      <c r="N145" t="e">
        <f>_xlfn.XLOOKUP(TableauRecette[[#This Row],[ID]],TableauProduit[ID],TableauProduit[Total (kg) N3],0,0,1)*#REF!</f>
        <v>#REF!</v>
      </c>
      <c r="O145" t="e">
        <f>_xlfn.XLOOKUP(TableauRecette[[#This Row],[ID]],TableauProduit[ID],TableauProduit[Total (kg) N4],0,0,1)*#REF!</f>
        <v>#REF!</v>
      </c>
      <c r="P145" t="e">
        <f>_xlfn.XLOOKUP(TableauRecette[[#This Row],[ID]],TableauProduit[ID],TableauProduit[Total (kg) N5],0,0,1)*#REF!</f>
        <v>#REF!</v>
      </c>
      <c r="Q145" t="e">
        <f>_xlfn.XLOOKUP(TableauRecette[[#This Row],[ID]],TableauProduit[ID],TableauProduit[Total (kg) N6],0,0,1)*#REF!</f>
        <v>#REF!</v>
      </c>
      <c r="R145" t="e">
        <f>_xlfn.XLOOKUP(TableauRecette[[#This Row],[ID]],TableauProduit[ID],TableauProduit[Total (kg) N7],0,0,1)*#REF!</f>
        <v>#REF!</v>
      </c>
      <c r="S145" t="e">
        <f>_xlfn.XLOOKUP(TableauRecette[[#This Row],[ID]],TableauProduit[ID],TableauProduit[Total (kg) N8],0,0,1)*#REF!</f>
        <v>#REF!</v>
      </c>
      <c r="T145" t="e">
        <f>_xlfn.XLOOKUP(TableauRecette[[#This Row],[ID]],TableauProduit[ID],TableauProduit[Total (kg) N9],0,0,1)*#REF!</f>
        <v>#REF!</v>
      </c>
    </row>
    <row r="146" spans="1:20" x14ac:dyDescent="0.2">
      <c r="A146" t="s">
        <v>100</v>
      </c>
      <c r="B146" t="str">
        <f>TableauRecette[[#This Row],[Recette]]&amp;TableauRecette[[#This Row],[Conditionnement]]</f>
        <v>Épices tandooriEpice 100ml</v>
      </c>
      <c r="C146" t="s">
        <v>343</v>
      </c>
      <c r="D146">
        <v>15</v>
      </c>
      <c r="E146" t="s">
        <v>73</v>
      </c>
      <c r="F146">
        <f>IFERROR(TableauRecette[[#This Row],[Proportion]]/SUMIFS(TableauRecette[Proportion],TableauRecette[Recette],TableauRecette[[#This Row],[Recette]],TableauRecette[Conditionnement],TableauRecette[[#This Row],[Conditionnement]]),0)</f>
        <v>0.32188841201716745</v>
      </c>
      <c r="G146">
        <f>IFERROR(_xlfn.XLOOKUP(TableauRecette[[#This Row],[Ingredients]],TableauIngredients[Ingredients],#REF!,0)*#REF!,0)</f>
        <v>0</v>
      </c>
      <c r="H146">
        <f>IFERROR(SUMIFS(TableauRecette[Proportion],TableauRecette[Recette],TableauRecette[[#This Row],[Recette]],TableauRecette[Conditionnement],TableauRecette[[#This Row],[Conditionnement]]),0)</f>
        <v>46.599999999999994</v>
      </c>
      <c r="I14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46">
        <f>_xlfn.XLOOKUP(TableauRecette[[#This Row],[ID]],TableauProduit[ID],TableauProduit[Total (kg) N1],0,0,1)*_xlfn.XLOOKUP(TableauRecette[[#This Row],[ID]],TableauProduit[ID],TableauProduit[Total (kg) N1],0,0,1)</f>
        <v>0</v>
      </c>
      <c r="M146" t="e">
        <f>_xlfn.XLOOKUP(TableauRecette[[#This Row],[ID]],TableauProduit[ID],TableauProduit[Total (kg) N1],0,0,1)*_xlfn.XLOOKUP(TableauRecette[[#This Row],[ID]],TableauProduit[ID],TableauProduit[Total (kg) N2],0,0,1)</f>
        <v>#REF!</v>
      </c>
      <c r="N146" t="e">
        <f>_xlfn.XLOOKUP(TableauRecette[[#This Row],[ID]],TableauProduit[ID],TableauProduit[Total (kg) N3],0,0,1)*#REF!</f>
        <v>#REF!</v>
      </c>
      <c r="O146" t="e">
        <f>_xlfn.XLOOKUP(TableauRecette[[#This Row],[ID]],TableauProduit[ID],TableauProduit[Total (kg) N4],0,0,1)*#REF!</f>
        <v>#REF!</v>
      </c>
      <c r="P146" t="e">
        <f>_xlfn.XLOOKUP(TableauRecette[[#This Row],[ID]],TableauProduit[ID],TableauProduit[Total (kg) N5],0,0,1)*#REF!</f>
        <v>#REF!</v>
      </c>
      <c r="Q146" t="e">
        <f>_xlfn.XLOOKUP(TableauRecette[[#This Row],[ID]],TableauProduit[ID],TableauProduit[Total (kg) N6],0,0,1)*#REF!</f>
        <v>#REF!</v>
      </c>
      <c r="R146" t="e">
        <f>_xlfn.XLOOKUP(TableauRecette[[#This Row],[ID]],TableauProduit[ID],TableauProduit[Total (kg) N7],0,0,1)*#REF!</f>
        <v>#REF!</v>
      </c>
      <c r="S146" t="e">
        <f>_xlfn.XLOOKUP(TableauRecette[[#This Row],[ID]],TableauProduit[ID],TableauProduit[Total (kg) N8],0,0,1)*#REF!</f>
        <v>#REF!</v>
      </c>
      <c r="T146" t="e">
        <f>_xlfn.XLOOKUP(TableauRecette[[#This Row],[ID]],TableauProduit[ID],TableauProduit[Total (kg) N9],0,0,1)*#REF!</f>
        <v>#REF!</v>
      </c>
    </row>
    <row r="147" spans="1:20" x14ac:dyDescent="0.2">
      <c r="A147" t="s">
        <v>100</v>
      </c>
      <c r="B147" t="str">
        <f>TableauRecette[[#This Row],[Recette]]&amp;TableauRecette[[#This Row],[Conditionnement]]</f>
        <v>Épices tandooriEpice 100ml</v>
      </c>
      <c r="C147" t="s">
        <v>351</v>
      </c>
      <c r="D147">
        <v>15</v>
      </c>
      <c r="E147" t="s">
        <v>73</v>
      </c>
      <c r="F147">
        <f>IFERROR(TableauRecette[[#This Row],[Proportion]]/SUMIFS(TableauRecette[Proportion],TableauRecette[Recette],TableauRecette[[#This Row],[Recette]],TableauRecette[Conditionnement],TableauRecette[[#This Row],[Conditionnement]]),0)</f>
        <v>0.32188841201716745</v>
      </c>
      <c r="G147">
        <f>IFERROR(_xlfn.XLOOKUP(TableauRecette[[#This Row],[Ingredients]],TableauIngredients[Ingredients],#REF!,0)*#REF!,0)</f>
        <v>0</v>
      </c>
      <c r="H147">
        <f>IFERROR(SUMIFS(TableauRecette[Proportion],TableauRecette[Recette],TableauRecette[[#This Row],[Recette]],TableauRecette[Conditionnement],TableauRecette[[#This Row],[Conditionnement]]),0)</f>
        <v>46.599999999999994</v>
      </c>
      <c r="I14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47">
        <f>_xlfn.XLOOKUP(TableauRecette[[#This Row],[ID]],TableauProduit[ID],TableauProduit[Total (kg) N1],0,0,1)*_xlfn.XLOOKUP(TableauRecette[[#This Row],[ID]],TableauProduit[ID],TableauProduit[Total (kg) N1],0,0,1)</f>
        <v>0</v>
      </c>
      <c r="M147" t="e">
        <f>_xlfn.XLOOKUP(TableauRecette[[#This Row],[ID]],TableauProduit[ID],TableauProduit[Total (kg) N1],0,0,1)*_xlfn.XLOOKUP(TableauRecette[[#This Row],[ID]],TableauProduit[ID],TableauProduit[Total (kg) N2],0,0,1)</f>
        <v>#REF!</v>
      </c>
      <c r="N147" t="e">
        <f>_xlfn.XLOOKUP(TableauRecette[[#This Row],[ID]],TableauProduit[ID],TableauProduit[Total (kg) N3],0,0,1)*#REF!</f>
        <v>#REF!</v>
      </c>
      <c r="O147" t="e">
        <f>_xlfn.XLOOKUP(TableauRecette[[#This Row],[ID]],TableauProduit[ID],TableauProduit[Total (kg) N4],0,0,1)*#REF!</f>
        <v>#REF!</v>
      </c>
      <c r="P147" t="e">
        <f>_xlfn.XLOOKUP(TableauRecette[[#This Row],[ID]],TableauProduit[ID],TableauProduit[Total (kg) N5],0,0,1)*#REF!</f>
        <v>#REF!</v>
      </c>
      <c r="Q147" t="e">
        <f>_xlfn.XLOOKUP(TableauRecette[[#This Row],[ID]],TableauProduit[ID],TableauProduit[Total (kg) N6],0,0,1)*#REF!</f>
        <v>#REF!</v>
      </c>
      <c r="R147" t="e">
        <f>_xlfn.XLOOKUP(TableauRecette[[#This Row],[ID]],TableauProduit[ID],TableauProduit[Total (kg) N7],0,0,1)*#REF!</f>
        <v>#REF!</v>
      </c>
      <c r="S147" t="e">
        <f>_xlfn.XLOOKUP(TableauRecette[[#This Row],[ID]],TableauProduit[ID],TableauProduit[Total (kg) N8],0,0,1)*#REF!</f>
        <v>#REF!</v>
      </c>
      <c r="T147" t="e">
        <f>_xlfn.XLOOKUP(TableauRecette[[#This Row],[ID]],TableauProduit[ID],TableauProduit[Total (kg) N9],0,0,1)*#REF!</f>
        <v>#REF!</v>
      </c>
    </row>
    <row r="148" spans="1:20" x14ac:dyDescent="0.2">
      <c r="A148" t="s">
        <v>100</v>
      </c>
      <c r="B148" t="str">
        <f>TableauRecette[[#This Row],[Recette]]&amp;TableauRecette[[#This Row],[Conditionnement]]</f>
        <v>Épices tandooriEpice 100ml</v>
      </c>
      <c r="C148" t="s">
        <v>345</v>
      </c>
      <c r="D148">
        <v>3</v>
      </c>
      <c r="E148" t="s">
        <v>73</v>
      </c>
      <c r="F148">
        <f>IFERROR(TableauRecette[[#This Row],[Proportion]]/SUMIFS(TableauRecette[Proportion],TableauRecette[Recette],TableauRecette[[#This Row],[Recette]],TableauRecette[Conditionnement],TableauRecette[[#This Row],[Conditionnement]]),0)</f>
        <v>6.4377682403433487E-2</v>
      </c>
      <c r="G148">
        <f>IFERROR(_xlfn.XLOOKUP(TableauRecette[[#This Row],[Ingredients]],TableauIngredients[Ingredients],#REF!,0)*#REF!,0)</f>
        <v>0</v>
      </c>
      <c r="H148">
        <f>IFERROR(SUMIFS(TableauRecette[Proportion],TableauRecette[Recette],TableauRecette[[#This Row],[Recette]],TableauRecette[Conditionnement],TableauRecette[[#This Row],[Conditionnement]]),0)</f>
        <v>46.599999999999994</v>
      </c>
      <c r="I148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148" t="s">
        <v>341</v>
      </c>
      <c r="L148">
        <f>_xlfn.XLOOKUP(TableauRecette[[#This Row],[ID]],TableauProduit[ID],TableauProduit[Total (kg) N1],0,0,1)*_xlfn.XLOOKUP(TableauRecette[[#This Row],[ID]],TableauProduit[ID],TableauProduit[Total (kg) N1],0,0,1)</f>
        <v>0</v>
      </c>
      <c r="M148" t="e">
        <f>_xlfn.XLOOKUP(TableauRecette[[#This Row],[ID]],TableauProduit[ID],TableauProduit[Total (kg) N1],0,0,1)*_xlfn.XLOOKUP(TableauRecette[[#This Row],[ID]],TableauProduit[ID],TableauProduit[Total (kg) N2],0,0,1)</f>
        <v>#REF!</v>
      </c>
      <c r="N148" t="e">
        <f>_xlfn.XLOOKUP(TableauRecette[[#This Row],[ID]],TableauProduit[ID],TableauProduit[Total (kg) N3],0,0,1)*#REF!</f>
        <v>#REF!</v>
      </c>
      <c r="O148" t="e">
        <f>_xlfn.XLOOKUP(TableauRecette[[#This Row],[ID]],TableauProduit[ID],TableauProduit[Total (kg) N4],0,0,1)*#REF!</f>
        <v>#REF!</v>
      </c>
      <c r="P148" t="e">
        <f>_xlfn.XLOOKUP(TableauRecette[[#This Row],[ID]],TableauProduit[ID],TableauProduit[Total (kg) N5],0,0,1)*#REF!</f>
        <v>#REF!</v>
      </c>
      <c r="Q148" t="e">
        <f>_xlfn.XLOOKUP(TableauRecette[[#This Row],[ID]],TableauProduit[ID],TableauProduit[Total (kg) N6],0,0,1)*#REF!</f>
        <v>#REF!</v>
      </c>
      <c r="R148" t="e">
        <f>_xlfn.XLOOKUP(TableauRecette[[#This Row],[ID]],TableauProduit[ID],TableauProduit[Total (kg) N7],0,0,1)*#REF!</f>
        <v>#REF!</v>
      </c>
      <c r="S148" t="e">
        <f>_xlfn.XLOOKUP(TableauRecette[[#This Row],[ID]],TableauProduit[ID],TableauProduit[Total (kg) N8],0,0,1)*#REF!</f>
        <v>#REF!</v>
      </c>
      <c r="T148" t="e">
        <f>_xlfn.XLOOKUP(TableauRecette[[#This Row],[ID]],TableauProduit[ID],TableauProduit[Total (kg) N9],0,0,1)*#REF!</f>
        <v>#REF!</v>
      </c>
    </row>
    <row r="149" spans="1:20" x14ac:dyDescent="0.2">
      <c r="A149" t="s">
        <v>100</v>
      </c>
      <c r="B149" t="str">
        <f>TableauRecette[[#This Row],[Recette]]&amp;TableauRecette[[#This Row],[Conditionnement]]</f>
        <v>Épices tandooriEpice 100ml</v>
      </c>
      <c r="C149" t="s">
        <v>367</v>
      </c>
      <c r="D149">
        <v>3</v>
      </c>
      <c r="E149" t="s">
        <v>73</v>
      </c>
      <c r="F149">
        <f>IFERROR(TableauRecette[[#This Row],[Proportion]]/SUMIFS(TableauRecette[Proportion],TableauRecette[Recette],TableauRecette[[#This Row],[Recette]],TableauRecette[Conditionnement],TableauRecette[[#This Row],[Conditionnement]]),0)</f>
        <v>6.4377682403433487E-2</v>
      </c>
      <c r="G149">
        <f>IFERROR(_xlfn.XLOOKUP(TableauRecette[[#This Row],[Ingredients]],TableauIngredients[Ingredients],#REF!,0)*#REF!,0)</f>
        <v>0</v>
      </c>
      <c r="H149">
        <f>IFERROR(SUMIFS(TableauRecette[Proportion],TableauRecette[Recette],TableauRecette[[#This Row],[Recette]],TableauRecette[Conditionnement],TableauRecette[[#This Row],[Conditionnement]]),0)</f>
        <v>46.599999999999994</v>
      </c>
      <c r="I14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49">
        <f>_xlfn.XLOOKUP(TableauRecette[[#This Row],[ID]],TableauProduit[ID],TableauProduit[Total (kg) N1],0,0,1)*_xlfn.XLOOKUP(TableauRecette[[#This Row],[ID]],TableauProduit[ID],TableauProduit[Total (kg) N1],0,0,1)</f>
        <v>0</v>
      </c>
      <c r="M149" t="e">
        <f>_xlfn.XLOOKUP(TableauRecette[[#This Row],[ID]],TableauProduit[ID],TableauProduit[Total (kg) N1],0,0,1)*_xlfn.XLOOKUP(TableauRecette[[#This Row],[ID]],TableauProduit[ID],TableauProduit[Total (kg) N2],0,0,1)</f>
        <v>#REF!</v>
      </c>
      <c r="N149" t="e">
        <f>_xlfn.XLOOKUP(TableauRecette[[#This Row],[ID]],TableauProduit[ID],TableauProduit[Total (kg) N3],0,0,1)*#REF!</f>
        <v>#REF!</v>
      </c>
      <c r="O149" t="e">
        <f>_xlfn.XLOOKUP(TableauRecette[[#This Row],[ID]],TableauProduit[ID],TableauProduit[Total (kg) N4],0,0,1)*#REF!</f>
        <v>#REF!</v>
      </c>
      <c r="P149" t="e">
        <f>_xlfn.XLOOKUP(TableauRecette[[#This Row],[ID]],TableauProduit[ID],TableauProduit[Total (kg) N5],0,0,1)*#REF!</f>
        <v>#REF!</v>
      </c>
      <c r="Q149" t="e">
        <f>_xlfn.XLOOKUP(TableauRecette[[#This Row],[ID]],TableauProduit[ID],TableauProduit[Total (kg) N6],0,0,1)*#REF!</f>
        <v>#REF!</v>
      </c>
      <c r="R149" t="e">
        <f>_xlfn.XLOOKUP(TableauRecette[[#This Row],[ID]],TableauProduit[ID],TableauProduit[Total (kg) N7],0,0,1)*#REF!</f>
        <v>#REF!</v>
      </c>
      <c r="S149" t="e">
        <f>_xlfn.XLOOKUP(TableauRecette[[#This Row],[ID]],TableauProduit[ID],TableauProduit[Total (kg) N8],0,0,1)*#REF!</f>
        <v>#REF!</v>
      </c>
      <c r="T149" t="e">
        <f>_xlfn.XLOOKUP(TableauRecette[[#This Row],[ID]],TableauProduit[ID],TableauProduit[Total (kg) N9],0,0,1)*#REF!</f>
        <v>#REF!</v>
      </c>
    </row>
    <row r="150" spans="1:20" x14ac:dyDescent="0.2">
      <c r="A150" t="s">
        <v>100</v>
      </c>
      <c r="B150" t="str">
        <f>TableauRecette[[#This Row],[Recette]]&amp;TableauRecette[[#This Row],[Conditionnement]]</f>
        <v>Épices tandooriEpice 100ml</v>
      </c>
      <c r="C150" t="s">
        <v>350</v>
      </c>
      <c r="D150">
        <v>0.5</v>
      </c>
      <c r="E150" t="s">
        <v>73</v>
      </c>
      <c r="F150">
        <f>IFERROR(TableauRecette[[#This Row],[Proportion]]/SUMIFS(TableauRecette[Proportion],TableauRecette[Recette],TableauRecette[[#This Row],[Recette]],TableauRecette[Conditionnement],TableauRecette[[#This Row],[Conditionnement]]),0)</f>
        <v>1.0729613733905581E-2</v>
      </c>
      <c r="G150">
        <f>IFERROR(_xlfn.XLOOKUP(TableauRecette[[#This Row],[Ingredients]],TableauIngredients[Ingredients],#REF!,0)*#REF!,0)</f>
        <v>0</v>
      </c>
      <c r="H150">
        <f>IFERROR(SUMIFS(TableauRecette[Proportion],TableauRecette[Recette],TableauRecette[[#This Row],[Recette]],TableauRecette[Conditionnement],TableauRecette[[#This Row],[Conditionnement]]),0)</f>
        <v>46.599999999999994</v>
      </c>
      <c r="I150">
        <f>_xlfn.XLOOKUP(TableauRecette[[#This Row],[Ingredients]],TableauIngredients[Ingredients],TableauIngredients[Prix d''achat (kg)],0,0,1)*TableauRecette[[#This Row],[Proportion]]/TableauRecette[[#This Row],[Total Proportion]]</f>
        <v>0.38626609442060089</v>
      </c>
      <c r="L150">
        <f>_xlfn.XLOOKUP(TableauRecette[[#This Row],[ID]],TableauProduit[ID],TableauProduit[Total (kg) N1],0,0,1)*_xlfn.XLOOKUP(TableauRecette[[#This Row],[ID]],TableauProduit[ID],TableauProduit[Total (kg) N1],0,0,1)</f>
        <v>0</v>
      </c>
      <c r="M150" t="e">
        <f>_xlfn.XLOOKUP(TableauRecette[[#This Row],[ID]],TableauProduit[ID],TableauProduit[Total (kg) N1],0,0,1)*_xlfn.XLOOKUP(TableauRecette[[#This Row],[ID]],TableauProduit[ID],TableauProduit[Total (kg) N2],0,0,1)</f>
        <v>#REF!</v>
      </c>
      <c r="N150" t="e">
        <f>_xlfn.XLOOKUP(TableauRecette[[#This Row],[ID]],TableauProduit[ID],TableauProduit[Total (kg) N3],0,0,1)*#REF!</f>
        <v>#REF!</v>
      </c>
      <c r="O150" t="e">
        <f>_xlfn.XLOOKUP(TableauRecette[[#This Row],[ID]],TableauProduit[ID],TableauProduit[Total (kg) N4],0,0,1)*#REF!</f>
        <v>#REF!</v>
      </c>
      <c r="P150" t="e">
        <f>_xlfn.XLOOKUP(TableauRecette[[#This Row],[ID]],TableauProduit[ID],TableauProduit[Total (kg) N5],0,0,1)*#REF!</f>
        <v>#REF!</v>
      </c>
      <c r="Q150" t="e">
        <f>_xlfn.XLOOKUP(TableauRecette[[#This Row],[ID]],TableauProduit[ID],TableauProduit[Total (kg) N6],0,0,1)*#REF!</f>
        <v>#REF!</v>
      </c>
      <c r="R150" t="e">
        <f>_xlfn.XLOOKUP(TableauRecette[[#This Row],[ID]],TableauProduit[ID],TableauProduit[Total (kg) N7],0,0,1)*#REF!</f>
        <v>#REF!</v>
      </c>
      <c r="S150" t="e">
        <f>_xlfn.XLOOKUP(TableauRecette[[#This Row],[ID]],TableauProduit[ID],TableauProduit[Total (kg) N8],0,0,1)*#REF!</f>
        <v>#REF!</v>
      </c>
      <c r="T150" t="e">
        <f>_xlfn.XLOOKUP(TableauRecette[[#This Row],[ID]],TableauProduit[ID],TableauProduit[Total (kg) N9],0,0,1)*#REF!</f>
        <v>#REF!</v>
      </c>
    </row>
    <row r="151" spans="1:20" x14ac:dyDescent="0.2">
      <c r="A151" t="s">
        <v>100</v>
      </c>
      <c r="B151" t="str">
        <f>TableauRecette[[#This Row],[Recette]]&amp;TableauRecette[[#This Row],[Conditionnement]]</f>
        <v>Épices tandooriEpice 100ml</v>
      </c>
      <c r="C151" t="s">
        <v>344</v>
      </c>
      <c r="D151">
        <v>1</v>
      </c>
      <c r="E151" t="s">
        <v>73</v>
      </c>
      <c r="F151">
        <f>IFERROR(TableauRecette[[#This Row],[Proportion]]/SUMIFS(TableauRecette[Proportion],TableauRecette[Recette],TableauRecette[[#This Row],[Recette]],TableauRecette[Conditionnement],TableauRecette[[#This Row],[Conditionnement]]),0)</f>
        <v>2.1459227467811162E-2</v>
      </c>
      <c r="G151">
        <f>IFERROR(_xlfn.XLOOKUP(TableauRecette[[#This Row],[Ingredients]],TableauIngredients[Ingredients],#REF!,0)*#REF!,0)</f>
        <v>0</v>
      </c>
      <c r="H151">
        <f>IFERROR(SUMIFS(TableauRecette[Proportion],TableauRecette[Recette],TableauRecette[[#This Row],[Recette]],TableauRecette[Conditionnement],TableauRecette[[#This Row],[Conditionnement]]),0)</f>
        <v>46.599999999999994</v>
      </c>
      <c r="I15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51">
        <f>_xlfn.XLOOKUP(TableauRecette[[#This Row],[ID]],TableauProduit[ID],TableauProduit[Total (kg) N1],0,0,1)*_xlfn.XLOOKUP(TableauRecette[[#This Row],[ID]],TableauProduit[ID],TableauProduit[Total (kg) N1],0,0,1)</f>
        <v>0</v>
      </c>
      <c r="M151" t="e">
        <f>_xlfn.XLOOKUP(TableauRecette[[#This Row],[ID]],TableauProduit[ID],TableauProduit[Total (kg) N1],0,0,1)*_xlfn.XLOOKUP(TableauRecette[[#This Row],[ID]],TableauProduit[ID],TableauProduit[Total (kg) N2],0,0,1)</f>
        <v>#REF!</v>
      </c>
      <c r="N151" t="e">
        <f>_xlfn.XLOOKUP(TableauRecette[[#This Row],[ID]],TableauProduit[ID],TableauProduit[Total (kg) N3],0,0,1)*#REF!</f>
        <v>#REF!</v>
      </c>
      <c r="O151" t="e">
        <f>_xlfn.XLOOKUP(TableauRecette[[#This Row],[ID]],TableauProduit[ID],TableauProduit[Total (kg) N4],0,0,1)*#REF!</f>
        <v>#REF!</v>
      </c>
      <c r="P151" t="e">
        <f>_xlfn.XLOOKUP(TableauRecette[[#This Row],[ID]],TableauProduit[ID],TableauProduit[Total (kg) N5],0,0,1)*#REF!</f>
        <v>#REF!</v>
      </c>
      <c r="Q151" t="e">
        <f>_xlfn.XLOOKUP(TableauRecette[[#This Row],[ID]],TableauProduit[ID],TableauProduit[Total (kg) N6],0,0,1)*#REF!</f>
        <v>#REF!</v>
      </c>
      <c r="R151" t="e">
        <f>_xlfn.XLOOKUP(TableauRecette[[#This Row],[ID]],TableauProduit[ID],TableauProduit[Total (kg) N7],0,0,1)*#REF!</f>
        <v>#REF!</v>
      </c>
      <c r="S151" t="e">
        <f>_xlfn.XLOOKUP(TableauRecette[[#This Row],[ID]],TableauProduit[ID],TableauProduit[Total (kg) N8],0,0,1)*#REF!</f>
        <v>#REF!</v>
      </c>
      <c r="T151" t="e">
        <f>_xlfn.XLOOKUP(TableauRecette[[#This Row],[ID]],TableauProduit[ID],TableauProduit[Total (kg) N9],0,0,1)*#REF!</f>
        <v>#REF!</v>
      </c>
    </row>
    <row r="152" spans="1:20" x14ac:dyDescent="0.2">
      <c r="A152" t="s">
        <v>100</v>
      </c>
      <c r="B152" t="str">
        <f>TableauRecette[[#This Row],[Recette]]&amp;TableauRecette[[#This Row],[Conditionnement]]</f>
        <v>Épices tandooriEpice 100ml</v>
      </c>
      <c r="C152" t="s">
        <v>342</v>
      </c>
      <c r="D152">
        <v>0.8</v>
      </c>
      <c r="E152" t="s">
        <v>73</v>
      </c>
      <c r="F152">
        <f>IFERROR(TableauRecette[[#This Row],[Proportion]]/SUMIFS(TableauRecette[Proportion],TableauRecette[Recette],TableauRecette[[#This Row],[Recette]],TableauRecette[Conditionnement],TableauRecette[[#This Row],[Conditionnement]]),0)</f>
        <v>1.716738197424893E-2</v>
      </c>
      <c r="G152">
        <f>IFERROR(_xlfn.XLOOKUP(TableauRecette[[#This Row],[Ingredients]],TableauIngredients[Ingredients],#REF!,0)*#REF!,0)</f>
        <v>0</v>
      </c>
      <c r="H152">
        <f>IFERROR(SUMIFS(TableauRecette[Proportion],TableauRecette[Recette],TableauRecette[[#This Row],[Recette]],TableauRecette[Conditionnement],TableauRecette[[#This Row],[Conditionnement]]),0)</f>
        <v>46.599999999999994</v>
      </c>
      <c r="I15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52">
        <f>_xlfn.XLOOKUP(TableauRecette[[#This Row],[ID]],TableauProduit[ID],TableauProduit[Total (kg) N1],0,0,1)*_xlfn.XLOOKUP(TableauRecette[[#This Row],[ID]],TableauProduit[ID],TableauProduit[Total (kg) N1],0,0,1)</f>
        <v>0</v>
      </c>
      <c r="M152" t="e">
        <f>_xlfn.XLOOKUP(TableauRecette[[#This Row],[ID]],TableauProduit[ID],TableauProduit[Total (kg) N1],0,0,1)*_xlfn.XLOOKUP(TableauRecette[[#This Row],[ID]],TableauProduit[ID],TableauProduit[Total (kg) N2],0,0,1)</f>
        <v>#REF!</v>
      </c>
      <c r="N152" t="e">
        <f>_xlfn.XLOOKUP(TableauRecette[[#This Row],[ID]],TableauProduit[ID],TableauProduit[Total (kg) N3],0,0,1)*#REF!</f>
        <v>#REF!</v>
      </c>
      <c r="O152" t="e">
        <f>_xlfn.XLOOKUP(TableauRecette[[#This Row],[ID]],TableauProduit[ID],TableauProduit[Total (kg) N4],0,0,1)*#REF!</f>
        <v>#REF!</v>
      </c>
      <c r="P152" t="e">
        <f>_xlfn.XLOOKUP(TableauRecette[[#This Row],[ID]],TableauProduit[ID],TableauProduit[Total (kg) N5],0,0,1)*#REF!</f>
        <v>#REF!</v>
      </c>
      <c r="Q152" t="e">
        <f>_xlfn.XLOOKUP(TableauRecette[[#This Row],[ID]],TableauProduit[ID],TableauProduit[Total (kg) N6],0,0,1)*#REF!</f>
        <v>#REF!</v>
      </c>
      <c r="R152" t="e">
        <f>_xlfn.XLOOKUP(TableauRecette[[#This Row],[ID]],TableauProduit[ID],TableauProduit[Total (kg) N7],0,0,1)*#REF!</f>
        <v>#REF!</v>
      </c>
      <c r="S152" t="e">
        <f>_xlfn.XLOOKUP(TableauRecette[[#This Row],[ID]],TableauProduit[ID],TableauProduit[Total (kg) N8],0,0,1)*#REF!</f>
        <v>#REF!</v>
      </c>
      <c r="T152" t="e">
        <f>_xlfn.XLOOKUP(TableauRecette[[#This Row],[ID]],TableauProduit[ID],TableauProduit[Total (kg) N9],0,0,1)*#REF!</f>
        <v>#REF!</v>
      </c>
    </row>
    <row r="153" spans="1:20" x14ac:dyDescent="0.2">
      <c r="A153" t="s">
        <v>100</v>
      </c>
      <c r="B153" t="str">
        <f>TableauRecette[[#This Row],[Recette]]&amp;TableauRecette[[#This Row],[Conditionnement]]</f>
        <v>Épices tandooriEpice 100ml</v>
      </c>
      <c r="C153" t="s">
        <v>348</v>
      </c>
      <c r="D153">
        <v>1</v>
      </c>
      <c r="E153" t="s">
        <v>73</v>
      </c>
      <c r="F153">
        <f>IFERROR(TableauRecette[[#This Row],[Proportion]]/SUMIFS(TableauRecette[Proportion],TableauRecette[Recette],TableauRecette[[#This Row],[Recette]],TableauRecette[Conditionnement],TableauRecette[[#This Row],[Conditionnement]]),0)</f>
        <v>2.1459227467811162E-2</v>
      </c>
      <c r="G153">
        <f>IFERROR(_xlfn.XLOOKUP(TableauRecette[[#This Row],[Ingredients]],TableauIngredients[Ingredients],#REF!,0)*#REF!,0)</f>
        <v>0</v>
      </c>
      <c r="H153">
        <f>IFERROR(SUMIFS(TableauRecette[Proportion],TableauRecette[Recette],TableauRecette[[#This Row],[Recette]],TableauRecette[Conditionnement],TableauRecette[[#This Row],[Conditionnement]]),0)</f>
        <v>46.599999999999994</v>
      </c>
      <c r="I153">
        <f>_xlfn.XLOOKUP(TableauRecette[[#This Row],[Ingredients]],TableauIngredients[Ingredients],TableauIngredients[Prix d''achat (kg)],0,0,1)*TableauRecette[[#This Row],[Proportion]]/TableauRecette[[#This Row],[Total Proportion]]</f>
        <v>0.79077253218884136</v>
      </c>
      <c r="L153">
        <f>_xlfn.XLOOKUP(TableauRecette[[#This Row],[ID]],TableauProduit[ID],TableauProduit[Total (kg) N1],0,0,1)*_xlfn.XLOOKUP(TableauRecette[[#This Row],[ID]],TableauProduit[ID],TableauProduit[Total (kg) N1],0,0,1)</f>
        <v>0</v>
      </c>
      <c r="M153" t="e">
        <f>_xlfn.XLOOKUP(TableauRecette[[#This Row],[ID]],TableauProduit[ID],TableauProduit[Total (kg) N1],0,0,1)*_xlfn.XLOOKUP(TableauRecette[[#This Row],[ID]],TableauProduit[ID],TableauProduit[Total (kg) N2],0,0,1)</f>
        <v>#REF!</v>
      </c>
      <c r="N153" t="e">
        <f>_xlfn.XLOOKUP(TableauRecette[[#This Row],[ID]],TableauProduit[ID],TableauProduit[Total (kg) N3],0,0,1)*#REF!</f>
        <v>#REF!</v>
      </c>
      <c r="O153" t="e">
        <f>_xlfn.XLOOKUP(TableauRecette[[#This Row],[ID]],TableauProduit[ID],TableauProduit[Total (kg) N4],0,0,1)*#REF!</f>
        <v>#REF!</v>
      </c>
      <c r="P153" t="e">
        <f>_xlfn.XLOOKUP(TableauRecette[[#This Row],[ID]],TableauProduit[ID],TableauProduit[Total (kg) N5],0,0,1)*#REF!</f>
        <v>#REF!</v>
      </c>
      <c r="Q153" t="e">
        <f>_xlfn.XLOOKUP(TableauRecette[[#This Row],[ID]],TableauProduit[ID],TableauProduit[Total (kg) N6],0,0,1)*#REF!</f>
        <v>#REF!</v>
      </c>
      <c r="R153" t="e">
        <f>_xlfn.XLOOKUP(TableauRecette[[#This Row],[ID]],TableauProduit[ID],TableauProduit[Total (kg) N7],0,0,1)*#REF!</f>
        <v>#REF!</v>
      </c>
      <c r="S153" t="e">
        <f>_xlfn.XLOOKUP(TableauRecette[[#This Row],[ID]],TableauProduit[ID],TableauProduit[Total (kg) N8],0,0,1)*#REF!</f>
        <v>#REF!</v>
      </c>
      <c r="T153" t="e">
        <f>_xlfn.XLOOKUP(TableauRecette[[#This Row],[ID]],TableauProduit[ID],TableauProduit[Total (kg) N9],0,0,1)*#REF!</f>
        <v>#REF!</v>
      </c>
    </row>
    <row r="154" spans="1:20" x14ac:dyDescent="0.2">
      <c r="A154" t="s">
        <v>100</v>
      </c>
      <c r="B154" t="str">
        <f>TableauRecette[[#This Row],[Recette]]&amp;TableauRecette[[#This Row],[Conditionnement]]</f>
        <v>Épices tandooriEpice 100ml</v>
      </c>
      <c r="C154" t="s">
        <v>364</v>
      </c>
      <c r="D154">
        <v>1</v>
      </c>
      <c r="E154" t="s">
        <v>73</v>
      </c>
      <c r="F154">
        <f>IFERROR(TableauRecette[[#This Row],[Proportion]]/SUMIFS(TableauRecette[Proportion],TableauRecette[Recette],TableauRecette[[#This Row],[Recette]],TableauRecette[Conditionnement],TableauRecette[[#This Row],[Conditionnement]]),0)</f>
        <v>2.1459227467811162E-2</v>
      </c>
      <c r="G154">
        <f>IFERROR(_xlfn.XLOOKUP(TableauRecette[[#This Row],[Ingredients]],TableauIngredients[Ingredients],#REF!,0)*#REF!,0)</f>
        <v>0</v>
      </c>
      <c r="H154">
        <f>IFERROR(SUMIFS(TableauRecette[Proportion],TableauRecette[Recette],TableauRecette[[#This Row],[Recette]],TableauRecette[Conditionnement],TableauRecette[[#This Row],[Conditionnement]]),0)</f>
        <v>46.599999999999994</v>
      </c>
      <c r="I154">
        <f>_xlfn.XLOOKUP(TableauRecette[[#This Row],[Ingredients]],TableauIngredients[Ingredients],TableauIngredients[Prix d''achat (kg)],0,0,1)*TableauRecette[[#This Row],[Proportion]]/TableauRecette[[#This Row],[Total Proportion]]</f>
        <v>3.0042918454935626E-2</v>
      </c>
      <c r="L154">
        <f>_xlfn.XLOOKUP(TableauRecette[[#This Row],[ID]],TableauProduit[ID],TableauProduit[Total (kg) N1],0,0,1)*_xlfn.XLOOKUP(TableauRecette[[#This Row],[ID]],TableauProduit[ID],TableauProduit[Total (kg) N1],0,0,1)</f>
        <v>0</v>
      </c>
      <c r="M154" t="e">
        <f>_xlfn.XLOOKUP(TableauRecette[[#This Row],[ID]],TableauProduit[ID],TableauProduit[Total (kg) N1],0,0,1)*_xlfn.XLOOKUP(TableauRecette[[#This Row],[ID]],TableauProduit[ID],TableauProduit[Total (kg) N2],0,0,1)</f>
        <v>#REF!</v>
      </c>
      <c r="N154" t="e">
        <f>_xlfn.XLOOKUP(TableauRecette[[#This Row],[ID]],TableauProduit[ID],TableauProduit[Total (kg) N3],0,0,1)*#REF!</f>
        <v>#REF!</v>
      </c>
      <c r="O154" t="e">
        <f>_xlfn.XLOOKUP(TableauRecette[[#This Row],[ID]],TableauProduit[ID],TableauProduit[Total (kg) N4],0,0,1)*#REF!</f>
        <v>#REF!</v>
      </c>
      <c r="P154" t="e">
        <f>_xlfn.XLOOKUP(TableauRecette[[#This Row],[ID]],TableauProduit[ID],TableauProduit[Total (kg) N5],0,0,1)*#REF!</f>
        <v>#REF!</v>
      </c>
      <c r="Q154" t="e">
        <f>_xlfn.XLOOKUP(TableauRecette[[#This Row],[ID]],TableauProduit[ID],TableauProduit[Total (kg) N6],0,0,1)*#REF!</f>
        <v>#REF!</v>
      </c>
      <c r="R154" t="e">
        <f>_xlfn.XLOOKUP(TableauRecette[[#This Row],[ID]],TableauProduit[ID],TableauProduit[Total (kg) N7],0,0,1)*#REF!</f>
        <v>#REF!</v>
      </c>
      <c r="S154" t="e">
        <f>_xlfn.XLOOKUP(TableauRecette[[#This Row],[ID]],TableauProduit[ID],TableauProduit[Total (kg) N8],0,0,1)*#REF!</f>
        <v>#REF!</v>
      </c>
      <c r="T154" t="e">
        <f>_xlfn.XLOOKUP(TableauRecette[[#This Row],[ID]],TableauProduit[ID],TableauProduit[Total (kg) N9],0,0,1)*#REF!</f>
        <v>#REF!</v>
      </c>
    </row>
    <row r="155" spans="1:20" x14ac:dyDescent="0.2">
      <c r="A155" t="s">
        <v>100</v>
      </c>
      <c r="B155" t="str">
        <f>TableauRecette[[#This Row],[Recette]]&amp;TableauRecette[[#This Row],[Conditionnement]]</f>
        <v>Épices tandooriEpice 100ml</v>
      </c>
      <c r="C155" t="s">
        <v>397</v>
      </c>
      <c r="D155">
        <v>0.3</v>
      </c>
      <c r="E155" t="s">
        <v>73</v>
      </c>
      <c r="F155">
        <f>IFERROR(TableauRecette[[#This Row],[Proportion]]/SUMIFS(TableauRecette[Proportion],TableauRecette[Recette],TableauRecette[[#This Row],[Recette]],TableauRecette[Conditionnement],TableauRecette[[#This Row],[Conditionnement]]),0)</f>
        <v>6.4377682403433485E-3</v>
      </c>
      <c r="G155">
        <f>IFERROR(_xlfn.XLOOKUP(TableauRecette[[#This Row],[Ingredients]],TableauIngredients[Ingredients],#REF!,0)*#REF!,0)</f>
        <v>0</v>
      </c>
      <c r="H155">
        <f>IFERROR(SUMIFS(TableauRecette[Proportion],TableauRecette[Recette],TableauRecette[[#This Row],[Recette]],TableauRecette[Conditionnement],TableauRecette[[#This Row],[Conditionnement]]),0)</f>
        <v>46.599999999999994</v>
      </c>
      <c r="I15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55">
        <f>_xlfn.XLOOKUP(TableauRecette[[#This Row],[ID]],TableauProduit[ID],TableauProduit[Total (kg) N1],0,0,1)*_xlfn.XLOOKUP(TableauRecette[[#This Row],[ID]],TableauProduit[ID],TableauProduit[Total (kg) N1],0,0,1)</f>
        <v>0</v>
      </c>
      <c r="M155" t="e">
        <f>_xlfn.XLOOKUP(TableauRecette[[#This Row],[ID]],TableauProduit[ID],TableauProduit[Total (kg) N1],0,0,1)*_xlfn.XLOOKUP(TableauRecette[[#This Row],[ID]],TableauProduit[ID],TableauProduit[Total (kg) N2],0,0,1)</f>
        <v>#REF!</v>
      </c>
      <c r="N155" t="e">
        <f>_xlfn.XLOOKUP(TableauRecette[[#This Row],[ID]],TableauProduit[ID],TableauProduit[Total (kg) N3],0,0,1)*#REF!</f>
        <v>#REF!</v>
      </c>
      <c r="O155" t="e">
        <f>_xlfn.XLOOKUP(TableauRecette[[#This Row],[ID]],TableauProduit[ID],TableauProduit[Total (kg) N4],0,0,1)*#REF!</f>
        <v>#REF!</v>
      </c>
      <c r="P155" t="e">
        <f>_xlfn.XLOOKUP(TableauRecette[[#This Row],[ID]],TableauProduit[ID],TableauProduit[Total (kg) N5],0,0,1)*#REF!</f>
        <v>#REF!</v>
      </c>
      <c r="Q155" t="e">
        <f>_xlfn.XLOOKUP(TableauRecette[[#This Row],[ID]],TableauProduit[ID],TableauProduit[Total (kg) N6],0,0,1)*#REF!</f>
        <v>#REF!</v>
      </c>
      <c r="R155" t="e">
        <f>_xlfn.XLOOKUP(TableauRecette[[#This Row],[ID]],TableauProduit[ID],TableauProduit[Total (kg) N7],0,0,1)*#REF!</f>
        <v>#REF!</v>
      </c>
      <c r="S155" t="e">
        <f>_xlfn.XLOOKUP(TableauRecette[[#This Row],[ID]],TableauProduit[ID],TableauProduit[Total (kg) N8],0,0,1)*#REF!</f>
        <v>#REF!</v>
      </c>
      <c r="T155" t="e">
        <f>_xlfn.XLOOKUP(TableauRecette[[#This Row],[ID]],TableauProduit[ID],TableauProduit[Total (kg) N9],0,0,1)*#REF!</f>
        <v>#REF!</v>
      </c>
    </row>
    <row r="156" spans="1:20" x14ac:dyDescent="0.2">
      <c r="A156" t="s">
        <v>100</v>
      </c>
      <c r="B156" t="str">
        <f>TableauRecette[[#This Row],[Recette]]&amp;TableauRecette[[#This Row],[Conditionnement]]</f>
        <v>Épices tandooriEpice 100ml</v>
      </c>
      <c r="C156" t="s">
        <v>346</v>
      </c>
      <c r="D156">
        <v>3</v>
      </c>
      <c r="E156" t="s">
        <v>73</v>
      </c>
      <c r="F156">
        <f>IFERROR(TableauRecette[[#This Row],[Proportion]]/SUMIFS(TableauRecette[Proportion],TableauRecette[Recette],TableauRecette[[#This Row],[Recette]],TableauRecette[Conditionnement],TableauRecette[[#This Row],[Conditionnement]]),0)</f>
        <v>6.4377682403433487E-2</v>
      </c>
      <c r="G156">
        <f>IFERROR(_xlfn.XLOOKUP(TableauRecette[[#This Row],[Ingredients]],TableauIngredients[Ingredients],#REF!,0)*#REF!,0)</f>
        <v>0</v>
      </c>
      <c r="H156">
        <f>IFERROR(SUMIFS(TableauRecette[Proportion],TableauRecette[Recette],TableauRecette[[#This Row],[Recette]],TableauRecette[Conditionnement],TableauRecette[[#This Row],[Conditionnement]]),0)</f>
        <v>46.599999999999994</v>
      </c>
      <c r="I15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156" t="s">
        <v>341</v>
      </c>
      <c r="L156">
        <f>_xlfn.XLOOKUP(TableauRecette[[#This Row],[ID]],TableauProduit[ID],TableauProduit[Total (kg) N1],0,0,1)*_xlfn.XLOOKUP(TableauRecette[[#This Row],[ID]],TableauProduit[ID],TableauProduit[Total (kg) N1],0,0,1)</f>
        <v>0</v>
      </c>
      <c r="M156" t="e">
        <f>_xlfn.XLOOKUP(TableauRecette[[#This Row],[ID]],TableauProduit[ID],TableauProduit[Total (kg) N1],0,0,1)*_xlfn.XLOOKUP(TableauRecette[[#This Row],[ID]],TableauProduit[ID],TableauProduit[Total (kg) N2],0,0,1)</f>
        <v>#REF!</v>
      </c>
      <c r="N156" t="e">
        <f>_xlfn.XLOOKUP(TableauRecette[[#This Row],[ID]],TableauProduit[ID],TableauProduit[Total (kg) N3],0,0,1)*#REF!</f>
        <v>#REF!</v>
      </c>
      <c r="O156" t="e">
        <f>_xlfn.XLOOKUP(TableauRecette[[#This Row],[ID]],TableauProduit[ID],TableauProduit[Total (kg) N4],0,0,1)*#REF!</f>
        <v>#REF!</v>
      </c>
      <c r="P156" t="e">
        <f>_xlfn.XLOOKUP(TableauRecette[[#This Row],[ID]],TableauProduit[ID],TableauProduit[Total (kg) N5],0,0,1)*#REF!</f>
        <v>#REF!</v>
      </c>
      <c r="Q156" t="e">
        <f>_xlfn.XLOOKUP(TableauRecette[[#This Row],[ID]],TableauProduit[ID],TableauProduit[Total (kg) N6],0,0,1)*#REF!</f>
        <v>#REF!</v>
      </c>
      <c r="R156" t="e">
        <f>_xlfn.XLOOKUP(TableauRecette[[#This Row],[ID]],TableauProduit[ID],TableauProduit[Total (kg) N7],0,0,1)*#REF!</f>
        <v>#REF!</v>
      </c>
      <c r="S156" t="e">
        <f>_xlfn.XLOOKUP(TableauRecette[[#This Row],[ID]],TableauProduit[ID],TableauProduit[Total (kg) N8],0,0,1)*#REF!</f>
        <v>#REF!</v>
      </c>
      <c r="T156" t="e">
        <f>_xlfn.XLOOKUP(TableauRecette[[#This Row],[ID]],TableauProduit[ID],TableauProduit[Total (kg) N9],0,0,1)*#REF!</f>
        <v>#REF!</v>
      </c>
    </row>
    <row r="157" spans="1:20" x14ac:dyDescent="0.2">
      <c r="A157" t="s">
        <v>75</v>
      </c>
      <c r="B157" t="str">
        <f>TableauRecette[[#This Row],[Recette]]&amp;TableauRecette[[#This Row],[Conditionnement]]</f>
        <v>Épices viandes rougesEpice 100ml</v>
      </c>
      <c r="C157" t="s">
        <v>376</v>
      </c>
      <c r="D157">
        <v>6</v>
      </c>
      <c r="E157" t="s">
        <v>73</v>
      </c>
      <c r="F157">
        <f>IFERROR(TableauRecette[[#This Row],[Proportion]]/SUMIFS(TableauRecette[Proportion],TableauRecette[Recette],TableauRecette[[#This Row],[Recette]],TableauRecette[Conditionnement],TableauRecette[[#This Row],[Conditionnement]]),0)</f>
        <v>0.33149171270718231</v>
      </c>
      <c r="G157">
        <f>IFERROR(_xlfn.XLOOKUP(TableauRecette[[#This Row],[Ingredients]],TableauIngredients[Ingredients],#REF!,0)*#REF!,0)</f>
        <v>0</v>
      </c>
      <c r="H157">
        <f>IFERROR(SUMIFS(TableauRecette[Proportion],TableauRecette[Recette],TableauRecette[[#This Row],[Recette]],TableauRecette[Conditionnement],TableauRecette[[#This Row],[Conditionnement]]),0)</f>
        <v>18.100000000000001</v>
      </c>
      <c r="I15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57">
        <f>_xlfn.XLOOKUP(TableauRecette[[#This Row],[ID]],TableauProduit[ID],TableauProduit[Total (kg) N1],0,0,1)*_xlfn.XLOOKUP(TableauRecette[[#This Row],[ID]],TableauProduit[ID],TableauProduit[Total (kg) N1],0,0,1)</f>
        <v>506.25</v>
      </c>
      <c r="M157" t="e">
        <f>_xlfn.XLOOKUP(TableauRecette[[#This Row],[ID]],TableauProduit[ID],TableauProduit[Total (kg) N1],0,0,1)*_xlfn.XLOOKUP(TableauRecette[[#This Row],[ID]],TableauProduit[ID],TableauProduit[Total (kg) N2],0,0,1)</f>
        <v>#REF!</v>
      </c>
      <c r="N157" t="e">
        <f>_xlfn.XLOOKUP(TableauRecette[[#This Row],[ID]],TableauProduit[ID],TableauProduit[Total (kg) N3],0,0,1)*#REF!</f>
        <v>#REF!</v>
      </c>
      <c r="O157" t="e">
        <f>_xlfn.XLOOKUP(TableauRecette[[#This Row],[ID]],TableauProduit[ID],TableauProduit[Total (kg) N4],0,0,1)*#REF!</f>
        <v>#REF!</v>
      </c>
      <c r="P157" t="e">
        <f>_xlfn.XLOOKUP(TableauRecette[[#This Row],[ID]],TableauProduit[ID],TableauProduit[Total (kg) N5],0,0,1)*#REF!</f>
        <v>#REF!</v>
      </c>
      <c r="Q157" t="e">
        <f>_xlfn.XLOOKUP(TableauRecette[[#This Row],[ID]],TableauProduit[ID],TableauProduit[Total (kg) N6],0,0,1)*#REF!</f>
        <v>#REF!</v>
      </c>
      <c r="R157" t="e">
        <f>_xlfn.XLOOKUP(TableauRecette[[#This Row],[ID]],TableauProduit[ID],TableauProduit[Total (kg) N7],0,0,1)*#REF!</f>
        <v>#REF!</v>
      </c>
      <c r="S157" t="e">
        <f>_xlfn.XLOOKUP(TableauRecette[[#This Row],[ID]],TableauProduit[ID],TableauProduit[Total (kg) N8],0,0,1)*#REF!</f>
        <v>#REF!</v>
      </c>
      <c r="T157" t="e">
        <f>_xlfn.XLOOKUP(TableauRecette[[#This Row],[ID]],TableauProduit[ID],TableauProduit[Total (kg) N9],0,0,1)*#REF!</f>
        <v>#REF!</v>
      </c>
    </row>
    <row r="158" spans="1:20" x14ac:dyDescent="0.2">
      <c r="A158" t="s">
        <v>75</v>
      </c>
      <c r="B158" t="str">
        <f>TableauRecette[[#This Row],[Recette]]&amp;TableauRecette[[#This Row],[Conditionnement]]</f>
        <v>Épices viandes rougesEpice 100ml</v>
      </c>
      <c r="C158" t="s">
        <v>352</v>
      </c>
      <c r="D158">
        <v>2</v>
      </c>
      <c r="E158" t="s">
        <v>73</v>
      </c>
      <c r="F158">
        <f>IFERROR(TableauRecette[[#This Row],[Proportion]]/SUMIFS(TableauRecette[Proportion],TableauRecette[Recette],TableauRecette[[#This Row],[Recette]],TableauRecette[Conditionnement],TableauRecette[[#This Row],[Conditionnement]]),0)</f>
        <v>0.11049723756906077</v>
      </c>
      <c r="G158">
        <f>IFERROR(_xlfn.XLOOKUP(TableauRecette[[#This Row],[Ingredients]],TableauIngredients[Ingredients],#REF!,0)*#REF!,0)</f>
        <v>0</v>
      </c>
      <c r="H158">
        <f>IFERROR(SUMIFS(TableauRecette[Proportion],TableauRecette[Recette],TableauRecette[[#This Row],[Recette]],TableauRecette[Conditionnement],TableauRecette[[#This Row],[Conditionnement]]),0)</f>
        <v>18.100000000000001</v>
      </c>
      <c r="I158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58">
        <f>_xlfn.XLOOKUP(TableauRecette[[#This Row],[ID]],TableauProduit[ID],TableauProduit[Total (kg) N1],0,0,1)*_xlfn.XLOOKUP(TableauRecette[[#This Row],[ID]],TableauProduit[ID],TableauProduit[Total (kg) N1],0,0,1)</f>
        <v>506.25</v>
      </c>
      <c r="M158" t="e">
        <f>_xlfn.XLOOKUP(TableauRecette[[#This Row],[ID]],TableauProduit[ID],TableauProduit[Total (kg) N1],0,0,1)*_xlfn.XLOOKUP(TableauRecette[[#This Row],[ID]],TableauProduit[ID],TableauProduit[Total (kg) N2],0,0,1)</f>
        <v>#REF!</v>
      </c>
      <c r="N158" t="e">
        <f>_xlfn.XLOOKUP(TableauRecette[[#This Row],[ID]],TableauProduit[ID],TableauProduit[Total (kg) N3],0,0,1)*#REF!</f>
        <v>#REF!</v>
      </c>
      <c r="O158" t="e">
        <f>_xlfn.XLOOKUP(TableauRecette[[#This Row],[ID]],TableauProduit[ID],TableauProduit[Total (kg) N4],0,0,1)*#REF!</f>
        <v>#REF!</v>
      </c>
      <c r="P158" t="e">
        <f>_xlfn.XLOOKUP(TableauRecette[[#This Row],[ID]],TableauProduit[ID],TableauProduit[Total (kg) N5],0,0,1)*#REF!</f>
        <v>#REF!</v>
      </c>
      <c r="Q158" t="e">
        <f>_xlfn.XLOOKUP(TableauRecette[[#This Row],[ID]],TableauProduit[ID],TableauProduit[Total (kg) N6],0,0,1)*#REF!</f>
        <v>#REF!</v>
      </c>
      <c r="R158" t="e">
        <f>_xlfn.XLOOKUP(TableauRecette[[#This Row],[ID]],TableauProduit[ID],TableauProduit[Total (kg) N7],0,0,1)*#REF!</f>
        <v>#REF!</v>
      </c>
      <c r="S158" t="e">
        <f>_xlfn.XLOOKUP(TableauRecette[[#This Row],[ID]],TableauProduit[ID],TableauProduit[Total (kg) N8],0,0,1)*#REF!</f>
        <v>#REF!</v>
      </c>
      <c r="T158" t="e">
        <f>_xlfn.XLOOKUP(TableauRecette[[#This Row],[ID]],TableauProduit[ID],TableauProduit[Total (kg) N9],0,0,1)*#REF!</f>
        <v>#REF!</v>
      </c>
    </row>
    <row r="159" spans="1:20" x14ac:dyDescent="0.2">
      <c r="A159" t="s">
        <v>75</v>
      </c>
      <c r="B159" t="str">
        <f>TableauRecette[[#This Row],[Recette]]&amp;TableauRecette[[#This Row],[Conditionnement]]</f>
        <v>Épices viandes rougesEpice 100ml</v>
      </c>
      <c r="C159" t="s">
        <v>392</v>
      </c>
      <c r="D159">
        <v>2</v>
      </c>
      <c r="E159" t="s">
        <v>73</v>
      </c>
      <c r="F159">
        <f>IFERROR(TableauRecette[[#This Row],[Proportion]]/SUMIFS(TableauRecette[Proportion],TableauRecette[Recette],TableauRecette[[#This Row],[Recette]],TableauRecette[Conditionnement],TableauRecette[[#This Row],[Conditionnement]]),0)</f>
        <v>0.11049723756906077</v>
      </c>
      <c r="G159">
        <f>IFERROR(_xlfn.XLOOKUP(TableauRecette[[#This Row],[Ingredients]],TableauIngredients[Ingredients],#REF!,0)*#REF!,0)</f>
        <v>0</v>
      </c>
      <c r="H159">
        <f>IFERROR(SUMIFS(TableauRecette[Proportion],TableauRecette[Recette],TableauRecette[[#This Row],[Recette]],TableauRecette[Conditionnement],TableauRecette[[#This Row],[Conditionnement]]),0)</f>
        <v>18.100000000000001</v>
      </c>
      <c r="I15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59">
        <f>_xlfn.XLOOKUP(TableauRecette[[#This Row],[ID]],TableauProduit[ID],TableauProduit[Total (kg) N1],0,0,1)*_xlfn.XLOOKUP(TableauRecette[[#This Row],[ID]],TableauProduit[ID],TableauProduit[Total (kg) N1],0,0,1)</f>
        <v>506.25</v>
      </c>
      <c r="M159" t="e">
        <f>_xlfn.XLOOKUP(TableauRecette[[#This Row],[ID]],TableauProduit[ID],TableauProduit[Total (kg) N1],0,0,1)*_xlfn.XLOOKUP(TableauRecette[[#This Row],[ID]],TableauProduit[ID],TableauProduit[Total (kg) N2],0,0,1)</f>
        <v>#REF!</v>
      </c>
      <c r="N159" t="e">
        <f>_xlfn.XLOOKUP(TableauRecette[[#This Row],[ID]],TableauProduit[ID],TableauProduit[Total (kg) N3],0,0,1)*#REF!</f>
        <v>#REF!</v>
      </c>
      <c r="O159" t="e">
        <f>_xlfn.XLOOKUP(TableauRecette[[#This Row],[ID]],TableauProduit[ID],TableauProduit[Total (kg) N4],0,0,1)*#REF!</f>
        <v>#REF!</v>
      </c>
      <c r="P159" t="e">
        <f>_xlfn.XLOOKUP(TableauRecette[[#This Row],[ID]],TableauProduit[ID],TableauProduit[Total (kg) N5],0,0,1)*#REF!</f>
        <v>#REF!</v>
      </c>
      <c r="Q159" t="e">
        <f>_xlfn.XLOOKUP(TableauRecette[[#This Row],[ID]],TableauProduit[ID],TableauProduit[Total (kg) N6],0,0,1)*#REF!</f>
        <v>#REF!</v>
      </c>
      <c r="R159" t="e">
        <f>_xlfn.XLOOKUP(TableauRecette[[#This Row],[ID]],TableauProduit[ID],TableauProduit[Total (kg) N7],0,0,1)*#REF!</f>
        <v>#REF!</v>
      </c>
      <c r="S159" t="e">
        <f>_xlfn.XLOOKUP(TableauRecette[[#This Row],[ID]],TableauProduit[ID],TableauProduit[Total (kg) N8],0,0,1)*#REF!</f>
        <v>#REF!</v>
      </c>
      <c r="T159" t="e">
        <f>_xlfn.XLOOKUP(TableauRecette[[#This Row],[ID]],TableauProduit[ID],TableauProduit[Total (kg) N9],0,0,1)*#REF!</f>
        <v>#REF!</v>
      </c>
    </row>
    <row r="160" spans="1:20" x14ac:dyDescent="0.2">
      <c r="A160" t="s">
        <v>75</v>
      </c>
      <c r="B160" t="str">
        <f>TableauRecette[[#This Row],[Recette]]&amp;TableauRecette[[#This Row],[Conditionnement]]</f>
        <v>Épices viandes rougesEpice 100ml</v>
      </c>
      <c r="C160" t="s">
        <v>368</v>
      </c>
      <c r="D160">
        <v>2</v>
      </c>
      <c r="E160" t="s">
        <v>73</v>
      </c>
      <c r="F160">
        <f>IFERROR(TableauRecette[[#This Row],[Proportion]]/SUMIFS(TableauRecette[Proportion],TableauRecette[Recette],TableauRecette[[#This Row],[Recette]],TableauRecette[Conditionnement],TableauRecette[[#This Row],[Conditionnement]]),0)</f>
        <v>0.11049723756906077</v>
      </c>
      <c r="G160">
        <f>IFERROR(_xlfn.XLOOKUP(TableauRecette[[#This Row],[Ingredients]],TableauIngredients[Ingredients],#REF!,0)*#REF!,0)</f>
        <v>0</v>
      </c>
      <c r="H160">
        <f>IFERROR(SUMIFS(TableauRecette[Proportion],TableauRecette[Recette],TableauRecette[[#This Row],[Recette]],TableauRecette[Conditionnement],TableauRecette[[#This Row],[Conditionnement]]),0)</f>
        <v>18.100000000000001</v>
      </c>
      <c r="I160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60">
        <f>_xlfn.XLOOKUP(TableauRecette[[#This Row],[ID]],TableauProduit[ID],TableauProduit[Total (kg) N1],0,0,1)*_xlfn.XLOOKUP(TableauRecette[[#This Row],[ID]],TableauProduit[ID],TableauProduit[Total (kg) N1],0,0,1)</f>
        <v>506.25</v>
      </c>
      <c r="M160" t="e">
        <f>_xlfn.XLOOKUP(TableauRecette[[#This Row],[ID]],TableauProduit[ID],TableauProduit[Total (kg) N1],0,0,1)*_xlfn.XLOOKUP(TableauRecette[[#This Row],[ID]],TableauProduit[ID],TableauProduit[Total (kg) N2],0,0,1)</f>
        <v>#REF!</v>
      </c>
      <c r="N160" t="e">
        <f>_xlfn.XLOOKUP(TableauRecette[[#This Row],[ID]],TableauProduit[ID],TableauProduit[Total (kg) N3],0,0,1)*#REF!</f>
        <v>#REF!</v>
      </c>
      <c r="O160" t="e">
        <f>_xlfn.XLOOKUP(TableauRecette[[#This Row],[ID]],TableauProduit[ID],TableauProduit[Total (kg) N4],0,0,1)*#REF!</f>
        <v>#REF!</v>
      </c>
      <c r="P160" t="e">
        <f>_xlfn.XLOOKUP(TableauRecette[[#This Row],[ID]],TableauProduit[ID],TableauProduit[Total (kg) N5],0,0,1)*#REF!</f>
        <v>#REF!</v>
      </c>
      <c r="Q160" t="e">
        <f>_xlfn.XLOOKUP(TableauRecette[[#This Row],[ID]],TableauProduit[ID],TableauProduit[Total (kg) N6],0,0,1)*#REF!</f>
        <v>#REF!</v>
      </c>
      <c r="R160" t="e">
        <f>_xlfn.XLOOKUP(TableauRecette[[#This Row],[ID]],TableauProduit[ID],TableauProduit[Total (kg) N7],0,0,1)*#REF!</f>
        <v>#REF!</v>
      </c>
      <c r="S160" t="e">
        <f>_xlfn.XLOOKUP(TableauRecette[[#This Row],[ID]],TableauProduit[ID],TableauProduit[Total (kg) N8],0,0,1)*#REF!</f>
        <v>#REF!</v>
      </c>
      <c r="T160" t="e">
        <f>_xlfn.XLOOKUP(TableauRecette[[#This Row],[ID]],TableauProduit[ID],TableauProduit[Total (kg) N9],0,0,1)*#REF!</f>
        <v>#REF!</v>
      </c>
    </row>
    <row r="161" spans="1:20" x14ac:dyDescent="0.2">
      <c r="A161" t="s">
        <v>75</v>
      </c>
      <c r="B161" t="str">
        <f>TableauRecette[[#This Row],[Recette]]&amp;TableauRecette[[#This Row],[Conditionnement]]</f>
        <v>Épices viandes rougesEpice 100ml</v>
      </c>
      <c r="C161" t="s">
        <v>381</v>
      </c>
      <c r="D161">
        <v>6</v>
      </c>
      <c r="E161" t="s">
        <v>73</v>
      </c>
      <c r="F161">
        <f>IFERROR(TableauRecette[[#This Row],[Proportion]]/SUMIFS(TableauRecette[Proportion],TableauRecette[Recette],TableauRecette[[#This Row],[Recette]],TableauRecette[Conditionnement],TableauRecette[[#This Row],[Conditionnement]]),0)</f>
        <v>0.33149171270718231</v>
      </c>
      <c r="G161">
        <f>IFERROR(_xlfn.XLOOKUP(TableauRecette[[#This Row],[Ingredients]],TableauIngredients[Ingredients],#REF!,0)*#REF!,0)</f>
        <v>0</v>
      </c>
      <c r="H161">
        <f>IFERROR(SUMIFS(TableauRecette[Proportion],TableauRecette[Recette],TableauRecette[[#This Row],[Recette]],TableauRecette[Conditionnement],TableauRecette[[#This Row],[Conditionnement]]),0)</f>
        <v>18.100000000000001</v>
      </c>
      <c r="I16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61">
        <f>_xlfn.XLOOKUP(TableauRecette[[#This Row],[ID]],TableauProduit[ID],TableauProduit[Total (kg) N1],0,0,1)*_xlfn.XLOOKUP(TableauRecette[[#This Row],[ID]],TableauProduit[ID],TableauProduit[Total (kg) N1],0,0,1)</f>
        <v>506.25</v>
      </c>
      <c r="M161" t="e">
        <f>_xlfn.XLOOKUP(TableauRecette[[#This Row],[ID]],TableauProduit[ID],TableauProduit[Total (kg) N1],0,0,1)*_xlfn.XLOOKUP(TableauRecette[[#This Row],[ID]],TableauProduit[ID],TableauProduit[Total (kg) N2],0,0,1)</f>
        <v>#REF!</v>
      </c>
      <c r="N161" t="e">
        <f>_xlfn.XLOOKUP(TableauRecette[[#This Row],[ID]],TableauProduit[ID],TableauProduit[Total (kg) N3],0,0,1)*#REF!</f>
        <v>#REF!</v>
      </c>
      <c r="O161" t="e">
        <f>_xlfn.XLOOKUP(TableauRecette[[#This Row],[ID]],TableauProduit[ID],TableauProduit[Total (kg) N4],0,0,1)*#REF!</f>
        <v>#REF!</v>
      </c>
      <c r="P161" t="e">
        <f>_xlfn.XLOOKUP(TableauRecette[[#This Row],[ID]],TableauProduit[ID],TableauProduit[Total (kg) N5],0,0,1)*#REF!</f>
        <v>#REF!</v>
      </c>
      <c r="Q161" t="e">
        <f>_xlfn.XLOOKUP(TableauRecette[[#This Row],[ID]],TableauProduit[ID],TableauProduit[Total (kg) N6],0,0,1)*#REF!</f>
        <v>#REF!</v>
      </c>
      <c r="R161" t="e">
        <f>_xlfn.XLOOKUP(TableauRecette[[#This Row],[ID]],TableauProduit[ID],TableauProduit[Total (kg) N7],0,0,1)*#REF!</f>
        <v>#REF!</v>
      </c>
      <c r="S161" t="e">
        <f>_xlfn.XLOOKUP(TableauRecette[[#This Row],[ID]],TableauProduit[ID],TableauProduit[Total (kg) N8],0,0,1)*#REF!</f>
        <v>#REF!</v>
      </c>
      <c r="T161" t="e">
        <f>_xlfn.XLOOKUP(TableauRecette[[#This Row],[ID]],TableauProduit[ID],TableauProduit[Total (kg) N9],0,0,1)*#REF!</f>
        <v>#REF!</v>
      </c>
    </row>
    <row r="162" spans="1:20" x14ac:dyDescent="0.2">
      <c r="A162" t="s">
        <v>75</v>
      </c>
      <c r="B162" t="str">
        <f>TableauRecette[[#This Row],[Recette]]&amp;TableauRecette[[#This Row],[Conditionnement]]</f>
        <v>Épices viandes rougesEpice 100ml</v>
      </c>
      <c r="C162" t="s">
        <v>398</v>
      </c>
      <c r="D162">
        <v>0.1</v>
      </c>
      <c r="E162" t="s">
        <v>73</v>
      </c>
      <c r="F162">
        <f>IFERROR(TableauRecette[[#This Row],[Proportion]]/SUMIFS(TableauRecette[Proportion],TableauRecette[Recette],TableauRecette[[#This Row],[Recette]],TableauRecette[Conditionnement],TableauRecette[[#This Row],[Conditionnement]]),0)</f>
        <v>5.5248618784530384E-3</v>
      </c>
      <c r="G162">
        <f>IFERROR(_xlfn.XLOOKUP(TableauRecette[[#This Row],[Ingredients]],TableauIngredients[Ingredients],#REF!,0)*#REF!,0)</f>
        <v>0</v>
      </c>
      <c r="H162">
        <f>IFERROR(SUMIFS(TableauRecette[Proportion],TableauRecette[Recette],TableauRecette[[#This Row],[Recette]],TableauRecette[Conditionnement],TableauRecette[[#This Row],[Conditionnement]]),0)</f>
        <v>18.100000000000001</v>
      </c>
      <c r="I16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162" t="s">
        <v>341</v>
      </c>
      <c r="L162">
        <f>_xlfn.XLOOKUP(TableauRecette[[#This Row],[ID]],TableauProduit[ID],TableauProduit[Total (kg) N1],0,0,1)*_xlfn.XLOOKUP(TableauRecette[[#This Row],[ID]],TableauProduit[ID],TableauProduit[Total (kg) N1],0,0,1)</f>
        <v>506.25</v>
      </c>
      <c r="M162" t="e">
        <f>_xlfn.XLOOKUP(TableauRecette[[#This Row],[ID]],TableauProduit[ID],TableauProduit[Total (kg) N1],0,0,1)*_xlfn.XLOOKUP(TableauRecette[[#This Row],[ID]],TableauProduit[ID],TableauProduit[Total (kg) N2],0,0,1)</f>
        <v>#REF!</v>
      </c>
      <c r="N162" t="e">
        <f>_xlfn.XLOOKUP(TableauRecette[[#This Row],[ID]],TableauProduit[ID],TableauProduit[Total (kg) N3],0,0,1)*#REF!</f>
        <v>#REF!</v>
      </c>
      <c r="O162" t="e">
        <f>_xlfn.XLOOKUP(TableauRecette[[#This Row],[ID]],TableauProduit[ID],TableauProduit[Total (kg) N4],0,0,1)*#REF!</f>
        <v>#REF!</v>
      </c>
      <c r="P162" t="e">
        <f>_xlfn.XLOOKUP(TableauRecette[[#This Row],[ID]],TableauProduit[ID],TableauProduit[Total (kg) N5],0,0,1)*#REF!</f>
        <v>#REF!</v>
      </c>
      <c r="Q162" t="e">
        <f>_xlfn.XLOOKUP(TableauRecette[[#This Row],[ID]],TableauProduit[ID],TableauProduit[Total (kg) N6],0,0,1)*#REF!</f>
        <v>#REF!</v>
      </c>
      <c r="R162" t="e">
        <f>_xlfn.XLOOKUP(TableauRecette[[#This Row],[ID]],TableauProduit[ID],TableauProduit[Total (kg) N7],0,0,1)*#REF!</f>
        <v>#REF!</v>
      </c>
      <c r="S162" t="e">
        <f>_xlfn.XLOOKUP(TableauRecette[[#This Row],[ID]],TableauProduit[ID],TableauProduit[Total (kg) N8],0,0,1)*#REF!</f>
        <v>#REF!</v>
      </c>
      <c r="T162" t="e">
        <f>_xlfn.XLOOKUP(TableauRecette[[#This Row],[ID]],TableauProduit[ID],TableauProduit[Total (kg) N9],0,0,1)*#REF!</f>
        <v>#REF!</v>
      </c>
    </row>
    <row r="163" spans="1:20" x14ac:dyDescent="0.2">
      <c r="A163" t="s">
        <v>140</v>
      </c>
      <c r="B163" t="str">
        <f>TableauRecette[[#This Row],[Recette]]&amp;TableauRecette[[#This Row],[Conditionnement]]</f>
        <v>Garam masalaEpice 100ml</v>
      </c>
      <c r="C163" t="s">
        <v>352</v>
      </c>
      <c r="D163">
        <v>4</v>
      </c>
      <c r="E163" t="s">
        <v>73</v>
      </c>
      <c r="F163">
        <f>IFERROR(TableauRecette[[#This Row],[Proportion]]/SUMIFS(TableauRecette[Proportion],TableauRecette[Recette],TableauRecette[[#This Row],[Recette]],TableauRecette[Conditionnement],TableauRecette[[#This Row],[Conditionnement]]),0)</f>
        <v>0.23529411764705882</v>
      </c>
      <c r="G163">
        <f>IFERROR(_xlfn.XLOOKUP(TableauRecette[[#This Row],[Ingredients]],TableauIngredients[Ingredients],#REF!,0)*#REF!,0)</f>
        <v>0</v>
      </c>
      <c r="H163">
        <f>IFERROR(SUMIFS(TableauRecette[Proportion],TableauRecette[Recette],TableauRecette[[#This Row],[Recette]],TableauRecette[Conditionnement],TableauRecette[[#This Row],[Conditionnement]]),0)</f>
        <v>17</v>
      </c>
      <c r="I163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63">
        <f>_xlfn.XLOOKUP(TableauRecette[[#This Row],[ID]],TableauProduit[ID],TableauProduit[Total (kg) N1],0,0,1)*_xlfn.XLOOKUP(TableauRecette[[#This Row],[ID]],TableauProduit[ID],TableauProduit[Total (kg) N1],0,0,1)</f>
        <v>0</v>
      </c>
      <c r="M163" t="e">
        <f>_xlfn.XLOOKUP(TableauRecette[[#This Row],[ID]],TableauProduit[ID],TableauProduit[Total (kg) N1],0,0,1)*_xlfn.XLOOKUP(TableauRecette[[#This Row],[ID]],TableauProduit[ID],TableauProduit[Total (kg) N2],0,0,1)</f>
        <v>#REF!</v>
      </c>
      <c r="N163" t="e">
        <f>_xlfn.XLOOKUP(TableauRecette[[#This Row],[ID]],TableauProduit[ID],TableauProduit[Total (kg) N3],0,0,1)*#REF!</f>
        <v>#REF!</v>
      </c>
      <c r="O163" t="e">
        <f>_xlfn.XLOOKUP(TableauRecette[[#This Row],[ID]],TableauProduit[ID],TableauProduit[Total (kg) N4],0,0,1)*#REF!</f>
        <v>#REF!</v>
      </c>
      <c r="P163" t="e">
        <f>_xlfn.XLOOKUP(TableauRecette[[#This Row],[ID]],TableauProduit[ID],TableauProduit[Total (kg) N5],0,0,1)*#REF!</f>
        <v>#REF!</v>
      </c>
      <c r="Q163" t="e">
        <f>_xlfn.XLOOKUP(TableauRecette[[#This Row],[ID]],TableauProduit[ID],TableauProduit[Total (kg) N6],0,0,1)*#REF!</f>
        <v>#REF!</v>
      </c>
      <c r="R163" t="e">
        <f>_xlfn.XLOOKUP(TableauRecette[[#This Row],[ID]],TableauProduit[ID],TableauProduit[Total (kg) N7],0,0,1)*#REF!</f>
        <v>#REF!</v>
      </c>
      <c r="S163" t="e">
        <f>_xlfn.XLOOKUP(TableauRecette[[#This Row],[ID]],TableauProduit[ID],TableauProduit[Total (kg) N8],0,0,1)*#REF!</f>
        <v>#REF!</v>
      </c>
      <c r="T163" t="e">
        <f>_xlfn.XLOOKUP(TableauRecette[[#This Row],[ID]],TableauProduit[ID],TableauProduit[Total (kg) N9],0,0,1)*#REF!</f>
        <v>#REF!</v>
      </c>
    </row>
    <row r="164" spans="1:20" x14ac:dyDescent="0.2">
      <c r="A164" t="s">
        <v>140</v>
      </c>
      <c r="B164" t="str">
        <f>TableauRecette[[#This Row],[Recette]]&amp;TableauRecette[[#This Row],[Conditionnement]]</f>
        <v>Garam masalaEpice 100ml</v>
      </c>
      <c r="C164" t="s">
        <v>375</v>
      </c>
      <c r="D164">
        <v>3</v>
      </c>
      <c r="E164" t="s">
        <v>73</v>
      </c>
      <c r="F164">
        <f>IFERROR(TableauRecette[[#This Row],[Proportion]]/SUMIFS(TableauRecette[Proportion],TableauRecette[Recette],TableauRecette[[#This Row],[Recette]],TableauRecette[Conditionnement],TableauRecette[[#This Row],[Conditionnement]]),0)</f>
        <v>0.17647058823529413</v>
      </c>
      <c r="G164">
        <f>IFERROR(_xlfn.XLOOKUP(TableauRecette[[#This Row],[Ingredients]],TableauIngredients[Ingredients],#REF!,0)*#REF!,0)</f>
        <v>0</v>
      </c>
      <c r="H164">
        <f>IFERROR(SUMIFS(TableauRecette[Proportion],TableauRecette[Recette],TableauRecette[[#This Row],[Recette]],TableauRecette[Conditionnement],TableauRecette[[#This Row],[Conditionnement]]),0)</f>
        <v>17</v>
      </c>
      <c r="I164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64">
        <f>_xlfn.XLOOKUP(TableauRecette[[#This Row],[ID]],TableauProduit[ID],TableauProduit[Total (kg) N1],0,0,1)*_xlfn.XLOOKUP(TableauRecette[[#This Row],[ID]],TableauProduit[ID],TableauProduit[Total (kg) N1],0,0,1)</f>
        <v>0</v>
      </c>
      <c r="M164" t="e">
        <f>_xlfn.XLOOKUP(TableauRecette[[#This Row],[ID]],TableauProduit[ID],TableauProduit[Total (kg) N1],0,0,1)*_xlfn.XLOOKUP(TableauRecette[[#This Row],[ID]],TableauProduit[ID],TableauProduit[Total (kg) N2],0,0,1)</f>
        <v>#REF!</v>
      </c>
      <c r="N164" t="e">
        <f>_xlfn.XLOOKUP(TableauRecette[[#This Row],[ID]],TableauProduit[ID],TableauProduit[Total (kg) N3],0,0,1)*#REF!</f>
        <v>#REF!</v>
      </c>
      <c r="O164" t="e">
        <f>_xlfn.XLOOKUP(TableauRecette[[#This Row],[ID]],TableauProduit[ID],TableauProduit[Total (kg) N4],0,0,1)*#REF!</f>
        <v>#REF!</v>
      </c>
      <c r="P164" t="e">
        <f>_xlfn.XLOOKUP(TableauRecette[[#This Row],[ID]],TableauProduit[ID],TableauProduit[Total (kg) N5],0,0,1)*#REF!</f>
        <v>#REF!</v>
      </c>
      <c r="Q164" t="e">
        <f>_xlfn.XLOOKUP(TableauRecette[[#This Row],[ID]],TableauProduit[ID],TableauProduit[Total (kg) N6],0,0,1)*#REF!</f>
        <v>#REF!</v>
      </c>
      <c r="R164" t="e">
        <f>_xlfn.XLOOKUP(TableauRecette[[#This Row],[ID]],TableauProduit[ID],TableauProduit[Total (kg) N7],0,0,1)*#REF!</f>
        <v>#REF!</v>
      </c>
      <c r="S164" t="e">
        <f>_xlfn.XLOOKUP(TableauRecette[[#This Row],[ID]],TableauProduit[ID],TableauProduit[Total (kg) N8],0,0,1)*#REF!</f>
        <v>#REF!</v>
      </c>
      <c r="T164" t="e">
        <f>_xlfn.XLOOKUP(TableauRecette[[#This Row],[ID]],TableauProduit[ID],TableauProduit[Total (kg) N9],0,0,1)*#REF!</f>
        <v>#REF!</v>
      </c>
    </row>
    <row r="165" spans="1:20" x14ac:dyDescent="0.2">
      <c r="A165" t="s">
        <v>140</v>
      </c>
      <c r="B165" t="str">
        <f>TableauRecette[[#This Row],[Recette]]&amp;TableauRecette[[#This Row],[Conditionnement]]</f>
        <v>Garam masalaEpice 100ml</v>
      </c>
      <c r="C165" t="s">
        <v>342</v>
      </c>
      <c r="D165">
        <v>3</v>
      </c>
      <c r="E165" t="s">
        <v>73</v>
      </c>
      <c r="F165">
        <f>IFERROR(TableauRecette[[#This Row],[Proportion]]/SUMIFS(TableauRecette[Proportion],TableauRecette[Recette],TableauRecette[[#This Row],[Recette]],TableauRecette[Conditionnement],TableauRecette[[#This Row],[Conditionnement]]),0)</f>
        <v>0.17647058823529413</v>
      </c>
      <c r="G165">
        <f>IFERROR(_xlfn.XLOOKUP(TableauRecette[[#This Row],[Ingredients]],TableauIngredients[Ingredients],#REF!,0)*#REF!,0)</f>
        <v>0</v>
      </c>
      <c r="H165">
        <f>IFERROR(SUMIFS(TableauRecette[Proportion],TableauRecette[Recette],TableauRecette[[#This Row],[Recette]],TableauRecette[Conditionnement],TableauRecette[[#This Row],[Conditionnement]]),0)</f>
        <v>17</v>
      </c>
      <c r="I16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65">
        <f>_xlfn.XLOOKUP(TableauRecette[[#This Row],[ID]],TableauProduit[ID],TableauProduit[Total (kg) N1],0,0,1)*_xlfn.XLOOKUP(TableauRecette[[#This Row],[ID]],TableauProduit[ID],TableauProduit[Total (kg) N1],0,0,1)</f>
        <v>0</v>
      </c>
      <c r="M165" t="e">
        <f>_xlfn.XLOOKUP(TableauRecette[[#This Row],[ID]],TableauProduit[ID],TableauProduit[Total (kg) N1],0,0,1)*_xlfn.XLOOKUP(TableauRecette[[#This Row],[ID]],TableauProduit[ID],TableauProduit[Total (kg) N2],0,0,1)</f>
        <v>#REF!</v>
      </c>
      <c r="N165" t="e">
        <f>_xlfn.XLOOKUP(TableauRecette[[#This Row],[ID]],TableauProduit[ID],TableauProduit[Total (kg) N3],0,0,1)*#REF!</f>
        <v>#REF!</v>
      </c>
      <c r="O165" t="e">
        <f>_xlfn.XLOOKUP(TableauRecette[[#This Row],[ID]],TableauProduit[ID],TableauProduit[Total (kg) N4],0,0,1)*#REF!</f>
        <v>#REF!</v>
      </c>
      <c r="P165" t="e">
        <f>_xlfn.XLOOKUP(TableauRecette[[#This Row],[ID]],TableauProduit[ID],TableauProduit[Total (kg) N5],0,0,1)*#REF!</f>
        <v>#REF!</v>
      </c>
      <c r="Q165" t="e">
        <f>_xlfn.XLOOKUP(TableauRecette[[#This Row],[ID]],TableauProduit[ID],TableauProduit[Total (kg) N6],0,0,1)*#REF!</f>
        <v>#REF!</v>
      </c>
      <c r="R165" t="e">
        <f>_xlfn.XLOOKUP(TableauRecette[[#This Row],[ID]],TableauProduit[ID],TableauProduit[Total (kg) N7],0,0,1)*#REF!</f>
        <v>#REF!</v>
      </c>
      <c r="S165" t="e">
        <f>_xlfn.XLOOKUP(TableauRecette[[#This Row],[ID]],TableauProduit[ID],TableauProduit[Total (kg) N8],0,0,1)*#REF!</f>
        <v>#REF!</v>
      </c>
      <c r="T165" t="e">
        <f>_xlfn.XLOOKUP(TableauRecette[[#This Row],[ID]],TableauProduit[ID],TableauProduit[Total (kg) N9],0,0,1)*#REF!</f>
        <v>#REF!</v>
      </c>
    </row>
    <row r="166" spans="1:20" x14ac:dyDescent="0.2">
      <c r="A166" t="s">
        <v>140</v>
      </c>
      <c r="B166" t="str">
        <f>TableauRecette[[#This Row],[Recette]]&amp;TableauRecette[[#This Row],[Conditionnement]]</f>
        <v>Garam masalaEpice 100ml</v>
      </c>
      <c r="C166" t="s">
        <v>348</v>
      </c>
      <c r="D166">
        <v>3</v>
      </c>
      <c r="E166" t="s">
        <v>73</v>
      </c>
      <c r="F166">
        <f>IFERROR(TableauRecette[[#This Row],[Proportion]]/SUMIFS(TableauRecette[Proportion],TableauRecette[Recette],TableauRecette[[#This Row],[Recette]],TableauRecette[Conditionnement],TableauRecette[[#This Row],[Conditionnement]]),0)</f>
        <v>0.17647058823529413</v>
      </c>
      <c r="G166">
        <f>IFERROR(_xlfn.XLOOKUP(TableauRecette[[#This Row],[Ingredients]],TableauIngredients[Ingredients],#REF!,0)*#REF!,0)</f>
        <v>0</v>
      </c>
      <c r="H166">
        <f>IFERROR(SUMIFS(TableauRecette[Proportion],TableauRecette[Recette],TableauRecette[[#This Row],[Recette]],TableauRecette[Conditionnement],TableauRecette[[#This Row],[Conditionnement]]),0)</f>
        <v>17</v>
      </c>
      <c r="I166">
        <f>_xlfn.XLOOKUP(TableauRecette[[#This Row],[Ingredients]],TableauIngredients[Ingredients],TableauIngredients[Prix d''achat (kg)],0,0,1)*TableauRecette[[#This Row],[Proportion]]/TableauRecette[[#This Row],[Total Proportion]]</f>
        <v>6.5029411764705891</v>
      </c>
      <c r="L166">
        <f>_xlfn.XLOOKUP(TableauRecette[[#This Row],[ID]],TableauProduit[ID],TableauProduit[Total (kg) N1],0,0,1)*_xlfn.XLOOKUP(TableauRecette[[#This Row],[ID]],TableauProduit[ID],TableauProduit[Total (kg) N1],0,0,1)</f>
        <v>0</v>
      </c>
      <c r="M166" t="e">
        <f>_xlfn.XLOOKUP(TableauRecette[[#This Row],[ID]],TableauProduit[ID],TableauProduit[Total (kg) N1],0,0,1)*_xlfn.XLOOKUP(TableauRecette[[#This Row],[ID]],TableauProduit[ID],TableauProduit[Total (kg) N2],0,0,1)</f>
        <v>#REF!</v>
      </c>
      <c r="N166" t="e">
        <f>_xlfn.XLOOKUP(TableauRecette[[#This Row],[ID]],TableauProduit[ID],TableauProduit[Total (kg) N3],0,0,1)*#REF!</f>
        <v>#REF!</v>
      </c>
      <c r="O166" t="e">
        <f>_xlfn.XLOOKUP(TableauRecette[[#This Row],[ID]],TableauProduit[ID],TableauProduit[Total (kg) N4],0,0,1)*#REF!</f>
        <v>#REF!</v>
      </c>
      <c r="P166" t="e">
        <f>_xlfn.XLOOKUP(TableauRecette[[#This Row],[ID]],TableauProduit[ID],TableauProduit[Total (kg) N5],0,0,1)*#REF!</f>
        <v>#REF!</v>
      </c>
      <c r="Q166" t="e">
        <f>_xlfn.XLOOKUP(TableauRecette[[#This Row],[ID]],TableauProduit[ID],TableauProduit[Total (kg) N6],0,0,1)*#REF!</f>
        <v>#REF!</v>
      </c>
      <c r="R166" t="e">
        <f>_xlfn.XLOOKUP(TableauRecette[[#This Row],[ID]],TableauProduit[ID],TableauProduit[Total (kg) N7],0,0,1)*#REF!</f>
        <v>#REF!</v>
      </c>
      <c r="S166" t="e">
        <f>_xlfn.XLOOKUP(TableauRecette[[#This Row],[ID]],TableauProduit[ID],TableauProduit[Total (kg) N8],0,0,1)*#REF!</f>
        <v>#REF!</v>
      </c>
      <c r="T166" t="e">
        <f>_xlfn.XLOOKUP(TableauRecette[[#This Row],[ID]],TableauProduit[ID],TableauProduit[Total (kg) N9],0,0,1)*#REF!</f>
        <v>#REF!</v>
      </c>
    </row>
    <row r="167" spans="1:20" x14ac:dyDescent="0.2">
      <c r="A167" t="s">
        <v>140</v>
      </c>
      <c r="B167" t="str">
        <f>TableauRecette[[#This Row],[Recette]]&amp;TableauRecette[[#This Row],[Conditionnement]]</f>
        <v>Garam masalaEpice 100ml</v>
      </c>
      <c r="C167" t="s">
        <v>344</v>
      </c>
      <c r="D167">
        <v>2</v>
      </c>
      <c r="E167" t="s">
        <v>73</v>
      </c>
      <c r="F167">
        <f>IFERROR(TableauRecette[[#This Row],[Proportion]]/SUMIFS(TableauRecette[Proportion],TableauRecette[Recette],TableauRecette[[#This Row],[Recette]],TableauRecette[Conditionnement],TableauRecette[[#This Row],[Conditionnement]]),0)</f>
        <v>0.11764705882352941</v>
      </c>
      <c r="G167">
        <f>IFERROR(_xlfn.XLOOKUP(TableauRecette[[#This Row],[Ingredients]],TableauIngredients[Ingredients],#REF!,0)*#REF!,0)</f>
        <v>0</v>
      </c>
      <c r="H167">
        <f>IFERROR(SUMIFS(TableauRecette[Proportion],TableauRecette[Recette],TableauRecette[[#This Row],[Recette]],TableauRecette[Conditionnement],TableauRecette[[#This Row],[Conditionnement]]),0)</f>
        <v>17</v>
      </c>
      <c r="I16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67">
        <f>_xlfn.XLOOKUP(TableauRecette[[#This Row],[ID]],TableauProduit[ID],TableauProduit[Total (kg) N1],0,0,1)*_xlfn.XLOOKUP(TableauRecette[[#This Row],[ID]],TableauProduit[ID],TableauProduit[Total (kg) N1],0,0,1)</f>
        <v>0</v>
      </c>
      <c r="M167" t="e">
        <f>_xlfn.XLOOKUP(TableauRecette[[#This Row],[ID]],TableauProduit[ID],TableauProduit[Total (kg) N1],0,0,1)*_xlfn.XLOOKUP(TableauRecette[[#This Row],[ID]],TableauProduit[ID],TableauProduit[Total (kg) N2],0,0,1)</f>
        <v>#REF!</v>
      </c>
      <c r="N167" t="e">
        <f>_xlfn.XLOOKUP(TableauRecette[[#This Row],[ID]],TableauProduit[ID],TableauProduit[Total (kg) N3],0,0,1)*#REF!</f>
        <v>#REF!</v>
      </c>
      <c r="O167" t="e">
        <f>_xlfn.XLOOKUP(TableauRecette[[#This Row],[ID]],TableauProduit[ID],TableauProduit[Total (kg) N4],0,0,1)*#REF!</f>
        <v>#REF!</v>
      </c>
      <c r="P167" t="e">
        <f>_xlfn.XLOOKUP(TableauRecette[[#This Row],[ID]],TableauProduit[ID],TableauProduit[Total (kg) N5],0,0,1)*#REF!</f>
        <v>#REF!</v>
      </c>
      <c r="Q167" t="e">
        <f>_xlfn.XLOOKUP(TableauRecette[[#This Row],[ID]],TableauProduit[ID],TableauProduit[Total (kg) N6],0,0,1)*#REF!</f>
        <v>#REF!</v>
      </c>
      <c r="R167" t="e">
        <f>_xlfn.XLOOKUP(TableauRecette[[#This Row],[ID]],TableauProduit[ID],TableauProduit[Total (kg) N7],0,0,1)*#REF!</f>
        <v>#REF!</v>
      </c>
      <c r="S167" t="e">
        <f>_xlfn.XLOOKUP(TableauRecette[[#This Row],[ID]],TableauProduit[ID],TableauProduit[Total (kg) N8],0,0,1)*#REF!</f>
        <v>#REF!</v>
      </c>
      <c r="T167" t="e">
        <f>_xlfn.XLOOKUP(TableauRecette[[#This Row],[ID]],TableauProduit[ID],TableauProduit[Total (kg) N9],0,0,1)*#REF!</f>
        <v>#REF!</v>
      </c>
    </row>
    <row r="168" spans="1:20" x14ac:dyDescent="0.2">
      <c r="A168" t="s">
        <v>140</v>
      </c>
      <c r="B168" t="str">
        <f>TableauRecette[[#This Row],[Recette]]&amp;TableauRecette[[#This Row],[Conditionnement]]</f>
        <v>Garam masalaEpice 100ml</v>
      </c>
      <c r="C168" t="s">
        <v>350</v>
      </c>
      <c r="D168">
        <v>1</v>
      </c>
      <c r="E168" t="s">
        <v>73</v>
      </c>
      <c r="F168">
        <f>IFERROR(TableauRecette[[#This Row],[Proportion]]/SUMIFS(TableauRecette[Proportion],TableauRecette[Recette],TableauRecette[[#This Row],[Recette]],TableauRecette[Conditionnement],TableauRecette[[#This Row],[Conditionnement]]),0)</f>
        <v>5.8823529411764705E-2</v>
      </c>
      <c r="G168">
        <f>IFERROR(_xlfn.XLOOKUP(TableauRecette[[#This Row],[Ingredients]],TableauIngredients[Ingredients],#REF!,0)*#REF!,0)</f>
        <v>0</v>
      </c>
      <c r="H168">
        <f>IFERROR(SUMIFS(TableauRecette[Proportion],TableauRecette[Recette],TableauRecette[[#This Row],[Recette]],TableauRecette[Conditionnement],TableauRecette[[#This Row],[Conditionnement]]),0)</f>
        <v>17</v>
      </c>
      <c r="I168">
        <f>_xlfn.XLOOKUP(TableauRecette[[#This Row],[Ingredients]],TableauIngredients[Ingredients],TableauIngredients[Prix d''achat (kg)],0,0,1)*TableauRecette[[#This Row],[Proportion]]/TableauRecette[[#This Row],[Total Proportion]]</f>
        <v>2.1176470588235294</v>
      </c>
      <c r="L168">
        <f>_xlfn.XLOOKUP(TableauRecette[[#This Row],[ID]],TableauProduit[ID],TableauProduit[Total (kg) N1],0,0,1)*_xlfn.XLOOKUP(TableauRecette[[#This Row],[ID]],TableauProduit[ID],TableauProduit[Total (kg) N1],0,0,1)</f>
        <v>0</v>
      </c>
      <c r="M168" t="e">
        <f>_xlfn.XLOOKUP(TableauRecette[[#This Row],[ID]],TableauProduit[ID],TableauProduit[Total (kg) N1],0,0,1)*_xlfn.XLOOKUP(TableauRecette[[#This Row],[ID]],TableauProduit[ID],TableauProduit[Total (kg) N2],0,0,1)</f>
        <v>#REF!</v>
      </c>
      <c r="N168" t="e">
        <f>_xlfn.XLOOKUP(TableauRecette[[#This Row],[ID]],TableauProduit[ID],TableauProduit[Total (kg) N3],0,0,1)*#REF!</f>
        <v>#REF!</v>
      </c>
      <c r="O168" t="e">
        <f>_xlfn.XLOOKUP(TableauRecette[[#This Row],[ID]],TableauProduit[ID],TableauProduit[Total (kg) N4],0,0,1)*#REF!</f>
        <v>#REF!</v>
      </c>
      <c r="P168" t="e">
        <f>_xlfn.XLOOKUP(TableauRecette[[#This Row],[ID]],TableauProduit[ID],TableauProduit[Total (kg) N5],0,0,1)*#REF!</f>
        <v>#REF!</v>
      </c>
      <c r="Q168" t="e">
        <f>_xlfn.XLOOKUP(TableauRecette[[#This Row],[ID]],TableauProduit[ID],TableauProduit[Total (kg) N6],0,0,1)*#REF!</f>
        <v>#REF!</v>
      </c>
      <c r="R168" t="e">
        <f>_xlfn.XLOOKUP(TableauRecette[[#This Row],[ID]],TableauProduit[ID],TableauProduit[Total (kg) N7],0,0,1)*#REF!</f>
        <v>#REF!</v>
      </c>
      <c r="S168" t="e">
        <f>_xlfn.XLOOKUP(TableauRecette[[#This Row],[ID]],TableauProduit[ID],TableauProduit[Total (kg) N8],0,0,1)*#REF!</f>
        <v>#REF!</v>
      </c>
      <c r="T168" t="e">
        <f>_xlfn.XLOOKUP(TableauRecette[[#This Row],[ID]],TableauProduit[ID],TableauProduit[Total (kg) N9],0,0,1)*#REF!</f>
        <v>#REF!</v>
      </c>
    </row>
    <row r="169" spans="1:20" x14ac:dyDescent="0.2">
      <c r="A169" t="s">
        <v>140</v>
      </c>
      <c r="B169" t="str">
        <f>TableauRecette[[#This Row],[Recette]]&amp;TableauRecette[[#This Row],[Conditionnement]]</f>
        <v>Garam masalaEpice 100ml</v>
      </c>
      <c r="C169" t="s">
        <v>399</v>
      </c>
      <c r="D169">
        <v>1</v>
      </c>
      <c r="E169" t="s">
        <v>73</v>
      </c>
      <c r="F169">
        <f>IFERROR(TableauRecette[[#This Row],[Proportion]]/SUMIFS(TableauRecette[Proportion],TableauRecette[Recette],TableauRecette[[#This Row],[Recette]],TableauRecette[Conditionnement],TableauRecette[[#This Row],[Conditionnement]]),0)</f>
        <v>5.8823529411764705E-2</v>
      </c>
      <c r="G169">
        <f>IFERROR(_xlfn.XLOOKUP(TableauRecette[[#This Row],[Ingredients]],TableauIngredients[Ingredients],#REF!,0)*#REF!,0)</f>
        <v>0</v>
      </c>
      <c r="H169">
        <f>IFERROR(SUMIFS(TableauRecette[Proportion],TableauRecette[Recette],TableauRecette[[#This Row],[Recette]],TableauRecette[Conditionnement],TableauRecette[[#This Row],[Conditionnement]]),0)</f>
        <v>17</v>
      </c>
      <c r="I16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69">
        <f>_xlfn.XLOOKUP(TableauRecette[[#This Row],[ID]],TableauProduit[ID],TableauProduit[Total (kg) N1],0,0,1)*_xlfn.XLOOKUP(TableauRecette[[#This Row],[ID]],TableauProduit[ID],TableauProduit[Total (kg) N1],0,0,1)</f>
        <v>0</v>
      </c>
      <c r="M169" t="e">
        <f>_xlfn.XLOOKUP(TableauRecette[[#This Row],[ID]],TableauProduit[ID],TableauProduit[Total (kg) N1],0,0,1)*_xlfn.XLOOKUP(TableauRecette[[#This Row],[ID]],TableauProduit[ID],TableauProduit[Total (kg) N2],0,0,1)</f>
        <v>#REF!</v>
      </c>
      <c r="N169" t="e">
        <f>_xlfn.XLOOKUP(TableauRecette[[#This Row],[ID]],TableauProduit[ID],TableauProduit[Total (kg) N3],0,0,1)*#REF!</f>
        <v>#REF!</v>
      </c>
      <c r="O169" t="e">
        <f>_xlfn.XLOOKUP(TableauRecette[[#This Row],[ID]],TableauProduit[ID],TableauProduit[Total (kg) N4],0,0,1)*#REF!</f>
        <v>#REF!</v>
      </c>
      <c r="P169" t="e">
        <f>_xlfn.XLOOKUP(TableauRecette[[#This Row],[ID]],TableauProduit[ID],TableauProduit[Total (kg) N5],0,0,1)*#REF!</f>
        <v>#REF!</v>
      </c>
      <c r="Q169" t="e">
        <f>_xlfn.XLOOKUP(TableauRecette[[#This Row],[ID]],TableauProduit[ID],TableauProduit[Total (kg) N6],0,0,1)*#REF!</f>
        <v>#REF!</v>
      </c>
      <c r="R169" t="e">
        <f>_xlfn.XLOOKUP(TableauRecette[[#This Row],[ID]],TableauProduit[ID],TableauProduit[Total (kg) N7],0,0,1)*#REF!</f>
        <v>#REF!</v>
      </c>
      <c r="S169" t="e">
        <f>_xlfn.XLOOKUP(TableauRecette[[#This Row],[ID]],TableauProduit[ID],TableauProduit[Total (kg) N8],0,0,1)*#REF!</f>
        <v>#REF!</v>
      </c>
      <c r="T169" t="e">
        <f>_xlfn.XLOOKUP(TableauRecette[[#This Row],[ID]],TableauProduit[ID],TableauProduit[Total (kg) N9],0,0,1)*#REF!</f>
        <v>#REF!</v>
      </c>
    </row>
    <row r="170" spans="1:20" x14ac:dyDescent="0.2">
      <c r="A170" t="s">
        <v>141</v>
      </c>
      <c r="B170" t="str">
        <f>TableauRecette[[#This Row],[Recette]]&amp;TableauRecette[[#This Row],[Conditionnement]]</f>
        <v>Garam masala entierEpice 100ml</v>
      </c>
      <c r="C170" t="s">
        <v>342</v>
      </c>
      <c r="D170">
        <v>25</v>
      </c>
      <c r="E170" t="s">
        <v>73</v>
      </c>
      <c r="F170">
        <f>IFERROR(TableauRecette[[#This Row],[Proportion]]/SUMIFS(TableauRecette[Proportion],TableauRecette[Recette],TableauRecette[[#This Row],[Recette]],TableauRecette[Conditionnement],TableauRecette[[#This Row],[Conditionnement]]),0)</f>
        <v>0.23809523809523808</v>
      </c>
      <c r="G170">
        <f>IFERROR(_xlfn.XLOOKUP(TableauRecette[[#This Row],[Ingredients]],TableauIngredients[Ingredients],#REF!,0)*#REF!,0)</f>
        <v>0</v>
      </c>
      <c r="H170">
        <f>IFERROR(SUMIFS(TableauRecette[Proportion],TableauRecette[Recette],TableauRecette[[#This Row],[Recette]],TableauRecette[Conditionnement],TableauRecette[[#This Row],[Conditionnement]]),0)</f>
        <v>105</v>
      </c>
      <c r="I170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170" t="s">
        <v>390</v>
      </c>
      <c r="K170" t="s">
        <v>341</v>
      </c>
      <c r="L170">
        <f>_xlfn.XLOOKUP(TableauRecette[[#This Row],[ID]],TableauProduit[ID],TableauProduit[Total (kg) N1],0,0,1)*_xlfn.XLOOKUP(TableauRecette[[#This Row],[ID]],TableauProduit[ID],TableauProduit[Total (kg) N1],0,0,1)</f>
        <v>0</v>
      </c>
      <c r="M170" t="e">
        <f>_xlfn.XLOOKUP(TableauRecette[[#This Row],[ID]],TableauProduit[ID],TableauProduit[Total (kg) N1],0,0,1)*_xlfn.XLOOKUP(TableauRecette[[#This Row],[ID]],TableauProduit[ID],TableauProduit[Total (kg) N2],0,0,1)</f>
        <v>#REF!</v>
      </c>
      <c r="N170" t="e">
        <f>_xlfn.XLOOKUP(TableauRecette[[#This Row],[ID]],TableauProduit[ID],TableauProduit[Total (kg) N3],0,0,1)*#REF!</f>
        <v>#REF!</v>
      </c>
      <c r="O170" t="e">
        <f>_xlfn.XLOOKUP(TableauRecette[[#This Row],[ID]],TableauProduit[ID],TableauProduit[Total (kg) N4],0,0,1)*#REF!</f>
        <v>#REF!</v>
      </c>
      <c r="P170" t="e">
        <f>_xlfn.XLOOKUP(TableauRecette[[#This Row],[ID]],TableauProduit[ID],TableauProduit[Total (kg) N5],0,0,1)*#REF!</f>
        <v>#REF!</v>
      </c>
      <c r="Q170" t="e">
        <f>_xlfn.XLOOKUP(TableauRecette[[#This Row],[ID]],TableauProduit[ID],TableauProduit[Total (kg) N6],0,0,1)*#REF!</f>
        <v>#REF!</v>
      </c>
      <c r="R170" t="e">
        <f>_xlfn.XLOOKUP(TableauRecette[[#This Row],[ID]],TableauProduit[ID],TableauProduit[Total (kg) N7],0,0,1)*#REF!</f>
        <v>#REF!</v>
      </c>
      <c r="S170" t="e">
        <f>_xlfn.XLOOKUP(TableauRecette[[#This Row],[ID]],TableauProduit[ID],TableauProduit[Total (kg) N8],0,0,1)*#REF!</f>
        <v>#REF!</v>
      </c>
      <c r="T170" t="e">
        <f>_xlfn.XLOOKUP(TableauRecette[[#This Row],[ID]],TableauProduit[ID],TableauProduit[Total (kg) N9],0,0,1)*#REF!</f>
        <v>#REF!</v>
      </c>
    </row>
    <row r="171" spans="1:20" x14ac:dyDescent="0.2">
      <c r="A171" t="s">
        <v>141</v>
      </c>
      <c r="B171" t="str">
        <f>TableauRecette[[#This Row],[Recette]]&amp;TableauRecette[[#This Row],[Conditionnement]]</f>
        <v>Garam masala entierEpice 100ml</v>
      </c>
      <c r="C171" t="s">
        <v>400</v>
      </c>
      <c r="D171">
        <v>25</v>
      </c>
      <c r="E171" t="s">
        <v>73</v>
      </c>
      <c r="F171">
        <f>IFERROR(TableauRecette[[#This Row],[Proportion]]/SUMIFS(TableauRecette[Proportion],TableauRecette[Recette],TableauRecette[[#This Row],[Recette]],TableauRecette[Conditionnement],TableauRecette[[#This Row],[Conditionnement]]),0)</f>
        <v>0.23809523809523808</v>
      </c>
      <c r="G171">
        <f>IFERROR(_xlfn.XLOOKUP(TableauRecette[[#This Row],[Ingredients]],TableauIngredients[Ingredients],#REF!,0)*#REF!,0)</f>
        <v>0</v>
      </c>
      <c r="H171">
        <f>IFERROR(SUMIFS(TableauRecette[Proportion],TableauRecette[Recette],TableauRecette[[#This Row],[Recette]],TableauRecette[Conditionnement],TableauRecette[[#This Row],[Conditionnement]]),0)</f>
        <v>105</v>
      </c>
      <c r="I17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171" t="s">
        <v>390</v>
      </c>
      <c r="K171" t="s">
        <v>341</v>
      </c>
      <c r="L171">
        <f>_xlfn.XLOOKUP(TableauRecette[[#This Row],[ID]],TableauProduit[ID],TableauProduit[Total (kg) N1],0,0,1)*_xlfn.XLOOKUP(TableauRecette[[#This Row],[ID]],TableauProduit[ID],TableauProduit[Total (kg) N1],0,0,1)</f>
        <v>0</v>
      </c>
      <c r="M171" t="e">
        <f>_xlfn.XLOOKUP(TableauRecette[[#This Row],[ID]],TableauProduit[ID],TableauProduit[Total (kg) N1],0,0,1)*_xlfn.XLOOKUP(TableauRecette[[#This Row],[ID]],TableauProduit[ID],TableauProduit[Total (kg) N2],0,0,1)</f>
        <v>#REF!</v>
      </c>
      <c r="N171" t="e">
        <f>_xlfn.XLOOKUP(TableauRecette[[#This Row],[ID]],TableauProduit[ID],TableauProduit[Total (kg) N3],0,0,1)*#REF!</f>
        <v>#REF!</v>
      </c>
      <c r="O171" t="e">
        <f>_xlfn.XLOOKUP(TableauRecette[[#This Row],[ID]],TableauProduit[ID],TableauProduit[Total (kg) N4],0,0,1)*#REF!</f>
        <v>#REF!</v>
      </c>
      <c r="P171" t="e">
        <f>_xlfn.XLOOKUP(TableauRecette[[#This Row],[ID]],TableauProduit[ID],TableauProduit[Total (kg) N5],0,0,1)*#REF!</f>
        <v>#REF!</v>
      </c>
      <c r="Q171" t="e">
        <f>_xlfn.XLOOKUP(TableauRecette[[#This Row],[ID]],TableauProduit[ID],TableauProduit[Total (kg) N6],0,0,1)*#REF!</f>
        <v>#REF!</v>
      </c>
      <c r="R171" t="e">
        <f>_xlfn.XLOOKUP(TableauRecette[[#This Row],[ID]],TableauProduit[ID],TableauProduit[Total (kg) N7],0,0,1)*#REF!</f>
        <v>#REF!</v>
      </c>
      <c r="S171" t="e">
        <f>_xlfn.XLOOKUP(TableauRecette[[#This Row],[ID]],TableauProduit[ID],TableauProduit[Total (kg) N8],0,0,1)*#REF!</f>
        <v>#REF!</v>
      </c>
      <c r="T171" t="e">
        <f>_xlfn.XLOOKUP(TableauRecette[[#This Row],[ID]],TableauProduit[ID],TableauProduit[Total (kg) N9],0,0,1)*#REF!</f>
        <v>#REF!</v>
      </c>
    </row>
    <row r="172" spans="1:20" x14ac:dyDescent="0.2">
      <c r="A172" t="s">
        <v>141</v>
      </c>
      <c r="B172" t="str">
        <f>TableauRecette[[#This Row],[Recette]]&amp;TableauRecette[[#This Row],[Conditionnement]]</f>
        <v>Garam masala entierEpice 100ml</v>
      </c>
      <c r="C172" t="s">
        <v>401</v>
      </c>
      <c r="D172">
        <v>10</v>
      </c>
      <c r="E172" t="s">
        <v>73</v>
      </c>
      <c r="F172">
        <f>IFERROR(TableauRecette[[#This Row],[Proportion]]/SUMIFS(TableauRecette[Proportion],TableauRecette[Recette],TableauRecette[[#This Row],[Recette]],TableauRecette[Conditionnement],TableauRecette[[#This Row],[Conditionnement]]),0)</f>
        <v>9.5238095238095233E-2</v>
      </c>
      <c r="G172">
        <f>IFERROR(_xlfn.XLOOKUP(TableauRecette[[#This Row],[Ingredients]],TableauIngredients[Ingredients],#REF!,0)*#REF!,0)</f>
        <v>0</v>
      </c>
      <c r="H172">
        <f>IFERROR(SUMIFS(TableauRecette[Proportion],TableauRecette[Recette],TableauRecette[[#This Row],[Recette]],TableauRecette[Conditionnement],TableauRecette[[#This Row],[Conditionnement]]),0)</f>
        <v>105</v>
      </c>
      <c r="I17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172" t="s">
        <v>390</v>
      </c>
      <c r="K172" t="s">
        <v>341</v>
      </c>
      <c r="L172">
        <f>_xlfn.XLOOKUP(TableauRecette[[#This Row],[ID]],TableauProduit[ID],TableauProduit[Total (kg) N1],0,0,1)*_xlfn.XLOOKUP(TableauRecette[[#This Row],[ID]],TableauProduit[ID],TableauProduit[Total (kg) N1],0,0,1)</f>
        <v>0</v>
      </c>
      <c r="M172" t="e">
        <f>_xlfn.XLOOKUP(TableauRecette[[#This Row],[ID]],TableauProduit[ID],TableauProduit[Total (kg) N1],0,0,1)*_xlfn.XLOOKUP(TableauRecette[[#This Row],[ID]],TableauProduit[ID],TableauProduit[Total (kg) N2],0,0,1)</f>
        <v>#REF!</v>
      </c>
      <c r="N172" t="e">
        <f>_xlfn.XLOOKUP(TableauRecette[[#This Row],[ID]],TableauProduit[ID],TableauProduit[Total (kg) N3],0,0,1)*#REF!</f>
        <v>#REF!</v>
      </c>
      <c r="O172" t="e">
        <f>_xlfn.XLOOKUP(TableauRecette[[#This Row],[ID]],TableauProduit[ID],TableauProduit[Total (kg) N4],0,0,1)*#REF!</f>
        <v>#REF!</v>
      </c>
      <c r="P172" t="e">
        <f>_xlfn.XLOOKUP(TableauRecette[[#This Row],[ID]],TableauProduit[ID],TableauProduit[Total (kg) N5],0,0,1)*#REF!</f>
        <v>#REF!</v>
      </c>
      <c r="Q172" t="e">
        <f>_xlfn.XLOOKUP(TableauRecette[[#This Row],[ID]],TableauProduit[ID],TableauProduit[Total (kg) N6],0,0,1)*#REF!</f>
        <v>#REF!</v>
      </c>
      <c r="R172" t="e">
        <f>_xlfn.XLOOKUP(TableauRecette[[#This Row],[ID]],TableauProduit[ID],TableauProduit[Total (kg) N7],0,0,1)*#REF!</f>
        <v>#REF!</v>
      </c>
      <c r="S172" t="e">
        <f>_xlfn.XLOOKUP(TableauRecette[[#This Row],[ID]],TableauProduit[ID],TableauProduit[Total (kg) N8],0,0,1)*#REF!</f>
        <v>#REF!</v>
      </c>
      <c r="T172" t="e">
        <f>_xlfn.XLOOKUP(TableauRecette[[#This Row],[ID]],TableauProduit[ID],TableauProduit[Total (kg) N9],0,0,1)*#REF!</f>
        <v>#REF!</v>
      </c>
    </row>
    <row r="173" spans="1:20" x14ac:dyDescent="0.2">
      <c r="A173" t="s">
        <v>141</v>
      </c>
      <c r="B173" t="str">
        <f>TableauRecette[[#This Row],[Recette]]&amp;TableauRecette[[#This Row],[Conditionnement]]</f>
        <v>Garam masala entierEpice 100ml</v>
      </c>
      <c r="C173" t="s">
        <v>348</v>
      </c>
      <c r="D173">
        <v>25</v>
      </c>
      <c r="E173" t="s">
        <v>73</v>
      </c>
      <c r="F173">
        <f>IFERROR(TableauRecette[[#This Row],[Proportion]]/SUMIFS(TableauRecette[Proportion],TableauRecette[Recette],TableauRecette[[#This Row],[Recette]],TableauRecette[Conditionnement],TableauRecette[[#This Row],[Conditionnement]]),0)</f>
        <v>0.23809523809523808</v>
      </c>
      <c r="G173">
        <f>IFERROR(_xlfn.XLOOKUP(TableauRecette[[#This Row],[Ingredients]],TableauIngredients[Ingredients],#REF!,0)*#REF!,0)</f>
        <v>0</v>
      </c>
      <c r="H173">
        <f>IFERROR(SUMIFS(TableauRecette[Proportion],TableauRecette[Recette],TableauRecette[[#This Row],[Recette]],TableauRecette[Conditionnement],TableauRecette[[#This Row],[Conditionnement]]),0)</f>
        <v>105</v>
      </c>
      <c r="I173">
        <f>_xlfn.XLOOKUP(TableauRecette[[#This Row],[Ingredients]],TableauIngredients[Ingredients],TableauIngredients[Prix d''achat (kg)],0,0,1)*TableauRecette[[#This Row],[Proportion]]/TableauRecette[[#This Row],[Total Proportion]]</f>
        <v>8.7738095238095237</v>
      </c>
      <c r="J173" t="s">
        <v>402</v>
      </c>
      <c r="K173" t="s">
        <v>341</v>
      </c>
      <c r="L173">
        <f>_xlfn.XLOOKUP(TableauRecette[[#This Row],[ID]],TableauProduit[ID],TableauProduit[Total (kg) N1],0,0,1)*_xlfn.XLOOKUP(TableauRecette[[#This Row],[ID]],TableauProduit[ID],TableauProduit[Total (kg) N1],0,0,1)</f>
        <v>0</v>
      </c>
      <c r="M173" t="e">
        <f>_xlfn.XLOOKUP(TableauRecette[[#This Row],[ID]],TableauProduit[ID],TableauProduit[Total (kg) N1],0,0,1)*_xlfn.XLOOKUP(TableauRecette[[#This Row],[ID]],TableauProduit[ID],TableauProduit[Total (kg) N2],0,0,1)</f>
        <v>#REF!</v>
      </c>
      <c r="N173" t="e">
        <f>_xlfn.XLOOKUP(TableauRecette[[#This Row],[ID]],TableauProduit[ID],TableauProduit[Total (kg) N3],0,0,1)*#REF!</f>
        <v>#REF!</v>
      </c>
      <c r="O173" t="e">
        <f>_xlfn.XLOOKUP(TableauRecette[[#This Row],[ID]],TableauProduit[ID],TableauProduit[Total (kg) N4],0,0,1)*#REF!</f>
        <v>#REF!</v>
      </c>
      <c r="P173" t="e">
        <f>_xlfn.XLOOKUP(TableauRecette[[#This Row],[ID]],TableauProduit[ID],TableauProduit[Total (kg) N5],0,0,1)*#REF!</f>
        <v>#REF!</v>
      </c>
      <c r="Q173" t="e">
        <f>_xlfn.XLOOKUP(TableauRecette[[#This Row],[ID]],TableauProduit[ID],TableauProduit[Total (kg) N6],0,0,1)*#REF!</f>
        <v>#REF!</v>
      </c>
      <c r="R173" t="e">
        <f>_xlfn.XLOOKUP(TableauRecette[[#This Row],[ID]],TableauProduit[ID],TableauProduit[Total (kg) N7],0,0,1)*#REF!</f>
        <v>#REF!</v>
      </c>
      <c r="S173" t="e">
        <f>_xlfn.XLOOKUP(TableauRecette[[#This Row],[ID]],TableauProduit[ID],TableauProduit[Total (kg) N8],0,0,1)*#REF!</f>
        <v>#REF!</v>
      </c>
      <c r="T173" t="e">
        <f>_xlfn.XLOOKUP(TableauRecette[[#This Row],[ID]],TableauProduit[ID],TableauProduit[Total (kg) N9],0,0,1)*#REF!</f>
        <v>#REF!</v>
      </c>
    </row>
    <row r="174" spans="1:20" x14ac:dyDescent="0.2">
      <c r="A174" t="s">
        <v>141</v>
      </c>
      <c r="B174" t="str">
        <f>TableauRecette[[#This Row],[Recette]]&amp;TableauRecette[[#This Row],[Conditionnement]]</f>
        <v>Garam masala entierEpice 100ml</v>
      </c>
      <c r="C174" t="s">
        <v>403</v>
      </c>
      <c r="D174">
        <v>7</v>
      </c>
      <c r="E174" t="s">
        <v>73</v>
      </c>
      <c r="F174">
        <f>IFERROR(TableauRecette[[#This Row],[Proportion]]/SUMIFS(TableauRecette[Proportion],TableauRecette[Recette],TableauRecette[[#This Row],[Recette]],TableauRecette[Conditionnement],TableauRecette[[#This Row],[Conditionnement]]),0)</f>
        <v>6.6666666666666666E-2</v>
      </c>
      <c r="G174">
        <f>IFERROR(_xlfn.XLOOKUP(TableauRecette[[#This Row],[Ingredients]],TableauIngredients[Ingredients],#REF!,0)*#REF!,0)</f>
        <v>0</v>
      </c>
      <c r="H174">
        <f>IFERROR(SUMIFS(TableauRecette[Proportion],TableauRecette[Recette],TableauRecette[[#This Row],[Recette]],TableauRecette[Conditionnement],TableauRecette[[#This Row],[Conditionnement]]),0)</f>
        <v>105</v>
      </c>
      <c r="I174">
        <f>_xlfn.XLOOKUP(TableauRecette[[#This Row],[Ingredients]],TableauIngredients[Ingredients],TableauIngredients[Prix d''achat (kg)],0,0,1)*TableauRecette[[#This Row],[Proportion]]/TableauRecette[[#This Row],[Total Proportion]]</f>
        <v>33.333333333333336</v>
      </c>
      <c r="J174" t="s">
        <v>402</v>
      </c>
      <c r="K174" t="s">
        <v>341</v>
      </c>
      <c r="L174">
        <f>_xlfn.XLOOKUP(TableauRecette[[#This Row],[ID]],TableauProduit[ID],TableauProduit[Total (kg) N1],0,0,1)*_xlfn.XLOOKUP(TableauRecette[[#This Row],[ID]],TableauProduit[ID],TableauProduit[Total (kg) N1],0,0,1)</f>
        <v>0</v>
      </c>
      <c r="M174" t="e">
        <f>_xlfn.XLOOKUP(TableauRecette[[#This Row],[ID]],TableauProduit[ID],TableauProduit[Total (kg) N1],0,0,1)*_xlfn.XLOOKUP(TableauRecette[[#This Row],[ID]],TableauProduit[ID],TableauProduit[Total (kg) N2],0,0,1)</f>
        <v>#REF!</v>
      </c>
      <c r="N174" t="e">
        <f>_xlfn.XLOOKUP(TableauRecette[[#This Row],[ID]],TableauProduit[ID],TableauProduit[Total (kg) N3],0,0,1)*#REF!</f>
        <v>#REF!</v>
      </c>
      <c r="O174" t="e">
        <f>_xlfn.XLOOKUP(TableauRecette[[#This Row],[ID]],TableauProduit[ID],TableauProduit[Total (kg) N4],0,0,1)*#REF!</f>
        <v>#REF!</v>
      </c>
      <c r="P174" t="e">
        <f>_xlfn.XLOOKUP(TableauRecette[[#This Row],[ID]],TableauProduit[ID],TableauProduit[Total (kg) N5],0,0,1)*#REF!</f>
        <v>#REF!</v>
      </c>
      <c r="Q174" t="e">
        <f>_xlfn.XLOOKUP(TableauRecette[[#This Row],[ID]],TableauProduit[ID],TableauProduit[Total (kg) N6],0,0,1)*#REF!</f>
        <v>#REF!</v>
      </c>
      <c r="R174" t="e">
        <f>_xlfn.XLOOKUP(TableauRecette[[#This Row],[ID]],TableauProduit[ID],TableauProduit[Total (kg) N7],0,0,1)*#REF!</f>
        <v>#REF!</v>
      </c>
      <c r="S174" t="e">
        <f>_xlfn.XLOOKUP(TableauRecette[[#This Row],[ID]],TableauProduit[ID],TableauProduit[Total (kg) N8],0,0,1)*#REF!</f>
        <v>#REF!</v>
      </c>
      <c r="T174" t="e">
        <f>_xlfn.XLOOKUP(TableauRecette[[#This Row],[ID]],TableauProduit[ID],TableauProduit[Total (kg) N9],0,0,1)*#REF!</f>
        <v>#REF!</v>
      </c>
    </row>
    <row r="175" spans="1:20" x14ac:dyDescent="0.2">
      <c r="A175" t="s">
        <v>141</v>
      </c>
      <c r="B175" t="str">
        <f>TableauRecette[[#This Row],[Recette]]&amp;TableauRecette[[#This Row],[Conditionnement]]</f>
        <v>Garam masala entierEpice 100ml</v>
      </c>
      <c r="C175" t="s">
        <v>350</v>
      </c>
      <c r="D175">
        <v>10</v>
      </c>
      <c r="E175" t="s">
        <v>73</v>
      </c>
      <c r="F175">
        <f>IFERROR(TableauRecette[[#This Row],[Proportion]]/SUMIFS(TableauRecette[Proportion],TableauRecette[Recette],TableauRecette[[#This Row],[Recette]],TableauRecette[Conditionnement],TableauRecette[[#This Row],[Conditionnement]]),0)</f>
        <v>9.5238095238095233E-2</v>
      </c>
      <c r="G175">
        <f>IFERROR(_xlfn.XLOOKUP(TableauRecette[[#This Row],[Ingredients]],TableauIngredients[Ingredients],#REF!,0)*#REF!,0)</f>
        <v>0</v>
      </c>
      <c r="H175">
        <f>IFERROR(SUMIFS(TableauRecette[Proportion],TableauRecette[Recette],TableauRecette[[#This Row],[Recette]],TableauRecette[Conditionnement],TableauRecette[[#This Row],[Conditionnement]]),0)</f>
        <v>105</v>
      </c>
      <c r="I175">
        <f>_xlfn.XLOOKUP(TableauRecette[[#This Row],[Ingredients]],TableauIngredients[Ingredients],TableauIngredients[Prix d''achat (kg)],0,0,1)*TableauRecette[[#This Row],[Proportion]]/TableauRecette[[#This Row],[Total Proportion]]</f>
        <v>3.4285714285714284</v>
      </c>
      <c r="J175" t="s">
        <v>402</v>
      </c>
      <c r="K175" t="s">
        <v>341</v>
      </c>
      <c r="L175">
        <f>_xlfn.XLOOKUP(TableauRecette[[#This Row],[ID]],TableauProduit[ID],TableauProduit[Total (kg) N1],0,0,1)*_xlfn.XLOOKUP(TableauRecette[[#This Row],[ID]],TableauProduit[ID],TableauProduit[Total (kg) N1],0,0,1)</f>
        <v>0</v>
      </c>
      <c r="M175" t="e">
        <f>_xlfn.XLOOKUP(TableauRecette[[#This Row],[ID]],TableauProduit[ID],TableauProduit[Total (kg) N1],0,0,1)*_xlfn.XLOOKUP(TableauRecette[[#This Row],[ID]],TableauProduit[ID],TableauProduit[Total (kg) N2],0,0,1)</f>
        <v>#REF!</v>
      </c>
      <c r="N175" t="e">
        <f>_xlfn.XLOOKUP(TableauRecette[[#This Row],[ID]],TableauProduit[ID],TableauProduit[Total (kg) N3],0,0,1)*#REF!</f>
        <v>#REF!</v>
      </c>
      <c r="O175" t="e">
        <f>_xlfn.XLOOKUP(TableauRecette[[#This Row],[ID]],TableauProduit[ID],TableauProduit[Total (kg) N4],0,0,1)*#REF!</f>
        <v>#REF!</v>
      </c>
      <c r="P175" t="e">
        <f>_xlfn.XLOOKUP(TableauRecette[[#This Row],[ID]],TableauProduit[ID],TableauProduit[Total (kg) N5],0,0,1)*#REF!</f>
        <v>#REF!</v>
      </c>
      <c r="Q175" t="e">
        <f>_xlfn.XLOOKUP(TableauRecette[[#This Row],[ID]],TableauProduit[ID],TableauProduit[Total (kg) N6],0,0,1)*#REF!</f>
        <v>#REF!</v>
      </c>
      <c r="R175" t="e">
        <f>_xlfn.XLOOKUP(TableauRecette[[#This Row],[ID]],TableauProduit[ID],TableauProduit[Total (kg) N7],0,0,1)*#REF!</f>
        <v>#REF!</v>
      </c>
      <c r="S175" t="e">
        <f>_xlfn.XLOOKUP(TableauRecette[[#This Row],[ID]],TableauProduit[ID],TableauProduit[Total (kg) N8],0,0,1)*#REF!</f>
        <v>#REF!</v>
      </c>
      <c r="T175" t="e">
        <f>_xlfn.XLOOKUP(TableauRecette[[#This Row],[ID]],TableauProduit[ID],TableauProduit[Total (kg) N9],0,0,1)*#REF!</f>
        <v>#REF!</v>
      </c>
    </row>
    <row r="176" spans="1:20" x14ac:dyDescent="0.2">
      <c r="A176" t="s">
        <v>141</v>
      </c>
      <c r="B176" t="str">
        <f>TableauRecette[[#This Row],[Recette]]&amp;TableauRecette[[#This Row],[Conditionnement]]</f>
        <v>Garam masala entierEpice 100ml</v>
      </c>
      <c r="C176" t="s">
        <v>353</v>
      </c>
      <c r="D176">
        <v>3</v>
      </c>
      <c r="E176" t="s">
        <v>73</v>
      </c>
      <c r="F176">
        <f>IFERROR(TableauRecette[[#This Row],[Proportion]]/SUMIFS(TableauRecette[Proportion],TableauRecette[Recette],TableauRecette[[#This Row],[Recette]],TableauRecette[Conditionnement],TableauRecette[[#This Row],[Conditionnement]]),0)</f>
        <v>2.8571428571428571E-2</v>
      </c>
      <c r="G176">
        <f>IFERROR(_xlfn.XLOOKUP(TableauRecette[[#This Row],[Ingredients]],TableauIngredients[Ingredients],#REF!,0)*#REF!,0)</f>
        <v>0</v>
      </c>
      <c r="H176">
        <f>IFERROR(SUMIFS(TableauRecette[Proportion],TableauRecette[Recette],TableauRecette[[#This Row],[Recette]],TableauRecette[Conditionnement],TableauRecette[[#This Row],[Conditionnement]]),0)</f>
        <v>105</v>
      </c>
      <c r="I176">
        <f>_xlfn.XLOOKUP(TableauRecette[[#This Row],[Ingredients]],TableauIngredients[Ingredients],TableauIngredients[Prix d''achat (kg)],0,0,1)*TableauRecette[[#This Row],[Proportion]]/TableauRecette[[#This Row],[Total Proportion]]</f>
        <v>1.7142857142857142</v>
      </c>
      <c r="J176" t="s">
        <v>402</v>
      </c>
      <c r="K176" t="s">
        <v>341</v>
      </c>
      <c r="L176">
        <f>_xlfn.XLOOKUP(TableauRecette[[#This Row],[ID]],TableauProduit[ID],TableauProduit[Total (kg) N1],0,0,1)*_xlfn.XLOOKUP(TableauRecette[[#This Row],[ID]],TableauProduit[ID],TableauProduit[Total (kg) N1],0,0,1)</f>
        <v>0</v>
      </c>
      <c r="M176" t="e">
        <f>_xlfn.XLOOKUP(TableauRecette[[#This Row],[ID]],TableauProduit[ID],TableauProduit[Total (kg) N1],0,0,1)*_xlfn.XLOOKUP(TableauRecette[[#This Row],[ID]],TableauProduit[ID],TableauProduit[Total (kg) N2],0,0,1)</f>
        <v>#REF!</v>
      </c>
      <c r="N176" t="e">
        <f>_xlfn.XLOOKUP(TableauRecette[[#This Row],[ID]],TableauProduit[ID],TableauProduit[Total (kg) N3],0,0,1)*#REF!</f>
        <v>#REF!</v>
      </c>
      <c r="O176" t="e">
        <f>_xlfn.XLOOKUP(TableauRecette[[#This Row],[ID]],TableauProduit[ID],TableauProduit[Total (kg) N4],0,0,1)*#REF!</f>
        <v>#REF!</v>
      </c>
      <c r="P176" t="e">
        <f>_xlfn.XLOOKUP(TableauRecette[[#This Row],[ID]],TableauProduit[ID],TableauProduit[Total (kg) N5],0,0,1)*#REF!</f>
        <v>#REF!</v>
      </c>
      <c r="Q176" t="e">
        <f>_xlfn.XLOOKUP(TableauRecette[[#This Row],[ID]],TableauProduit[ID],TableauProduit[Total (kg) N6],0,0,1)*#REF!</f>
        <v>#REF!</v>
      </c>
      <c r="R176" t="e">
        <f>_xlfn.XLOOKUP(TableauRecette[[#This Row],[ID]],TableauProduit[ID],TableauProduit[Total (kg) N7],0,0,1)*#REF!</f>
        <v>#REF!</v>
      </c>
      <c r="S176" t="e">
        <f>_xlfn.XLOOKUP(TableauRecette[[#This Row],[ID]],TableauProduit[ID],TableauProduit[Total (kg) N8],0,0,1)*#REF!</f>
        <v>#REF!</v>
      </c>
      <c r="T176" t="e">
        <f>_xlfn.XLOOKUP(TableauRecette[[#This Row],[ID]],TableauProduit[ID],TableauProduit[Total (kg) N9],0,0,1)*#REF!</f>
        <v>#REF!</v>
      </c>
    </row>
    <row r="177" spans="1:20" x14ac:dyDescent="0.2">
      <c r="A177" t="s">
        <v>138</v>
      </c>
      <c r="B177" t="str">
        <f>TableauRecette[[#This Row],[Recette]]&amp;TableauRecette[[#This Row],[Conditionnement]]</f>
        <v>Garam masala birmanEpice 100ml</v>
      </c>
      <c r="C177" t="s">
        <v>351</v>
      </c>
      <c r="D177">
        <v>1</v>
      </c>
      <c r="E177" t="s">
        <v>73</v>
      </c>
      <c r="F177">
        <f>IFERROR(TableauRecette[[#This Row],[Proportion]]/SUMIFS(TableauRecette[Proportion],TableauRecette[Recette],TableauRecette[[#This Row],[Recette]],TableauRecette[Conditionnement],TableauRecette[[#This Row],[Conditionnement]]),0)</f>
        <v>0.11764705882352941</v>
      </c>
      <c r="G177">
        <f>IFERROR(_xlfn.XLOOKUP(TableauRecette[[#This Row],[Ingredients]],TableauIngredients[Ingredients],#REF!,0)*#REF!,0)</f>
        <v>0</v>
      </c>
      <c r="H177">
        <f>IFERROR(SUMIFS(TableauRecette[Proportion],TableauRecette[Recette],TableauRecette[[#This Row],[Recette]],TableauRecette[Conditionnement],TableauRecette[[#This Row],[Conditionnement]]),0)</f>
        <v>8.5</v>
      </c>
      <c r="I17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177" t="s">
        <v>404</v>
      </c>
      <c r="K177" t="s">
        <v>341</v>
      </c>
      <c r="L177">
        <f>_xlfn.XLOOKUP(TableauRecette[[#This Row],[ID]],TableauProduit[ID],TableauProduit[Total (kg) N1],0,0,1)*_xlfn.XLOOKUP(TableauRecette[[#This Row],[ID]],TableauProduit[ID],TableauProduit[Total (kg) N1],0,0,1)</f>
        <v>0</v>
      </c>
      <c r="M177" t="e">
        <f>_xlfn.XLOOKUP(TableauRecette[[#This Row],[ID]],TableauProduit[ID],TableauProduit[Total (kg) N1],0,0,1)*_xlfn.XLOOKUP(TableauRecette[[#This Row],[ID]],TableauProduit[ID],TableauProduit[Total (kg) N2],0,0,1)</f>
        <v>#REF!</v>
      </c>
      <c r="N177" t="e">
        <f>_xlfn.XLOOKUP(TableauRecette[[#This Row],[ID]],TableauProduit[ID],TableauProduit[Total (kg) N3],0,0,1)*#REF!</f>
        <v>#REF!</v>
      </c>
      <c r="O177" t="e">
        <f>_xlfn.XLOOKUP(TableauRecette[[#This Row],[ID]],TableauProduit[ID],TableauProduit[Total (kg) N4],0,0,1)*#REF!</f>
        <v>#REF!</v>
      </c>
      <c r="P177" t="e">
        <f>_xlfn.XLOOKUP(TableauRecette[[#This Row],[ID]],TableauProduit[ID],TableauProduit[Total (kg) N5],0,0,1)*#REF!</f>
        <v>#REF!</v>
      </c>
      <c r="Q177" t="e">
        <f>_xlfn.XLOOKUP(TableauRecette[[#This Row],[ID]],TableauProduit[ID],TableauProduit[Total (kg) N6],0,0,1)*#REF!</f>
        <v>#REF!</v>
      </c>
      <c r="R177" t="e">
        <f>_xlfn.XLOOKUP(TableauRecette[[#This Row],[ID]],TableauProduit[ID],TableauProduit[Total (kg) N7],0,0,1)*#REF!</f>
        <v>#REF!</v>
      </c>
      <c r="S177" t="e">
        <f>_xlfn.XLOOKUP(TableauRecette[[#This Row],[ID]],TableauProduit[ID],TableauProduit[Total (kg) N8],0,0,1)*#REF!</f>
        <v>#REF!</v>
      </c>
      <c r="T177" t="e">
        <f>_xlfn.XLOOKUP(TableauRecette[[#This Row],[ID]],TableauProduit[ID],TableauProduit[Total (kg) N9],0,0,1)*#REF!</f>
        <v>#REF!</v>
      </c>
    </row>
    <row r="178" spans="1:20" x14ac:dyDescent="0.2">
      <c r="A178" t="s">
        <v>138</v>
      </c>
      <c r="B178" t="str">
        <f>TableauRecette[[#This Row],[Recette]]&amp;TableauRecette[[#This Row],[Conditionnement]]</f>
        <v>Garam masala birmanEpice 100ml</v>
      </c>
      <c r="C178" t="s">
        <v>348</v>
      </c>
      <c r="D178">
        <v>1</v>
      </c>
      <c r="E178" t="s">
        <v>73</v>
      </c>
      <c r="F178">
        <f>IFERROR(TableauRecette[[#This Row],[Proportion]]/SUMIFS(TableauRecette[Proportion],TableauRecette[Recette],TableauRecette[[#This Row],[Recette]],TableauRecette[Conditionnement],TableauRecette[[#This Row],[Conditionnement]]),0)</f>
        <v>0.11764705882352941</v>
      </c>
      <c r="G178">
        <f>IFERROR(_xlfn.XLOOKUP(TableauRecette[[#This Row],[Ingredients]],TableauIngredients[Ingredients],#REF!,0)*#REF!,0)</f>
        <v>0</v>
      </c>
      <c r="H178">
        <f>IFERROR(SUMIFS(TableauRecette[Proportion],TableauRecette[Recette],TableauRecette[[#This Row],[Recette]],TableauRecette[Conditionnement],TableauRecette[[#This Row],[Conditionnement]]),0)</f>
        <v>8.5</v>
      </c>
      <c r="I178">
        <f>_xlfn.XLOOKUP(TableauRecette[[#This Row],[Ingredients]],TableauIngredients[Ingredients],TableauIngredients[Prix d''achat (kg)],0,0,1)*TableauRecette[[#This Row],[Proportion]]/TableauRecette[[#This Row],[Total Proportion]]</f>
        <v>4.3352941176470594</v>
      </c>
      <c r="J178" t="s">
        <v>404</v>
      </c>
      <c r="K178" t="s">
        <v>341</v>
      </c>
      <c r="L178">
        <f>_xlfn.XLOOKUP(TableauRecette[[#This Row],[ID]],TableauProduit[ID],TableauProduit[Total (kg) N1],0,0,1)*_xlfn.XLOOKUP(TableauRecette[[#This Row],[ID]],TableauProduit[ID],TableauProduit[Total (kg) N1],0,0,1)</f>
        <v>0</v>
      </c>
      <c r="M178" t="e">
        <f>_xlfn.XLOOKUP(TableauRecette[[#This Row],[ID]],TableauProduit[ID],TableauProduit[Total (kg) N1],0,0,1)*_xlfn.XLOOKUP(TableauRecette[[#This Row],[ID]],TableauProduit[ID],TableauProduit[Total (kg) N2],0,0,1)</f>
        <v>#REF!</v>
      </c>
      <c r="N178" t="e">
        <f>_xlfn.XLOOKUP(TableauRecette[[#This Row],[ID]],TableauProduit[ID],TableauProduit[Total (kg) N3],0,0,1)*#REF!</f>
        <v>#REF!</v>
      </c>
      <c r="O178" t="e">
        <f>_xlfn.XLOOKUP(TableauRecette[[#This Row],[ID]],TableauProduit[ID],TableauProduit[Total (kg) N4],0,0,1)*#REF!</f>
        <v>#REF!</v>
      </c>
      <c r="P178" t="e">
        <f>_xlfn.XLOOKUP(TableauRecette[[#This Row],[ID]],TableauProduit[ID],TableauProduit[Total (kg) N5],0,0,1)*#REF!</f>
        <v>#REF!</v>
      </c>
      <c r="Q178" t="e">
        <f>_xlfn.XLOOKUP(TableauRecette[[#This Row],[ID]],TableauProduit[ID],TableauProduit[Total (kg) N6],0,0,1)*#REF!</f>
        <v>#REF!</v>
      </c>
      <c r="R178" t="e">
        <f>_xlfn.XLOOKUP(TableauRecette[[#This Row],[ID]],TableauProduit[ID],TableauProduit[Total (kg) N7],0,0,1)*#REF!</f>
        <v>#REF!</v>
      </c>
      <c r="S178" t="e">
        <f>_xlfn.XLOOKUP(TableauRecette[[#This Row],[ID]],TableauProduit[ID],TableauProduit[Total (kg) N8],0,0,1)*#REF!</f>
        <v>#REF!</v>
      </c>
      <c r="T178" t="e">
        <f>_xlfn.XLOOKUP(TableauRecette[[#This Row],[ID]],TableauProduit[ID],TableauProduit[Total (kg) N9],0,0,1)*#REF!</f>
        <v>#REF!</v>
      </c>
    </row>
    <row r="179" spans="1:20" x14ac:dyDescent="0.2">
      <c r="A179" t="s">
        <v>138</v>
      </c>
      <c r="B179" t="str">
        <f>TableauRecette[[#This Row],[Recette]]&amp;TableauRecette[[#This Row],[Conditionnement]]</f>
        <v>Garam masala birmanEpice 100ml</v>
      </c>
      <c r="C179" t="s">
        <v>343</v>
      </c>
      <c r="D179">
        <v>1</v>
      </c>
      <c r="E179" t="s">
        <v>73</v>
      </c>
      <c r="F179">
        <f>IFERROR(TableauRecette[[#This Row],[Proportion]]/SUMIFS(TableauRecette[Proportion],TableauRecette[Recette],TableauRecette[[#This Row],[Recette]],TableauRecette[Conditionnement],TableauRecette[[#This Row],[Conditionnement]]),0)</f>
        <v>0.11764705882352941</v>
      </c>
      <c r="G179">
        <f>IFERROR(_xlfn.XLOOKUP(TableauRecette[[#This Row],[Ingredients]],TableauIngredients[Ingredients],#REF!,0)*#REF!,0)</f>
        <v>0</v>
      </c>
      <c r="H179">
        <f>IFERROR(SUMIFS(TableauRecette[Proportion],TableauRecette[Recette],TableauRecette[[#This Row],[Recette]],TableauRecette[Conditionnement],TableauRecette[[#This Row],[Conditionnement]]),0)</f>
        <v>8.5</v>
      </c>
      <c r="I17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179" t="s">
        <v>404</v>
      </c>
      <c r="K179" t="s">
        <v>341</v>
      </c>
      <c r="L179">
        <f>_xlfn.XLOOKUP(TableauRecette[[#This Row],[ID]],TableauProduit[ID],TableauProduit[Total (kg) N1],0,0,1)*_xlfn.XLOOKUP(TableauRecette[[#This Row],[ID]],TableauProduit[ID],TableauProduit[Total (kg) N1],0,0,1)</f>
        <v>0</v>
      </c>
      <c r="M179" t="e">
        <f>_xlfn.XLOOKUP(TableauRecette[[#This Row],[ID]],TableauProduit[ID],TableauProduit[Total (kg) N1],0,0,1)*_xlfn.XLOOKUP(TableauRecette[[#This Row],[ID]],TableauProduit[ID],TableauProduit[Total (kg) N2],0,0,1)</f>
        <v>#REF!</v>
      </c>
      <c r="N179" t="e">
        <f>_xlfn.XLOOKUP(TableauRecette[[#This Row],[ID]],TableauProduit[ID],TableauProduit[Total (kg) N3],0,0,1)*#REF!</f>
        <v>#REF!</v>
      </c>
      <c r="O179" t="e">
        <f>_xlfn.XLOOKUP(TableauRecette[[#This Row],[ID]],TableauProduit[ID],TableauProduit[Total (kg) N4],0,0,1)*#REF!</f>
        <v>#REF!</v>
      </c>
      <c r="P179" t="e">
        <f>_xlfn.XLOOKUP(TableauRecette[[#This Row],[ID]],TableauProduit[ID],TableauProduit[Total (kg) N5],0,0,1)*#REF!</f>
        <v>#REF!</v>
      </c>
      <c r="Q179" t="e">
        <f>_xlfn.XLOOKUP(TableauRecette[[#This Row],[ID]],TableauProduit[ID],TableauProduit[Total (kg) N6],0,0,1)*#REF!</f>
        <v>#REF!</v>
      </c>
      <c r="R179" t="e">
        <f>_xlfn.XLOOKUP(TableauRecette[[#This Row],[ID]],TableauProduit[ID],TableauProduit[Total (kg) N7],0,0,1)*#REF!</f>
        <v>#REF!</v>
      </c>
      <c r="S179" t="e">
        <f>_xlfn.XLOOKUP(TableauRecette[[#This Row],[ID]],TableauProduit[ID],TableauProduit[Total (kg) N8],0,0,1)*#REF!</f>
        <v>#REF!</v>
      </c>
      <c r="T179" t="e">
        <f>_xlfn.XLOOKUP(TableauRecette[[#This Row],[ID]],TableauProduit[ID],TableauProduit[Total (kg) N9],0,0,1)*#REF!</f>
        <v>#REF!</v>
      </c>
    </row>
    <row r="180" spans="1:20" x14ac:dyDescent="0.2">
      <c r="A180" t="s">
        <v>138</v>
      </c>
      <c r="B180" t="str">
        <f>TableauRecette[[#This Row],[Recette]]&amp;TableauRecette[[#This Row],[Conditionnement]]</f>
        <v>Garam masala birmanEpice 100ml</v>
      </c>
      <c r="C180" t="s">
        <v>382</v>
      </c>
      <c r="D180">
        <v>0.5</v>
      </c>
      <c r="E180" t="s">
        <v>73</v>
      </c>
      <c r="F180">
        <f>IFERROR(TableauRecette[[#This Row],[Proportion]]/SUMIFS(TableauRecette[Proportion],TableauRecette[Recette],TableauRecette[[#This Row],[Recette]],TableauRecette[Conditionnement],TableauRecette[[#This Row],[Conditionnement]]),0)</f>
        <v>5.8823529411764705E-2</v>
      </c>
      <c r="G180">
        <f>IFERROR(_xlfn.XLOOKUP(TableauRecette[[#This Row],[Ingredients]],TableauIngredients[Ingredients],#REF!,0)*#REF!,0)</f>
        <v>0</v>
      </c>
      <c r="H180">
        <f>IFERROR(SUMIFS(TableauRecette[Proportion],TableauRecette[Recette],TableauRecette[[#This Row],[Recette]],TableauRecette[Conditionnement],TableauRecette[[#This Row],[Conditionnement]]),0)</f>
        <v>8.5</v>
      </c>
      <c r="I180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180" t="s">
        <v>404</v>
      </c>
      <c r="K180" t="s">
        <v>341</v>
      </c>
      <c r="L180">
        <f>_xlfn.XLOOKUP(TableauRecette[[#This Row],[ID]],TableauProduit[ID],TableauProduit[Total (kg) N1],0,0,1)*_xlfn.XLOOKUP(TableauRecette[[#This Row],[ID]],TableauProduit[ID],TableauProduit[Total (kg) N1],0,0,1)</f>
        <v>0</v>
      </c>
      <c r="M180" t="e">
        <f>_xlfn.XLOOKUP(TableauRecette[[#This Row],[ID]],TableauProduit[ID],TableauProduit[Total (kg) N1],0,0,1)*_xlfn.XLOOKUP(TableauRecette[[#This Row],[ID]],TableauProduit[ID],TableauProduit[Total (kg) N2],0,0,1)</f>
        <v>#REF!</v>
      </c>
      <c r="N180" t="e">
        <f>_xlfn.XLOOKUP(TableauRecette[[#This Row],[ID]],TableauProduit[ID],TableauProduit[Total (kg) N3],0,0,1)*#REF!</f>
        <v>#REF!</v>
      </c>
      <c r="O180" t="e">
        <f>_xlfn.XLOOKUP(TableauRecette[[#This Row],[ID]],TableauProduit[ID],TableauProduit[Total (kg) N4],0,0,1)*#REF!</f>
        <v>#REF!</v>
      </c>
      <c r="P180" t="e">
        <f>_xlfn.XLOOKUP(TableauRecette[[#This Row],[ID]],TableauProduit[ID],TableauProduit[Total (kg) N5],0,0,1)*#REF!</f>
        <v>#REF!</v>
      </c>
      <c r="Q180" t="e">
        <f>_xlfn.XLOOKUP(TableauRecette[[#This Row],[ID]],TableauProduit[ID],TableauProduit[Total (kg) N6],0,0,1)*#REF!</f>
        <v>#REF!</v>
      </c>
      <c r="R180" t="e">
        <f>_xlfn.XLOOKUP(TableauRecette[[#This Row],[ID]],TableauProduit[ID],TableauProduit[Total (kg) N7],0,0,1)*#REF!</f>
        <v>#REF!</v>
      </c>
      <c r="S180" t="e">
        <f>_xlfn.XLOOKUP(TableauRecette[[#This Row],[ID]],TableauProduit[ID],TableauProduit[Total (kg) N8],0,0,1)*#REF!</f>
        <v>#REF!</v>
      </c>
      <c r="T180" t="e">
        <f>_xlfn.XLOOKUP(TableauRecette[[#This Row],[ID]],TableauProduit[ID],TableauProduit[Total (kg) N9],0,0,1)*#REF!</f>
        <v>#REF!</v>
      </c>
    </row>
    <row r="181" spans="1:20" x14ac:dyDescent="0.2">
      <c r="A181" t="s">
        <v>138</v>
      </c>
      <c r="B181" t="str">
        <f>TableauRecette[[#This Row],[Recette]]&amp;TableauRecette[[#This Row],[Conditionnement]]</f>
        <v>Garam masala birmanEpice 100ml</v>
      </c>
      <c r="C181" t="s">
        <v>342</v>
      </c>
      <c r="D181">
        <v>1</v>
      </c>
      <c r="E181" t="s">
        <v>73</v>
      </c>
      <c r="F181">
        <f>IFERROR(TableauRecette[[#This Row],[Proportion]]/SUMIFS(TableauRecette[Proportion],TableauRecette[Recette],TableauRecette[[#This Row],[Recette]],TableauRecette[Conditionnement],TableauRecette[[#This Row],[Conditionnement]]),0)</f>
        <v>0.11764705882352941</v>
      </c>
      <c r="G181">
        <f>IFERROR(_xlfn.XLOOKUP(TableauRecette[[#This Row],[Ingredients]],TableauIngredients[Ingredients],#REF!,0)*#REF!,0)</f>
        <v>0</v>
      </c>
      <c r="H181">
        <f>IFERROR(SUMIFS(TableauRecette[Proportion],TableauRecette[Recette],TableauRecette[[#This Row],[Recette]],TableauRecette[Conditionnement],TableauRecette[[#This Row],[Conditionnement]]),0)</f>
        <v>8.5</v>
      </c>
      <c r="I18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181" t="s">
        <v>404</v>
      </c>
      <c r="K181" t="s">
        <v>341</v>
      </c>
      <c r="L181">
        <f>_xlfn.XLOOKUP(TableauRecette[[#This Row],[ID]],TableauProduit[ID],TableauProduit[Total (kg) N1],0,0,1)*_xlfn.XLOOKUP(TableauRecette[[#This Row],[ID]],TableauProduit[ID],TableauProduit[Total (kg) N1],0,0,1)</f>
        <v>0</v>
      </c>
      <c r="M181" t="e">
        <f>_xlfn.XLOOKUP(TableauRecette[[#This Row],[ID]],TableauProduit[ID],TableauProduit[Total (kg) N1],0,0,1)*_xlfn.XLOOKUP(TableauRecette[[#This Row],[ID]],TableauProduit[ID],TableauProduit[Total (kg) N2],0,0,1)</f>
        <v>#REF!</v>
      </c>
      <c r="N181" t="e">
        <f>_xlfn.XLOOKUP(TableauRecette[[#This Row],[ID]],TableauProduit[ID],TableauProduit[Total (kg) N3],0,0,1)*#REF!</f>
        <v>#REF!</v>
      </c>
      <c r="O181" t="e">
        <f>_xlfn.XLOOKUP(TableauRecette[[#This Row],[ID]],TableauProduit[ID],TableauProduit[Total (kg) N4],0,0,1)*#REF!</f>
        <v>#REF!</v>
      </c>
      <c r="P181" t="e">
        <f>_xlfn.XLOOKUP(TableauRecette[[#This Row],[ID]],TableauProduit[ID],TableauProduit[Total (kg) N5],0,0,1)*#REF!</f>
        <v>#REF!</v>
      </c>
      <c r="Q181" t="e">
        <f>_xlfn.XLOOKUP(TableauRecette[[#This Row],[ID]],TableauProduit[ID],TableauProduit[Total (kg) N6],0,0,1)*#REF!</f>
        <v>#REF!</v>
      </c>
      <c r="R181" t="e">
        <f>_xlfn.XLOOKUP(TableauRecette[[#This Row],[ID]],TableauProduit[ID],TableauProduit[Total (kg) N7],0,0,1)*#REF!</f>
        <v>#REF!</v>
      </c>
      <c r="S181" t="e">
        <f>_xlfn.XLOOKUP(TableauRecette[[#This Row],[ID]],TableauProduit[ID],TableauProduit[Total (kg) N8],0,0,1)*#REF!</f>
        <v>#REF!</v>
      </c>
      <c r="T181" t="e">
        <f>_xlfn.XLOOKUP(TableauRecette[[#This Row],[ID]],TableauProduit[ID],TableauProduit[Total (kg) N9],0,0,1)*#REF!</f>
        <v>#REF!</v>
      </c>
    </row>
    <row r="182" spans="1:20" x14ac:dyDescent="0.2">
      <c r="A182" t="s">
        <v>138</v>
      </c>
      <c r="B182" t="str">
        <f>TableauRecette[[#This Row],[Recette]]&amp;TableauRecette[[#This Row],[Conditionnement]]</f>
        <v>Garam masala birmanEpice 100ml</v>
      </c>
      <c r="C182" t="s">
        <v>350</v>
      </c>
      <c r="D182">
        <v>1</v>
      </c>
      <c r="E182" t="s">
        <v>73</v>
      </c>
      <c r="F182">
        <f>IFERROR(TableauRecette[[#This Row],[Proportion]]/SUMIFS(TableauRecette[Proportion],TableauRecette[Recette],TableauRecette[[#This Row],[Recette]],TableauRecette[Conditionnement],TableauRecette[[#This Row],[Conditionnement]]),0)</f>
        <v>0.11764705882352941</v>
      </c>
      <c r="G182">
        <f>IFERROR(_xlfn.XLOOKUP(TableauRecette[[#This Row],[Ingredients]],TableauIngredients[Ingredients],#REF!,0)*#REF!,0)</f>
        <v>0</v>
      </c>
      <c r="H182">
        <f>IFERROR(SUMIFS(TableauRecette[Proportion],TableauRecette[Recette],TableauRecette[[#This Row],[Recette]],TableauRecette[Conditionnement],TableauRecette[[#This Row],[Conditionnement]]),0)</f>
        <v>8.5</v>
      </c>
      <c r="I182">
        <f>_xlfn.XLOOKUP(TableauRecette[[#This Row],[Ingredients]],TableauIngredients[Ingredients],TableauIngredients[Prix d''achat (kg)],0,0,1)*TableauRecette[[#This Row],[Proportion]]/TableauRecette[[#This Row],[Total Proportion]]</f>
        <v>4.2352941176470589</v>
      </c>
      <c r="J182" t="s">
        <v>404</v>
      </c>
      <c r="K182" t="s">
        <v>341</v>
      </c>
      <c r="L182">
        <f>_xlfn.XLOOKUP(TableauRecette[[#This Row],[ID]],TableauProduit[ID],TableauProduit[Total (kg) N1],0,0,1)*_xlfn.XLOOKUP(TableauRecette[[#This Row],[ID]],TableauProduit[ID],TableauProduit[Total (kg) N1],0,0,1)</f>
        <v>0</v>
      </c>
      <c r="M182" t="e">
        <f>_xlfn.XLOOKUP(TableauRecette[[#This Row],[ID]],TableauProduit[ID],TableauProduit[Total (kg) N1],0,0,1)*_xlfn.XLOOKUP(TableauRecette[[#This Row],[ID]],TableauProduit[ID],TableauProduit[Total (kg) N2],0,0,1)</f>
        <v>#REF!</v>
      </c>
      <c r="N182" t="e">
        <f>_xlfn.XLOOKUP(TableauRecette[[#This Row],[ID]],TableauProduit[ID],TableauProduit[Total (kg) N3],0,0,1)*#REF!</f>
        <v>#REF!</v>
      </c>
      <c r="O182" t="e">
        <f>_xlfn.XLOOKUP(TableauRecette[[#This Row],[ID]],TableauProduit[ID],TableauProduit[Total (kg) N4],0,0,1)*#REF!</f>
        <v>#REF!</v>
      </c>
      <c r="P182" t="e">
        <f>_xlfn.XLOOKUP(TableauRecette[[#This Row],[ID]],TableauProduit[ID],TableauProduit[Total (kg) N5],0,0,1)*#REF!</f>
        <v>#REF!</v>
      </c>
      <c r="Q182" t="e">
        <f>_xlfn.XLOOKUP(TableauRecette[[#This Row],[ID]],TableauProduit[ID],TableauProduit[Total (kg) N6],0,0,1)*#REF!</f>
        <v>#REF!</v>
      </c>
      <c r="R182" t="e">
        <f>_xlfn.XLOOKUP(TableauRecette[[#This Row],[ID]],TableauProduit[ID],TableauProduit[Total (kg) N7],0,0,1)*#REF!</f>
        <v>#REF!</v>
      </c>
      <c r="S182" t="e">
        <f>_xlfn.XLOOKUP(TableauRecette[[#This Row],[ID]],TableauProduit[ID],TableauProduit[Total (kg) N8],0,0,1)*#REF!</f>
        <v>#REF!</v>
      </c>
      <c r="T182" t="e">
        <f>_xlfn.XLOOKUP(TableauRecette[[#This Row],[ID]],TableauProduit[ID],TableauProduit[Total (kg) N9],0,0,1)*#REF!</f>
        <v>#REF!</v>
      </c>
    </row>
    <row r="183" spans="1:20" x14ac:dyDescent="0.2">
      <c r="A183" t="s">
        <v>138</v>
      </c>
      <c r="B183" t="str">
        <f>TableauRecette[[#This Row],[Recette]]&amp;TableauRecette[[#This Row],[Conditionnement]]</f>
        <v>Garam masala birmanEpice 100ml</v>
      </c>
      <c r="C183" t="s">
        <v>405</v>
      </c>
      <c r="D183">
        <v>1</v>
      </c>
      <c r="E183" t="s">
        <v>73</v>
      </c>
      <c r="F183">
        <f>IFERROR(TableauRecette[[#This Row],[Proportion]]/SUMIFS(TableauRecette[Proportion],TableauRecette[Recette],TableauRecette[[#This Row],[Recette]],TableauRecette[Conditionnement],TableauRecette[[#This Row],[Conditionnement]]),0)</f>
        <v>0.11764705882352941</v>
      </c>
      <c r="G183">
        <f>IFERROR(_xlfn.XLOOKUP(TableauRecette[[#This Row],[Ingredients]],TableauIngredients[Ingredients],#REF!,0)*#REF!,0)</f>
        <v>0</v>
      </c>
      <c r="H183">
        <f>IFERROR(SUMIFS(TableauRecette[Proportion],TableauRecette[Recette],TableauRecette[[#This Row],[Recette]],TableauRecette[Conditionnement],TableauRecette[[#This Row],[Conditionnement]]),0)</f>
        <v>8.5</v>
      </c>
      <c r="I183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183" t="s">
        <v>404</v>
      </c>
      <c r="K183" t="s">
        <v>341</v>
      </c>
      <c r="L183">
        <f>_xlfn.XLOOKUP(TableauRecette[[#This Row],[ID]],TableauProduit[ID],TableauProduit[Total (kg) N1],0,0,1)*_xlfn.XLOOKUP(TableauRecette[[#This Row],[ID]],TableauProduit[ID],TableauProduit[Total (kg) N1],0,0,1)</f>
        <v>0</v>
      </c>
      <c r="M183" t="e">
        <f>_xlfn.XLOOKUP(TableauRecette[[#This Row],[ID]],TableauProduit[ID],TableauProduit[Total (kg) N1],0,0,1)*_xlfn.XLOOKUP(TableauRecette[[#This Row],[ID]],TableauProduit[ID],TableauProduit[Total (kg) N2],0,0,1)</f>
        <v>#REF!</v>
      </c>
      <c r="N183" t="e">
        <f>_xlfn.XLOOKUP(TableauRecette[[#This Row],[ID]],TableauProduit[ID],TableauProduit[Total (kg) N3],0,0,1)*#REF!</f>
        <v>#REF!</v>
      </c>
      <c r="O183" t="e">
        <f>_xlfn.XLOOKUP(TableauRecette[[#This Row],[ID]],TableauProduit[ID],TableauProduit[Total (kg) N4],0,0,1)*#REF!</f>
        <v>#REF!</v>
      </c>
      <c r="P183" t="e">
        <f>_xlfn.XLOOKUP(TableauRecette[[#This Row],[ID]],TableauProduit[ID],TableauProduit[Total (kg) N5],0,0,1)*#REF!</f>
        <v>#REF!</v>
      </c>
      <c r="Q183" t="e">
        <f>_xlfn.XLOOKUP(TableauRecette[[#This Row],[ID]],TableauProduit[ID],TableauProduit[Total (kg) N6],0,0,1)*#REF!</f>
        <v>#REF!</v>
      </c>
      <c r="R183" t="e">
        <f>_xlfn.XLOOKUP(TableauRecette[[#This Row],[ID]],TableauProduit[ID],TableauProduit[Total (kg) N7],0,0,1)*#REF!</f>
        <v>#REF!</v>
      </c>
      <c r="S183" t="e">
        <f>_xlfn.XLOOKUP(TableauRecette[[#This Row],[ID]],TableauProduit[ID],TableauProduit[Total (kg) N8],0,0,1)*#REF!</f>
        <v>#REF!</v>
      </c>
      <c r="T183" t="e">
        <f>_xlfn.XLOOKUP(TableauRecette[[#This Row],[ID]],TableauProduit[ID],TableauProduit[Total (kg) N9],0,0,1)*#REF!</f>
        <v>#REF!</v>
      </c>
    </row>
    <row r="184" spans="1:20" x14ac:dyDescent="0.2">
      <c r="A184" t="s">
        <v>138</v>
      </c>
      <c r="B184" t="str">
        <f>TableauRecette[[#This Row],[Recette]]&amp;TableauRecette[[#This Row],[Conditionnement]]</f>
        <v>Garam masala birmanEpice 100ml</v>
      </c>
      <c r="C184" t="s">
        <v>371</v>
      </c>
      <c r="D184">
        <v>2</v>
      </c>
      <c r="E184" t="s">
        <v>73</v>
      </c>
      <c r="F184">
        <f>IFERROR(TableauRecette[[#This Row],[Proportion]]/SUMIFS(TableauRecette[Proportion],TableauRecette[Recette],TableauRecette[[#This Row],[Recette]],TableauRecette[Conditionnement],TableauRecette[[#This Row],[Conditionnement]]),0)</f>
        <v>0.23529411764705882</v>
      </c>
      <c r="G184">
        <f>IFERROR(_xlfn.XLOOKUP(TableauRecette[[#This Row],[Ingredients]],TableauIngredients[Ingredients],#REF!,0)*#REF!,0)</f>
        <v>0</v>
      </c>
      <c r="H184">
        <f>IFERROR(SUMIFS(TableauRecette[Proportion],TableauRecette[Recette],TableauRecette[[#This Row],[Recette]],TableauRecette[Conditionnement],TableauRecette[[#This Row],[Conditionnement]]),0)</f>
        <v>8.5</v>
      </c>
      <c r="I184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184" t="s">
        <v>404</v>
      </c>
      <c r="K184" t="s">
        <v>341</v>
      </c>
      <c r="L184">
        <f>_xlfn.XLOOKUP(TableauRecette[[#This Row],[ID]],TableauProduit[ID],TableauProduit[Total (kg) N1],0,0,1)*_xlfn.XLOOKUP(TableauRecette[[#This Row],[ID]],TableauProduit[ID],TableauProduit[Total (kg) N1],0,0,1)</f>
        <v>0</v>
      </c>
      <c r="M184" t="e">
        <f>_xlfn.XLOOKUP(TableauRecette[[#This Row],[ID]],TableauProduit[ID],TableauProduit[Total (kg) N1],0,0,1)*_xlfn.XLOOKUP(TableauRecette[[#This Row],[ID]],TableauProduit[ID],TableauProduit[Total (kg) N2],0,0,1)</f>
        <v>#REF!</v>
      </c>
      <c r="N184" t="e">
        <f>_xlfn.XLOOKUP(TableauRecette[[#This Row],[ID]],TableauProduit[ID],TableauProduit[Total (kg) N3],0,0,1)*#REF!</f>
        <v>#REF!</v>
      </c>
      <c r="O184" t="e">
        <f>_xlfn.XLOOKUP(TableauRecette[[#This Row],[ID]],TableauProduit[ID],TableauProduit[Total (kg) N4],0,0,1)*#REF!</f>
        <v>#REF!</v>
      </c>
      <c r="P184" t="e">
        <f>_xlfn.XLOOKUP(TableauRecette[[#This Row],[ID]],TableauProduit[ID],TableauProduit[Total (kg) N5],0,0,1)*#REF!</f>
        <v>#REF!</v>
      </c>
      <c r="Q184" t="e">
        <f>_xlfn.XLOOKUP(TableauRecette[[#This Row],[ID]],TableauProduit[ID],TableauProduit[Total (kg) N6],0,0,1)*#REF!</f>
        <v>#REF!</v>
      </c>
      <c r="R184" t="e">
        <f>_xlfn.XLOOKUP(TableauRecette[[#This Row],[ID]],TableauProduit[ID],TableauProduit[Total (kg) N7],0,0,1)*#REF!</f>
        <v>#REF!</v>
      </c>
      <c r="S184" t="e">
        <f>_xlfn.XLOOKUP(TableauRecette[[#This Row],[ID]],TableauProduit[ID],TableauProduit[Total (kg) N8],0,0,1)*#REF!</f>
        <v>#REF!</v>
      </c>
      <c r="T184" t="e">
        <f>_xlfn.XLOOKUP(TableauRecette[[#This Row],[ID]],TableauProduit[ID],TableauProduit[Total (kg) N9],0,0,1)*#REF!</f>
        <v>#REF!</v>
      </c>
    </row>
    <row r="185" spans="1:20" x14ac:dyDescent="0.2">
      <c r="A185" t="s">
        <v>76</v>
      </c>
      <c r="B185" t="str">
        <f>TableauRecette[[#This Row],[Recette]]&amp;TableauRecette[[#This Row],[Conditionnement]]</f>
        <v>GingembreEpice 100ml</v>
      </c>
      <c r="C185" t="s">
        <v>345</v>
      </c>
      <c r="D185">
        <v>1</v>
      </c>
      <c r="E185" t="s">
        <v>73</v>
      </c>
      <c r="F185">
        <f>IFERROR(TableauRecette[[#This Row],[Proportion]]/SUMIFS(TableauRecette[Proportion],TableauRecette[Recette],TableauRecette[[#This Row],[Recette]],TableauRecette[Conditionnement],TableauRecette[[#This Row],[Conditionnement]]),0)</f>
        <v>1</v>
      </c>
      <c r="G185">
        <f>IFERROR(_xlfn.XLOOKUP(TableauRecette[[#This Row],[Ingredients]],TableauIngredients[Ingredients],#REF!,0)*#REF!,0)</f>
        <v>0</v>
      </c>
      <c r="H185">
        <f>IFERROR(SUMIFS(TableauRecette[Proportion],TableauRecette[Recette],TableauRecette[[#This Row],[Recette]],TableauRecette[Conditionnement],TableauRecette[[#This Row],[Conditionnement]]),0)</f>
        <v>1</v>
      </c>
      <c r="I18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185" t="s">
        <v>406</v>
      </c>
      <c r="K185" t="s">
        <v>341</v>
      </c>
      <c r="L185">
        <f>_xlfn.XLOOKUP(TableauRecette[[#This Row],[ID]],TableauProduit[ID],TableauProduit[Total (kg) N1],0,0,1)*_xlfn.XLOOKUP(TableauRecette[[#This Row],[ID]],TableauProduit[ID],TableauProduit[Total (kg) N1],0,0,1)</f>
        <v>0</v>
      </c>
      <c r="M185" t="e">
        <f>_xlfn.XLOOKUP(TableauRecette[[#This Row],[ID]],TableauProduit[ID],TableauProduit[Total (kg) N1],0,0,1)*_xlfn.XLOOKUP(TableauRecette[[#This Row],[ID]],TableauProduit[ID],TableauProduit[Total (kg) N2],0,0,1)</f>
        <v>#REF!</v>
      </c>
      <c r="N185" t="e">
        <f>_xlfn.XLOOKUP(TableauRecette[[#This Row],[ID]],TableauProduit[ID],TableauProduit[Total (kg) N3],0,0,1)*#REF!</f>
        <v>#REF!</v>
      </c>
      <c r="O185" t="e">
        <f>_xlfn.XLOOKUP(TableauRecette[[#This Row],[ID]],TableauProduit[ID],TableauProduit[Total (kg) N4],0,0,1)*#REF!</f>
        <v>#REF!</v>
      </c>
      <c r="P185" t="e">
        <f>_xlfn.XLOOKUP(TableauRecette[[#This Row],[ID]],TableauProduit[ID],TableauProduit[Total (kg) N5],0,0,1)*#REF!</f>
        <v>#REF!</v>
      </c>
      <c r="Q185" t="e">
        <f>_xlfn.XLOOKUP(TableauRecette[[#This Row],[ID]],TableauProduit[ID],TableauProduit[Total (kg) N6],0,0,1)*#REF!</f>
        <v>#REF!</v>
      </c>
      <c r="R185" t="e">
        <f>_xlfn.XLOOKUP(TableauRecette[[#This Row],[ID]],TableauProduit[ID],TableauProduit[Total (kg) N7],0,0,1)*#REF!</f>
        <v>#REF!</v>
      </c>
      <c r="S185" t="e">
        <f>_xlfn.XLOOKUP(TableauRecette[[#This Row],[ID]],TableauProduit[ID],TableauProduit[Total (kg) N8],0,0,1)*#REF!</f>
        <v>#REF!</v>
      </c>
      <c r="T185" t="e">
        <f>_xlfn.XLOOKUP(TableauRecette[[#This Row],[ID]],TableauProduit[ID],TableauProduit[Total (kg) N9],0,0,1)*#REF!</f>
        <v>#REF!</v>
      </c>
    </row>
    <row r="186" spans="1:20" x14ac:dyDescent="0.2">
      <c r="A186" t="s">
        <v>108</v>
      </c>
      <c r="B186" t="str">
        <f>TableauRecette[[#This Row],[Recette]]&amp;TableauRecette[[#This Row],[Conditionnement]]</f>
        <v>Gomasio maisonEpice 100ml</v>
      </c>
      <c r="C186" t="s">
        <v>407</v>
      </c>
      <c r="D186">
        <v>90</v>
      </c>
      <c r="E186" t="s">
        <v>73</v>
      </c>
      <c r="F186">
        <f>IFERROR(TableauRecette[[#This Row],[Proportion]]/SUMIFS(TableauRecette[Proportion],TableauRecette[Recette],TableauRecette[[#This Row],[Recette]],TableauRecette[Conditionnement],TableauRecette[[#This Row],[Conditionnement]]),0)</f>
        <v>0.9</v>
      </c>
      <c r="G186">
        <f>IFERROR(_xlfn.XLOOKUP(TableauRecette[[#This Row],[Ingredients]],TableauIngredients[Ingredients],#REF!,0)*#REF!,0)</f>
        <v>0</v>
      </c>
      <c r="H186">
        <f>IFERROR(SUMIFS(TableauRecette[Proportion],TableauRecette[Recette],TableauRecette[[#This Row],[Recette]],TableauRecette[Conditionnement],TableauRecette[[#This Row],[Conditionnement]]),0)</f>
        <v>100</v>
      </c>
      <c r="I18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86">
        <f>_xlfn.XLOOKUP(TableauRecette[[#This Row],[ID]],TableauProduit[ID],TableauProduit[Total (kg) N1],0,0,1)*_xlfn.XLOOKUP(TableauRecette[[#This Row],[ID]],TableauProduit[ID],TableauProduit[Total (kg) N1],0,0,1)</f>
        <v>0</v>
      </c>
      <c r="M186" t="e">
        <f>_xlfn.XLOOKUP(TableauRecette[[#This Row],[ID]],TableauProduit[ID],TableauProduit[Total (kg) N1],0,0,1)*_xlfn.XLOOKUP(TableauRecette[[#This Row],[ID]],TableauProduit[ID],TableauProduit[Total (kg) N2],0,0,1)</f>
        <v>#REF!</v>
      </c>
      <c r="N186" t="e">
        <f>_xlfn.XLOOKUP(TableauRecette[[#This Row],[ID]],TableauProduit[ID],TableauProduit[Total (kg) N3],0,0,1)*#REF!</f>
        <v>#REF!</v>
      </c>
      <c r="O186" t="e">
        <f>_xlfn.XLOOKUP(TableauRecette[[#This Row],[ID]],TableauProduit[ID],TableauProduit[Total (kg) N4],0,0,1)*#REF!</f>
        <v>#REF!</v>
      </c>
      <c r="P186" t="e">
        <f>_xlfn.XLOOKUP(TableauRecette[[#This Row],[ID]],TableauProduit[ID],TableauProduit[Total (kg) N5],0,0,1)*#REF!</f>
        <v>#REF!</v>
      </c>
      <c r="Q186" t="e">
        <f>_xlfn.XLOOKUP(TableauRecette[[#This Row],[ID]],TableauProduit[ID],TableauProduit[Total (kg) N6],0,0,1)*#REF!</f>
        <v>#REF!</v>
      </c>
      <c r="R186" t="e">
        <f>_xlfn.XLOOKUP(TableauRecette[[#This Row],[ID]],TableauProduit[ID],TableauProduit[Total (kg) N7],0,0,1)*#REF!</f>
        <v>#REF!</v>
      </c>
      <c r="S186" t="e">
        <f>_xlfn.XLOOKUP(TableauRecette[[#This Row],[ID]],TableauProduit[ID],TableauProduit[Total (kg) N8],0,0,1)*#REF!</f>
        <v>#REF!</v>
      </c>
      <c r="T186" t="e">
        <f>_xlfn.XLOOKUP(TableauRecette[[#This Row],[ID]],TableauProduit[ID],TableauProduit[Total (kg) N9],0,0,1)*#REF!</f>
        <v>#REF!</v>
      </c>
    </row>
    <row r="187" spans="1:20" x14ac:dyDescent="0.2">
      <c r="A187" t="s">
        <v>108</v>
      </c>
      <c r="B187" t="str">
        <f>TableauRecette[[#This Row],[Recette]]&amp;TableauRecette[[#This Row],[Conditionnement]]</f>
        <v>Gomasio maisonEpice 100ml</v>
      </c>
      <c r="C187" t="s">
        <v>364</v>
      </c>
      <c r="D187">
        <v>10</v>
      </c>
      <c r="E187" t="s">
        <v>73</v>
      </c>
      <c r="F187">
        <f>IFERROR(TableauRecette[[#This Row],[Proportion]]/SUMIFS(TableauRecette[Proportion],TableauRecette[Recette],TableauRecette[[#This Row],[Recette]],TableauRecette[Conditionnement],TableauRecette[[#This Row],[Conditionnement]]),0)</f>
        <v>0.1</v>
      </c>
      <c r="G187">
        <f>IFERROR(_xlfn.XLOOKUP(TableauRecette[[#This Row],[Ingredients]],TableauIngredients[Ingredients],#REF!,0)*#REF!,0)</f>
        <v>0</v>
      </c>
      <c r="H187">
        <f>IFERROR(SUMIFS(TableauRecette[Proportion],TableauRecette[Recette],TableauRecette[[#This Row],[Recette]],TableauRecette[Conditionnement],TableauRecette[[#This Row],[Conditionnement]]),0)</f>
        <v>100</v>
      </c>
      <c r="I187">
        <f>_xlfn.XLOOKUP(TableauRecette[[#This Row],[Ingredients]],TableauIngredients[Ingredients],TableauIngredients[Prix d''achat (kg)],0,0,1)*TableauRecette[[#This Row],[Proportion]]/TableauRecette[[#This Row],[Total Proportion]]</f>
        <v>0.14000000000000001</v>
      </c>
      <c r="L187">
        <f>_xlfn.XLOOKUP(TableauRecette[[#This Row],[ID]],TableauProduit[ID],TableauProduit[Total (kg) N1],0,0,1)*_xlfn.XLOOKUP(TableauRecette[[#This Row],[ID]],TableauProduit[ID],TableauProduit[Total (kg) N1],0,0,1)</f>
        <v>0</v>
      </c>
      <c r="M187" t="e">
        <f>_xlfn.XLOOKUP(TableauRecette[[#This Row],[ID]],TableauProduit[ID],TableauProduit[Total (kg) N1],0,0,1)*_xlfn.XLOOKUP(TableauRecette[[#This Row],[ID]],TableauProduit[ID],TableauProduit[Total (kg) N2],0,0,1)</f>
        <v>#REF!</v>
      </c>
      <c r="N187" t="e">
        <f>_xlfn.XLOOKUP(TableauRecette[[#This Row],[ID]],TableauProduit[ID],TableauProduit[Total (kg) N3],0,0,1)*#REF!</f>
        <v>#REF!</v>
      </c>
      <c r="O187" t="e">
        <f>_xlfn.XLOOKUP(TableauRecette[[#This Row],[ID]],TableauProduit[ID],TableauProduit[Total (kg) N4],0,0,1)*#REF!</f>
        <v>#REF!</v>
      </c>
      <c r="P187" t="e">
        <f>_xlfn.XLOOKUP(TableauRecette[[#This Row],[ID]],TableauProduit[ID],TableauProduit[Total (kg) N5],0,0,1)*#REF!</f>
        <v>#REF!</v>
      </c>
      <c r="Q187" t="e">
        <f>_xlfn.XLOOKUP(TableauRecette[[#This Row],[ID]],TableauProduit[ID],TableauProduit[Total (kg) N6],0,0,1)*#REF!</f>
        <v>#REF!</v>
      </c>
      <c r="R187" t="e">
        <f>_xlfn.XLOOKUP(TableauRecette[[#This Row],[ID]],TableauProduit[ID],TableauProduit[Total (kg) N7],0,0,1)*#REF!</f>
        <v>#REF!</v>
      </c>
      <c r="S187" t="e">
        <f>_xlfn.XLOOKUP(TableauRecette[[#This Row],[ID]],TableauProduit[ID],TableauProduit[Total (kg) N8],0,0,1)*#REF!</f>
        <v>#REF!</v>
      </c>
      <c r="T187" t="e">
        <f>_xlfn.XLOOKUP(TableauRecette[[#This Row],[ID]],TableauProduit[ID],TableauProduit[Total (kg) N9],0,0,1)*#REF!</f>
        <v>#REF!</v>
      </c>
    </row>
    <row r="188" spans="1:20" x14ac:dyDescent="0.2">
      <c r="A188" t="s">
        <v>110</v>
      </c>
      <c r="B188" t="str">
        <f>TableauRecette[[#This Row],[Recette]]&amp;TableauRecette[[#This Row],[Conditionnement]]</f>
        <v>HarissaEpice 100ml</v>
      </c>
      <c r="C188" t="s">
        <v>408</v>
      </c>
      <c r="D188">
        <v>21</v>
      </c>
      <c r="E188" t="s">
        <v>73</v>
      </c>
      <c r="F188">
        <f>IFERROR(TableauRecette[[#This Row],[Proportion]]/SUMIFS(TableauRecette[Proportion],TableauRecette[Recette],TableauRecette[[#This Row],[Recette]],TableauRecette[Conditionnement],TableauRecette[[#This Row],[Conditionnement]]),0)</f>
        <v>0.11797752808988764</v>
      </c>
      <c r="G188">
        <f>IFERROR(_xlfn.XLOOKUP(TableauRecette[[#This Row],[Ingredients]],TableauIngredients[Ingredients],#REF!,0)*#REF!,0)</f>
        <v>0</v>
      </c>
      <c r="H188">
        <f>IFERROR(SUMIFS(TableauRecette[Proportion],TableauRecette[Recette],TableauRecette[[#This Row],[Recette]],TableauRecette[Conditionnement],TableauRecette[[#This Row],[Conditionnement]]),0)</f>
        <v>178</v>
      </c>
      <c r="I188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188" t="s">
        <v>406</v>
      </c>
      <c r="K188" t="s">
        <v>341</v>
      </c>
      <c r="L188">
        <f>_xlfn.XLOOKUP(TableauRecette[[#This Row],[ID]],TableauProduit[ID],TableauProduit[Total (kg) N1],0,0,1)*_xlfn.XLOOKUP(TableauRecette[[#This Row],[ID]],TableauProduit[ID],TableauProduit[Total (kg) N1],0,0,1)</f>
        <v>0</v>
      </c>
      <c r="M188" t="e">
        <f>_xlfn.XLOOKUP(TableauRecette[[#This Row],[ID]],TableauProduit[ID],TableauProduit[Total (kg) N1],0,0,1)*_xlfn.XLOOKUP(TableauRecette[[#This Row],[ID]],TableauProduit[ID],TableauProduit[Total (kg) N2],0,0,1)</f>
        <v>#REF!</v>
      </c>
      <c r="N188" t="e">
        <f>_xlfn.XLOOKUP(TableauRecette[[#This Row],[ID]],TableauProduit[ID],TableauProduit[Total (kg) N3],0,0,1)*#REF!</f>
        <v>#REF!</v>
      </c>
      <c r="O188" t="e">
        <f>_xlfn.XLOOKUP(TableauRecette[[#This Row],[ID]],TableauProduit[ID],TableauProduit[Total (kg) N4],0,0,1)*#REF!</f>
        <v>#REF!</v>
      </c>
      <c r="P188" t="e">
        <f>_xlfn.XLOOKUP(TableauRecette[[#This Row],[ID]],TableauProduit[ID],TableauProduit[Total (kg) N5],0,0,1)*#REF!</f>
        <v>#REF!</v>
      </c>
      <c r="Q188" t="e">
        <f>_xlfn.XLOOKUP(TableauRecette[[#This Row],[ID]],TableauProduit[ID],TableauProduit[Total (kg) N6],0,0,1)*#REF!</f>
        <v>#REF!</v>
      </c>
      <c r="R188" t="e">
        <f>_xlfn.XLOOKUP(TableauRecette[[#This Row],[ID]],TableauProduit[ID],TableauProduit[Total (kg) N7],0,0,1)*#REF!</f>
        <v>#REF!</v>
      </c>
      <c r="S188" t="e">
        <f>_xlfn.XLOOKUP(TableauRecette[[#This Row],[ID]],TableauProduit[ID],TableauProduit[Total (kg) N8],0,0,1)*#REF!</f>
        <v>#REF!</v>
      </c>
      <c r="T188" t="e">
        <f>_xlfn.XLOOKUP(TableauRecette[[#This Row],[ID]],TableauProduit[ID],TableauProduit[Total (kg) N9],0,0,1)*#REF!</f>
        <v>#REF!</v>
      </c>
    </row>
    <row r="189" spans="1:20" x14ac:dyDescent="0.2">
      <c r="A189" t="s">
        <v>110</v>
      </c>
      <c r="B189" t="str">
        <f>TableauRecette[[#This Row],[Recette]]&amp;TableauRecette[[#This Row],[Conditionnement]]</f>
        <v>HarissaEpice 100ml</v>
      </c>
      <c r="C189" t="s">
        <v>397</v>
      </c>
      <c r="D189">
        <v>100</v>
      </c>
      <c r="E189" t="s">
        <v>73</v>
      </c>
      <c r="F189">
        <f>IFERROR(TableauRecette[[#This Row],[Proportion]]/SUMIFS(TableauRecette[Proportion],TableauRecette[Recette],TableauRecette[[#This Row],[Recette]],TableauRecette[Conditionnement],TableauRecette[[#This Row],[Conditionnement]]),0)</f>
        <v>0.5617977528089888</v>
      </c>
      <c r="G189">
        <f>IFERROR(_xlfn.XLOOKUP(TableauRecette[[#This Row],[Ingredients]],TableauIngredients[Ingredients],#REF!,0)*#REF!,0)</f>
        <v>0</v>
      </c>
      <c r="H189">
        <f>IFERROR(SUMIFS(TableauRecette[Proportion],TableauRecette[Recette],TableauRecette[[#This Row],[Recette]],TableauRecette[Conditionnement],TableauRecette[[#This Row],[Conditionnement]]),0)</f>
        <v>178</v>
      </c>
      <c r="I18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189" t="s">
        <v>406</v>
      </c>
      <c r="K189" t="s">
        <v>341</v>
      </c>
      <c r="L189">
        <f>_xlfn.XLOOKUP(TableauRecette[[#This Row],[ID]],TableauProduit[ID],TableauProduit[Total (kg) N1],0,0,1)*_xlfn.XLOOKUP(TableauRecette[[#This Row],[ID]],TableauProduit[ID],TableauProduit[Total (kg) N1],0,0,1)</f>
        <v>0</v>
      </c>
      <c r="M189" t="e">
        <f>_xlfn.XLOOKUP(TableauRecette[[#This Row],[ID]],TableauProduit[ID],TableauProduit[Total (kg) N1],0,0,1)*_xlfn.XLOOKUP(TableauRecette[[#This Row],[ID]],TableauProduit[ID],TableauProduit[Total (kg) N2],0,0,1)</f>
        <v>#REF!</v>
      </c>
      <c r="N189" t="e">
        <f>_xlfn.XLOOKUP(TableauRecette[[#This Row],[ID]],TableauProduit[ID],TableauProduit[Total (kg) N3],0,0,1)*#REF!</f>
        <v>#REF!</v>
      </c>
      <c r="O189" t="e">
        <f>_xlfn.XLOOKUP(TableauRecette[[#This Row],[ID]],TableauProduit[ID],TableauProduit[Total (kg) N4],0,0,1)*#REF!</f>
        <v>#REF!</v>
      </c>
      <c r="P189" t="e">
        <f>_xlfn.XLOOKUP(TableauRecette[[#This Row],[ID]],TableauProduit[ID],TableauProduit[Total (kg) N5],0,0,1)*#REF!</f>
        <v>#REF!</v>
      </c>
      <c r="Q189" t="e">
        <f>_xlfn.XLOOKUP(TableauRecette[[#This Row],[ID]],TableauProduit[ID],TableauProduit[Total (kg) N6],0,0,1)*#REF!</f>
        <v>#REF!</v>
      </c>
      <c r="R189" t="e">
        <f>_xlfn.XLOOKUP(TableauRecette[[#This Row],[ID]],TableauProduit[ID],TableauProduit[Total (kg) N7],0,0,1)*#REF!</f>
        <v>#REF!</v>
      </c>
      <c r="S189" t="e">
        <f>_xlfn.XLOOKUP(TableauRecette[[#This Row],[ID]],TableauProduit[ID],TableauProduit[Total (kg) N8],0,0,1)*#REF!</f>
        <v>#REF!</v>
      </c>
      <c r="T189" t="e">
        <f>_xlfn.XLOOKUP(TableauRecette[[#This Row],[ID]],TableauProduit[ID],TableauProduit[Total (kg) N9],0,0,1)*#REF!</f>
        <v>#REF!</v>
      </c>
    </row>
    <row r="190" spans="1:20" x14ac:dyDescent="0.2">
      <c r="A190" t="s">
        <v>110</v>
      </c>
      <c r="B190" t="str">
        <f>TableauRecette[[#This Row],[Recette]]&amp;TableauRecette[[#This Row],[Conditionnement]]</f>
        <v>HarissaEpice 100ml</v>
      </c>
      <c r="C190" t="s">
        <v>364</v>
      </c>
      <c r="D190">
        <v>7</v>
      </c>
      <c r="E190" t="s">
        <v>73</v>
      </c>
      <c r="F190">
        <f>IFERROR(TableauRecette[[#This Row],[Proportion]]/SUMIFS(TableauRecette[Proportion],TableauRecette[Recette],TableauRecette[[#This Row],[Recette]],TableauRecette[Conditionnement],TableauRecette[[#This Row],[Conditionnement]]),0)</f>
        <v>3.9325842696629212E-2</v>
      </c>
      <c r="G190">
        <f>IFERROR(_xlfn.XLOOKUP(TableauRecette[[#This Row],[Ingredients]],TableauIngredients[Ingredients],#REF!,0)*#REF!,0)</f>
        <v>0</v>
      </c>
      <c r="H190">
        <f>IFERROR(SUMIFS(TableauRecette[Proportion],TableauRecette[Recette],TableauRecette[[#This Row],[Recette]],TableauRecette[Conditionnement],TableauRecette[[#This Row],[Conditionnement]]),0)</f>
        <v>178</v>
      </c>
      <c r="I190">
        <f>_xlfn.XLOOKUP(TableauRecette[[#This Row],[Ingredients]],TableauIngredients[Ingredients],TableauIngredients[Prix d''achat (kg)],0,0,1)*TableauRecette[[#This Row],[Proportion]]/TableauRecette[[#This Row],[Total Proportion]]</f>
        <v>5.5056179775280892E-2</v>
      </c>
      <c r="J190" t="s">
        <v>406</v>
      </c>
      <c r="K190" t="s">
        <v>341</v>
      </c>
      <c r="L190">
        <f>_xlfn.XLOOKUP(TableauRecette[[#This Row],[ID]],TableauProduit[ID],TableauProduit[Total (kg) N1],0,0,1)*_xlfn.XLOOKUP(TableauRecette[[#This Row],[ID]],TableauProduit[ID],TableauProduit[Total (kg) N1],0,0,1)</f>
        <v>0</v>
      </c>
      <c r="M190" t="e">
        <f>_xlfn.XLOOKUP(TableauRecette[[#This Row],[ID]],TableauProduit[ID],TableauProduit[Total (kg) N1],0,0,1)*_xlfn.XLOOKUP(TableauRecette[[#This Row],[ID]],TableauProduit[ID],TableauProduit[Total (kg) N2],0,0,1)</f>
        <v>#REF!</v>
      </c>
      <c r="N190" t="e">
        <f>_xlfn.XLOOKUP(TableauRecette[[#This Row],[ID]],TableauProduit[ID],TableauProduit[Total (kg) N3],0,0,1)*#REF!</f>
        <v>#REF!</v>
      </c>
      <c r="O190" t="e">
        <f>_xlfn.XLOOKUP(TableauRecette[[#This Row],[ID]],TableauProduit[ID],TableauProduit[Total (kg) N4],0,0,1)*#REF!</f>
        <v>#REF!</v>
      </c>
      <c r="P190" t="e">
        <f>_xlfn.XLOOKUP(TableauRecette[[#This Row],[ID]],TableauProduit[ID],TableauProduit[Total (kg) N5],0,0,1)*#REF!</f>
        <v>#REF!</v>
      </c>
      <c r="Q190" t="e">
        <f>_xlfn.XLOOKUP(TableauRecette[[#This Row],[ID]],TableauProduit[ID],TableauProduit[Total (kg) N6],0,0,1)*#REF!</f>
        <v>#REF!</v>
      </c>
      <c r="R190" t="e">
        <f>_xlfn.XLOOKUP(TableauRecette[[#This Row],[ID]],TableauProduit[ID],TableauProduit[Total (kg) N7],0,0,1)*#REF!</f>
        <v>#REF!</v>
      </c>
      <c r="S190" t="e">
        <f>_xlfn.XLOOKUP(TableauRecette[[#This Row],[ID]],TableauProduit[ID],TableauProduit[Total (kg) N8],0,0,1)*#REF!</f>
        <v>#REF!</v>
      </c>
      <c r="T190" t="e">
        <f>_xlfn.XLOOKUP(TableauRecette[[#This Row],[ID]],TableauProduit[ID],TableauProduit[Total (kg) N9],0,0,1)*#REF!</f>
        <v>#REF!</v>
      </c>
    </row>
    <row r="191" spans="1:20" x14ac:dyDescent="0.2">
      <c r="A191" t="s">
        <v>110</v>
      </c>
      <c r="B191" t="str">
        <f>TableauRecette[[#This Row],[Recette]]&amp;TableauRecette[[#This Row],[Conditionnement]]</f>
        <v>HarissaEpice 100ml</v>
      </c>
      <c r="C191" t="s">
        <v>409</v>
      </c>
      <c r="D191">
        <v>12</v>
      </c>
      <c r="E191" t="s">
        <v>73</v>
      </c>
      <c r="F191">
        <f>IFERROR(TableauRecette[[#This Row],[Proportion]]/SUMIFS(TableauRecette[Proportion],TableauRecette[Recette],TableauRecette[[#This Row],[Recette]],TableauRecette[Conditionnement],TableauRecette[[#This Row],[Conditionnement]]),0)</f>
        <v>6.741573033707865E-2</v>
      </c>
      <c r="G191">
        <f>IFERROR(_xlfn.XLOOKUP(TableauRecette[[#This Row],[Ingredients]],TableauIngredients[Ingredients],#REF!,0)*#REF!,0)</f>
        <v>0</v>
      </c>
      <c r="H191">
        <f>IFERROR(SUMIFS(TableauRecette[Proportion],TableauRecette[Recette],TableauRecette[[#This Row],[Recette]],TableauRecette[Conditionnement],TableauRecette[[#This Row],[Conditionnement]]),0)</f>
        <v>178</v>
      </c>
      <c r="I19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191" t="s">
        <v>406</v>
      </c>
      <c r="K191" t="s">
        <v>341</v>
      </c>
      <c r="L191">
        <f>_xlfn.XLOOKUP(TableauRecette[[#This Row],[ID]],TableauProduit[ID],TableauProduit[Total (kg) N1],0,0,1)*_xlfn.XLOOKUP(TableauRecette[[#This Row],[ID]],TableauProduit[ID],TableauProduit[Total (kg) N1],0,0,1)</f>
        <v>0</v>
      </c>
      <c r="M191" t="e">
        <f>_xlfn.XLOOKUP(TableauRecette[[#This Row],[ID]],TableauProduit[ID],TableauProduit[Total (kg) N1],0,0,1)*_xlfn.XLOOKUP(TableauRecette[[#This Row],[ID]],TableauProduit[ID],TableauProduit[Total (kg) N2],0,0,1)</f>
        <v>#REF!</v>
      </c>
      <c r="N191" t="e">
        <f>_xlfn.XLOOKUP(TableauRecette[[#This Row],[ID]],TableauProduit[ID],TableauProduit[Total (kg) N3],0,0,1)*#REF!</f>
        <v>#REF!</v>
      </c>
      <c r="O191" t="e">
        <f>_xlfn.XLOOKUP(TableauRecette[[#This Row],[ID]],TableauProduit[ID],TableauProduit[Total (kg) N4],0,0,1)*#REF!</f>
        <v>#REF!</v>
      </c>
      <c r="P191" t="e">
        <f>_xlfn.XLOOKUP(TableauRecette[[#This Row],[ID]],TableauProduit[ID],TableauProduit[Total (kg) N5],0,0,1)*#REF!</f>
        <v>#REF!</v>
      </c>
      <c r="Q191" t="e">
        <f>_xlfn.XLOOKUP(TableauRecette[[#This Row],[ID]],TableauProduit[ID],TableauProduit[Total (kg) N6],0,0,1)*#REF!</f>
        <v>#REF!</v>
      </c>
      <c r="R191" t="e">
        <f>_xlfn.XLOOKUP(TableauRecette[[#This Row],[ID]],TableauProduit[ID],TableauProduit[Total (kg) N7],0,0,1)*#REF!</f>
        <v>#REF!</v>
      </c>
      <c r="S191" t="e">
        <f>_xlfn.XLOOKUP(TableauRecette[[#This Row],[ID]],TableauProduit[ID],TableauProduit[Total (kg) N8],0,0,1)*#REF!</f>
        <v>#REF!</v>
      </c>
      <c r="T191" t="e">
        <f>_xlfn.XLOOKUP(TableauRecette[[#This Row],[ID]],TableauProduit[ID],TableauProduit[Total (kg) N9],0,0,1)*#REF!</f>
        <v>#REF!</v>
      </c>
    </row>
    <row r="192" spans="1:20" x14ac:dyDescent="0.2">
      <c r="A192" t="s">
        <v>110</v>
      </c>
      <c r="B192" t="str">
        <f>TableauRecette[[#This Row],[Recette]]&amp;TableauRecette[[#This Row],[Conditionnement]]</f>
        <v>HarissaEpice 100ml</v>
      </c>
      <c r="C192" t="s">
        <v>352</v>
      </c>
      <c r="D192">
        <v>4</v>
      </c>
      <c r="E192" t="s">
        <v>73</v>
      </c>
      <c r="F192">
        <f>IFERROR(TableauRecette[[#This Row],[Proportion]]/SUMIFS(TableauRecette[Proportion],TableauRecette[Recette],TableauRecette[[#This Row],[Recette]],TableauRecette[Conditionnement],TableauRecette[[#This Row],[Conditionnement]]),0)</f>
        <v>2.247191011235955E-2</v>
      </c>
      <c r="G192">
        <f>IFERROR(_xlfn.XLOOKUP(TableauRecette[[#This Row],[Ingredients]],TableauIngredients[Ingredients],#REF!,0)*#REF!,0)</f>
        <v>0</v>
      </c>
      <c r="H192">
        <f>IFERROR(SUMIFS(TableauRecette[Proportion],TableauRecette[Recette],TableauRecette[[#This Row],[Recette]],TableauRecette[Conditionnement],TableauRecette[[#This Row],[Conditionnement]]),0)</f>
        <v>178</v>
      </c>
      <c r="I19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92">
        <f>_xlfn.XLOOKUP(TableauRecette[[#This Row],[ID]],TableauProduit[ID],TableauProduit[Total (kg) N1],0,0,1)*_xlfn.XLOOKUP(TableauRecette[[#This Row],[ID]],TableauProduit[ID],TableauProduit[Total (kg) N1],0,0,1)</f>
        <v>0</v>
      </c>
      <c r="M192" t="e">
        <f>_xlfn.XLOOKUP(TableauRecette[[#This Row],[ID]],TableauProduit[ID],TableauProduit[Total (kg) N1],0,0,1)*_xlfn.XLOOKUP(TableauRecette[[#This Row],[ID]],TableauProduit[ID],TableauProduit[Total (kg) N2],0,0,1)</f>
        <v>#REF!</v>
      </c>
      <c r="N192" t="e">
        <f>_xlfn.XLOOKUP(TableauRecette[[#This Row],[ID]],TableauProduit[ID],TableauProduit[Total (kg) N3],0,0,1)*#REF!</f>
        <v>#REF!</v>
      </c>
      <c r="O192" t="e">
        <f>_xlfn.XLOOKUP(TableauRecette[[#This Row],[ID]],TableauProduit[ID],TableauProduit[Total (kg) N4],0,0,1)*#REF!</f>
        <v>#REF!</v>
      </c>
      <c r="P192" t="e">
        <f>_xlfn.XLOOKUP(TableauRecette[[#This Row],[ID]],TableauProduit[ID],TableauProduit[Total (kg) N5],0,0,1)*#REF!</f>
        <v>#REF!</v>
      </c>
      <c r="Q192" t="e">
        <f>_xlfn.XLOOKUP(TableauRecette[[#This Row],[ID]],TableauProduit[ID],TableauProduit[Total (kg) N6],0,0,1)*#REF!</f>
        <v>#REF!</v>
      </c>
      <c r="R192" t="e">
        <f>_xlfn.XLOOKUP(TableauRecette[[#This Row],[ID]],TableauProduit[ID],TableauProduit[Total (kg) N7],0,0,1)*#REF!</f>
        <v>#REF!</v>
      </c>
      <c r="S192" t="e">
        <f>_xlfn.XLOOKUP(TableauRecette[[#This Row],[ID]],TableauProduit[ID],TableauProduit[Total (kg) N8],0,0,1)*#REF!</f>
        <v>#REF!</v>
      </c>
      <c r="T192" t="e">
        <f>_xlfn.XLOOKUP(TableauRecette[[#This Row],[ID]],TableauProduit[ID],TableauProduit[Total (kg) N9],0,0,1)*#REF!</f>
        <v>#REF!</v>
      </c>
    </row>
    <row r="193" spans="1:20" x14ac:dyDescent="0.2">
      <c r="A193" t="s">
        <v>110</v>
      </c>
      <c r="B193" t="str">
        <f>TableauRecette[[#This Row],[Recette]]&amp;TableauRecette[[#This Row],[Conditionnement]]</f>
        <v>HarissaEpice 100ml</v>
      </c>
      <c r="C193" t="s">
        <v>358</v>
      </c>
      <c r="D193">
        <v>4</v>
      </c>
      <c r="E193" t="s">
        <v>73</v>
      </c>
      <c r="F193">
        <f>IFERROR(TableauRecette[[#This Row],[Proportion]]/SUMIFS(TableauRecette[Proportion],TableauRecette[Recette],TableauRecette[[#This Row],[Recette]],TableauRecette[Conditionnement],TableauRecette[[#This Row],[Conditionnement]]),0)</f>
        <v>2.247191011235955E-2</v>
      </c>
      <c r="G193">
        <f>IFERROR(_xlfn.XLOOKUP(TableauRecette[[#This Row],[Ingredients]],TableauIngredients[Ingredients],#REF!,0)*#REF!,0)</f>
        <v>0</v>
      </c>
      <c r="H193">
        <f>IFERROR(SUMIFS(TableauRecette[Proportion],TableauRecette[Recette],TableauRecette[[#This Row],[Recette]],TableauRecette[Conditionnement],TableauRecette[[#This Row],[Conditionnement]]),0)</f>
        <v>178</v>
      </c>
      <c r="I193">
        <f>_xlfn.XLOOKUP(TableauRecette[[#This Row],[Ingredients]],TableauIngredients[Ingredients],TableauIngredients[Prix d''achat (kg)],0,0,1)*TableauRecette[[#This Row],[Proportion]]/TableauRecette[[#This Row],[Total Proportion]]</f>
        <v>0.46629213483146065</v>
      </c>
      <c r="L193">
        <f>_xlfn.XLOOKUP(TableauRecette[[#This Row],[ID]],TableauProduit[ID],TableauProduit[Total (kg) N1],0,0,1)*_xlfn.XLOOKUP(TableauRecette[[#This Row],[ID]],TableauProduit[ID],TableauProduit[Total (kg) N1],0,0,1)</f>
        <v>0</v>
      </c>
      <c r="M193" t="e">
        <f>_xlfn.XLOOKUP(TableauRecette[[#This Row],[ID]],TableauProduit[ID],TableauProduit[Total (kg) N1],0,0,1)*_xlfn.XLOOKUP(TableauRecette[[#This Row],[ID]],TableauProduit[ID],TableauProduit[Total (kg) N2],0,0,1)</f>
        <v>#REF!</v>
      </c>
      <c r="N193" t="e">
        <f>_xlfn.XLOOKUP(TableauRecette[[#This Row],[ID]],TableauProduit[ID],TableauProduit[Total (kg) N3],0,0,1)*#REF!</f>
        <v>#REF!</v>
      </c>
      <c r="O193" t="e">
        <f>_xlfn.XLOOKUP(TableauRecette[[#This Row],[ID]],TableauProduit[ID],TableauProduit[Total (kg) N4],0,0,1)*#REF!</f>
        <v>#REF!</v>
      </c>
      <c r="P193" t="e">
        <f>_xlfn.XLOOKUP(TableauRecette[[#This Row],[ID]],TableauProduit[ID],TableauProduit[Total (kg) N5],0,0,1)*#REF!</f>
        <v>#REF!</v>
      </c>
      <c r="Q193" t="e">
        <f>_xlfn.XLOOKUP(TableauRecette[[#This Row],[ID]],TableauProduit[ID],TableauProduit[Total (kg) N6],0,0,1)*#REF!</f>
        <v>#REF!</v>
      </c>
      <c r="R193" t="e">
        <f>_xlfn.XLOOKUP(TableauRecette[[#This Row],[ID]],TableauProduit[ID],TableauProduit[Total (kg) N7],0,0,1)*#REF!</f>
        <v>#REF!</v>
      </c>
      <c r="S193" t="e">
        <f>_xlfn.XLOOKUP(TableauRecette[[#This Row],[ID]],TableauProduit[ID],TableauProduit[Total (kg) N8],0,0,1)*#REF!</f>
        <v>#REF!</v>
      </c>
      <c r="T193" t="e">
        <f>_xlfn.XLOOKUP(TableauRecette[[#This Row],[ID]],TableauProduit[ID],TableauProduit[Total (kg) N9],0,0,1)*#REF!</f>
        <v>#REF!</v>
      </c>
    </row>
    <row r="194" spans="1:20" x14ac:dyDescent="0.2">
      <c r="A194" t="s">
        <v>110</v>
      </c>
      <c r="B194" t="str">
        <f>TableauRecette[[#This Row],[Recette]]&amp;TableauRecette[[#This Row],[Conditionnement]]</f>
        <v>HarissaEpice 100ml</v>
      </c>
      <c r="C194" t="s">
        <v>351</v>
      </c>
      <c r="D194">
        <v>6</v>
      </c>
      <c r="E194" t="s">
        <v>73</v>
      </c>
      <c r="F194">
        <f>IFERROR(TableauRecette[[#This Row],[Proportion]]/SUMIFS(TableauRecette[Proportion],TableauRecette[Recette],TableauRecette[[#This Row],[Recette]],TableauRecette[Conditionnement],TableauRecette[[#This Row],[Conditionnement]]),0)</f>
        <v>3.3707865168539325E-2</v>
      </c>
      <c r="G194">
        <f>IFERROR(_xlfn.XLOOKUP(TableauRecette[[#This Row],[Ingredients]],TableauIngredients[Ingredients],#REF!,0)*#REF!,0)</f>
        <v>0</v>
      </c>
      <c r="H194">
        <f>IFERROR(SUMIFS(TableauRecette[Proportion],TableauRecette[Recette],TableauRecette[[#This Row],[Recette]],TableauRecette[Conditionnement],TableauRecette[[#This Row],[Conditionnement]]),0)</f>
        <v>178</v>
      </c>
      <c r="I194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94">
        <f>_xlfn.XLOOKUP(TableauRecette[[#This Row],[ID]],TableauProduit[ID],TableauProduit[Total (kg) N1],0,0,1)*_xlfn.XLOOKUP(TableauRecette[[#This Row],[ID]],TableauProduit[ID],TableauProduit[Total (kg) N1],0,0,1)</f>
        <v>0</v>
      </c>
      <c r="M194" t="e">
        <f>_xlfn.XLOOKUP(TableauRecette[[#This Row],[ID]],TableauProduit[ID],TableauProduit[Total (kg) N1],0,0,1)*_xlfn.XLOOKUP(TableauRecette[[#This Row],[ID]],TableauProduit[ID],TableauProduit[Total (kg) N2],0,0,1)</f>
        <v>#REF!</v>
      </c>
      <c r="N194" t="e">
        <f>_xlfn.XLOOKUP(TableauRecette[[#This Row],[ID]],TableauProduit[ID],TableauProduit[Total (kg) N3],0,0,1)*#REF!</f>
        <v>#REF!</v>
      </c>
      <c r="O194" t="e">
        <f>_xlfn.XLOOKUP(TableauRecette[[#This Row],[ID]],TableauProduit[ID],TableauProduit[Total (kg) N4],0,0,1)*#REF!</f>
        <v>#REF!</v>
      </c>
      <c r="P194" t="e">
        <f>_xlfn.XLOOKUP(TableauRecette[[#This Row],[ID]],TableauProduit[ID],TableauProduit[Total (kg) N5],0,0,1)*#REF!</f>
        <v>#REF!</v>
      </c>
      <c r="Q194" t="e">
        <f>_xlfn.XLOOKUP(TableauRecette[[#This Row],[ID]],TableauProduit[ID],TableauProduit[Total (kg) N6],0,0,1)*#REF!</f>
        <v>#REF!</v>
      </c>
      <c r="R194" t="e">
        <f>_xlfn.XLOOKUP(TableauRecette[[#This Row],[ID]],TableauProduit[ID],TableauProduit[Total (kg) N7],0,0,1)*#REF!</f>
        <v>#REF!</v>
      </c>
      <c r="S194" t="e">
        <f>_xlfn.XLOOKUP(TableauRecette[[#This Row],[ID]],TableauProduit[ID],TableauProduit[Total (kg) N8],0,0,1)*#REF!</f>
        <v>#REF!</v>
      </c>
      <c r="T194" t="e">
        <f>_xlfn.XLOOKUP(TableauRecette[[#This Row],[ID]],TableauProduit[ID],TableauProduit[Total (kg) N9],0,0,1)*#REF!</f>
        <v>#REF!</v>
      </c>
    </row>
    <row r="195" spans="1:20" x14ac:dyDescent="0.2">
      <c r="A195" t="s">
        <v>110</v>
      </c>
      <c r="B195" t="str">
        <f>TableauRecette[[#This Row],[Recette]]&amp;TableauRecette[[#This Row],[Conditionnement]]</f>
        <v>HarissaEpice 100ml</v>
      </c>
      <c r="C195" t="s">
        <v>410</v>
      </c>
      <c r="D195">
        <v>24</v>
      </c>
      <c r="E195" t="s">
        <v>73</v>
      </c>
      <c r="F195">
        <f>IFERROR(TableauRecette[[#This Row],[Proportion]]/SUMIFS(TableauRecette[Proportion],TableauRecette[Recette],TableauRecette[[#This Row],[Recette]],TableauRecette[Conditionnement],TableauRecette[[#This Row],[Conditionnement]]),0)</f>
        <v>0.1348314606741573</v>
      </c>
      <c r="G195">
        <f>IFERROR(_xlfn.XLOOKUP(TableauRecette[[#This Row],[Ingredients]],TableauIngredients[Ingredients],#REF!,0)*#REF!,0)</f>
        <v>0</v>
      </c>
      <c r="H195">
        <f>IFERROR(SUMIFS(TableauRecette[Proportion],TableauRecette[Recette],TableauRecette[[#This Row],[Recette]],TableauRecette[Conditionnement],TableauRecette[[#This Row],[Conditionnement]]),0)</f>
        <v>178</v>
      </c>
      <c r="I195">
        <f>_xlfn.XLOOKUP(TableauRecette[[#This Row],[Ingredients]],TableauIngredients[Ingredients],TableauIngredients[Prix d''achat (kg)],0,0,1)*TableauRecette[[#This Row],[Proportion]]/TableauRecette[[#This Row],[Total Proportion]]</f>
        <v>1.0786516853932584</v>
      </c>
      <c r="L195">
        <f>_xlfn.XLOOKUP(TableauRecette[[#This Row],[ID]],TableauProduit[ID],TableauProduit[Total (kg) N1],0,0,1)*_xlfn.XLOOKUP(TableauRecette[[#This Row],[ID]],TableauProduit[ID],TableauProduit[Total (kg) N1],0,0,1)</f>
        <v>0</v>
      </c>
      <c r="M195" t="e">
        <f>_xlfn.XLOOKUP(TableauRecette[[#This Row],[ID]],TableauProduit[ID],TableauProduit[Total (kg) N1],0,0,1)*_xlfn.XLOOKUP(TableauRecette[[#This Row],[ID]],TableauProduit[ID],TableauProduit[Total (kg) N2],0,0,1)</f>
        <v>#REF!</v>
      </c>
      <c r="N195" t="e">
        <f>_xlfn.XLOOKUP(TableauRecette[[#This Row],[ID]],TableauProduit[ID],TableauProduit[Total (kg) N3],0,0,1)*#REF!</f>
        <v>#REF!</v>
      </c>
      <c r="O195" t="e">
        <f>_xlfn.XLOOKUP(TableauRecette[[#This Row],[ID]],TableauProduit[ID],TableauProduit[Total (kg) N4],0,0,1)*#REF!</f>
        <v>#REF!</v>
      </c>
      <c r="P195" t="e">
        <f>_xlfn.XLOOKUP(TableauRecette[[#This Row],[ID]],TableauProduit[ID],TableauProduit[Total (kg) N5],0,0,1)*#REF!</f>
        <v>#REF!</v>
      </c>
      <c r="Q195" t="e">
        <f>_xlfn.XLOOKUP(TableauRecette[[#This Row],[ID]],TableauProduit[ID],TableauProduit[Total (kg) N6],0,0,1)*#REF!</f>
        <v>#REF!</v>
      </c>
      <c r="R195" t="e">
        <f>_xlfn.XLOOKUP(TableauRecette[[#This Row],[ID]],TableauProduit[ID],TableauProduit[Total (kg) N7],0,0,1)*#REF!</f>
        <v>#REF!</v>
      </c>
      <c r="S195" t="e">
        <f>_xlfn.XLOOKUP(TableauRecette[[#This Row],[ID]],TableauProduit[ID],TableauProduit[Total (kg) N8],0,0,1)*#REF!</f>
        <v>#REF!</v>
      </c>
      <c r="T195" t="e">
        <f>_xlfn.XLOOKUP(TableauRecette[[#This Row],[ID]],TableauProduit[ID],TableauProduit[Total (kg) N9],0,0,1)*#REF!</f>
        <v>#REF!</v>
      </c>
    </row>
    <row r="196" spans="1:20" x14ac:dyDescent="0.2">
      <c r="A196" t="s">
        <v>132</v>
      </c>
      <c r="B196" t="str">
        <f>TableauRecette[[#This Row],[Recette]]&amp;TableauRecette[[#This Row],[Conditionnement]]</f>
        <v>HawaijEpice 100ml</v>
      </c>
      <c r="C196" t="s">
        <v>348</v>
      </c>
      <c r="D196">
        <v>3</v>
      </c>
      <c r="E196" t="s">
        <v>73</v>
      </c>
      <c r="F196">
        <f>IFERROR(TableauRecette[[#This Row],[Proportion]]/SUMIFS(TableauRecette[Proportion],TableauRecette[Recette],TableauRecette[[#This Row],[Recette]],TableauRecette[Conditionnement],TableauRecette[[#This Row],[Conditionnement]]),0)</f>
        <v>0.13636363636363635</v>
      </c>
      <c r="G196">
        <f>IFERROR(_xlfn.XLOOKUP(TableauRecette[[#This Row],[Ingredients]],TableauIngredients[Ingredients],#REF!,0)*#REF!,0)</f>
        <v>0</v>
      </c>
      <c r="H196">
        <f>IFERROR(SUMIFS(TableauRecette[Proportion],TableauRecette[Recette],TableauRecette[[#This Row],[Recette]],TableauRecette[Conditionnement],TableauRecette[[#This Row],[Conditionnement]]),0)</f>
        <v>22</v>
      </c>
      <c r="I196">
        <f>_xlfn.XLOOKUP(TableauRecette[[#This Row],[Ingredients]],TableauIngredients[Ingredients],TableauIngredients[Prix d''achat (kg)],0,0,1)*TableauRecette[[#This Row],[Proportion]]/TableauRecette[[#This Row],[Total Proportion]]</f>
        <v>5.0250000000000004</v>
      </c>
      <c r="L196">
        <f>_xlfn.XLOOKUP(TableauRecette[[#This Row],[ID]],TableauProduit[ID],TableauProduit[Total (kg) N1],0,0,1)*_xlfn.XLOOKUP(TableauRecette[[#This Row],[ID]],TableauProduit[ID],TableauProduit[Total (kg) N1],0,0,1)</f>
        <v>0</v>
      </c>
      <c r="M196" t="e">
        <f>_xlfn.XLOOKUP(TableauRecette[[#This Row],[ID]],TableauProduit[ID],TableauProduit[Total (kg) N1],0,0,1)*_xlfn.XLOOKUP(TableauRecette[[#This Row],[ID]],TableauProduit[ID],TableauProduit[Total (kg) N2],0,0,1)</f>
        <v>#REF!</v>
      </c>
      <c r="N196" t="e">
        <f>_xlfn.XLOOKUP(TableauRecette[[#This Row],[ID]],TableauProduit[ID],TableauProduit[Total (kg) N3],0,0,1)*#REF!</f>
        <v>#REF!</v>
      </c>
      <c r="O196" t="e">
        <f>_xlfn.XLOOKUP(TableauRecette[[#This Row],[ID]],TableauProduit[ID],TableauProduit[Total (kg) N4],0,0,1)*#REF!</f>
        <v>#REF!</v>
      </c>
      <c r="P196" t="e">
        <f>_xlfn.XLOOKUP(TableauRecette[[#This Row],[ID]],TableauProduit[ID],TableauProduit[Total (kg) N5],0,0,1)*#REF!</f>
        <v>#REF!</v>
      </c>
      <c r="Q196" t="e">
        <f>_xlfn.XLOOKUP(TableauRecette[[#This Row],[ID]],TableauProduit[ID],TableauProduit[Total (kg) N6],0,0,1)*#REF!</f>
        <v>#REF!</v>
      </c>
      <c r="R196" t="e">
        <f>_xlfn.XLOOKUP(TableauRecette[[#This Row],[ID]],TableauProduit[ID],TableauProduit[Total (kg) N7],0,0,1)*#REF!</f>
        <v>#REF!</v>
      </c>
      <c r="S196" t="e">
        <f>_xlfn.XLOOKUP(TableauRecette[[#This Row],[ID]],TableauProduit[ID],TableauProduit[Total (kg) N8],0,0,1)*#REF!</f>
        <v>#REF!</v>
      </c>
      <c r="T196" t="e">
        <f>_xlfn.XLOOKUP(TableauRecette[[#This Row],[ID]],TableauProduit[ID],TableauProduit[Total (kg) N9],0,0,1)*#REF!</f>
        <v>#REF!</v>
      </c>
    </row>
    <row r="197" spans="1:20" x14ac:dyDescent="0.2">
      <c r="A197" t="s">
        <v>132</v>
      </c>
      <c r="B197" t="str">
        <f>TableauRecette[[#This Row],[Recette]]&amp;TableauRecette[[#This Row],[Conditionnement]]</f>
        <v>HawaijEpice 100ml</v>
      </c>
      <c r="C197" t="s">
        <v>343</v>
      </c>
      <c r="D197">
        <v>7</v>
      </c>
      <c r="E197" t="s">
        <v>73</v>
      </c>
      <c r="F197">
        <f>IFERROR(TableauRecette[[#This Row],[Proportion]]/SUMIFS(TableauRecette[Proportion],TableauRecette[Recette],TableauRecette[[#This Row],[Recette]],TableauRecette[Conditionnement],TableauRecette[[#This Row],[Conditionnement]]),0)</f>
        <v>0.31818181818181818</v>
      </c>
      <c r="G197">
        <f>IFERROR(_xlfn.XLOOKUP(TableauRecette[[#This Row],[Ingredients]],TableauIngredients[Ingredients],#REF!,0)*#REF!,0)</f>
        <v>0</v>
      </c>
      <c r="H197">
        <f>IFERROR(SUMIFS(TableauRecette[Proportion],TableauRecette[Recette],TableauRecette[[#This Row],[Recette]],TableauRecette[Conditionnement],TableauRecette[[#This Row],[Conditionnement]]),0)</f>
        <v>22</v>
      </c>
      <c r="I19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97">
        <f>_xlfn.XLOOKUP(TableauRecette[[#This Row],[ID]],TableauProduit[ID],TableauProduit[Total (kg) N1],0,0,1)*_xlfn.XLOOKUP(TableauRecette[[#This Row],[ID]],TableauProduit[ID],TableauProduit[Total (kg) N1],0,0,1)</f>
        <v>0</v>
      </c>
      <c r="M197" t="e">
        <f>_xlfn.XLOOKUP(TableauRecette[[#This Row],[ID]],TableauProduit[ID],TableauProduit[Total (kg) N1],0,0,1)*_xlfn.XLOOKUP(TableauRecette[[#This Row],[ID]],TableauProduit[ID],TableauProduit[Total (kg) N2],0,0,1)</f>
        <v>#REF!</v>
      </c>
      <c r="N197" t="e">
        <f>_xlfn.XLOOKUP(TableauRecette[[#This Row],[ID]],TableauProduit[ID],TableauProduit[Total (kg) N3],0,0,1)*#REF!</f>
        <v>#REF!</v>
      </c>
      <c r="O197" t="e">
        <f>_xlfn.XLOOKUP(TableauRecette[[#This Row],[ID]],TableauProduit[ID],TableauProduit[Total (kg) N4],0,0,1)*#REF!</f>
        <v>#REF!</v>
      </c>
      <c r="P197" t="e">
        <f>_xlfn.XLOOKUP(TableauRecette[[#This Row],[ID]],TableauProduit[ID],TableauProduit[Total (kg) N5],0,0,1)*#REF!</f>
        <v>#REF!</v>
      </c>
      <c r="Q197" t="e">
        <f>_xlfn.XLOOKUP(TableauRecette[[#This Row],[ID]],TableauProduit[ID],TableauProduit[Total (kg) N6],0,0,1)*#REF!</f>
        <v>#REF!</v>
      </c>
      <c r="R197" t="e">
        <f>_xlfn.XLOOKUP(TableauRecette[[#This Row],[ID]],TableauProduit[ID],TableauProduit[Total (kg) N7],0,0,1)*#REF!</f>
        <v>#REF!</v>
      </c>
      <c r="S197" t="e">
        <f>_xlfn.XLOOKUP(TableauRecette[[#This Row],[ID]],TableauProduit[ID],TableauProduit[Total (kg) N8],0,0,1)*#REF!</f>
        <v>#REF!</v>
      </c>
      <c r="T197" t="e">
        <f>_xlfn.XLOOKUP(TableauRecette[[#This Row],[ID]],TableauProduit[ID],TableauProduit[Total (kg) N9],0,0,1)*#REF!</f>
        <v>#REF!</v>
      </c>
    </row>
    <row r="198" spans="1:20" x14ac:dyDescent="0.2">
      <c r="A198" t="s">
        <v>132</v>
      </c>
      <c r="B198" t="str">
        <f>TableauRecette[[#This Row],[Recette]]&amp;TableauRecette[[#This Row],[Conditionnement]]</f>
        <v>HawaijEpice 100ml</v>
      </c>
      <c r="C198" t="s">
        <v>342</v>
      </c>
      <c r="D198">
        <v>3</v>
      </c>
      <c r="E198" t="s">
        <v>73</v>
      </c>
      <c r="F198">
        <f>IFERROR(TableauRecette[[#This Row],[Proportion]]/SUMIFS(TableauRecette[Proportion],TableauRecette[Recette],TableauRecette[[#This Row],[Recette]],TableauRecette[Conditionnement],TableauRecette[[#This Row],[Conditionnement]]),0)</f>
        <v>0.13636363636363635</v>
      </c>
      <c r="G198">
        <f>IFERROR(_xlfn.XLOOKUP(TableauRecette[[#This Row],[Ingredients]],TableauIngredients[Ingredients],#REF!,0)*#REF!,0)</f>
        <v>0</v>
      </c>
      <c r="H198">
        <f>IFERROR(SUMIFS(TableauRecette[Proportion],TableauRecette[Recette],TableauRecette[[#This Row],[Recette]],TableauRecette[Conditionnement],TableauRecette[[#This Row],[Conditionnement]]),0)</f>
        <v>22</v>
      </c>
      <c r="I198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98">
        <f>_xlfn.XLOOKUP(TableauRecette[[#This Row],[ID]],TableauProduit[ID],TableauProduit[Total (kg) N1],0,0,1)*_xlfn.XLOOKUP(TableauRecette[[#This Row],[ID]],TableauProduit[ID],TableauProduit[Total (kg) N1],0,0,1)</f>
        <v>0</v>
      </c>
      <c r="M198" t="e">
        <f>_xlfn.XLOOKUP(TableauRecette[[#This Row],[ID]],TableauProduit[ID],TableauProduit[Total (kg) N1],0,0,1)*_xlfn.XLOOKUP(TableauRecette[[#This Row],[ID]],TableauProduit[ID],TableauProduit[Total (kg) N2],0,0,1)</f>
        <v>#REF!</v>
      </c>
      <c r="N198" t="e">
        <f>_xlfn.XLOOKUP(TableauRecette[[#This Row],[ID]],TableauProduit[ID],TableauProduit[Total (kg) N3],0,0,1)*#REF!</f>
        <v>#REF!</v>
      </c>
      <c r="O198" t="e">
        <f>_xlfn.XLOOKUP(TableauRecette[[#This Row],[ID]],TableauProduit[ID],TableauProduit[Total (kg) N4],0,0,1)*#REF!</f>
        <v>#REF!</v>
      </c>
      <c r="P198" t="e">
        <f>_xlfn.XLOOKUP(TableauRecette[[#This Row],[ID]],TableauProduit[ID],TableauProduit[Total (kg) N5],0,0,1)*#REF!</f>
        <v>#REF!</v>
      </c>
      <c r="Q198" t="e">
        <f>_xlfn.XLOOKUP(TableauRecette[[#This Row],[ID]],TableauProduit[ID],TableauProduit[Total (kg) N6],0,0,1)*#REF!</f>
        <v>#REF!</v>
      </c>
      <c r="R198" t="e">
        <f>_xlfn.XLOOKUP(TableauRecette[[#This Row],[ID]],TableauProduit[ID],TableauProduit[Total (kg) N7],0,0,1)*#REF!</f>
        <v>#REF!</v>
      </c>
      <c r="S198" t="e">
        <f>_xlfn.XLOOKUP(TableauRecette[[#This Row],[ID]],TableauProduit[ID],TableauProduit[Total (kg) N8],0,0,1)*#REF!</f>
        <v>#REF!</v>
      </c>
      <c r="T198" t="e">
        <f>_xlfn.XLOOKUP(TableauRecette[[#This Row],[ID]],TableauProduit[ID],TableauProduit[Total (kg) N9],0,0,1)*#REF!</f>
        <v>#REF!</v>
      </c>
    </row>
    <row r="199" spans="1:20" x14ac:dyDescent="0.2">
      <c r="A199" t="s">
        <v>132</v>
      </c>
      <c r="B199" t="str">
        <f>TableauRecette[[#This Row],[Recette]]&amp;TableauRecette[[#This Row],[Conditionnement]]</f>
        <v>HawaijEpice 100ml</v>
      </c>
      <c r="C199" t="s">
        <v>351</v>
      </c>
      <c r="D199">
        <v>3</v>
      </c>
      <c r="E199" t="s">
        <v>73</v>
      </c>
      <c r="F199">
        <f>IFERROR(TableauRecette[[#This Row],[Proportion]]/SUMIFS(TableauRecette[Proportion],TableauRecette[Recette],TableauRecette[[#This Row],[Recette]],TableauRecette[Conditionnement],TableauRecette[[#This Row],[Conditionnement]]),0)</f>
        <v>0.13636363636363635</v>
      </c>
      <c r="G199">
        <f>IFERROR(_xlfn.XLOOKUP(TableauRecette[[#This Row],[Ingredients]],TableauIngredients[Ingredients],#REF!,0)*#REF!,0)</f>
        <v>0</v>
      </c>
      <c r="H199">
        <f>IFERROR(SUMIFS(TableauRecette[Proportion],TableauRecette[Recette],TableauRecette[[#This Row],[Recette]],TableauRecette[Conditionnement],TableauRecette[[#This Row],[Conditionnement]]),0)</f>
        <v>22</v>
      </c>
      <c r="I19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199">
        <f>_xlfn.XLOOKUP(TableauRecette[[#This Row],[ID]],TableauProduit[ID],TableauProduit[Total (kg) N1],0,0,1)*_xlfn.XLOOKUP(TableauRecette[[#This Row],[ID]],TableauProduit[ID],TableauProduit[Total (kg) N1],0,0,1)</f>
        <v>0</v>
      </c>
      <c r="M199" t="e">
        <f>_xlfn.XLOOKUP(TableauRecette[[#This Row],[ID]],TableauProduit[ID],TableauProduit[Total (kg) N1],0,0,1)*_xlfn.XLOOKUP(TableauRecette[[#This Row],[ID]],TableauProduit[ID],TableauProduit[Total (kg) N2],0,0,1)</f>
        <v>#REF!</v>
      </c>
      <c r="N199" t="e">
        <f>_xlfn.XLOOKUP(TableauRecette[[#This Row],[ID]],TableauProduit[ID],TableauProduit[Total (kg) N3],0,0,1)*#REF!</f>
        <v>#REF!</v>
      </c>
      <c r="O199" t="e">
        <f>_xlfn.XLOOKUP(TableauRecette[[#This Row],[ID]],TableauProduit[ID],TableauProduit[Total (kg) N4],0,0,1)*#REF!</f>
        <v>#REF!</v>
      </c>
      <c r="P199" t="e">
        <f>_xlfn.XLOOKUP(TableauRecette[[#This Row],[ID]],TableauProduit[ID],TableauProduit[Total (kg) N5],0,0,1)*#REF!</f>
        <v>#REF!</v>
      </c>
      <c r="Q199" t="e">
        <f>_xlfn.XLOOKUP(TableauRecette[[#This Row],[ID]],TableauProduit[ID],TableauProduit[Total (kg) N6],0,0,1)*#REF!</f>
        <v>#REF!</v>
      </c>
      <c r="R199" t="e">
        <f>_xlfn.XLOOKUP(TableauRecette[[#This Row],[ID]],TableauProduit[ID],TableauProduit[Total (kg) N7],0,0,1)*#REF!</f>
        <v>#REF!</v>
      </c>
      <c r="S199" t="e">
        <f>_xlfn.XLOOKUP(TableauRecette[[#This Row],[ID]],TableauProduit[ID],TableauProduit[Total (kg) N8],0,0,1)*#REF!</f>
        <v>#REF!</v>
      </c>
      <c r="T199" t="e">
        <f>_xlfn.XLOOKUP(TableauRecette[[#This Row],[ID]],TableauProduit[ID],TableauProduit[Total (kg) N9],0,0,1)*#REF!</f>
        <v>#REF!</v>
      </c>
    </row>
    <row r="200" spans="1:20" x14ac:dyDescent="0.2">
      <c r="A200" t="s">
        <v>132</v>
      </c>
      <c r="B200" t="str">
        <f>TableauRecette[[#This Row],[Recette]]&amp;TableauRecette[[#This Row],[Conditionnement]]</f>
        <v>HawaijEpice 100ml</v>
      </c>
      <c r="C200" t="s">
        <v>367</v>
      </c>
      <c r="D200">
        <v>6</v>
      </c>
      <c r="E200" t="s">
        <v>73</v>
      </c>
      <c r="F200">
        <f>IFERROR(TableauRecette[[#This Row],[Proportion]]/SUMIFS(TableauRecette[Proportion],TableauRecette[Recette],TableauRecette[[#This Row],[Recette]],TableauRecette[Conditionnement],TableauRecette[[#This Row],[Conditionnement]]),0)</f>
        <v>0.27272727272727271</v>
      </c>
      <c r="G200">
        <f>IFERROR(_xlfn.XLOOKUP(TableauRecette[[#This Row],[Ingredients]],TableauIngredients[Ingredients],#REF!,0)*#REF!,0)</f>
        <v>0</v>
      </c>
      <c r="H200">
        <f>IFERROR(SUMIFS(TableauRecette[Proportion],TableauRecette[Recette],TableauRecette[[#This Row],[Recette]],TableauRecette[Conditionnement],TableauRecette[[#This Row],[Conditionnement]]),0)</f>
        <v>22</v>
      </c>
      <c r="I200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00">
        <f>_xlfn.XLOOKUP(TableauRecette[[#This Row],[ID]],TableauProduit[ID],TableauProduit[Total (kg) N1],0,0,1)*_xlfn.XLOOKUP(TableauRecette[[#This Row],[ID]],TableauProduit[ID],TableauProduit[Total (kg) N1],0,0,1)</f>
        <v>0</v>
      </c>
      <c r="M200" t="e">
        <f>_xlfn.XLOOKUP(TableauRecette[[#This Row],[ID]],TableauProduit[ID],TableauProduit[Total (kg) N1],0,0,1)*_xlfn.XLOOKUP(TableauRecette[[#This Row],[ID]],TableauProduit[ID],TableauProduit[Total (kg) N2],0,0,1)</f>
        <v>#REF!</v>
      </c>
      <c r="N200" t="e">
        <f>_xlfn.XLOOKUP(TableauRecette[[#This Row],[ID]],TableauProduit[ID],TableauProduit[Total (kg) N3],0,0,1)*#REF!</f>
        <v>#REF!</v>
      </c>
      <c r="O200" t="e">
        <f>_xlfn.XLOOKUP(TableauRecette[[#This Row],[ID]],TableauProduit[ID],TableauProduit[Total (kg) N4],0,0,1)*#REF!</f>
        <v>#REF!</v>
      </c>
      <c r="P200" t="e">
        <f>_xlfn.XLOOKUP(TableauRecette[[#This Row],[ID]],TableauProduit[ID],TableauProduit[Total (kg) N5],0,0,1)*#REF!</f>
        <v>#REF!</v>
      </c>
      <c r="Q200" t="e">
        <f>_xlfn.XLOOKUP(TableauRecette[[#This Row],[ID]],TableauProduit[ID],TableauProduit[Total (kg) N6],0,0,1)*#REF!</f>
        <v>#REF!</v>
      </c>
      <c r="R200" t="e">
        <f>_xlfn.XLOOKUP(TableauRecette[[#This Row],[ID]],TableauProduit[ID],TableauProduit[Total (kg) N7],0,0,1)*#REF!</f>
        <v>#REF!</v>
      </c>
      <c r="S200" t="e">
        <f>_xlfn.XLOOKUP(TableauRecette[[#This Row],[ID]],TableauProduit[ID],TableauProduit[Total (kg) N8],0,0,1)*#REF!</f>
        <v>#REF!</v>
      </c>
      <c r="T200" t="e">
        <f>_xlfn.XLOOKUP(TableauRecette[[#This Row],[ID]],TableauProduit[ID],TableauProduit[Total (kg) N9],0,0,1)*#REF!</f>
        <v>#REF!</v>
      </c>
    </row>
    <row r="201" spans="1:20" x14ac:dyDescent="0.2">
      <c r="A201" t="s">
        <v>66</v>
      </c>
      <c r="B201" t="str">
        <f>TableauRecette[[#This Row],[Recette]]&amp;TableauRecette[[#This Row],[Conditionnement]]</f>
        <v>Herbes de ProvenceEpice 200ml</v>
      </c>
      <c r="C201" t="s">
        <v>411</v>
      </c>
      <c r="D201">
        <v>26</v>
      </c>
      <c r="E201" t="s">
        <v>67</v>
      </c>
      <c r="F201">
        <f>IFERROR(TableauRecette[[#This Row],[Proportion]]/SUMIFS(TableauRecette[Proportion],TableauRecette[Recette],TableauRecette[[#This Row],[Recette]],TableauRecette[Conditionnement],TableauRecette[[#This Row],[Conditionnement]]),0)</f>
        <v>0.26</v>
      </c>
      <c r="G201">
        <f>IFERROR(_xlfn.XLOOKUP(TableauRecette[[#This Row],[Ingredients]],TableauIngredients[Ingredients],#REF!,0)*#REF!,0)</f>
        <v>0</v>
      </c>
      <c r="H201">
        <f>IFERROR(SUMIFS(TableauRecette[Proportion],TableauRecette[Recette],TableauRecette[[#This Row],[Recette]],TableauRecette[Conditionnement],TableauRecette[[#This Row],[Conditionnement]]),0)</f>
        <v>100</v>
      </c>
      <c r="I20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01">
        <f>_xlfn.XLOOKUP(TableauRecette[[#This Row],[ID]],TableauProduit[ID],TableauProduit[Total (kg) N1],0,0,1)*_xlfn.XLOOKUP(TableauRecette[[#This Row],[ID]],TableauProduit[ID],TableauProduit[Total (kg) N1],0,0,1)</f>
        <v>2704</v>
      </c>
      <c r="M201" t="e">
        <f>_xlfn.XLOOKUP(TableauRecette[[#This Row],[ID]],TableauProduit[ID],TableauProduit[Total (kg) N1],0,0,1)*_xlfn.XLOOKUP(TableauRecette[[#This Row],[ID]],TableauProduit[ID],TableauProduit[Total (kg) N2],0,0,1)</f>
        <v>#REF!</v>
      </c>
      <c r="N201" t="e">
        <f>_xlfn.XLOOKUP(TableauRecette[[#This Row],[ID]],TableauProduit[ID],TableauProduit[Total (kg) N3],0,0,1)*#REF!</f>
        <v>#REF!</v>
      </c>
      <c r="O201" t="e">
        <f>_xlfn.XLOOKUP(TableauRecette[[#This Row],[ID]],TableauProduit[ID],TableauProduit[Total (kg) N4],0,0,1)*#REF!</f>
        <v>#REF!</v>
      </c>
      <c r="P201" t="e">
        <f>_xlfn.XLOOKUP(TableauRecette[[#This Row],[ID]],TableauProduit[ID],TableauProduit[Total (kg) N5],0,0,1)*#REF!</f>
        <v>#REF!</v>
      </c>
      <c r="Q201" t="e">
        <f>_xlfn.XLOOKUP(TableauRecette[[#This Row],[ID]],TableauProduit[ID],TableauProduit[Total (kg) N6],0,0,1)*#REF!</f>
        <v>#REF!</v>
      </c>
      <c r="R201" t="e">
        <f>_xlfn.XLOOKUP(TableauRecette[[#This Row],[ID]],TableauProduit[ID],TableauProduit[Total (kg) N7],0,0,1)*#REF!</f>
        <v>#REF!</v>
      </c>
      <c r="S201" t="e">
        <f>_xlfn.XLOOKUP(TableauRecette[[#This Row],[ID]],TableauProduit[ID],TableauProduit[Total (kg) N8],0,0,1)*#REF!</f>
        <v>#REF!</v>
      </c>
      <c r="T201" t="e">
        <f>_xlfn.XLOOKUP(TableauRecette[[#This Row],[ID]],TableauProduit[ID],TableauProduit[Total (kg) N9],0,0,1)*#REF!</f>
        <v>#REF!</v>
      </c>
    </row>
    <row r="202" spans="1:20" x14ac:dyDescent="0.2">
      <c r="A202" t="s">
        <v>66</v>
      </c>
      <c r="B202" t="str">
        <f>TableauRecette[[#This Row],[Recette]]&amp;TableauRecette[[#This Row],[Conditionnement]]</f>
        <v>Herbes de ProvenceEpice 200ml</v>
      </c>
      <c r="C202" t="s">
        <v>412</v>
      </c>
      <c r="D202">
        <v>26</v>
      </c>
      <c r="E202" t="s">
        <v>67</v>
      </c>
      <c r="F202">
        <f>IFERROR(TableauRecette[[#This Row],[Proportion]]/SUMIFS(TableauRecette[Proportion],TableauRecette[Recette],TableauRecette[[#This Row],[Recette]],TableauRecette[Conditionnement],TableauRecette[[#This Row],[Conditionnement]]),0)</f>
        <v>0.26</v>
      </c>
      <c r="G202">
        <f>IFERROR(_xlfn.XLOOKUP(TableauRecette[[#This Row],[Ingredients]],TableauIngredients[Ingredients],#REF!,0)*#REF!,0)</f>
        <v>0</v>
      </c>
      <c r="H202">
        <f>IFERROR(SUMIFS(TableauRecette[Proportion],TableauRecette[Recette],TableauRecette[[#This Row],[Recette]],TableauRecette[Conditionnement],TableauRecette[[#This Row],[Conditionnement]]),0)</f>
        <v>100</v>
      </c>
      <c r="I20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02">
        <f>_xlfn.XLOOKUP(TableauRecette[[#This Row],[ID]],TableauProduit[ID],TableauProduit[Total (kg) N1],0,0,1)*_xlfn.XLOOKUP(TableauRecette[[#This Row],[ID]],TableauProduit[ID],TableauProduit[Total (kg) N1],0,0,1)</f>
        <v>2704</v>
      </c>
      <c r="M202" t="e">
        <f>_xlfn.XLOOKUP(TableauRecette[[#This Row],[ID]],TableauProduit[ID],TableauProduit[Total (kg) N1],0,0,1)*_xlfn.XLOOKUP(TableauRecette[[#This Row],[ID]],TableauProduit[ID],TableauProduit[Total (kg) N2],0,0,1)</f>
        <v>#REF!</v>
      </c>
      <c r="N202" t="e">
        <f>_xlfn.XLOOKUP(TableauRecette[[#This Row],[ID]],TableauProduit[ID],TableauProduit[Total (kg) N3],0,0,1)*#REF!</f>
        <v>#REF!</v>
      </c>
      <c r="O202" t="e">
        <f>_xlfn.XLOOKUP(TableauRecette[[#This Row],[ID]],TableauProduit[ID],TableauProduit[Total (kg) N4],0,0,1)*#REF!</f>
        <v>#REF!</v>
      </c>
      <c r="P202" t="e">
        <f>_xlfn.XLOOKUP(TableauRecette[[#This Row],[ID]],TableauProduit[ID],TableauProduit[Total (kg) N5],0,0,1)*#REF!</f>
        <v>#REF!</v>
      </c>
      <c r="Q202" t="e">
        <f>_xlfn.XLOOKUP(TableauRecette[[#This Row],[ID]],TableauProduit[ID],TableauProduit[Total (kg) N6],0,0,1)*#REF!</f>
        <v>#REF!</v>
      </c>
      <c r="R202" t="e">
        <f>_xlfn.XLOOKUP(TableauRecette[[#This Row],[ID]],TableauProduit[ID],TableauProduit[Total (kg) N7],0,0,1)*#REF!</f>
        <v>#REF!</v>
      </c>
      <c r="S202" t="e">
        <f>_xlfn.XLOOKUP(TableauRecette[[#This Row],[ID]],TableauProduit[ID],TableauProduit[Total (kg) N8],0,0,1)*#REF!</f>
        <v>#REF!</v>
      </c>
      <c r="T202" t="e">
        <f>_xlfn.XLOOKUP(TableauRecette[[#This Row],[ID]],TableauProduit[ID],TableauProduit[Total (kg) N9],0,0,1)*#REF!</f>
        <v>#REF!</v>
      </c>
    </row>
    <row r="203" spans="1:20" x14ac:dyDescent="0.2">
      <c r="A203" t="s">
        <v>66</v>
      </c>
      <c r="B203" t="str">
        <f>TableauRecette[[#This Row],[Recette]]&amp;TableauRecette[[#This Row],[Conditionnement]]</f>
        <v>Herbes de ProvenceEpice 200ml</v>
      </c>
      <c r="C203" t="s">
        <v>392</v>
      </c>
      <c r="D203">
        <v>26</v>
      </c>
      <c r="E203" t="s">
        <v>67</v>
      </c>
      <c r="F203">
        <f>IFERROR(TableauRecette[[#This Row],[Proportion]]/SUMIFS(TableauRecette[Proportion],TableauRecette[Recette],TableauRecette[[#This Row],[Recette]],TableauRecette[Conditionnement],TableauRecette[[#This Row],[Conditionnement]]),0)</f>
        <v>0.26</v>
      </c>
      <c r="G203">
        <f>IFERROR(_xlfn.XLOOKUP(TableauRecette[[#This Row],[Ingredients]],TableauIngredients[Ingredients],#REF!,0)*#REF!,0)</f>
        <v>0</v>
      </c>
      <c r="H203">
        <f>IFERROR(SUMIFS(TableauRecette[Proportion],TableauRecette[Recette],TableauRecette[[#This Row],[Recette]],TableauRecette[Conditionnement],TableauRecette[[#This Row],[Conditionnement]]),0)</f>
        <v>100</v>
      </c>
      <c r="I203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03">
        <f>_xlfn.XLOOKUP(TableauRecette[[#This Row],[ID]],TableauProduit[ID],TableauProduit[Total (kg) N1],0,0,1)*_xlfn.XLOOKUP(TableauRecette[[#This Row],[ID]],TableauProduit[ID],TableauProduit[Total (kg) N1],0,0,1)</f>
        <v>2704</v>
      </c>
      <c r="M203" t="e">
        <f>_xlfn.XLOOKUP(TableauRecette[[#This Row],[ID]],TableauProduit[ID],TableauProduit[Total (kg) N1],0,0,1)*_xlfn.XLOOKUP(TableauRecette[[#This Row],[ID]],TableauProduit[ID],TableauProduit[Total (kg) N2],0,0,1)</f>
        <v>#REF!</v>
      </c>
      <c r="N203" t="e">
        <f>_xlfn.XLOOKUP(TableauRecette[[#This Row],[ID]],TableauProduit[ID],TableauProduit[Total (kg) N3],0,0,1)*#REF!</f>
        <v>#REF!</v>
      </c>
      <c r="O203" t="e">
        <f>_xlfn.XLOOKUP(TableauRecette[[#This Row],[ID]],TableauProduit[ID],TableauProduit[Total (kg) N4],0,0,1)*#REF!</f>
        <v>#REF!</v>
      </c>
      <c r="P203" t="e">
        <f>_xlfn.XLOOKUP(TableauRecette[[#This Row],[ID]],TableauProduit[ID],TableauProduit[Total (kg) N5],0,0,1)*#REF!</f>
        <v>#REF!</v>
      </c>
      <c r="Q203" t="e">
        <f>_xlfn.XLOOKUP(TableauRecette[[#This Row],[ID]],TableauProduit[ID],TableauProduit[Total (kg) N6],0,0,1)*#REF!</f>
        <v>#REF!</v>
      </c>
      <c r="R203" t="e">
        <f>_xlfn.XLOOKUP(TableauRecette[[#This Row],[ID]],TableauProduit[ID],TableauProduit[Total (kg) N7],0,0,1)*#REF!</f>
        <v>#REF!</v>
      </c>
      <c r="S203" t="e">
        <f>_xlfn.XLOOKUP(TableauRecette[[#This Row],[ID]],TableauProduit[ID],TableauProduit[Total (kg) N8],0,0,1)*#REF!</f>
        <v>#REF!</v>
      </c>
      <c r="T203" t="e">
        <f>_xlfn.XLOOKUP(TableauRecette[[#This Row],[ID]],TableauProduit[ID],TableauProduit[Total (kg) N9],0,0,1)*#REF!</f>
        <v>#REF!</v>
      </c>
    </row>
    <row r="204" spans="1:20" x14ac:dyDescent="0.2">
      <c r="A204" t="s">
        <v>66</v>
      </c>
      <c r="B204" t="str">
        <f>TableauRecette[[#This Row],[Recette]]&amp;TableauRecette[[#This Row],[Conditionnement]]</f>
        <v>Herbes de ProvenceEpice 200ml</v>
      </c>
      <c r="C204" t="s">
        <v>381</v>
      </c>
      <c r="D204">
        <v>19</v>
      </c>
      <c r="E204" t="s">
        <v>67</v>
      </c>
      <c r="F204">
        <f>IFERROR(TableauRecette[[#This Row],[Proportion]]/SUMIFS(TableauRecette[Proportion],TableauRecette[Recette],TableauRecette[[#This Row],[Recette]],TableauRecette[Conditionnement],TableauRecette[[#This Row],[Conditionnement]]),0)</f>
        <v>0.19</v>
      </c>
      <c r="G204">
        <f>IFERROR(_xlfn.XLOOKUP(TableauRecette[[#This Row],[Ingredients]],TableauIngredients[Ingredients],#REF!,0)*#REF!,0)</f>
        <v>0</v>
      </c>
      <c r="H204">
        <f>IFERROR(SUMIFS(TableauRecette[Proportion],TableauRecette[Recette],TableauRecette[[#This Row],[Recette]],TableauRecette[Conditionnement],TableauRecette[[#This Row],[Conditionnement]]),0)</f>
        <v>100</v>
      </c>
      <c r="I204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04">
        <f>_xlfn.XLOOKUP(TableauRecette[[#This Row],[ID]],TableauProduit[ID],TableauProduit[Total (kg) N1],0,0,1)*_xlfn.XLOOKUP(TableauRecette[[#This Row],[ID]],TableauProduit[ID],TableauProduit[Total (kg) N1],0,0,1)</f>
        <v>2704</v>
      </c>
      <c r="M204" t="e">
        <f>_xlfn.XLOOKUP(TableauRecette[[#This Row],[ID]],TableauProduit[ID],TableauProduit[Total (kg) N1],0,0,1)*_xlfn.XLOOKUP(TableauRecette[[#This Row],[ID]],TableauProduit[ID],TableauProduit[Total (kg) N2],0,0,1)</f>
        <v>#REF!</v>
      </c>
      <c r="N204" t="e">
        <f>_xlfn.XLOOKUP(TableauRecette[[#This Row],[ID]],TableauProduit[ID],TableauProduit[Total (kg) N3],0,0,1)*#REF!</f>
        <v>#REF!</v>
      </c>
      <c r="O204" t="e">
        <f>_xlfn.XLOOKUP(TableauRecette[[#This Row],[ID]],TableauProduit[ID],TableauProduit[Total (kg) N4],0,0,1)*#REF!</f>
        <v>#REF!</v>
      </c>
      <c r="P204" t="e">
        <f>_xlfn.XLOOKUP(TableauRecette[[#This Row],[ID]],TableauProduit[ID],TableauProduit[Total (kg) N5],0,0,1)*#REF!</f>
        <v>#REF!</v>
      </c>
      <c r="Q204" t="e">
        <f>_xlfn.XLOOKUP(TableauRecette[[#This Row],[ID]],TableauProduit[ID],TableauProduit[Total (kg) N6],0,0,1)*#REF!</f>
        <v>#REF!</v>
      </c>
      <c r="R204" t="e">
        <f>_xlfn.XLOOKUP(TableauRecette[[#This Row],[ID]],TableauProduit[ID],TableauProduit[Total (kg) N7],0,0,1)*#REF!</f>
        <v>#REF!</v>
      </c>
      <c r="S204" t="e">
        <f>_xlfn.XLOOKUP(TableauRecette[[#This Row],[ID]],TableauProduit[ID],TableauProduit[Total (kg) N8],0,0,1)*#REF!</f>
        <v>#REF!</v>
      </c>
      <c r="T204" t="e">
        <f>_xlfn.XLOOKUP(TableauRecette[[#This Row],[ID]],TableauProduit[ID],TableauProduit[Total (kg) N9],0,0,1)*#REF!</f>
        <v>#REF!</v>
      </c>
    </row>
    <row r="205" spans="1:20" x14ac:dyDescent="0.2">
      <c r="A205" t="s">
        <v>66</v>
      </c>
      <c r="B205" t="str">
        <f>TableauRecette[[#This Row],[Recette]]&amp;TableauRecette[[#This Row],[Conditionnement]]</f>
        <v>Herbes de ProvenceEpice 200ml</v>
      </c>
      <c r="C205" t="s">
        <v>413</v>
      </c>
      <c r="D205">
        <v>3</v>
      </c>
      <c r="E205" t="s">
        <v>67</v>
      </c>
      <c r="F205">
        <f>IFERROR(TableauRecette[[#This Row],[Proportion]]/SUMIFS(TableauRecette[Proportion],TableauRecette[Recette],TableauRecette[[#This Row],[Recette]],TableauRecette[Conditionnement],TableauRecette[[#This Row],[Conditionnement]]),0)</f>
        <v>0.03</v>
      </c>
      <c r="G205">
        <f>IFERROR(_xlfn.XLOOKUP(TableauRecette[[#This Row],[Ingredients]],TableauIngredients[Ingredients],#REF!,0)*#REF!,0)</f>
        <v>0</v>
      </c>
      <c r="H205">
        <f>IFERROR(SUMIFS(TableauRecette[Proportion],TableauRecette[Recette],TableauRecette[[#This Row],[Recette]],TableauRecette[Conditionnement],TableauRecette[[#This Row],[Conditionnement]]),0)</f>
        <v>100</v>
      </c>
      <c r="I20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205" t="s">
        <v>341</v>
      </c>
      <c r="L205">
        <f>_xlfn.XLOOKUP(TableauRecette[[#This Row],[ID]],TableauProduit[ID],TableauProduit[Total (kg) N1],0,0,1)*_xlfn.XLOOKUP(TableauRecette[[#This Row],[ID]],TableauProduit[ID],TableauProduit[Total (kg) N1],0,0,1)</f>
        <v>2704</v>
      </c>
      <c r="M205" t="e">
        <f>_xlfn.XLOOKUP(TableauRecette[[#This Row],[ID]],TableauProduit[ID],TableauProduit[Total (kg) N1],0,0,1)*_xlfn.XLOOKUP(TableauRecette[[#This Row],[ID]],TableauProduit[ID],TableauProduit[Total (kg) N2],0,0,1)</f>
        <v>#REF!</v>
      </c>
      <c r="N205" t="e">
        <f>_xlfn.XLOOKUP(TableauRecette[[#This Row],[ID]],TableauProduit[ID],TableauProduit[Total (kg) N3],0,0,1)*#REF!</f>
        <v>#REF!</v>
      </c>
      <c r="O205" t="e">
        <f>_xlfn.XLOOKUP(TableauRecette[[#This Row],[ID]],TableauProduit[ID],TableauProduit[Total (kg) N4],0,0,1)*#REF!</f>
        <v>#REF!</v>
      </c>
      <c r="P205" t="e">
        <f>_xlfn.XLOOKUP(TableauRecette[[#This Row],[ID]],TableauProduit[ID],TableauProduit[Total (kg) N5],0,0,1)*#REF!</f>
        <v>#REF!</v>
      </c>
      <c r="Q205" t="e">
        <f>_xlfn.XLOOKUP(TableauRecette[[#This Row],[ID]],TableauProduit[ID],TableauProduit[Total (kg) N6],0,0,1)*#REF!</f>
        <v>#REF!</v>
      </c>
      <c r="R205" t="e">
        <f>_xlfn.XLOOKUP(TableauRecette[[#This Row],[ID]],TableauProduit[ID],TableauProduit[Total (kg) N7],0,0,1)*#REF!</f>
        <v>#REF!</v>
      </c>
      <c r="S205" t="e">
        <f>_xlfn.XLOOKUP(TableauRecette[[#This Row],[ID]],TableauProduit[ID],TableauProduit[Total (kg) N8],0,0,1)*#REF!</f>
        <v>#REF!</v>
      </c>
      <c r="T205" t="e">
        <f>_xlfn.XLOOKUP(TableauRecette[[#This Row],[ID]],TableauProduit[ID],TableauProduit[Total (kg) N9],0,0,1)*#REF!</f>
        <v>#REF!</v>
      </c>
    </row>
    <row r="206" spans="1:20" x14ac:dyDescent="0.2">
      <c r="A206" t="s">
        <v>124</v>
      </c>
      <c r="B206" t="str">
        <f>TableauRecette[[#This Row],[Recette]]&amp;TableauRecette[[#This Row],[Conditionnement]]</f>
        <v>Huile massage anti-arthriteHuile 1L</v>
      </c>
      <c r="C206" t="s">
        <v>414</v>
      </c>
      <c r="D206">
        <v>1</v>
      </c>
      <c r="E206" t="s">
        <v>125</v>
      </c>
      <c r="F206">
        <f>IFERROR(TableauRecette[[#This Row],[Proportion]]/SUMIFS(TableauRecette[Proportion],TableauRecette[Recette],TableauRecette[[#This Row],[Recette]],TableauRecette[Conditionnement],TableauRecette[[#This Row],[Conditionnement]]),0)</f>
        <v>3.7593984962406013E-3</v>
      </c>
      <c r="G206">
        <f>IFERROR(_xlfn.XLOOKUP(TableauRecette[[#This Row],[Ingredients]],TableauIngredients[Ingredients],#REF!,0)*#REF!,0)</f>
        <v>0</v>
      </c>
      <c r="H206">
        <f>IFERROR(SUMIFS(TableauRecette[Proportion],TableauRecette[Recette],TableauRecette[[#This Row],[Recette]],TableauRecette[Conditionnement],TableauRecette[[#This Row],[Conditionnement]]),0)</f>
        <v>266</v>
      </c>
      <c r="I20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06">
        <f>_xlfn.XLOOKUP(TableauRecette[[#This Row],[ID]],TableauProduit[ID],TableauProduit[Total (kg) N1],0,0,1)*_xlfn.XLOOKUP(TableauRecette[[#This Row],[ID]],TableauProduit[ID],TableauProduit[Total (kg) N1],0,0,1)</f>
        <v>0</v>
      </c>
      <c r="M206" t="e">
        <f>_xlfn.XLOOKUP(TableauRecette[[#This Row],[ID]],TableauProduit[ID],TableauProduit[Total (kg) N1],0,0,1)*_xlfn.XLOOKUP(TableauRecette[[#This Row],[ID]],TableauProduit[ID],TableauProduit[Total (kg) N2],0,0,1)</f>
        <v>#REF!</v>
      </c>
      <c r="N206" t="e">
        <f>_xlfn.XLOOKUP(TableauRecette[[#This Row],[ID]],TableauProduit[ID],TableauProduit[Total (kg) N3],0,0,1)*#REF!</f>
        <v>#REF!</v>
      </c>
      <c r="O206" t="e">
        <f>_xlfn.XLOOKUP(TableauRecette[[#This Row],[ID]],TableauProduit[ID],TableauProduit[Total (kg) N4],0,0,1)*#REF!</f>
        <v>#REF!</v>
      </c>
      <c r="P206" t="e">
        <f>_xlfn.XLOOKUP(TableauRecette[[#This Row],[ID]],TableauProduit[ID],TableauProduit[Total (kg) N5],0,0,1)*#REF!</f>
        <v>#REF!</v>
      </c>
      <c r="Q206" t="e">
        <f>_xlfn.XLOOKUP(TableauRecette[[#This Row],[ID]],TableauProduit[ID],TableauProduit[Total (kg) N6],0,0,1)*#REF!</f>
        <v>#REF!</v>
      </c>
      <c r="R206" t="e">
        <f>_xlfn.XLOOKUP(TableauRecette[[#This Row],[ID]],TableauProduit[ID],TableauProduit[Total (kg) N7],0,0,1)*#REF!</f>
        <v>#REF!</v>
      </c>
      <c r="S206" t="e">
        <f>_xlfn.XLOOKUP(TableauRecette[[#This Row],[ID]],TableauProduit[ID],TableauProduit[Total (kg) N8],0,0,1)*#REF!</f>
        <v>#REF!</v>
      </c>
      <c r="T206" t="e">
        <f>_xlfn.XLOOKUP(TableauRecette[[#This Row],[ID]],TableauProduit[ID],TableauProduit[Total (kg) N9],0,0,1)*#REF!</f>
        <v>#REF!</v>
      </c>
    </row>
    <row r="207" spans="1:20" x14ac:dyDescent="0.2">
      <c r="A207" t="s">
        <v>124</v>
      </c>
      <c r="B207" t="str">
        <f>TableauRecette[[#This Row],[Recette]]&amp;TableauRecette[[#This Row],[Conditionnement]]</f>
        <v>Huile massage anti-arthriteHuile 1L</v>
      </c>
      <c r="C207" t="s">
        <v>415</v>
      </c>
      <c r="D207">
        <v>2</v>
      </c>
      <c r="E207" t="s">
        <v>125</v>
      </c>
      <c r="F207">
        <f>IFERROR(TableauRecette[[#This Row],[Proportion]]/SUMIFS(TableauRecette[Proportion],TableauRecette[Recette],TableauRecette[[#This Row],[Recette]],TableauRecette[Conditionnement],TableauRecette[[#This Row],[Conditionnement]]),0)</f>
        <v>7.5187969924812026E-3</v>
      </c>
      <c r="G207">
        <f>IFERROR(_xlfn.XLOOKUP(TableauRecette[[#This Row],[Ingredients]],TableauIngredients[Ingredients],#REF!,0)*#REF!,0)</f>
        <v>0</v>
      </c>
      <c r="H207">
        <f>IFERROR(SUMIFS(TableauRecette[Proportion],TableauRecette[Recette],TableauRecette[[#This Row],[Recette]],TableauRecette[Conditionnement],TableauRecette[[#This Row],[Conditionnement]]),0)</f>
        <v>266</v>
      </c>
      <c r="I207">
        <f>_xlfn.XLOOKUP(TableauRecette[[#This Row],[Ingredients]],TableauIngredients[Ingredients],TableauIngredients[Prix d''achat (kg)],0,0,1)*TableauRecette[[#This Row],[Proportion]]/TableauRecette[[#This Row],[Total Proportion]]</f>
        <v>0.2793233082706767</v>
      </c>
      <c r="L207">
        <f>_xlfn.XLOOKUP(TableauRecette[[#This Row],[ID]],TableauProduit[ID],TableauProduit[Total (kg) N1],0,0,1)*_xlfn.XLOOKUP(TableauRecette[[#This Row],[ID]],TableauProduit[ID],TableauProduit[Total (kg) N1],0,0,1)</f>
        <v>0</v>
      </c>
      <c r="M207" t="e">
        <f>_xlfn.XLOOKUP(TableauRecette[[#This Row],[ID]],TableauProduit[ID],TableauProduit[Total (kg) N1],0,0,1)*_xlfn.XLOOKUP(TableauRecette[[#This Row],[ID]],TableauProduit[ID],TableauProduit[Total (kg) N2],0,0,1)</f>
        <v>#REF!</v>
      </c>
      <c r="N207" t="e">
        <f>_xlfn.XLOOKUP(TableauRecette[[#This Row],[ID]],TableauProduit[ID],TableauProduit[Total (kg) N3],0,0,1)*#REF!</f>
        <v>#REF!</v>
      </c>
      <c r="O207" t="e">
        <f>_xlfn.XLOOKUP(TableauRecette[[#This Row],[ID]],TableauProduit[ID],TableauProduit[Total (kg) N4],0,0,1)*#REF!</f>
        <v>#REF!</v>
      </c>
      <c r="P207" t="e">
        <f>_xlfn.XLOOKUP(TableauRecette[[#This Row],[ID]],TableauProduit[ID],TableauProduit[Total (kg) N5],0,0,1)*#REF!</f>
        <v>#REF!</v>
      </c>
      <c r="Q207" t="e">
        <f>_xlfn.XLOOKUP(TableauRecette[[#This Row],[ID]],TableauProduit[ID],TableauProduit[Total (kg) N6],0,0,1)*#REF!</f>
        <v>#REF!</v>
      </c>
      <c r="R207" t="e">
        <f>_xlfn.XLOOKUP(TableauRecette[[#This Row],[ID]],TableauProduit[ID],TableauProduit[Total (kg) N7],0,0,1)*#REF!</f>
        <v>#REF!</v>
      </c>
      <c r="S207" t="e">
        <f>_xlfn.XLOOKUP(TableauRecette[[#This Row],[ID]],TableauProduit[ID],TableauProduit[Total (kg) N8],0,0,1)*#REF!</f>
        <v>#REF!</v>
      </c>
      <c r="T207" t="e">
        <f>_xlfn.XLOOKUP(TableauRecette[[#This Row],[ID]],TableauProduit[ID],TableauProduit[Total (kg) N9],0,0,1)*#REF!</f>
        <v>#REF!</v>
      </c>
    </row>
    <row r="208" spans="1:20" x14ac:dyDescent="0.2">
      <c r="A208" t="s">
        <v>124</v>
      </c>
      <c r="B208" t="str">
        <f>TableauRecette[[#This Row],[Recette]]&amp;TableauRecette[[#This Row],[Conditionnement]]</f>
        <v>Huile massage anti-arthriteHuile 1L</v>
      </c>
      <c r="C208" t="s">
        <v>367</v>
      </c>
      <c r="D208">
        <v>2</v>
      </c>
      <c r="E208" t="s">
        <v>125</v>
      </c>
      <c r="F208">
        <f>IFERROR(TableauRecette[[#This Row],[Proportion]]/SUMIFS(TableauRecette[Proportion],TableauRecette[Recette],TableauRecette[[#This Row],[Recette]],TableauRecette[Conditionnement],TableauRecette[[#This Row],[Conditionnement]]),0)</f>
        <v>7.5187969924812026E-3</v>
      </c>
      <c r="G208">
        <f>IFERROR(_xlfn.XLOOKUP(TableauRecette[[#This Row],[Ingredients]],TableauIngredients[Ingredients],#REF!,0)*#REF!,0)</f>
        <v>0</v>
      </c>
      <c r="H208">
        <f>IFERROR(SUMIFS(TableauRecette[Proportion],TableauRecette[Recette],TableauRecette[[#This Row],[Recette]],TableauRecette[Conditionnement],TableauRecette[[#This Row],[Conditionnement]]),0)</f>
        <v>266</v>
      </c>
      <c r="I208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08">
        <f>_xlfn.XLOOKUP(TableauRecette[[#This Row],[ID]],TableauProduit[ID],TableauProduit[Total (kg) N1],0,0,1)*_xlfn.XLOOKUP(TableauRecette[[#This Row],[ID]],TableauProduit[ID],TableauProduit[Total (kg) N1],0,0,1)</f>
        <v>0</v>
      </c>
      <c r="M208" t="e">
        <f>_xlfn.XLOOKUP(TableauRecette[[#This Row],[ID]],TableauProduit[ID],TableauProduit[Total (kg) N1],0,0,1)*_xlfn.XLOOKUP(TableauRecette[[#This Row],[ID]],TableauProduit[ID],TableauProduit[Total (kg) N2],0,0,1)</f>
        <v>#REF!</v>
      </c>
      <c r="N208" t="e">
        <f>_xlfn.XLOOKUP(TableauRecette[[#This Row],[ID]],TableauProduit[ID],TableauProduit[Total (kg) N3],0,0,1)*#REF!</f>
        <v>#REF!</v>
      </c>
      <c r="O208" t="e">
        <f>_xlfn.XLOOKUP(TableauRecette[[#This Row],[ID]],TableauProduit[ID],TableauProduit[Total (kg) N4],0,0,1)*#REF!</f>
        <v>#REF!</v>
      </c>
      <c r="P208" t="e">
        <f>_xlfn.XLOOKUP(TableauRecette[[#This Row],[ID]],TableauProduit[ID],TableauProduit[Total (kg) N5],0,0,1)*#REF!</f>
        <v>#REF!</v>
      </c>
      <c r="Q208" t="e">
        <f>_xlfn.XLOOKUP(TableauRecette[[#This Row],[ID]],TableauProduit[ID],TableauProduit[Total (kg) N6],0,0,1)*#REF!</f>
        <v>#REF!</v>
      </c>
      <c r="R208" t="e">
        <f>_xlfn.XLOOKUP(TableauRecette[[#This Row],[ID]],TableauProduit[ID],TableauProduit[Total (kg) N7],0,0,1)*#REF!</f>
        <v>#REF!</v>
      </c>
      <c r="S208" t="e">
        <f>_xlfn.XLOOKUP(TableauRecette[[#This Row],[ID]],TableauProduit[ID],TableauProduit[Total (kg) N8],0,0,1)*#REF!</f>
        <v>#REF!</v>
      </c>
      <c r="T208" t="e">
        <f>_xlfn.XLOOKUP(TableauRecette[[#This Row],[ID]],TableauProduit[ID],TableauProduit[Total (kg) N9],0,0,1)*#REF!</f>
        <v>#REF!</v>
      </c>
    </row>
    <row r="209" spans="1:20" x14ac:dyDescent="0.2">
      <c r="A209" t="s">
        <v>124</v>
      </c>
      <c r="B209" t="str">
        <f>TableauRecette[[#This Row],[Recette]]&amp;TableauRecette[[#This Row],[Conditionnement]]</f>
        <v>Huile massage anti-arthriteHuile 1L</v>
      </c>
      <c r="C209" t="s">
        <v>416</v>
      </c>
      <c r="D209">
        <v>2</v>
      </c>
      <c r="E209" t="s">
        <v>125</v>
      </c>
      <c r="F209">
        <f>IFERROR(TableauRecette[[#This Row],[Proportion]]/SUMIFS(TableauRecette[Proportion],TableauRecette[Recette],TableauRecette[[#This Row],[Recette]],TableauRecette[Conditionnement],TableauRecette[[#This Row],[Conditionnement]]),0)</f>
        <v>7.5187969924812026E-3</v>
      </c>
      <c r="G209">
        <f>IFERROR(_xlfn.XLOOKUP(TableauRecette[[#This Row],[Ingredients]],TableauIngredients[Ingredients],#REF!,0)*#REF!,0)</f>
        <v>0</v>
      </c>
      <c r="H209">
        <f>IFERROR(SUMIFS(TableauRecette[Proportion],TableauRecette[Recette],TableauRecette[[#This Row],[Recette]],TableauRecette[Conditionnement],TableauRecette[[#This Row],[Conditionnement]]),0)</f>
        <v>266</v>
      </c>
      <c r="I20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09">
        <f>_xlfn.XLOOKUP(TableauRecette[[#This Row],[ID]],TableauProduit[ID],TableauProduit[Total (kg) N1],0,0,1)*_xlfn.XLOOKUP(TableauRecette[[#This Row],[ID]],TableauProduit[ID],TableauProduit[Total (kg) N1],0,0,1)</f>
        <v>0</v>
      </c>
      <c r="M209" t="e">
        <f>_xlfn.XLOOKUP(TableauRecette[[#This Row],[ID]],TableauProduit[ID],TableauProduit[Total (kg) N1],0,0,1)*_xlfn.XLOOKUP(TableauRecette[[#This Row],[ID]],TableauProduit[ID],TableauProduit[Total (kg) N2],0,0,1)</f>
        <v>#REF!</v>
      </c>
      <c r="N209" t="e">
        <f>_xlfn.XLOOKUP(TableauRecette[[#This Row],[ID]],TableauProduit[ID],TableauProduit[Total (kg) N3],0,0,1)*#REF!</f>
        <v>#REF!</v>
      </c>
      <c r="O209" t="e">
        <f>_xlfn.XLOOKUP(TableauRecette[[#This Row],[ID]],TableauProduit[ID],TableauProduit[Total (kg) N4],0,0,1)*#REF!</f>
        <v>#REF!</v>
      </c>
      <c r="P209" t="e">
        <f>_xlfn.XLOOKUP(TableauRecette[[#This Row],[ID]],TableauProduit[ID],TableauProduit[Total (kg) N5],0,0,1)*#REF!</f>
        <v>#REF!</v>
      </c>
      <c r="Q209" t="e">
        <f>_xlfn.XLOOKUP(TableauRecette[[#This Row],[ID]],TableauProduit[ID],TableauProduit[Total (kg) N6],0,0,1)*#REF!</f>
        <v>#REF!</v>
      </c>
      <c r="R209" t="e">
        <f>_xlfn.XLOOKUP(TableauRecette[[#This Row],[ID]],TableauProduit[ID],TableauProduit[Total (kg) N7],0,0,1)*#REF!</f>
        <v>#REF!</v>
      </c>
      <c r="S209" t="e">
        <f>_xlfn.XLOOKUP(TableauRecette[[#This Row],[ID]],TableauProduit[ID],TableauProduit[Total (kg) N8],0,0,1)*#REF!</f>
        <v>#REF!</v>
      </c>
      <c r="T209" t="e">
        <f>_xlfn.XLOOKUP(TableauRecette[[#This Row],[ID]],TableauProduit[ID],TableauProduit[Total (kg) N9],0,0,1)*#REF!</f>
        <v>#REF!</v>
      </c>
    </row>
    <row r="210" spans="1:20" x14ac:dyDescent="0.2">
      <c r="A210" t="s">
        <v>124</v>
      </c>
      <c r="B210" t="str">
        <f>TableauRecette[[#This Row],[Recette]]&amp;TableauRecette[[#This Row],[Conditionnement]]</f>
        <v>Huile massage anti-arthriteHuile 1L</v>
      </c>
      <c r="C210" t="s">
        <v>381</v>
      </c>
      <c r="D210">
        <v>3</v>
      </c>
      <c r="E210" t="s">
        <v>125</v>
      </c>
      <c r="F210">
        <f>IFERROR(TableauRecette[[#This Row],[Proportion]]/SUMIFS(TableauRecette[Proportion],TableauRecette[Recette],TableauRecette[[#This Row],[Recette]],TableauRecette[Conditionnement],TableauRecette[[#This Row],[Conditionnement]]),0)</f>
        <v>1.1278195488721804E-2</v>
      </c>
      <c r="G210">
        <f>IFERROR(_xlfn.XLOOKUP(TableauRecette[[#This Row],[Ingredients]],TableauIngredients[Ingredients],#REF!,0)*#REF!,0)</f>
        <v>0</v>
      </c>
      <c r="H210">
        <f>IFERROR(SUMIFS(TableauRecette[Proportion],TableauRecette[Recette],TableauRecette[[#This Row],[Recette]],TableauRecette[Conditionnement],TableauRecette[[#This Row],[Conditionnement]]),0)</f>
        <v>266</v>
      </c>
      <c r="I210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10">
        <f>_xlfn.XLOOKUP(TableauRecette[[#This Row],[ID]],TableauProduit[ID],TableauProduit[Total (kg) N1],0,0,1)*_xlfn.XLOOKUP(TableauRecette[[#This Row],[ID]],TableauProduit[ID],TableauProduit[Total (kg) N1],0,0,1)</f>
        <v>0</v>
      </c>
      <c r="M210" t="e">
        <f>_xlfn.XLOOKUP(TableauRecette[[#This Row],[ID]],TableauProduit[ID],TableauProduit[Total (kg) N1],0,0,1)*_xlfn.XLOOKUP(TableauRecette[[#This Row],[ID]],TableauProduit[ID],TableauProduit[Total (kg) N2],0,0,1)</f>
        <v>#REF!</v>
      </c>
      <c r="N210" t="e">
        <f>_xlfn.XLOOKUP(TableauRecette[[#This Row],[ID]],TableauProduit[ID],TableauProduit[Total (kg) N3],0,0,1)*#REF!</f>
        <v>#REF!</v>
      </c>
      <c r="O210" t="e">
        <f>_xlfn.XLOOKUP(TableauRecette[[#This Row],[ID]],TableauProduit[ID],TableauProduit[Total (kg) N4],0,0,1)*#REF!</f>
        <v>#REF!</v>
      </c>
      <c r="P210" t="e">
        <f>_xlfn.XLOOKUP(TableauRecette[[#This Row],[ID]],TableauProduit[ID],TableauProduit[Total (kg) N5],0,0,1)*#REF!</f>
        <v>#REF!</v>
      </c>
      <c r="Q210" t="e">
        <f>_xlfn.XLOOKUP(TableauRecette[[#This Row],[ID]],TableauProduit[ID],TableauProduit[Total (kg) N6],0,0,1)*#REF!</f>
        <v>#REF!</v>
      </c>
      <c r="R210" t="e">
        <f>_xlfn.XLOOKUP(TableauRecette[[#This Row],[ID]],TableauProduit[ID],TableauProduit[Total (kg) N7],0,0,1)*#REF!</f>
        <v>#REF!</v>
      </c>
      <c r="S210" t="e">
        <f>_xlfn.XLOOKUP(TableauRecette[[#This Row],[ID]],TableauProduit[ID],TableauProduit[Total (kg) N8],0,0,1)*#REF!</f>
        <v>#REF!</v>
      </c>
      <c r="T210" t="e">
        <f>_xlfn.XLOOKUP(TableauRecette[[#This Row],[ID]],TableauProduit[ID],TableauProduit[Total (kg) N9],0,0,1)*#REF!</f>
        <v>#REF!</v>
      </c>
    </row>
    <row r="211" spans="1:20" x14ac:dyDescent="0.2">
      <c r="A211" t="s">
        <v>124</v>
      </c>
      <c r="B211" t="str">
        <f>TableauRecette[[#This Row],[Recette]]&amp;TableauRecette[[#This Row],[Conditionnement]]</f>
        <v>Huile massage anti-arthriteHuile 1L</v>
      </c>
      <c r="C211" t="s">
        <v>417</v>
      </c>
      <c r="D211">
        <v>4</v>
      </c>
      <c r="E211" t="s">
        <v>125</v>
      </c>
      <c r="F211">
        <f>IFERROR(TableauRecette[[#This Row],[Proportion]]/SUMIFS(TableauRecette[Proportion],TableauRecette[Recette],TableauRecette[[#This Row],[Recette]],TableauRecette[Conditionnement],TableauRecette[[#This Row],[Conditionnement]]),0)</f>
        <v>1.5037593984962405E-2</v>
      </c>
      <c r="G211">
        <f>IFERROR(_xlfn.XLOOKUP(TableauRecette[[#This Row],[Ingredients]],TableauIngredients[Ingredients],#REF!,0)*#REF!,0)</f>
        <v>0</v>
      </c>
      <c r="H211">
        <f>IFERROR(SUMIFS(TableauRecette[Proportion],TableauRecette[Recette],TableauRecette[[#This Row],[Recette]],TableauRecette[Conditionnement],TableauRecette[[#This Row],[Conditionnement]]),0)</f>
        <v>266</v>
      </c>
      <c r="I21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11">
        <f>_xlfn.XLOOKUP(TableauRecette[[#This Row],[ID]],TableauProduit[ID],TableauProduit[Total (kg) N1],0,0,1)*_xlfn.XLOOKUP(TableauRecette[[#This Row],[ID]],TableauProduit[ID],TableauProduit[Total (kg) N1],0,0,1)</f>
        <v>0</v>
      </c>
      <c r="M211" t="e">
        <f>_xlfn.XLOOKUP(TableauRecette[[#This Row],[ID]],TableauProduit[ID],TableauProduit[Total (kg) N1],0,0,1)*_xlfn.XLOOKUP(TableauRecette[[#This Row],[ID]],TableauProduit[ID],TableauProduit[Total (kg) N2],0,0,1)</f>
        <v>#REF!</v>
      </c>
      <c r="N211" t="e">
        <f>_xlfn.XLOOKUP(TableauRecette[[#This Row],[ID]],TableauProduit[ID],TableauProduit[Total (kg) N3],0,0,1)*#REF!</f>
        <v>#REF!</v>
      </c>
      <c r="O211" t="e">
        <f>_xlfn.XLOOKUP(TableauRecette[[#This Row],[ID]],TableauProduit[ID],TableauProduit[Total (kg) N4],0,0,1)*#REF!</f>
        <v>#REF!</v>
      </c>
      <c r="P211" t="e">
        <f>_xlfn.XLOOKUP(TableauRecette[[#This Row],[ID]],TableauProduit[ID],TableauProduit[Total (kg) N5],0,0,1)*#REF!</f>
        <v>#REF!</v>
      </c>
      <c r="Q211" t="e">
        <f>_xlfn.XLOOKUP(TableauRecette[[#This Row],[ID]],TableauProduit[ID],TableauProduit[Total (kg) N6],0,0,1)*#REF!</f>
        <v>#REF!</v>
      </c>
      <c r="R211" t="e">
        <f>_xlfn.XLOOKUP(TableauRecette[[#This Row],[ID]],TableauProduit[ID],TableauProduit[Total (kg) N7],0,0,1)*#REF!</f>
        <v>#REF!</v>
      </c>
      <c r="S211" t="e">
        <f>_xlfn.XLOOKUP(TableauRecette[[#This Row],[ID]],TableauProduit[ID],TableauProduit[Total (kg) N8],0,0,1)*#REF!</f>
        <v>#REF!</v>
      </c>
      <c r="T211" t="e">
        <f>_xlfn.XLOOKUP(TableauRecette[[#This Row],[ID]],TableauProduit[ID],TableauProduit[Total (kg) N9],0,0,1)*#REF!</f>
        <v>#REF!</v>
      </c>
    </row>
    <row r="212" spans="1:20" x14ac:dyDescent="0.2">
      <c r="A212" t="s">
        <v>124</v>
      </c>
      <c r="B212" t="str">
        <f>TableauRecette[[#This Row],[Recette]]&amp;TableauRecette[[#This Row],[Conditionnement]]</f>
        <v>Huile massage anti-arthriteHuile 1L</v>
      </c>
      <c r="C212" t="s">
        <v>418</v>
      </c>
      <c r="D212">
        <v>2</v>
      </c>
      <c r="E212" t="s">
        <v>125</v>
      </c>
      <c r="F212">
        <f>IFERROR(TableauRecette[[#This Row],[Proportion]]/SUMIFS(TableauRecette[Proportion],TableauRecette[Recette],TableauRecette[[#This Row],[Recette]],TableauRecette[Conditionnement],TableauRecette[[#This Row],[Conditionnement]]),0)</f>
        <v>7.5187969924812026E-3</v>
      </c>
      <c r="G212">
        <f>IFERROR(_xlfn.XLOOKUP(TableauRecette[[#This Row],[Ingredients]],TableauIngredients[Ingredients],#REF!,0)*#REF!,0)</f>
        <v>0</v>
      </c>
      <c r="H212">
        <f>IFERROR(SUMIFS(TableauRecette[Proportion],TableauRecette[Recette],TableauRecette[[#This Row],[Recette]],TableauRecette[Conditionnement],TableauRecette[[#This Row],[Conditionnement]]),0)</f>
        <v>266</v>
      </c>
      <c r="I21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12">
        <f>_xlfn.XLOOKUP(TableauRecette[[#This Row],[ID]],TableauProduit[ID],TableauProduit[Total (kg) N1],0,0,1)*_xlfn.XLOOKUP(TableauRecette[[#This Row],[ID]],TableauProduit[ID],TableauProduit[Total (kg) N1],0,0,1)</f>
        <v>0</v>
      </c>
      <c r="M212" t="e">
        <f>_xlfn.XLOOKUP(TableauRecette[[#This Row],[ID]],TableauProduit[ID],TableauProduit[Total (kg) N1],0,0,1)*_xlfn.XLOOKUP(TableauRecette[[#This Row],[ID]],TableauProduit[ID],TableauProduit[Total (kg) N2],0,0,1)</f>
        <v>#REF!</v>
      </c>
      <c r="N212" t="e">
        <f>_xlfn.XLOOKUP(TableauRecette[[#This Row],[ID]],TableauProduit[ID],TableauProduit[Total (kg) N3],0,0,1)*#REF!</f>
        <v>#REF!</v>
      </c>
      <c r="O212" t="e">
        <f>_xlfn.XLOOKUP(TableauRecette[[#This Row],[ID]],TableauProduit[ID],TableauProduit[Total (kg) N4],0,0,1)*#REF!</f>
        <v>#REF!</v>
      </c>
      <c r="P212" t="e">
        <f>_xlfn.XLOOKUP(TableauRecette[[#This Row],[ID]],TableauProduit[ID],TableauProduit[Total (kg) N5],0,0,1)*#REF!</f>
        <v>#REF!</v>
      </c>
      <c r="Q212" t="e">
        <f>_xlfn.XLOOKUP(TableauRecette[[#This Row],[ID]],TableauProduit[ID],TableauProduit[Total (kg) N6],0,0,1)*#REF!</f>
        <v>#REF!</v>
      </c>
      <c r="R212" t="e">
        <f>_xlfn.XLOOKUP(TableauRecette[[#This Row],[ID]],TableauProduit[ID],TableauProduit[Total (kg) N7],0,0,1)*#REF!</f>
        <v>#REF!</v>
      </c>
      <c r="S212" t="e">
        <f>_xlfn.XLOOKUP(TableauRecette[[#This Row],[ID]],TableauProduit[ID],TableauProduit[Total (kg) N8],0,0,1)*#REF!</f>
        <v>#REF!</v>
      </c>
      <c r="T212" t="e">
        <f>_xlfn.XLOOKUP(TableauRecette[[#This Row],[ID]],TableauProduit[ID],TableauProduit[Total (kg) N9],0,0,1)*#REF!</f>
        <v>#REF!</v>
      </c>
    </row>
    <row r="213" spans="1:20" x14ac:dyDescent="0.2">
      <c r="A213" t="s">
        <v>124</v>
      </c>
      <c r="B213" t="str">
        <f>TableauRecette[[#This Row],[Recette]]&amp;TableauRecette[[#This Row],[Conditionnement]]</f>
        <v>Huile massage anti-arthriteHuile 1L</v>
      </c>
      <c r="C213" t="s">
        <v>388</v>
      </c>
      <c r="D213">
        <v>100</v>
      </c>
      <c r="E213" t="s">
        <v>125</v>
      </c>
      <c r="F213">
        <f>IFERROR(TableauRecette[[#This Row],[Proportion]]/SUMIFS(TableauRecette[Proportion],TableauRecette[Recette],TableauRecette[[#This Row],[Recette]],TableauRecette[Conditionnement],TableauRecette[[#This Row],[Conditionnement]]),0)</f>
        <v>0.37593984962406013</v>
      </c>
      <c r="G213">
        <f>IFERROR(_xlfn.XLOOKUP(TableauRecette[[#This Row],[Ingredients]],TableauIngredients[Ingredients],#REF!,0)*#REF!,0)</f>
        <v>0</v>
      </c>
      <c r="H213">
        <f>IFERROR(SUMIFS(TableauRecette[Proportion],TableauRecette[Recette],TableauRecette[[#This Row],[Recette]],TableauRecette[Conditionnement],TableauRecette[[#This Row],[Conditionnement]]),0)</f>
        <v>266</v>
      </c>
      <c r="I213">
        <f>_xlfn.XLOOKUP(TableauRecette[[#This Row],[Ingredients]],TableauIngredients[Ingredients],TableauIngredients[Prix d''achat (kg)],0,0,1)*TableauRecette[[#This Row],[Proportion]]/TableauRecette[[#This Row],[Total Proportion]]</f>
        <v>8.3308270676691727</v>
      </c>
      <c r="L213">
        <f>_xlfn.XLOOKUP(TableauRecette[[#This Row],[ID]],TableauProduit[ID],TableauProduit[Total (kg) N1],0,0,1)*_xlfn.XLOOKUP(TableauRecette[[#This Row],[ID]],TableauProduit[ID],TableauProduit[Total (kg) N1],0,0,1)</f>
        <v>0</v>
      </c>
      <c r="M213" t="e">
        <f>_xlfn.XLOOKUP(TableauRecette[[#This Row],[ID]],TableauProduit[ID],TableauProduit[Total (kg) N1],0,0,1)*_xlfn.XLOOKUP(TableauRecette[[#This Row],[ID]],TableauProduit[ID],TableauProduit[Total (kg) N2],0,0,1)</f>
        <v>#REF!</v>
      </c>
      <c r="N213" t="e">
        <f>_xlfn.XLOOKUP(TableauRecette[[#This Row],[ID]],TableauProduit[ID],TableauProduit[Total (kg) N3],0,0,1)*#REF!</f>
        <v>#REF!</v>
      </c>
      <c r="O213" t="e">
        <f>_xlfn.XLOOKUP(TableauRecette[[#This Row],[ID]],TableauProduit[ID],TableauProduit[Total (kg) N4],0,0,1)*#REF!</f>
        <v>#REF!</v>
      </c>
      <c r="P213" t="e">
        <f>_xlfn.XLOOKUP(TableauRecette[[#This Row],[ID]],TableauProduit[ID],TableauProduit[Total (kg) N5],0,0,1)*#REF!</f>
        <v>#REF!</v>
      </c>
      <c r="Q213" t="e">
        <f>_xlfn.XLOOKUP(TableauRecette[[#This Row],[ID]],TableauProduit[ID],TableauProduit[Total (kg) N6],0,0,1)*#REF!</f>
        <v>#REF!</v>
      </c>
      <c r="R213" t="e">
        <f>_xlfn.XLOOKUP(TableauRecette[[#This Row],[ID]],TableauProduit[ID],TableauProduit[Total (kg) N7],0,0,1)*#REF!</f>
        <v>#REF!</v>
      </c>
      <c r="S213" t="e">
        <f>_xlfn.XLOOKUP(TableauRecette[[#This Row],[ID]],TableauProduit[ID],TableauProduit[Total (kg) N8],0,0,1)*#REF!</f>
        <v>#REF!</v>
      </c>
      <c r="T213" t="e">
        <f>_xlfn.XLOOKUP(TableauRecette[[#This Row],[ID]],TableauProduit[ID],TableauProduit[Total (kg) N9],0,0,1)*#REF!</f>
        <v>#REF!</v>
      </c>
    </row>
    <row r="214" spans="1:20" x14ac:dyDescent="0.2">
      <c r="A214" t="s">
        <v>124</v>
      </c>
      <c r="B214" t="str">
        <f>TableauRecette[[#This Row],[Recette]]&amp;TableauRecette[[#This Row],[Conditionnement]]</f>
        <v>Huile massage anti-arthriteHuile 1L</v>
      </c>
      <c r="C214" t="s">
        <v>419</v>
      </c>
      <c r="D214">
        <v>150</v>
      </c>
      <c r="E214" t="s">
        <v>125</v>
      </c>
      <c r="F214">
        <f>IFERROR(TableauRecette[[#This Row],[Proportion]]/SUMIFS(TableauRecette[Proportion],TableauRecette[Recette],TableauRecette[[#This Row],[Recette]],TableauRecette[Conditionnement],TableauRecette[[#This Row],[Conditionnement]]),0)</f>
        <v>0.56390977443609025</v>
      </c>
      <c r="G214">
        <f>IFERROR(_xlfn.XLOOKUP(TableauRecette[[#This Row],[Ingredients]],TableauIngredients[Ingredients],#REF!,0)*#REF!,0)</f>
        <v>0</v>
      </c>
      <c r="H214">
        <f>IFERROR(SUMIFS(TableauRecette[Proportion],TableauRecette[Recette],TableauRecette[[#This Row],[Recette]],TableauRecette[Conditionnement],TableauRecette[[#This Row],[Conditionnement]]),0)</f>
        <v>266</v>
      </c>
      <c r="I214">
        <f>_xlfn.XLOOKUP(TableauRecette[[#This Row],[Ingredients]],TableauIngredients[Ingredients],TableauIngredients[Prix d''achat (kg)],0,0,1)*TableauRecette[[#This Row],[Proportion]]/TableauRecette[[#This Row],[Total Proportion]]</f>
        <v>0.84586466165413532</v>
      </c>
      <c r="L214">
        <f>_xlfn.XLOOKUP(TableauRecette[[#This Row],[ID]],TableauProduit[ID],TableauProduit[Total (kg) N1],0,0,1)*_xlfn.XLOOKUP(TableauRecette[[#This Row],[ID]],TableauProduit[ID],TableauProduit[Total (kg) N1],0,0,1)</f>
        <v>0</v>
      </c>
      <c r="M214" t="e">
        <f>_xlfn.XLOOKUP(TableauRecette[[#This Row],[ID]],TableauProduit[ID],TableauProduit[Total (kg) N1],0,0,1)*_xlfn.XLOOKUP(TableauRecette[[#This Row],[ID]],TableauProduit[ID],TableauProduit[Total (kg) N2],0,0,1)</f>
        <v>#REF!</v>
      </c>
      <c r="N214" t="e">
        <f>_xlfn.XLOOKUP(TableauRecette[[#This Row],[ID]],TableauProduit[ID],TableauProduit[Total (kg) N3],0,0,1)*#REF!</f>
        <v>#REF!</v>
      </c>
      <c r="O214" t="e">
        <f>_xlfn.XLOOKUP(TableauRecette[[#This Row],[ID]],TableauProduit[ID],TableauProduit[Total (kg) N4],0,0,1)*#REF!</f>
        <v>#REF!</v>
      </c>
      <c r="P214" t="e">
        <f>_xlfn.XLOOKUP(TableauRecette[[#This Row],[ID]],TableauProduit[ID],TableauProduit[Total (kg) N5],0,0,1)*#REF!</f>
        <v>#REF!</v>
      </c>
      <c r="Q214" t="e">
        <f>_xlfn.XLOOKUP(TableauRecette[[#This Row],[ID]],TableauProduit[ID],TableauProduit[Total (kg) N6],0,0,1)*#REF!</f>
        <v>#REF!</v>
      </c>
      <c r="R214" t="e">
        <f>_xlfn.XLOOKUP(TableauRecette[[#This Row],[ID]],TableauProduit[ID],TableauProduit[Total (kg) N7],0,0,1)*#REF!</f>
        <v>#REF!</v>
      </c>
      <c r="S214" t="e">
        <f>_xlfn.XLOOKUP(TableauRecette[[#This Row],[ID]],TableauProduit[ID],TableauProduit[Total (kg) N8],0,0,1)*#REF!</f>
        <v>#REF!</v>
      </c>
      <c r="T214" t="e">
        <f>_xlfn.XLOOKUP(TableauRecette[[#This Row],[ID]],TableauProduit[ID],TableauProduit[Total (kg) N9],0,0,1)*#REF!</f>
        <v>#REF!</v>
      </c>
    </row>
    <row r="215" spans="1:20" x14ac:dyDescent="0.2">
      <c r="A215" t="s">
        <v>143</v>
      </c>
      <c r="B215" t="str">
        <f>TableauRecette[[#This Row],[Recette]]&amp;TableauRecette[[#This Row],[Conditionnement]]</f>
        <v>Huile massage musculaireHuile 1L</v>
      </c>
      <c r="C215" t="s">
        <v>420</v>
      </c>
      <c r="D215">
        <v>1</v>
      </c>
      <c r="E215" t="s">
        <v>125</v>
      </c>
      <c r="F215">
        <f>IFERROR(TableauRecette[[#This Row],[Proportion]]/SUMIFS(TableauRecette[Proportion],TableauRecette[Recette],TableauRecette[[#This Row],[Recette]],TableauRecette[Conditionnement],TableauRecette[[#This Row],[Conditionnement]]),0)</f>
        <v>1</v>
      </c>
      <c r="G215">
        <f>IFERROR(_xlfn.XLOOKUP(TableauRecette[[#This Row],[Ingredients]],TableauIngredients[Ingredients],#REF!,0)*#REF!,0)</f>
        <v>0</v>
      </c>
      <c r="H215">
        <f>IFERROR(SUMIFS(TableauRecette[Proportion],TableauRecette[Recette],TableauRecette[[#This Row],[Recette]],TableauRecette[Conditionnement],TableauRecette[[#This Row],[Conditionnement]]),0)</f>
        <v>1</v>
      </c>
      <c r="I21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15">
        <f>_xlfn.XLOOKUP(TableauRecette[[#This Row],[ID]],TableauProduit[ID],TableauProduit[Total (kg) N1],0,0,1)*_xlfn.XLOOKUP(TableauRecette[[#This Row],[ID]],TableauProduit[ID],TableauProduit[Total (kg) N1],0,0,1)</f>
        <v>0</v>
      </c>
      <c r="M215" t="e">
        <f>_xlfn.XLOOKUP(TableauRecette[[#This Row],[ID]],TableauProduit[ID],TableauProduit[Total (kg) N1],0,0,1)*_xlfn.XLOOKUP(TableauRecette[[#This Row],[ID]],TableauProduit[ID],TableauProduit[Total (kg) N2],0,0,1)</f>
        <v>#REF!</v>
      </c>
      <c r="N215" t="e">
        <f>_xlfn.XLOOKUP(TableauRecette[[#This Row],[ID]],TableauProduit[ID],TableauProduit[Total (kg) N3],0,0,1)*#REF!</f>
        <v>#REF!</v>
      </c>
      <c r="O215" t="e">
        <f>_xlfn.XLOOKUP(TableauRecette[[#This Row],[ID]],TableauProduit[ID],TableauProduit[Total (kg) N4],0,0,1)*#REF!</f>
        <v>#REF!</v>
      </c>
      <c r="P215" t="e">
        <f>_xlfn.XLOOKUP(TableauRecette[[#This Row],[ID]],TableauProduit[ID],TableauProduit[Total (kg) N5],0,0,1)*#REF!</f>
        <v>#REF!</v>
      </c>
      <c r="Q215" t="e">
        <f>_xlfn.XLOOKUP(TableauRecette[[#This Row],[ID]],TableauProduit[ID],TableauProduit[Total (kg) N6],0,0,1)*#REF!</f>
        <v>#REF!</v>
      </c>
      <c r="R215" t="e">
        <f>_xlfn.XLOOKUP(TableauRecette[[#This Row],[ID]],TableauProduit[ID],TableauProduit[Total (kg) N7],0,0,1)*#REF!</f>
        <v>#REF!</v>
      </c>
      <c r="S215" t="e">
        <f>_xlfn.XLOOKUP(TableauRecette[[#This Row],[ID]],TableauProduit[ID],TableauProduit[Total (kg) N8],0,0,1)*#REF!</f>
        <v>#REF!</v>
      </c>
      <c r="T215" t="e">
        <f>_xlfn.XLOOKUP(TableauRecette[[#This Row],[ID]],TableauProduit[ID],TableauProduit[Total (kg) N9],0,0,1)*#REF!</f>
        <v>#REF!</v>
      </c>
    </row>
    <row r="216" spans="1:20" x14ac:dyDescent="0.2">
      <c r="A216" t="s">
        <v>128</v>
      </c>
      <c r="B216" t="str">
        <f>TableauRecette[[#This Row],[Recette]]&amp;TableauRecette[[#This Row],[Conditionnement]]</f>
        <v>Jamaican JerkEpice 100ml</v>
      </c>
      <c r="C216" t="s">
        <v>364</v>
      </c>
      <c r="D216">
        <v>2</v>
      </c>
      <c r="E216" t="s">
        <v>73</v>
      </c>
      <c r="F216">
        <f>IFERROR(TableauRecette[[#This Row],[Proportion]]/SUMIFS(TableauRecette[Proportion],TableauRecette[Recette],TableauRecette[[#This Row],[Recette]],TableauRecette[Conditionnement],TableauRecette[[#This Row],[Conditionnement]]),0)</f>
        <v>0.125</v>
      </c>
      <c r="G216">
        <f>IFERROR(_xlfn.XLOOKUP(TableauRecette[[#This Row],[Ingredients]],TableauIngredients[Ingredients],#REF!,0)*#REF!,0)</f>
        <v>0</v>
      </c>
      <c r="H216">
        <f>IFERROR(SUMIFS(TableauRecette[Proportion],TableauRecette[Recette],TableauRecette[[#This Row],[Recette]],TableauRecette[Conditionnement],TableauRecette[[#This Row],[Conditionnement]]),0)</f>
        <v>16</v>
      </c>
      <c r="I216">
        <f>_xlfn.XLOOKUP(TableauRecette[[#This Row],[Ingredients]],TableauIngredients[Ingredients],TableauIngredients[Prix d''achat (kg)],0,0,1)*TableauRecette[[#This Row],[Proportion]]/TableauRecette[[#This Row],[Total Proportion]]</f>
        <v>0.17499999999999999</v>
      </c>
      <c r="L216">
        <f>_xlfn.XLOOKUP(TableauRecette[[#This Row],[ID]],TableauProduit[ID],TableauProduit[Total (kg) N1],0,0,1)*_xlfn.XLOOKUP(TableauRecette[[#This Row],[ID]],TableauProduit[ID],TableauProduit[Total (kg) N1],0,0,1)</f>
        <v>0</v>
      </c>
      <c r="M216" t="e">
        <f>_xlfn.XLOOKUP(TableauRecette[[#This Row],[ID]],TableauProduit[ID],TableauProduit[Total (kg) N1],0,0,1)*_xlfn.XLOOKUP(TableauRecette[[#This Row],[ID]],TableauProduit[ID],TableauProduit[Total (kg) N2],0,0,1)</f>
        <v>#REF!</v>
      </c>
      <c r="N216" t="e">
        <f>_xlfn.XLOOKUP(TableauRecette[[#This Row],[ID]],TableauProduit[ID],TableauProduit[Total (kg) N3],0,0,1)*#REF!</f>
        <v>#REF!</v>
      </c>
      <c r="O216" t="e">
        <f>_xlfn.XLOOKUP(TableauRecette[[#This Row],[ID]],TableauProduit[ID],TableauProduit[Total (kg) N4],0,0,1)*#REF!</f>
        <v>#REF!</v>
      </c>
      <c r="P216" t="e">
        <f>_xlfn.XLOOKUP(TableauRecette[[#This Row],[ID]],TableauProduit[ID],TableauProduit[Total (kg) N5],0,0,1)*#REF!</f>
        <v>#REF!</v>
      </c>
      <c r="Q216" t="e">
        <f>_xlfn.XLOOKUP(TableauRecette[[#This Row],[ID]],TableauProduit[ID],TableauProduit[Total (kg) N6],0,0,1)*#REF!</f>
        <v>#REF!</v>
      </c>
      <c r="R216" t="e">
        <f>_xlfn.XLOOKUP(TableauRecette[[#This Row],[ID]],TableauProduit[ID],TableauProduit[Total (kg) N7],0,0,1)*#REF!</f>
        <v>#REF!</v>
      </c>
      <c r="S216" t="e">
        <f>_xlfn.XLOOKUP(TableauRecette[[#This Row],[ID]],TableauProduit[ID],TableauProduit[Total (kg) N8],0,0,1)*#REF!</f>
        <v>#REF!</v>
      </c>
      <c r="T216" t="e">
        <f>_xlfn.XLOOKUP(TableauRecette[[#This Row],[ID]],TableauProduit[ID],TableauProduit[Total (kg) N9],0,0,1)*#REF!</f>
        <v>#REF!</v>
      </c>
    </row>
    <row r="217" spans="1:20" x14ac:dyDescent="0.2">
      <c r="A217" t="s">
        <v>128</v>
      </c>
      <c r="B217" t="str">
        <f>TableauRecette[[#This Row],[Recette]]&amp;TableauRecette[[#This Row],[Conditionnement]]</f>
        <v>Jamaican JerkEpice 100ml</v>
      </c>
      <c r="C217" t="s">
        <v>421</v>
      </c>
      <c r="D217">
        <v>2</v>
      </c>
      <c r="E217" t="s">
        <v>73</v>
      </c>
      <c r="F217">
        <f>IFERROR(TableauRecette[[#This Row],[Proportion]]/SUMIFS(TableauRecette[Proportion],TableauRecette[Recette],TableauRecette[[#This Row],[Recette]],TableauRecette[Conditionnement],TableauRecette[[#This Row],[Conditionnement]]),0)</f>
        <v>0.125</v>
      </c>
      <c r="G217">
        <f>IFERROR(_xlfn.XLOOKUP(TableauRecette[[#This Row],[Ingredients]],TableauIngredients[Ingredients],#REF!,0)*#REF!,0)</f>
        <v>0</v>
      </c>
      <c r="H217">
        <f>IFERROR(SUMIFS(TableauRecette[Proportion],TableauRecette[Recette],TableauRecette[[#This Row],[Recette]],TableauRecette[Conditionnement],TableauRecette[[#This Row],[Conditionnement]]),0)</f>
        <v>16</v>
      </c>
      <c r="I21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17">
        <f>_xlfn.XLOOKUP(TableauRecette[[#This Row],[ID]],TableauProduit[ID],TableauProduit[Total (kg) N1],0,0,1)*_xlfn.XLOOKUP(TableauRecette[[#This Row],[ID]],TableauProduit[ID],TableauProduit[Total (kg) N1],0,0,1)</f>
        <v>0</v>
      </c>
      <c r="M217" t="e">
        <f>_xlfn.XLOOKUP(TableauRecette[[#This Row],[ID]],TableauProduit[ID],TableauProduit[Total (kg) N1],0,0,1)*_xlfn.XLOOKUP(TableauRecette[[#This Row],[ID]],TableauProduit[ID],TableauProduit[Total (kg) N2],0,0,1)</f>
        <v>#REF!</v>
      </c>
      <c r="N217" t="e">
        <f>_xlfn.XLOOKUP(TableauRecette[[#This Row],[ID]],TableauProduit[ID],TableauProduit[Total (kg) N3],0,0,1)*#REF!</f>
        <v>#REF!</v>
      </c>
      <c r="O217" t="e">
        <f>_xlfn.XLOOKUP(TableauRecette[[#This Row],[ID]],TableauProduit[ID],TableauProduit[Total (kg) N4],0,0,1)*#REF!</f>
        <v>#REF!</v>
      </c>
      <c r="P217" t="e">
        <f>_xlfn.XLOOKUP(TableauRecette[[#This Row],[ID]],TableauProduit[ID],TableauProduit[Total (kg) N5],0,0,1)*#REF!</f>
        <v>#REF!</v>
      </c>
      <c r="Q217" t="e">
        <f>_xlfn.XLOOKUP(TableauRecette[[#This Row],[ID]],TableauProduit[ID],TableauProduit[Total (kg) N6],0,0,1)*#REF!</f>
        <v>#REF!</v>
      </c>
      <c r="R217" t="e">
        <f>_xlfn.XLOOKUP(TableauRecette[[#This Row],[ID]],TableauProduit[ID],TableauProduit[Total (kg) N7],0,0,1)*#REF!</f>
        <v>#REF!</v>
      </c>
      <c r="S217" t="e">
        <f>_xlfn.XLOOKUP(TableauRecette[[#This Row],[ID]],TableauProduit[ID],TableauProduit[Total (kg) N8],0,0,1)*#REF!</f>
        <v>#REF!</v>
      </c>
      <c r="T217" t="e">
        <f>_xlfn.XLOOKUP(TableauRecette[[#This Row],[ID]],TableauProduit[ID],TableauProduit[Total (kg) N9],0,0,1)*#REF!</f>
        <v>#REF!</v>
      </c>
    </row>
    <row r="218" spans="1:20" x14ac:dyDescent="0.2">
      <c r="A218" t="s">
        <v>128</v>
      </c>
      <c r="B218" t="str">
        <f>TableauRecette[[#This Row],[Recette]]&amp;TableauRecette[[#This Row],[Conditionnement]]</f>
        <v>Jamaican JerkEpice 100ml</v>
      </c>
      <c r="C218" t="s">
        <v>385</v>
      </c>
      <c r="D218">
        <v>2</v>
      </c>
      <c r="E218" t="s">
        <v>73</v>
      </c>
      <c r="F218">
        <f>IFERROR(TableauRecette[[#This Row],[Proportion]]/SUMIFS(TableauRecette[Proportion],TableauRecette[Recette],TableauRecette[[#This Row],[Recette]],TableauRecette[Conditionnement],TableauRecette[[#This Row],[Conditionnement]]),0)</f>
        <v>0.125</v>
      </c>
      <c r="G218">
        <f>IFERROR(_xlfn.XLOOKUP(TableauRecette[[#This Row],[Ingredients]],TableauIngredients[Ingredients],#REF!,0)*#REF!,0)</f>
        <v>0</v>
      </c>
      <c r="H218">
        <f>IFERROR(SUMIFS(TableauRecette[Proportion],TableauRecette[Recette],TableauRecette[[#This Row],[Recette]],TableauRecette[Conditionnement],TableauRecette[[#This Row],[Conditionnement]]),0)</f>
        <v>16</v>
      </c>
      <c r="I218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18">
        <f>_xlfn.XLOOKUP(TableauRecette[[#This Row],[ID]],TableauProduit[ID],TableauProduit[Total (kg) N1],0,0,1)*_xlfn.XLOOKUP(TableauRecette[[#This Row],[ID]],TableauProduit[ID],TableauProduit[Total (kg) N1],0,0,1)</f>
        <v>0</v>
      </c>
      <c r="M218" t="e">
        <f>_xlfn.XLOOKUP(TableauRecette[[#This Row],[ID]],TableauProduit[ID],TableauProduit[Total (kg) N1],0,0,1)*_xlfn.XLOOKUP(TableauRecette[[#This Row],[ID]],TableauProduit[ID],TableauProduit[Total (kg) N2],0,0,1)</f>
        <v>#REF!</v>
      </c>
      <c r="N218" t="e">
        <f>_xlfn.XLOOKUP(TableauRecette[[#This Row],[ID]],TableauProduit[ID],TableauProduit[Total (kg) N3],0,0,1)*#REF!</f>
        <v>#REF!</v>
      </c>
      <c r="O218" t="e">
        <f>_xlfn.XLOOKUP(TableauRecette[[#This Row],[ID]],TableauProduit[ID],TableauProduit[Total (kg) N4],0,0,1)*#REF!</f>
        <v>#REF!</v>
      </c>
      <c r="P218" t="e">
        <f>_xlfn.XLOOKUP(TableauRecette[[#This Row],[ID]],TableauProduit[ID],TableauProduit[Total (kg) N5],0,0,1)*#REF!</f>
        <v>#REF!</v>
      </c>
      <c r="Q218" t="e">
        <f>_xlfn.XLOOKUP(TableauRecette[[#This Row],[ID]],TableauProduit[ID],TableauProduit[Total (kg) N6],0,0,1)*#REF!</f>
        <v>#REF!</v>
      </c>
      <c r="R218" t="e">
        <f>_xlfn.XLOOKUP(TableauRecette[[#This Row],[ID]],TableauProduit[ID],TableauProduit[Total (kg) N7],0,0,1)*#REF!</f>
        <v>#REF!</v>
      </c>
      <c r="S218" t="e">
        <f>_xlfn.XLOOKUP(TableauRecette[[#This Row],[ID]],TableauProduit[ID],TableauProduit[Total (kg) N8],0,0,1)*#REF!</f>
        <v>#REF!</v>
      </c>
      <c r="T218" t="e">
        <f>_xlfn.XLOOKUP(TableauRecette[[#This Row],[ID]],TableauProduit[ID],TableauProduit[Total (kg) N9],0,0,1)*#REF!</f>
        <v>#REF!</v>
      </c>
    </row>
    <row r="219" spans="1:20" x14ac:dyDescent="0.2">
      <c r="A219" t="s">
        <v>128</v>
      </c>
      <c r="B219" t="str">
        <f>TableauRecette[[#This Row],[Recette]]&amp;TableauRecette[[#This Row],[Conditionnement]]</f>
        <v>Jamaican JerkEpice 100ml</v>
      </c>
      <c r="C219" t="s">
        <v>353</v>
      </c>
      <c r="D219">
        <v>1.5</v>
      </c>
      <c r="E219" t="s">
        <v>73</v>
      </c>
      <c r="F219">
        <f>IFERROR(TableauRecette[[#This Row],[Proportion]]/SUMIFS(TableauRecette[Proportion],TableauRecette[Recette],TableauRecette[[#This Row],[Recette]],TableauRecette[Conditionnement],TableauRecette[[#This Row],[Conditionnement]]),0)</f>
        <v>9.375E-2</v>
      </c>
      <c r="G219">
        <f>IFERROR(_xlfn.XLOOKUP(TableauRecette[[#This Row],[Ingredients]],TableauIngredients[Ingredients],#REF!,0)*#REF!,0)</f>
        <v>0</v>
      </c>
      <c r="H219">
        <f>IFERROR(SUMIFS(TableauRecette[Proportion],TableauRecette[Recette],TableauRecette[[#This Row],[Recette]],TableauRecette[Conditionnement],TableauRecette[[#This Row],[Conditionnement]]),0)</f>
        <v>16</v>
      </c>
      <c r="I219">
        <f>_xlfn.XLOOKUP(TableauRecette[[#This Row],[Ingredients]],TableauIngredients[Ingredients],TableauIngredients[Prix d''achat (kg)],0,0,1)*TableauRecette[[#This Row],[Proportion]]/TableauRecette[[#This Row],[Total Proportion]]</f>
        <v>5.625</v>
      </c>
      <c r="L219">
        <f>_xlfn.XLOOKUP(TableauRecette[[#This Row],[ID]],TableauProduit[ID],TableauProduit[Total (kg) N1],0,0,1)*_xlfn.XLOOKUP(TableauRecette[[#This Row],[ID]],TableauProduit[ID],TableauProduit[Total (kg) N1],0,0,1)</f>
        <v>0</v>
      </c>
      <c r="M219" t="e">
        <f>_xlfn.XLOOKUP(TableauRecette[[#This Row],[ID]],TableauProduit[ID],TableauProduit[Total (kg) N1],0,0,1)*_xlfn.XLOOKUP(TableauRecette[[#This Row],[ID]],TableauProduit[ID],TableauProduit[Total (kg) N2],0,0,1)</f>
        <v>#REF!</v>
      </c>
      <c r="N219" t="e">
        <f>_xlfn.XLOOKUP(TableauRecette[[#This Row],[ID]],TableauProduit[ID],TableauProduit[Total (kg) N3],0,0,1)*#REF!</f>
        <v>#REF!</v>
      </c>
      <c r="O219" t="e">
        <f>_xlfn.XLOOKUP(TableauRecette[[#This Row],[ID]],TableauProduit[ID],TableauProduit[Total (kg) N4],0,0,1)*#REF!</f>
        <v>#REF!</v>
      </c>
      <c r="P219" t="e">
        <f>_xlfn.XLOOKUP(TableauRecette[[#This Row],[ID]],TableauProduit[ID],TableauProduit[Total (kg) N5],0,0,1)*#REF!</f>
        <v>#REF!</v>
      </c>
      <c r="Q219" t="e">
        <f>_xlfn.XLOOKUP(TableauRecette[[#This Row],[ID]],TableauProduit[ID],TableauProduit[Total (kg) N6],0,0,1)*#REF!</f>
        <v>#REF!</v>
      </c>
      <c r="R219" t="e">
        <f>_xlfn.XLOOKUP(TableauRecette[[#This Row],[ID]],TableauProduit[ID],TableauProduit[Total (kg) N7],0,0,1)*#REF!</f>
        <v>#REF!</v>
      </c>
      <c r="S219" t="e">
        <f>_xlfn.XLOOKUP(TableauRecette[[#This Row],[ID]],TableauProduit[ID],TableauProduit[Total (kg) N8],0,0,1)*#REF!</f>
        <v>#REF!</v>
      </c>
      <c r="T219" t="e">
        <f>_xlfn.XLOOKUP(TableauRecette[[#This Row],[ID]],TableauProduit[ID],TableauProduit[Total (kg) N9],0,0,1)*#REF!</f>
        <v>#REF!</v>
      </c>
    </row>
    <row r="220" spans="1:20" x14ac:dyDescent="0.2">
      <c r="A220" t="s">
        <v>128</v>
      </c>
      <c r="B220" t="str">
        <f>TableauRecette[[#This Row],[Recette]]&amp;TableauRecette[[#This Row],[Conditionnement]]</f>
        <v>Jamaican JerkEpice 100ml</v>
      </c>
      <c r="C220" t="s">
        <v>348</v>
      </c>
      <c r="D220">
        <v>1.5</v>
      </c>
      <c r="E220" t="s">
        <v>73</v>
      </c>
      <c r="F220">
        <f>IFERROR(TableauRecette[[#This Row],[Proportion]]/SUMIFS(TableauRecette[Proportion],TableauRecette[Recette],TableauRecette[[#This Row],[Recette]],TableauRecette[Conditionnement],TableauRecette[[#This Row],[Conditionnement]]),0)</f>
        <v>9.375E-2</v>
      </c>
      <c r="G220">
        <f>IFERROR(_xlfn.XLOOKUP(TableauRecette[[#This Row],[Ingredients]],TableauIngredients[Ingredients],#REF!,0)*#REF!,0)</f>
        <v>0</v>
      </c>
      <c r="H220">
        <f>IFERROR(SUMIFS(TableauRecette[Proportion],TableauRecette[Recette],TableauRecette[[#This Row],[Recette]],TableauRecette[Conditionnement],TableauRecette[[#This Row],[Conditionnement]]),0)</f>
        <v>16</v>
      </c>
      <c r="I220">
        <f>_xlfn.XLOOKUP(TableauRecette[[#This Row],[Ingredients]],TableauIngredients[Ingredients],TableauIngredients[Prix d''achat (kg)],0,0,1)*TableauRecette[[#This Row],[Proportion]]/TableauRecette[[#This Row],[Total Proportion]]</f>
        <v>3.4546875000000004</v>
      </c>
      <c r="L220">
        <f>_xlfn.XLOOKUP(TableauRecette[[#This Row],[ID]],TableauProduit[ID],TableauProduit[Total (kg) N1],0,0,1)*_xlfn.XLOOKUP(TableauRecette[[#This Row],[ID]],TableauProduit[ID],TableauProduit[Total (kg) N1],0,0,1)</f>
        <v>0</v>
      </c>
      <c r="M220" t="e">
        <f>_xlfn.XLOOKUP(TableauRecette[[#This Row],[ID]],TableauProduit[ID],TableauProduit[Total (kg) N1],0,0,1)*_xlfn.XLOOKUP(TableauRecette[[#This Row],[ID]],TableauProduit[ID],TableauProduit[Total (kg) N2],0,0,1)</f>
        <v>#REF!</v>
      </c>
      <c r="N220" t="e">
        <f>_xlfn.XLOOKUP(TableauRecette[[#This Row],[ID]],TableauProduit[ID],TableauProduit[Total (kg) N3],0,0,1)*#REF!</f>
        <v>#REF!</v>
      </c>
      <c r="O220" t="e">
        <f>_xlfn.XLOOKUP(TableauRecette[[#This Row],[ID]],TableauProduit[ID],TableauProduit[Total (kg) N4],0,0,1)*#REF!</f>
        <v>#REF!</v>
      </c>
      <c r="P220" t="e">
        <f>_xlfn.XLOOKUP(TableauRecette[[#This Row],[ID]],TableauProduit[ID],TableauProduit[Total (kg) N5],0,0,1)*#REF!</f>
        <v>#REF!</v>
      </c>
      <c r="Q220" t="e">
        <f>_xlfn.XLOOKUP(TableauRecette[[#This Row],[ID]],TableauProduit[ID],TableauProduit[Total (kg) N6],0,0,1)*#REF!</f>
        <v>#REF!</v>
      </c>
      <c r="R220" t="e">
        <f>_xlfn.XLOOKUP(TableauRecette[[#This Row],[ID]],TableauProduit[ID],TableauProduit[Total (kg) N7],0,0,1)*#REF!</f>
        <v>#REF!</v>
      </c>
      <c r="S220" t="e">
        <f>_xlfn.XLOOKUP(TableauRecette[[#This Row],[ID]],TableauProduit[ID],TableauProduit[Total (kg) N8],0,0,1)*#REF!</f>
        <v>#REF!</v>
      </c>
      <c r="T220" t="e">
        <f>_xlfn.XLOOKUP(TableauRecette[[#This Row],[ID]],TableauProduit[ID],TableauProduit[Total (kg) N9],0,0,1)*#REF!</f>
        <v>#REF!</v>
      </c>
    </row>
    <row r="221" spans="1:20" x14ac:dyDescent="0.2">
      <c r="A221" t="s">
        <v>128</v>
      </c>
      <c r="B221" t="str">
        <f>TableauRecette[[#This Row],[Recette]]&amp;TableauRecette[[#This Row],[Conditionnement]]</f>
        <v>Jamaican JerkEpice 100ml</v>
      </c>
      <c r="C221" t="s">
        <v>386</v>
      </c>
      <c r="D221">
        <v>1.5</v>
      </c>
      <c r="E221" t="s">
        <v>73</v>
      </c>
      <c r="F221">
        <f>IFERROR(TableauRecette[[#This Row],[Proportion]]/SUMIFS(TableauRecette[Proportion],TableauRecette[Recette],TableauRecette[[#This Row],[Recette]],TableauRecette[Conditionnement],TableauRecette[[#This Row],[Conditionnement]]),0)</f>
        <v>9.375E-2</v>
      </c>
      <c r="G221">
        <f>IFERROR(_xlfn.XLOOKUP(TableauRecette[[#This Row],[Ingredients]],TableauIngredients[Ingredients],#REF!,0)*#REF!,0)</f>
        <v>0</v>
      </c>
      <c r="H221">
        <f>IFERROR(SUMIFS(TableauRecette[Proportion],TableauRecette[Recette],TableauRecette[[#This Row],[Recette]],TableauRecette[Conditionnement],TableauRecette[[#This Row],[Conditionnement]]),0)</f>
        <v>16</v>
      </c>
      <c r="I22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21">
        <f>_xlfn.XLOOKUP(TableauRecette[[#This Row],[ID]],TableauProduit[ID],TableauProduit[Total (kg) N1],0,0,1)*_xlfn.XLOOKUP(TableauRecette[[#This Row],[ID]],TableauProduit[ID],TableauProduit[Total (kg) N1],0,0,1)</f>
        <v>0</v>
      </c>
      <c r="M221" t="e">
        <f>_xlfn.XLOOKUP(TableauRecette[[#This Row],[ID]],TableauProduit[ID],TableauProduit[Total (kg) N1],0,0,1)*_xlfn.XLOOKUP(TableauRecette[[#This Row],[ID]],TableauProduit[ID],TableauProduit[Total (kg) N2],0,0,1)</f>
        <v>#REF!</v>
      </c>
      <c r="N221" t="e">
        <f>_xlfn.XLOOKUP(TableauRecette[[#This Row],[ID]],TableauProduit[ID],TableauProduit[Total (kg) N3],0,0,1)*#REF!</f>
        <v>#REF!</v>
      </c>
      <c r="O221" t="e">
        <f>_xlfn.XLOOKUP(TableauRecette[[#This Row],[ID]],TableauProduit[ID],TableauProduit[Total (kg) N4],0,0,1)*#REF!</f>
        <v>#REF!</v>
      </c>
      <c r="P221" t="e">
        <f>_xlfn.XLOOKUP(TableauRecette[[#This Row],[ID]],TableauProduit[ID],TableauProduit[Total (kg) N5],0,0,1)*#REF!</f>
        <v>#REF!</v>
      </c>
      <c r="Q221" t="e">
        <f>_xlfn.XLOOKUP(TableauRecette[[#This Row],[ID]],TableauProduit[ID],TableauProduit[Total (kg) N6],0,0,1)*#REF!</f>
        <v>#REF!</v>
      </c>
      <c r="R221" t="e">
        <f>_xlfn.XLOOKUP(TableauRecette[[#This Row],[ID]],TableauProduit[ID],TableauProduit[Total (kg) N7],0,0,1)*#REF!</f>
        <v>#REF!</v>
      </c>
      <c r="S221" t="e">
        <f>_xlfn.XLOOKUP(TableauRecette[[#This Row],[ID]],TableauProduit[ID],TableauProduit[Total (kg) N8],0,0,1)*#REF!</f>
        <v>#REF!</v>
      </c>
      <c r="T221" t="e">
        <f>_xlfn.XLOOKUP(TableauRecette[[#This Row],[ID]],TableauProduit[ID],TableauProduit[Total (kg) N9],0,0,1)*#REF!</f>
        <v>#REF!</v>
      </c>
    </row>
    <row r="222" spans="1:20" x14ac:dyDescent="0.2">
      <c r="A222" t="s">
        <v>128</v>
      </c>
      <c r="B222" t="str">
        <f>TableauRecette[[#This Row],[Recette]]&amp;TableauRecette[[#This Row],[Conditionnement]]</f>
        <v>Jamaican JerkEpice 100ml</v>
      </c>
      <c r="C222" t="s">
        <v>398</v>
      </c>
      <c r="D222">
        <v>1.5</v>
      </c>
      <c r="E222" t="s">
        <v>73</v>
      </c>
      <c r="F222">
        <f>IFERROR(TableauRecette[[#This Row],[Proportion]]/SUMIFS(TableauRecette[Proportion],TableauRecette[Recette],TableauRecette[[#This Row],[Recette]],TableauRecette[Conditionnement],TableauRecette[[#This Row],[Conditionnement]]),0)</f>
        <v>9.375E-2</v>
      </c>
      <c r="G222">
        <f>IFERROR(_xlfn.XLOOKUP(TableauRecette[[#This Row],[Ingredients]],TableauIngredients[Ingredients],#REF!,0)*#REF!,0)</f>
        <v>0</v>
      </c>
      <c r="H222">
        <f>IFERROR(SUMIFS(TableauRecette[Proportion],TableauRecette[Recette],TableauRecette[[#This Row],[Recette]],TableauRecette[Conditionnement],TableauRecette[[#This Row],[Conditionnement]]),0)</f>
        <v>16</v>
      </c>
      <c r="I22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222" t="s">
        <v>341</v>
      </c>
      <c r="L222">
        <f>_xlfn.XLOOKUP(TableauRecette[[#This Row],[ID]],TableauProduit[ID],TableauProduit[Total (kg) N1],0,0,1)*_xlfn.XLOOKUP(TableauRecette[[#This Row],[ID]],TableauProduit[ID],TableauProduit[Total (kg) N1],0,0,1)</f>
        <v>0</v>
      </c>
      <c r="M222" t="e">
        <f>_xlfn.XLOOKUP(TableauRecette[[#This Row],[ID]],TableauProduit[ID],TableauProduit[Total (kg) N1],0,0,1)*_xlfn.XLOOKUP(TableauRecette[[#This Row],[ID]],TableauProduit[ID],TableauProduit[Total (kg) N2],0,0,1)</f>
        <v>#REF!</v>
      </c>
      <c r="N222" t="e">
        <f>_xlfn.XLOOKUP(TableauRecette[[#This Row],[ID]],TableauProduit[ID],TableauProduit[Total (kg) N3],0,0,1)*#REF!</f>
        <v>#REF!</v>
      </c>
      <c r="O222" t="e">
        <f>_xlfn.XLOOKUP(TableauRecette[[#This Row],[ID]],TableauProduit[ID],TableauProduit[Total (kg) N4],0,0,1)*#REF!</f>
        <v>#REF!</v>
      </c>
      <c r="P222" t="e">
        <f>_xlfn.XLOOKUP(TableauRecette[[#This Row],[ID]],TableauProduit[ID],TableauProduit[Total (kg) N5],0,0,1)*#REF!</f>
        <v>#REF!</v>
      </c>
      <c r="Q222" t="e">
        <f>_xlfn.XLOOKUP(TableauRecette[[#This Row],[ID]],TableauProduit[ID],TableauProduit[Total (kg) N6],0,0,1)*#REF!</f>
        <v>#REF!</v>
      </c>
      <c r="R222" t="e">
        <f>_xlfn.XLOOKUP(TableauRecette[[#This Row],[ID]],TableauProduit[ID],TableauProduit[Total (kg) N7],0,0,1)*#REF!</f>
        <v>#REF!</v>
      </c>
      <c r="S222" t="e">
        <f>_xlfn.XLOOKUP(TableauRecette[[#This Row],[ID]],TableauProduit[ID],TableauProduit[Total (kg) N8],0,0,1)*#REF!</f>
        <v>#REF!</v>
      </c>
      <c r="T222" t="e">
        <f>_xlfn.XLOOKUP(TableauRecette[[#This Row],[ID]],TableauProduit[ID],TableauProduit[Total (kg) N9],0,0,1)*#REF!</f>
        <v>#REF!</v>
      </c>
    </row>
    <row r="223" spans="1:20" x14ac:dyDescent="0.2">
      <c r="A223" t="s">
        <v>128</v>
      </c>
      <c r="B223" t="str">
        <f>TableauRecette[[#This Row],[Recette]]&amp;TableauRecette[[#This Row],[Conditionnement]]</f>
        <v>Jamaican JerkEpice 100ml</v>
      </c>
      <c r="C223" t="s">
        <v>345</v>
      </c>
      <c r="D223">
        <v>1</v>
      </c>
      <c r="E223" t="s">
        <v>73</v>
      </c>
      <c r="F223">
        <f>IFERROR(TableauRecette[[#This Row],[Proportion]]/SUMIFS(TableauRecette[Proportion],TableauRecette[Recette],TableauRecette[[#This Row],[Recette]],TableauRecette[Conditionnement],TableauRecette[[#This Row],[Conditionnement]]),0)</f>
        <v>6.25E-2</v>
      </c>
      <c r="G223">
        <f>IFERROR(_xlfn.XLOOKUP(TableauRecette[[#This Row],[Ingredients]],TableauIngredients[Ingredients],#REF!,0)*#REF!,0)</f>
        <v>0</v>
      </c>
      <c r="H223">
        <f>IFERROR(SUMIFS(TableauRecette[Proportion],TableauRecette[Recette],TableauRecette[[#This Row],[Recette]],TableauRecette[Conditionnement],TableauRecette[[#This Row],[Conditionnement]]),0)</f>
        <v>16</v>
      </c>
      <c r="I223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223" t="s">
        <v>341</v>
      </c>
      <c r="L223">
        <f>_xlfn.XLOOKUP(TableauRecette[[#This Row],[ID]],TableauProduit[ID],TableauProduit[Total (kg) N1],0,0,1)*_xlfn.XLOOKUP(TableauRecette[[#This Row],[ID]],TableauProduit[ID],TableauProduit[Total (kg) N1],0,0,1)</f>
        <v>0</v>
      </c>
      <c r="M223" t="e">
        <f>_xlfn.XLOOKUP(TableauRecette[[#This Row],[ID]],TableauProduit[ID],TableauProduit[Total (kg) N1],0,0,1)*_xlfn.XLOOKUP(TableauRecette[[#This Row],[ID]],TableauProduit[ID],TableauProduit[Total (kg) N2],0,0,1)</f>
        <v>#REF!</v>
      </c>
      <c r="N223" t="e">
        <f>_xlfn.XLOOKUP(TableauRecette[[#This Row],[ID]],TableauProduit[ID],TableauProduit[Total (kg) N3],0,0,1)*#REF!</f>
        <v>#REF!</v>
      </c>
      <c r="O223" t="e">
        <f>_xlfn.XLOOKUP(TableauRecette[[#This Row],[ID]],TableauProduit[ID],TableauProduit[Total (kg) N4],0,0,1)*#REF!</f>
        <v>#REF!</v>
      </c>
      <c r="P223" t="e">
        <f>_xlfn.XLOOKUP(TableauRecette[[#This Row],[ID]],TableauProduit[ID],TableauProduit[Total (kg) N5],0,0,1)*#REF!</f>
        <v>#REF!</v>
      </c>
      <c r="Q223" t="e">
        <f>_xlfn.XLOOKUP(TableauRecette[[#This Row],[ID]],TableauProduit[ID],TableauProduit[Total (kg) N6],0,0,1)*#REF!</f>
        <v>#REF!</v>
      </c>
      <c r="R223" t="e">
        <f>_xlfn.XLOOKUP(TableauRecette[[#This Row],[ID]],TableauProduit[ID],TableauProduit[Total (kg) N7],0,0,1)*#REF!</f>
        <v>#REF!</v>
      </c>
      <c r="S223" t="e">
        <f>_xlfn.XLOOKUP(TableauRecette[[#This Row],[ID]],TableauProduit[ID],TableauProduit[Total (kg) N8],0,0,1)*#REF!</f>
        <v>#REF!</v>
      </c>
      <c r="T223" t="e">
        <f>_xlfn.XLOOKUP(TableauRecette[[#This Row],[ID]],TableauProduit[ID],TableauProduit[Total (kg) N9],0,0,1)*#REF!</f>
        <v>#REF!</v>
      </c>
    </row>
    <row r="224" spans="1:20" x14ac:dyDescent="0.2">
      <c r="A224" t="s">
        <v>128</v>
      </c>
      <c r="B224" t="str">
        <f>TableauRecette[[#This Row],[Recette]]&amp;TableauRecette[[#This Row],[Conditionnement]]</f>
        <v>Jamaican JerkEpice 100ml</v>
      </c>
      <c r="C224" t="s">
        <v>381</v>
      </c>
      <c r="D224">
        <v>1</v>
      </c>
      <c r="E224" t="s">
        <v>73</v>
      </c>
      <c r="F224">
        <f>IFERROR(TableauRecette[[#This Row],[Proportion]]/SUMIFS(TableauRecette[Proportion],TableauRecette[Recette],TableauRecette[[#This Row],[Recette]],TableauRecette[Conditionnement],TableauRecette[[#This Row],[Conditionnement]]),0)</f>
        <v>6.25E-2</v>
      </c>
      <c r="G224">
        <f>IFERROR(_xlfn.XLOOKUP(TableauRecette[[#This Row],[Ingredients]],TableauIngredients[Ingredients],#REF!,0)*#REF!,0)</f>
        <v>0</v>
      </c>
      <c r="H224">
        <f>IFERROR(SUMIFS(TableauRecette[Proportion],TableauRecette[Recette],TableauRecette[[#This Row],[Recette]],TableauRecette[Conditionnement],TableauRecette[[#This Row],[Conditionnement]]),0)</f>
        <v>16</v>
      </c>
      <c r="I224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24">
        <f>_xlfn.XLOOKUP(TableauRecette[[#This Row],[ID]],TableauProduit[ID],TableauProduit[Total (kg) N1],0,0,1)*_xlfn.XLOOKUP(TableauRecette[[#This Row],[ID]],TableauProduit[ID],TableauProduit[Total (kg) N1],0,0,1)</f>
        <v>0</v>
      </c>
      <c r="M224" t="e">
        <f>_xlfn.XLOOKUP(TableauRecette[[#This Row],[ID]],TableauProduit[ID],TableauProduit[Total (kg) N1],0,0,1)*_xlfn.XLOOKUP(TableauRecette[[#This Row],[ID]],TableauProduit[ID],TableauProduit[Total (kg) N2],0,0,1)</f>
        <v>#REF!</v>
      </c>
      <c r="N224" t="e">
        <f>_xlfn.XLOOKUP(TableauRecette[[#This Row],[ID]],TableauProduit[ID],TableauProduit[Total (kg) N3],0,0,1)*#REF!</f>
        <v>#REF!</v>
      </c>
      <c r="O224" t="e">
        <f>_xlfn.XLOOKUP(TableauRecette[[#This Row],[ID]],TableauProduit[ID],TableauProduit[Total (kg) N4],0,0,1)*#REF!</f>
        <v>#REF!</v>
      </c>
      <c r="P224" t="e">
        <f>_xlfn.XLOOKUP(TableauRecette[[#This Row],[ID]],TableauProduit[ID],TableauProduit[Total (kg) N5],0,0,1)*#REF!</f>
        <v>#REF!</v>
      </c>
      <c r="Q224" t="e">
        <f>_xlfn.XLOOKUP(TableauRecette[[#This Row],[ID]],TableauProduit[ID],TableauProduit[Total (kg) N6],0,0,1)*#REF!</f>
        <v>#REF!</v>
      </c>
      <c r="R224" t="e">
        <f>_xlfn.XLOOKUP(TableauRecette[[#This Row],[ID]],TableauProduit[ID],TableauProduit[Total (kg) N7],0,0,1)*#REF!</f>
        <v>#REF!</v>
      </c>
      <c r="S224" t="e">
        <f>_xlfn.XLOOKUP(TableauRecette[[#This Row],[ID]],TableauProduit[ID],TableauProduit[Total (kg) N8],0,0,1)*#REF!</f>
        <v>#REF!</v>
      </c>
      <c r="T224" t="e">
        <f>_xlfn.XLOOKUP(TableauRecette[[#This Row],[ID]],TableauProduit[ID],TableauProduit[Total (kg) N9],0,0,1)*#REF!</f>
        <v>#REF!</v>
      </c>
    </row>
    <row r="225" spans="1:20" x14ac:dyDescent="0.2">
      <c r="A225" t="s">
        <v>128</v>
      </c>
      <c r="B225" t="str">
        <f>TableauRecette[[#This Row],[Recette]]&amp;TableauRecette[[#This Row],[Conditionnement]]</f>
        <v>Jamaican JerkEpice 100ml</v>
      </c>
      <c r="C225" t="s">
        <v>356</v>
      </c>
      <c r="D225">
        <v>1</v>
      </c>
      <c r="E225" t="s">
        <v>73</v>
      </c>
      <c r="F225">
        <f>IFERROR(TableauRecette[[#This Row],[Proportion]]/SUMIFS(TableauRecette[Proportion],TableauRecette[Recette],TableauRecette[[#This Row],[Recette]],TableauRecette[Conditionnement],TableauRecette[[#This Row],[Conditionnement]]),0)</f>
        <v>6.25E-2</v>
      </c>
      <c r="G225">
        <f>IFERROR(_xlfn.XLOOKUP(TableauRecette[[#This Row],[Ingredients]],TableauIngredients[Ingredients],#REF!,0)*#REF!,0)</f>
        <v>0</v>
      </c>
      <c r="H225">
        <f>IFERROR(SUMIFS(TableauRecette[Proportion],TableauRecette[Recette],TableauRecette[[#This Row],[Recette]],TableauRecette[Conditionnement],TableauRecette[[#This Row],[Conditionnement]]),0)</f>
        <v>16</v>
      </c>
      <c r="I225">
        <f>_xlfn.XLOOKUP(TableauRecette[[#This Row],[Ingredients]],TableauIngredients[Ingredients],TableauIngredients[Prix d''achat (kg)],0,0,1)*TableauRecette[[#This Row],[Proportion]]/TableauRecette[[#This Row],[Total Proportion]]</f>
        <v>1.375</v>
      </c>
      <c r="L225">
        <f>_xlfn.XLOOKUP(TableauRecette[[#This Row],[ID]],TableauProduit[ID],TableauProduit[Total (kg) N1],0,0,1)*_xlfn.XLOOKUP(TableauRecette[[#This Row],[ID]],TableauProduit[ID],TableauProduit[Total (kg) N1],0,0,1)</f>
        <v>0</v>
      </c>
      <c r="M225" t="e">
        <f>_xlfn.XLOOKUP(TableauRecette[[#This Row],[ID]],TableauProduit[ID],TableauProduit[Total (kg) N1],0,0,1)*_xlfn.XLOOKUP(TableauRecette[[#This Row],[ID]],TableauProduit[ID],TableauProduit[Total (kg) N2],0,0,1)</f>
        <v>#REF!</v>
      </c>
      <c r="N225" t="e">
        <f>_xlfn.XLOOKUP(TableauRecette[[#This Row],[ID]],TableauProduit[ID],TableauProduit[Total (kg) N3],0,0,1)*#REF!</f>
        <v>#REF!</v>
      </c>
      <c r="O225" t="e">
        <f>_xlfn.XLOOKUP(TableauRecette[[#This Row],[ID]],TableauProduit[ID],TableauProduit[Total (kg) N4],0,0,1)*#REF!</f>
        <v>#REF!</v>
      </c>
      <c r="P225" t="e">
        <f>_xlfn.XLOOKUP(TableauRecette[[#This Row],[ID]],TableauProduit[ID],TableauProduit[Total (kg) N5],0,0,1)*#REF!</f>
        <v>#REF!</v>
      </c>
      <c r="Q225" t="e">
        <f>_xlfn.XLOOKUP(TableauRecette[[#This Row],[ID]],TableauProduit[ID],TableauProduit[Total (kg) N6],0,0,1)*#REF!</f>
        <v>#REF!</v>
      </c>
      <c r="R225" t="e">
        <f>_xlfn.XLOOKUP(TableauRecette[[#This Row],[ID]],TableauProduit[ID],TableauProduit[Total (kg) N7],0,0,1)*#REF!</f>
        <v>#REF!</v>
      </c>
      <c r="S225" t="e">
        <f>_xlfn.XLOOKUP(TableauRecette[[#This Row],[ID]],TableauProduit[ID],TableauProduit[Total (kg) N8],0,0,1)*#REF!</f>
        <v>#REF!</v>
      </c>
      <c r="T225" t="e">
        <f>_xlfn.XLOOKUP(TableauRecette[[#This Row],[ID]],TableauProduit[ID],TableauProduit[Total (kg) N9],0,0,1)*#REF!</f>
        <v>#REF!</v>
      </c>
    </row>
    <row r="226" spans="1:20" x14ac:dyDescent="0.2">
      <c r="A226" t="s">
        <v>128</v>
      </c>
      <c r="B226" t="str">
        <f>TableauRecette[[#This Row],[Recette]]&amp;TableauRecette[[#This Row],[Conditionnement]]</f>
        <v>Jamaican JerkEpice 100ml</v>
      </c>
      <c r="C226" t="s">
        <v>346</v>
      </c>
      <c r="D226">
        <v>1</v>
      </c>
      <c r="E226" t="s">
        <v>73</v>
      </c>
      <c r="F226">
        <f>IFERROR(TableauRecette[[#This Row],[Proportion]]/SUMIFS(TableauRecette[Proportion],TableauRecette[Recette],TableauRecette[[#This Row],[Recette]],TableauRecette[Conditionnement],TableauRecette[[#This Row],[Conditionnement]]),0)</f>
        <v>6.25E-2</v>
      </c>
      <c r="G226">
        <f>IFERROR(_xlfn.XLOOKUP(TableauRecette[[#This Row],[Ingredients]],TableauIngredients[Ingredients],#REF!,0)*#REF!,0)</f>
        <v>0</v>
      </c>
      <c r="H226">
        <f>IFERROR(SUMIFS(TableauRecette[Proportion],TableauRecette[Recette],TableauRecette[[#This Row],[Recette]],TableauRecette[Conditionnement],TableauRecette[[#This Row],[Conditionnement]]),0)</f>
        <v>16</v>
      </c>
      <c r="I22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226" t="s">
        <v>341</v>
      </c>
      <c r="L226">
        <f>_xlfn.XLOOKUP(TableauRecette[[#This Row],[ID]],TableauProduit[ID],TableauProduit[Total (kg) N1],0,0,1)*_xlfn.XLOOKUP(TableauRecette[[#This Row],[ID]],TableauProduit[ID],TableauProduit[Total (kg) N1],0,0,1)</f>
        <v>0</v>
      </c>
      <c r="M226" t="e">
        <f>_xlfn.XLOOKUP(TableauRecette[[#This Row],[ID]],TableauProduit[ID],TableauProduit[Total (kg) N1],0,0,1)*_xlfn.XLOOKUP(TableauRecette[[#This Row],[ID]],TableauProduit[ID],TableauProduit[Total (kg) N2],0,0,1)</f>
        <v>#REF!</v>
      </c>
      <c r="N226" t="e">
        <f>_xlfn.XLOOKUP(TableauRecette[[#This Row],[ID]],TableauProduit[ID],TableauProduit[Total (kg) N3],0,0,1)*#REF!</f>
        <v>#REF!</v>
      </c>
      <c r="O226" t="e">
        <f>_xlfn.XLOOKUP(TableauRecette[[#This Row],[ID]],TableauProduit[ID],TableauProduit[Total (kg) N4],0,0,1)*#REF!</f>
        <v>#REF!</v>
      </c>
      <c r="P226" t="e">
        <f>_xlfn.XLOOKUP(TableauRecette[[#This Row],[ID]],TableauProduit[ID],TableauProduit[Total (kg) N5],0,0,1)*#REF!</f>
        <v>#REF!</v>
      </c>
      <c r="Q226" t="e">
        <f>_xlfn.XLOOKUP(TableauRecette[[#This Row],[ID]],TableauProduit[ID],TableauProduit[Total (kg) N6],0,0,1)*#REF!</f>
        <v>#REF!</v>
      </c>
      <c r="R226" t="e">
        <f>_xlfn.XLOOKUP(TableauRecette[[#This Row],[ID]],TableauProduit[ID],TableauProduit[Total (kg) N7],0,0,1)*#REF!</f>
        <v>#REF!</v>
      </c>
      <c r="S226" t="e">
        <f>_xlfn.XLOOKUP(TableauRecette[[#This Row],[ID]],TableauProduit[ID],TableauProduit[Total (kg) N8],0,0,1)*#REF!</f>
        <v>#REF!</v>
      </c>
      <c r="T226" t="e">
        <f>_xlfn.XLOOKUP(TableauRecette[[#This Row],[ID]],TableauProduit[ID],TableauProduit[Total (kg) N9],0,0,1)*#REF!</f>
        <v>#REF!</v>
      </c>
    </row>
    <row r="227" spans="1:20" x14ac:dyDescent="0.2">
      <c r="A227" t="s">
        <v>106</v>
      </c>
      <c r="B227" t="str">
        <f>TableauRecette[[#This Row],[Recette]]&amp;TableauRecette[[#This Row],[Conditionnement]]</f>
        <v>KetchupPiment liquide 250ml</v>
      </c>
      <c r="C227" t="s">
        <v>408</v>
      </c>
      <c r="D227">
        <v>20</v>
      </c>
      <c r="E227" t="s">
        <v>107</v>
      </c>
      <c r="F227">
        <f>IFERROR(TableauRecette[[#This Row],[Proportion]]/SUMIFS(TableauRecette[Proportion],TableauRecette[Recette],TableauRecette[[#This Row],[Recette]],TableauRecette[Conditionnement],TableauRecette[[#This Row],[Conditionnement]]),0)</f>
        <v>9.1449474165523556E-3</v>
      </c>
      <c r="G227">
        <f>IFERROR(_xlfn.XLOOKUP(TableauRecette[[#This Row],[Ingredients]],TableauIngredients[Ingredients],#REF!,0)*#REF!,0)</f>
        <v>0</v>
      </c>
      <c r="H227">
        <f>IFERROR(SUMIFS(TableauRecette[Proportion],TableauRecette[Recette],TableauRecette[[#This Row],[Recette]],TableauRecette[Conditionnement],TableauRecette[[#This Row],[Conditionnement]]),0)</f>
        <v>2187</v>
      </c>
      <c r="I22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27">
        <f>_xlfn.XLOOKUP(TableauRecette[[#This Row],[ID]],TableauProduit[ID],TableauProduit[Total (kg) N1],0,0,1)*_xlfn.XLOOKUP(TableauRecette[[#This Row],[ID]],TableauProduit[ID],TableauProduit[Total (kg) N1],0,0,1)</f>
        <v>0</v>
      </c>
      <c r="M227" t="e">
        <f>_xlfn.XLOOKUP(TableauRecette[[#This Row],[ID]],TableauProduit[ID],TableauProduit[Total (kg) N1],0,0,1)*_xlfn.XLOOKUP(TableauRecette[[#This Row],[ID]],TableauProduit[ID],TableauProduit[Total (kg) N2],0,0,1)</f>
        <v>#REF!</v>
      </c>
      <c r="N227" t="e">
        <f>_xlfn.XLOOKUP(TableauRecette[[#This Row],[ID]],TableauProduit[ID],TableauProduit[Total (kg) N3],0,0,1)*#REF!</f>
        <v>#REF!</v>
      </c>
      <c r="O227" t="e">
        <f>_xlfn.XLOOKUP(TableauRecette[[#This Row],[ID]],TableauProduit[ID],TableauProduit[Total (kg) N4],0,0,1)*#REF!</f>
        <v>#REF!</v>
      </c>
      <c r="P227" t="e">
        <f>_xlfn.XLOOKUP(TableauRecette[[#This Row],[ID]],TableauProduit[ID],TableauProduit[Total (kg) N5],0,0,1)*#REF!</f>
        <v>#REF!</v>
      </c>
      <c r="Q227" t="e">
        <f>_xlfn.XLOOKUP(TableauRecette[[#This Row],[ID]],TableauProduit[ID],TableauProduit[Total (kg) N6],0,0,1)*#REF!</f>
        <v>#REF!</v>
      </c>
      <c r="R227" t="e">
        <f>_xlfn.XLOOKUP(TableauRecette[[#This Row],[ID]],TableauProduit[ID],TableauProduit[Total (kg) N7],0,0,1)*#REF!</f>
        <v>#REF!</v>
      </c>
      <c r="S227" t="e">
        <f>_xlfn.XLOOKUP(TableauRecette[[#This Row],[ID]],TableauProduit[ID],TableauProduit[Total (kg) N8],0,0,1)*#REF!</f>
        <v>#REF!</v>
      </c>
      <c r="T227" t="e">
        <f>_xlfn.XLOOKUP(TableauRecette[[#This Row],[ID]],TableauProduit[ID],TableauProduit[Total (kg) N9],0,0,1)*#REF!</f>
        <v>#REF!</v>
      </c>
    </row>
    <row r="228" spans="1:20" x14ac:dyDescent="0.2">
      <c r="A228" t="s">
        <v>106</v>
      </c>
      <c r="B228" t="str">
        <f>TableauRecette[[#This Row],[Recette]]&amp;TableauRecette[[#This Row],[Conditionnement]]</f>
        <v>KetchupPiment liquide 250ml</v>
      </c>
      <c r="C228" t="s">
        <v>422</v>
      </c>
      <c r="D228">
        <v>2000</v>
      </c>
      <c r="E228" t="s">
        <v>107</v>
      </c>
      <c r="F228">
        <f>IFERROR(TableauRecette[[#This Row],[Proportion]]/SUMIFS(TableauRecette[Proportion],TableauRecette[Recette],TableauRecette[[#This Row],[Recette]],TableauRecette[Conditionnement],TableauRecette[[#This Row],[Conditionnement]]),0)</f>
        <v>0.91449474165523548</v>
      </c>
      <c r="G228">
        <f>IFERROR(_xlfn.XLOOKUP(TableauRecette[[#This Row],[Ingredients]],TableauIngredients[Ingredients],#REF!,0)*#REF!,0)</f>
        <v>0</v>
      </c>
      <c r="H228">
        <f>IFERROR(SUMIFS(TableauRecette[Proportion],TableauRecette[Recette],TableauRecette[[#This Row],[Recette]],TableauRecette[Conditionnement],TableauRecette[[#This Row],[Conditionnement]]),0)</f>
        <v>2187</v>
      </c>
      <c r="I228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28">
        <f>_xlfn.XLOOKUP(TableauRecette[[#This Row],[ID]],TableauProduit[ID],TableauProduit[Total (kg) N1],0,0,1)*_xlfn.XLOOKUP(TableauRecette[[#This Row],[ID]],TableauProduit[ID],TableauProduit[Total (kg) N1],0,0,1)</f>
        <v>0</v>
      </c>
      <c r="M228" t="e">
        <f>_xlfn.XLOOKUP(TableauRecette[[#This Row],[ID]],TableauProduit[ID],TableauProduit[Total (kg) N1],0,0,1)*_xlfn.XLOOKUP(TableauRecette[[#This Row],[ID]],TableauProduit[ID],TableauProduit[Total (kg) N2],0,0,1)</f>
        <v>#REF!</v>
      </c>
      <c r="N228" t="e">
        <f>_xlfn.XLOOKUP(TableauRecette[[#This Row],[ID]],TableauProduit[ID],TableauProduit[Total (kg) N3],0,0,1)*#REF!</f>
        <v>#REF!</v>
      </c>
      <c r="O228" t="e">
        <f>_xlfn.XLOOKUP(TableauRecette[[#This Row],[ID]],TableauProduit[ID],TableauProduit[Total (kg) N4],0,0,1)*#REF!</f>
        <v>#REF!</v>
      </c>
      <c r="P228" t="e">
        <f>_xlfn.XLOOKUP(TableauRecette[[#This Row],[ID]],TableauProduit[ID],TableauProduit[Total (kg) N5],0,0,1)*#REF!</f>
        <v>#REF!</v>
      </c>
      <c r="Q228" t="e">
        <f>_xlfn.XLOOKUP(TableauRecette[[#This Row],[ID]],TableauProduit[ID],TableauProduit[Total (kg) N6],0,0,1)*#REF!</f>
        <v>#REF!</v>
      </c>
      <c r="R228" t="e">
        <f>_xlfn.XLOOKUP(TableauRecette[[#This Row],[ID]],TableauProduit[ID],TableauProduit[Total (kg) N7],0,0,1)*#REF!</f>
        <v>#REF!</v>
      </c>
      <c r="S228" t="e">
        <f>_xlfn.XLOOKUP(TableauRecette[[#This Row],[ID]],TableauProduit[ID],TableauProduit[Total (kg) N8],0,0,1)*#REF!</f>
        <v>#REF!</v>
      </c>
      <c r="T228" t="e">
        <f>_xlfn.XLOOKUP(TableauRecette[[#This Row],[ID]],TableauProduit[ID],TableauProduit[Total (kg) N9],0,0,1)*#REF!</f>
        <v>#REF!</v>
      </c>
    </row>
    <row r="229" spans="1:20" x14ac:dyDescent="0.2">
      <c r="A229" t="s">
        <v>106</v>
      </c>
      <c r="B229" t="str">
        <f>TableauRecette[[#This Row],[Recette]]&amp;TableauRecette[[#This Row],[Conditionnement]]</f>
        <v>KetchupPiment liquide 250ml</v>
      </c>
      <c r="C229" t="s">
        <v>423</v>
      </c>
      <c r="D229">
        <v>3</v>
      </c>
      <c r="E229" t="s">
        <v>107</v>
      </c>
      <c r="F229">
        <f>IFERROR(TableauRecette[[#This Row],[Proportion]]/SUMIFS(TableauRecette[Proportion],TableauRecette[Recette],TableauRecette[[#This Row],[Recette]],TableauRecette[Conditionnement],TableauRecette[[#This Row],[Conditionnement]]),0)</f>
        <v>1.3717421124828531E-3</v>
      </c>
      <c r="G229">
        <f>IFERROR(_xlfn.XLOOKUP(TableauRecette[[#This Row],[Ingredients]],TableauIngredients[Ingredients],#REF!,0)*#REF!,0)</f>
        <v>0</v>
      </c>
      <c r="H229">
        <f>IFERROR(SUMIFS(TableauRecette[Proportion],TableauRecette[Recette],TableauRecette[[#This Row],[Recette]],TableauRecette[Conditionnement],TableauRecette[[#This Row],[Conditionnement]]),0)</f>
        <v>2187</v>
      </c>
      <c r="I22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29">
        <f>_xlfn.XLOOKUP(TableauRecette[[#This Row],[ID]],TableauProduit[ID],TableauProduit[Total (kg) N1],0,0,1)*_xlfn.XLOOKUP(TableauRecette[[#This Row],[ID]],TableauProduit[ID],TableauProduit[Total (kg) N1],0,0,1)</f>
        <v>0</v>
      </c>
      <c r="M229" t="e">
        <f>_xlfn.XLOOKUP(TableauRecette[[#This Row],[ID]],TableauProduit[ID],TableauProduit[Total (kg) N1],0,0,1)*_xlfn.XLOOKUP(TableauRecette[[#This Row],[ID]],TableauProduit[ID],TableauProduit[Total (kg) N2],0,0,1)</f>
        <v>#REF!</v>
      </c>
      <c r="N229" t="e">
        <f>_xlfn.XLOOKUP(TableauRecette[[#This Row],[ID]],TableauProduit[ID],TableauProduit[Total (kg) N3],0,0,1)*#REF!</f>
        <v>#REF!</v>
      </c>
      <c r="O229" t="e">
        <f>_xlfn.XLOOKUP(TableauRecette[[#This Row],[ID]],TableauProduit[ID],TableauProduit[Total (kg) N4],0,0,1)*#REF!</f>
        <v>#REF!</v>
      </c>
      <c r="P229" t="e">
        <f>_xlfn.XLOOKUP(TableauRecette[[#This Row],[ID]],TableauProduit[ID],TableauProduit[Total (kg) N5],0,0,1)*#REF!</f>
        <v>#REF!</v>
      </c>
      <c r="Q229" t="e">
        <f>_xlfn.XLOOKUP(TableauRecette[[#This Row],[ID]],TableauProduit[ID],TableauProduit[Total (kg) N6],0,0,1)*#REF!</f>
        <v>#REF!</v>
      </c>
      <c r="R229" t="e">
        <f>_xlfn.XLOOKUP(TableauRecette[[#This Row],[ID]],TableauProduit[ID],TableauProduit[Total (kg) N7],0,0,1)*#REF!</f>
        <v>#REF!</v>
      </c>
      <c r="S229" t="e">
        <f>_xlfn.XLOOKUP(TableauRecette[[#This Row],[ID]],TableauProduit[ID],TableauProduit[Total (kg) N8],0,0,1)*#REF!</f>
        <v>#REF!</v>
      </c>
      <c r="T229" t="e">
        <f>_xlfn.XLOOKUP(TableauRecette[[#This Row],[ID]],TableauProduit[ID],TableauProduit[Total (kg) N9],0,0,1)*#REF!</f>
        <v>#REF!</v>
      </c>
    </row>
    <row r="230" spans="1:20" x14ac:dyDescent="0.2">
      <c r="A230" t="s">
        <v>106</v>
      </c>
      <c r="B230" t="str">
        <f>TableauRecette[[#This Row],[Recette]]&amp;TableauRecette[[#This Row],[Conditionnement]]</f>
        <v>KetchupPiment liquide 250ml</v>
      </c>
      <c r="C230" t="s">
        <v>366</v>
      </c>
      <c r="D230">
        <v>3</v>
      </c>
      <c r="E230" t="s">
        <v>107</v>
      </c>
      <c r="F230">
        <f>IFERROR(TableauRecette[[#This Row],[Proportion]]/SUMIFS(TableauRecette[Proportion],TableauRecette[Recette],TableauRecette[[#This Row],[Recette]],TableauRecette[Conditionnement],TableauRecette[[#This Row],[Conditionnement]]),0)</f>
        <v>1.3717421124828531E-3</v>
      </c>
      <c r="G230">
        <f>IFERROR(_xlfn.XLOOKUP(TableauRecette[[#This Row],[Ingredients]],TableauIngredients[Ingredients],#REF!,0)*#REF!,0)</f>
        <v>0</v>
      </c>
      <c r="H230">
        <f>IFERROR(SUMIFS(TableauRecette[Proportion],TableauRecette[Recette],TableauRecette[[#This Row],[Recette]],TableauRecette[Conditionnement],TableauRecette[[#This Row],[Conditionnement]]),0)</f>
        <v>2187</v>
      </c>
      <c r="I230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30">
        <f>_xlfn.XLOOKUP(TableauRecette[[#This Row],[ID]],TableauProduit[ID],TableauProduit[Total (kg) N1],0,0,1)*_xlfn.XLOOKUP(TableauRecette[[#This Row],[ID]],TableauProduit[ID],TableauProduit[Total (kg) N1],0,0,1)</f>
        <v>0</v>
      </c>
      <c r="M230" t="e">
        <f>_xlfn.XLOOKUP(TableauRecette[[#This Row],[ID]],TableauProduit[ID],TableauProduit[Total (kg) N1],0,0,1)*_xlfn.XLOOKUP(TableauRecette[[#This Row],[ID]],TableauProduit[ID],TableauProduit[Total (kg) N2],0,0,1)</f>
        <v>#REF!</v>
      </c>
      <c r="N230" t="e">
        <f>_xlfn.XLOOKUP(TableauRecette[[#This Row],[ID]],TableauProduit[ID],TableauProduit[Total (kg) N3],0,0,1)*#REF!</f>
        <v>#REF!</v>
      </c>
      <c r="O230" t="e">
        <f>_xlfn.XLOOKUP(TableauRecette[[#This Row],[ID]],TableauProduit[ID],TableauProduit[Total (kg) N4],0,0,1)*#REF!</f>
        <v>#REF!</v>
      </c>
      <c r="P230" t="e">
        <f>_xlfn.XLOOKUP(TableauRecette[[#This Row],[ID]],TableauProduit[ID],TableauProduit[Total (kg) N5],0,0,1)*#REF!</f>
        <v>#REF!</v>
      </c>
      <c r="Q230" t="e">
        <f>_xlfn.XLOOKUP(TableauRecette[[#This Row],[ID]],TableauProduit[ID],TableauProduit[Total (kg) N6],0,0,1)*#REF!</f>
        <v>#REF!</v>
      </c>
      <c r="R230" t="e">
        <f>_xlfn.XLOOKUP(TableauRecette[[#This Row],[ID]],TableauProduit[ID],TableauProduit[Total (kg) N7],0,0,1)*#REF!</f>
        <v>#REF!</v>
      </c>
      <c r="S230" t="e">
        <f>_xlfn.XLOOKUP(TableauRecette[[#This Row],[ID]],TableauProduit[ID],TableauProduit[Total (kg) N8],0,0,1)*#REF!</f>
        <v>#REF!</v>
      </c>
      <c r="T230" t="e">
        <f>_xlfn.XLOOKUP(TableauRecette[[#This Row],[ID]],TableauProduit[ID],TableauProduit[Total (kg) N9],0,0,1)*#REF!</f>
        <v>#REF!</v>
      </c>
    </row>
    <row r="231" spans="1:20" x14ac:dyDescent="0.2">
      <c r="A231" t="s">
        <v>106</v>
      </c>
      <c r="B231" t="str">
        <f>TableauRecette[[#This Row],[Recette]]&amp;TableauRecette[[#This Row],[Conditionnement]]</f>
        <v>KetchupPiment liquide 250ml</v>
      </c>
      <c r="C231" t="s">
        <v>424</v>
      </c>
      <c r="D231">
        <v>140</v>
      </c>
      <c r="E231" t="s">
        <v>107</v>
      </c>
      <c r="F231">
        <f>IFERROR(TableauRecette[[#This Row],[Proportion]]/SUMIFS(TableauRecette[Proportion],TableauRecette[Recette],TableauRecette[[#This Row],[Recette]],TableauRecette[Conditionnement],TableauRecette[[#This Row],[Conditionnement]]),0)</f>
        <v>6.4014631915866482E-2</v>
      </c>
      <c r="G231">
        <f>IFERROR(_xlfn.XLOOKUP(TableauRecette[[#This Row],[Ingredients]],TableauIngredients[Ingredients],#REF!,0)*#REF!,0)</f>
        <v>0</v>
      </c>
      <c r="H231">
        <f>IFERROR(SUMIFS(TableauRecette[Proportion],TableauRecette[Recette],TableauRecette[[#This Row],[Recette]],TableauRecette[Conditionnement],TableauRecette[[#This Row],[Conditionnement]]),0)</f>
        <v>2187</v>
      </c>
      <c r="I23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31">
        <f>_xlfn.XLOOKUP(TableauRecette[[#This Row],[ID]],TableauProduit[ID],TableauProduit[Total (kg) N1],0,0,1)*_xlfn.XLOOKUP(TableauRecette[[#This Row],[ID]],TableauProduit[ID],TableauProduit[Total (kg) N1],0,0,1)</f>
        <v>0</v>
      </c>
      <c r="M231" t="e">
        <f>_xlfn.XLOOKUP(TableauRecette[[#This Row],[ID]],TableauProduit[ID],TableauProduit[Total (kg) N1],0,0,1)*_xlfn.XLOOKUP(TableauRecette[[#This Row],[ID]],TableauProduit[ID],TableauProduit[Total (kg) N2],0,0,1)</f>
        <v>#REF!</v>
      </c>
      <c r="N231" t="e">
        <f>_xlfn.XLOOKUP(TableauRecette[[#This Row],[ID]],TableauProduit[ID],TableauProduit[Total (kg) N3],0,0,1)*#REF!</f>
        <v>#REF!</v>
      </c>
      <c r="O231" t="e">
        <f>_xlfn.XLOOKUP(TableauRecette[[#This Row],[ID]],TableauProduit[ID],TableauProduit[Total (kg) N4],0,0,1)*#REF!</f>
        <v>#REF!</v>
      </c>
      <c r="P231" t="e">
        <f>_xlfn.XLOOKUP(TableauRecette[[#This Row],[ID]],TableauProduit[ID],TableauProduit[Total (kg) N5],0,0,1)*#REF!</f>
        <v>#REF!</v>
      </c>
      <c r="Q231" t="e">
        <f>_xlfn.XLOOKUP(TableauRecette[[#This Row],[ID]],TableauProduit[ID],TableauProduit[Total (kg) N6],0,0,1)*#REF!</f>
        <v>#REF!</v>
      </c>
      <c r="R231" t="e">
        <f>_xlfn.XLOOKUP(TableauRecette[[#This Row],[ID]],TableauProduit[ID],TableauProduit[Total (kg) N7],0,0,1)*#REF!</f>
        <v>#REF!</v>
      </c>
      <c r="S231" t="e">
        <f>_xlfn.XLOOKUP(TableauRecette[[#This Row],[ID]],TableauProduit[ID],TableauProduit[Total (kg) N8],0,0,1)*#REF!</f>
        <v>#REF!</v>
      </c>
      <c r="T231" t="e">
        <f>_xlfn.XLOOKUP(TableauRecette[[#This Row],[ID]],TableauProduit[ID],TableauProduit[Total (kg) N9],0,0,1)*#REF!</f>
        <v>#REF!</v>
      </c>
    </row>
    <row r="232" spans="1:20" x14ac:dyDescent="0.2">
      <c r="A232" t="s">
        <v>106</v>
      </c>
      <c r="B232" t="str">
        <f>TableauRecette[[#This Row],[Recette]]&amp;TableauRecette[[#This Row],[Conditionnement]]</f>
        <v>KetchupPiment liquide 250ml</v>
      </c>
      <c r="C232" t="s">
        <v>364</v>
      </c>
      <c r="D232">
        <v>6</v>
      </c>
      <c r="E232" t="s">
        <v>107</v>
      </c>
      <c r="F232">
        <f>IFERROR(TableauRecette[[#This Row],[Proportion]]/SUMIFS(TableauRecette[Proportion],TableauRecette[Recette],TableauRecette[[#This Row],[Recette]],TableauRecette[Conditionnement],TableauRecette[[#This Row],[Conditionnement]]),0)</f>
        <v>2.7434842249657062E-3</v>
      </c>
      <c r="G232">
        <f>IFERROR(_xlfn.XLOOKUP(TableauRecette[[#This Row],[Ingredients]],TableauIngredients[Ingredients],#REF!,0)*#REF!,0)</f>
        <v>0</v>
      </c>
      <c r="H232">
        <f>IFERROR(SUMIFS(TableauRecette[Proportion],TableauRecette[Recette],TableauRecette[[#This Row],[Recette]],TableauRecette[Conditionnement],TableauRecette[[#This Row],[Conditionnement]]),0)</f>
        <v>2187</v>
      </c>
      <c r="I232">
        <f>_xlfn.XLOOKUP(TableauRecette[[#This Row],[Ingredients]],TableauIngredients[Ingredients],TableauIngredients[Prix d''achat (kg)],0,0,1)*TableauRecette[[#This Row],[Proportion]]/TableauRecette[[#This Row],[Total Proportion]]</f>
        <v>3.8408779149519882E-3</v>
      </c>
      <c r="L232">
        <f>_xlfn.XLOOKUP(TableauRecette[[#This Row],[ID]],TableauProduit[ID],TableauProduit[Total (kg) N1],0,0,1)*_xlfn.XLOOKUP(TableauRecette[[#This Row],[ID]],TableauProduit[ID],TableauProduit[Total (kg) N1],0,0,1)</f>
        <v>0</v>
      </c>
      <c r="M232" t="e">
        <f>_xlfn.XLOOKUP(TableauRecette[[#This Row],[ID]],TableauProduit[ID],TableauProduit[Total (kg) N1],0,0,1)*_xlfn.XLOOKUP(TableauRecette[[#This Row],[ID]],TableauProduit[ID],TableauProduit[Total (kg) N2],0,0,1)</f>
        <v>#REF!</v>
      </c>
      <c r="N232" t="e">
        <f>_xlfn.XLOOKUP(TableauRecette[[#This Row],[ID]],TableauProduit[ID],TableauProduit[Total (kg) N3],0,0,1)*#REF!</f>
        <v>#REF!</v>
      </c>
      <c r="O232" t="e">
        <f>_xlfn.XLOOKUP(TableauRecette[[#This Row],[ID]],TableauProduit[ID],TableauProduit[Total (kg) N4],0,0,1)*#REF!</f>
        <v>#REF!</v>
      </c>
      <c r="P232" t="e">
        <f>_xlfn.XLOOKUP(TableauRecette[[#This Row],[ID]],TableauProduit[ID],TableauProduit[Total (kg) N5],0,0,1)*#REF!</f>
        <v>#REF!</v>
      </c>
      <c r="Q232" t="e">
        <f>_xlfn.XLOOKUP(TableauRecette[[#This Row],[ID]],TableauProduit[ID],TableauProduit[Total (kg) N6],0,0,1)*#REF!</f>
        <v>#REF!</v>
      </c>
      <c r="R232" t="e">
        <f>_xlfn.XLOOKUP(TableauRecette[[#This Row],[ID]],TableauProduit[ID],TableauProduit[Total (kg) N7],0,0,1)*#REF!</f>
        <v>#REF!</v>
      </c>
      <c r="S232" t="e">
        <f>_xlfn.XLOOKUP(TableauRecette[[#This Row],[ID]],TableauProduit[ID],TableauProduit[Total (kg) N8],0,0,1)*#REF!</f>
        <v>#REF!</v>
      </c>
      <c r="T232" t="e">
        <f>_xlfn.XLOOKUP(TableauRecette[[#This Row],[ID]],TableauProduit[ID],TableauProduit[Total (kg) N9],0,0,1)*#REF!</f>
        <v>#REF!</v>
      </c>
    </row>
    <row r="233" spans="1:20" x14ac:dyDescent="0.2">
      <c r="A233" t="s">
        <v>106</v>
      </c>
      <c r="B233" t="str">
        <f>TableauRecette[[#This Row],[Recette]]&amp;TableauRecette[[#This Row],[Conditionnement]]</f>
        <v>KetchupPiment liquide 250ml</v>
      </c>
      <c r="C233" t="s">
        <v>425</v>
      </c>
      <c r="D233">
        <v>15</v>
      </c>
      <c r="E233" t="s">
        <v>107</v>
      </c>
      <c r="F233">
        <f>IFERROR(TableauRecette[[#This Row],[Proportion]]/SUMIFS(TableauRecette[Proportion],TableauRecette[Recette],TableauRecette[[#This Row],[Recette]],TableauRecette[Conditionnement],TableauRecette[[#This Row],[Conditionnement]]),0)</f>
        <v>6.8587105624142658E-3</v>
      </c>
      <c r="G233">
        <f>IFERROR(_xlfn.XLOOKUP(TableauRecette[[#This Row],[Ingredients]],TableauIngredients[Ingredients],#REF!,0)*#REF!,0)</f>
        <v>0</v>
      </c>
      <c r="H233">
        <f>IFERROR(SUMIFS(TableauRecette[Proportion],TableauRecette[Recette],TableauRecette[[#This Row],[Recette]],TableauRecette[Conditionnement],TableauRecette[[#This Row],[Conditionnement]]),0)</f>
        <v>2187</v>
      </c>
      <c r="I233">
        <f>_xlfn.XLOOKUP(TableauRecette[[#This Row],[Ingredients]],TableauIngredients[Ingredients],TableauIngredients[Prix d''achat (kg)],0,0,1)*TableauRecette[[#This Row],[Proportion]]/TableauRecette[[#This Row],[Total Proportion]]</f>
        <v>2.6351165980795611E-2</v>
      </c>
      <c r="L233">
        <f>_xlfn.XLOOKUP(TableauRecette[[#This Row],[ID]],TableauProduit[ID],TableauProduit[Total (kg) N1],0,0,1)*_xlfn.XLOOKUP(TableauRecette[[#This Row],[ID]],TableauProduit[ID],TableauProduit[Total (kg) N1],0,0,1)</f>
        <v>0</v>
      </c>
      <c r="M233" t="e">
        <f>_xlfn.XLOOKUP(TableauRecette[[#This Row],[ID]],TableauProduit[ID],TableauProduit[Total (kg) N1],0,0,1)*_xlfn.XLOOKUP(TableauRecette[[#This Row],[ID]],TableauProduit[ID],TableauProduit[Total (kg) N2],0,0,1)</f>
        <v>#REF!</v>
      </c>
      <c r="N233" t="e">
        <f>_xlfn.XLOOKUP(TableauRecette[[#This Row],[ID]],TableauProduit[ID],TableauProduit[Total (kg) N3],0,0,1)*#REF!</f>
        <v>#REF!</v>
      </c>
      <c r="O233" t="e">
        <f>_xlfn.XLOOKUP(TableauRecette[[#This Row],[ID]],TableauProduit[ID],TableauProduit[Total (kg) N4],0,0,1)*#REF!</f>
        <v>#REF!</v>
      </c>
      <c r="P233" t="e">
        <f>_xlfn.XLOOKUP(TableauRecette[[#This Row],[ID]],TableauProduit[ID],TableauProduit[Total (kg) N5],0,0,1)*#REF!</f>
        <v>#REF!</v>
      </c>
      <c r="Q233" t="e">
        <f>_xlfn.XLOOKUP(TableauRecette[[#This Row],[ID]],TableauProduit[ID],TableauProduit[Total (kg) N6],0,0,1)*#REF!</f>
        <v>#REF!</v>
      </c>
      <c r="R233" t="e">
        <f>_xlfn.XLOOKUP(TableauRecette[[#This Row],[ID]],TableauProduit[ID],TableauProduit[Total (kg) N7],0,0,1)*#REF!</f>
        <v>#REF!</v>
      </c>
      <c r="S233" t="e">
        <f>_xlfn.XLOOKUP(TableauRecette[[#This Row],[ID]],TableauProduit[ID],TableauProduit[Total (kg) N8],0,0,1)*#REF!</f>
        <v>#REF!</v>
      </c>
      <c r="T233" t="e">
        <f>_xlfn.XLOOKUP(TableauRecette[[#This Row],[ID]],TableauProduit[ID],TableauProduit[Total (kg) N9],0,0,1)*#REF!</f>
        <v>#REF!</v>
      </c>
    </row>
    <row r="234" spans="1:20" x14ac:dyDescent="0.2">
      <c r="A234" t="s">
        <v>106</v>
      </c>
      <c r="B234" t="str">
        <f>TableauRecette[[#This Row],[Recette]]&amp;TableauRecette[[#This Row],[Conditionnement]]</f>
        <v>KetchupPiment liquide 250ml</v>
      </c>
      <c r="C234" t="s">
        <v>426</v>
      </c>
      <c r="D234">
        <v>0</v>
      </c>
      <c r="E234" t="s">
        <v>107</v>
      </c>
      <c r="F234">
        <f>IFERROR(TableauRecette[[#This Row],[Proportion]]/SUMIFS(TableauRecette[Proportion],TableauRecette[Recette],TableauRecette[[#This Row],[Recette]],TableauRecette[Conditionnement],TableauRecette[[#This Row],[Conditionnement]]),0)</f>
        <v>0</v>
      </c>
      <c r="G234">
        <f>IFERROR(_xlfn.XLOOKUP(TableauRecette[[#This Row],[Ingredients]],TableauIngredients[Ingredients],#REF!,0)*#REF!,0)</f>
        <v>0</v>
      </c>
      <c r="H234">
        <f>IFERROR(SUMIFS(TableauRecette[Proportion],TableauRecette[Recette],TableauRecette[[#This Row],[Recette]],TableauRecette[Conditionnement],TableauRecette[[#This Row],[Conditionnement]]),0)</f>
        <v>2187</v>
      </c>
      <c r="I234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34">
        <f>_xlfn.XLOOKUP(TableauRecette[[#This Row],[ID]],TableauProduit[ID],TableauProduit[Total (kg) N1],0,0,1)*_xlfn.XLOOKUP(TableauRecette[[#This Row],[ID]],TableauProduit[ID],TableauProduit[Total (kg) N1],0,0,1)</f>
        <v>0</v>
      </c>
      <c r="M234" t="e">
        <f>_xlfn.XLOOKUP(TableauRecette[[#This Row],[ID]],TableauProduit[ID],TableauProduit[Total (kg) N1],0,0,1)*_xlfn.XLOOKUP(TableauRecette[[#This Row],[ID]],TableauProduit[ID],TableauProduit[Total (kg) N2],0,0,1)</f>
        <v>#REF!</v>
      </c>
      <c r="N234" t="e">
        <f>_xlfn.XLOOKUP(TableauRecette[[#This Row],[ID]],TableauProduit[ID],TableauProduit[Total (kg) N3],0,0,1)*#REF!</f>
        <v>#REF!</v>
      </c>
      <c r="O234" t="e">
        <f>_xlfn.XLOOKUP(TableauRecette[[#This Row],[ID]],TableauProduit[ID],TableauProduit[Total (kg) N4],0,0,1)*#REF!</f>
        <v>#REF!</v>
      </c>
      <c r="P234" t="e">
        <f>_xlfn.XLOOKUP(TableauRecette[[#This Row],[ID]],TableauProduit[ID],TableauProduit[Total (kg) N5],0,0,1)*#REF!</f>
        <v>#REF!</v>
      </c>
      <c r="Q234" t="e">
        <f>_xlfn.XLOOKUP(TableauRecette[[#This Row],[ID]],TableauProduit[ID],TableauProduit[Total (kg) N6],0,0,1)*#REF!</f>
        <v>#REF!</v>
      </c>
      <c r="R234" t="e">
        <f>_xlfn.XLOOKUP(TableauRecette[[#This Row],[ID]],TableauProduit[ID],TableauProduit[Total (kg) N7],0,0,1)*#REF!</f>
        <v>#REF!</v>
      </c>
      <c r="S234" t="e">
        <f>_xlfn.XLOOKUP(TableauRecette[[#This Row],[ID]],TableauProduit[ID],TableauProduit[Total (kg) N8],0,0,1)*#REF!</f>
        <v>#REF!</v>
      </c>
      <c r="T234" t="e">
        <f>_xlfn.XLOOKUP(TableauRecette[[#This Row],[ID]],TableauProduit[ID],TableauProduit[Total (kg) N9],0,0,1)*#REF!</f>
        <v>#REF!</v>
      </c>
    </row>
    <row r="235" spans="1:20" x14ac:dyDescent="0.2">
      <c r="A235" t="s">
        <v>68</v>
      </c>
      <c r="B235" t="str">
        <f>TableauRecette[[#This Row],[Recette]]&amp;TableauRecette[[#This Row],[Conditionnement]]</f>
        <v>Moutarde à l'ancienneMoutarde verre 265 ml</v>
      </c>
      <c r="C235" t="s">
        <v>368</v>
      </c>
      <c r="D235">
        <v>80</v>
      </c>
      <c r="E235" t="s">
        <v>69</v>
      </c>
      <c r="F235">
        <f>IFERROR(TableauRecette[[#This Row],[Proportion]]/SUMIFS(TableauRecette[Proportion],TableauRecette[Recette],TableauRecette[[#This Row],[Recette]],TableauRecette[Conditionnement],TableauRecette[[#This Row],[Conditionnement]]),0)</f>
        <v>0.59259259259259256</v>
      </c>
      <c r="G235">
        <f>IFERROR(_xlfn.XLOOKUP(TableauRecette[[#This Row],[Ingredients]],TableauIngredients[Ingredients],#REF!,0)*#REF!,0)</f>
        <v>0</v>
      </c>
      <c r="H235">
        <f>IFERROR(SUMIFS(TableauRecette[Proportion],TableauRecette[Recette],TableauRecette[[#This Row],[Recette]],TableauRecette[Conditionnement],TableauRecette[[#This Row],[Conditionnement]]),0)</f>
        <v>135</v>
      </c>
      <c r="I23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35">
        <f>_xlfn.XLOOKUP(TableauRecette[[#This Row],[ID]],TableauProduit[ID],TableauProduit[Total (kg) N1],0,0,1)*_xlfn.XLOOKUP(TableauRecette[[#This Row],[ID]],TableauProduit[ID],TableauProduit[Total (kg) N1],0,0,1)</f>
        <v>35156.25</v>
      </c>
      <c r="M235" t="e">
        <f>_xlfn.XLOOKUP(TableauRecette[[#This Row],[ID]],TableauProduit[ID],TableauProduit[Total (kg) N1],0,0,1)*_xlfn.XLOOKUP(TableauRecette[[#This Row],[ID]],TableauProduit[ID],TableauProduit[Total (kg) N2],0,0,1)</f>
        <v>#REF!</v>
      </c>
      <c r="N235" t="e">
        <f>_xlfn.XLOOKUP(TableauRecette[[#This Row],[ID]],TableauProduit[ID],TableauProduit[Total (kg) N3],0,0,1)*#REF!</f>
        <v>#REF!</v>
      </c>
      <c r="O235" t="e">
        <f>_xlfn.XLOOKUP(TableauRecette[[#This Row],[ID]],TableauProduit[ID],TableauProduit[Total (kg) N4],0,0,1)*#REF!</f>
        <v>#REF!</v>
      </c>
      <c r="P235" t="e">
        <f>_xlfn.XLOOKUP(TableauRecette[[#This Row],[ID]],TableauProduit[ID],TableauProduit[Total (kg) N5],0,0,1)*#REF!</f>
        <v>#REF!</v>
      </c>
      <c r="Q235" t="e">
        <f>_xlfn.XLOOKUP(TableauRecette[[#This Row],[ID]],TableauProduit[ID],TableauProduit[Total (kg) N6],0,0,1)*#REF!</f>
        <v>#REF!</v>
      </c>
      <c r="R235" t="e">
        <f>_xlfn.XLOOKUP(TableauRecette[[#This Row],[ID]],TableauProduit[ID],TableauProduit[Total (kg) N7],0,0,1)*#REF!</f>
        <v>#REF!</v>
      </c>
      <c r="S235" t="e">
        <f>_xlfn.XLOOKUP(TableauRecette[[#This Row],[ID]],TableauProduit[ID],TableauProduit[Total (kg) N8],0,0,1)*#REF!</f>
        <v>#REF!</v>
      </c>
      <c r="T235" t="e">
        <f>_xlfn.XLOOKUP(TableauRecette[[#This Row],[ID]],TableauProduit[ID],TableauProduit[Total (kg) N9],0,0,1)*#REF!</f>
        <v>#REF!</v>
      </c>
    </row>
    <row r="236" spans="1:20" x14ac:dyDescent="0.2">
      <c r="A236" t="s">
        <v>68</v>
      </c>
      <c r="B236" t="str">
        <f>TableauRecette[[#This Row],[Recette]]&amp;TableauRecette[[#This Row],[Conditionnement]]</f>
        <v>Moutarde à l'ancienneMoutarde verre 265 ml</v>
      </c>
      <c r="C236" t="s">
        <v>425</v>
      </c>
      <c r="D236">
        <v>20</v>
      </c>
      <c r="E236" t="s">
        <v>69</v>
      </c>
      <c r="F236">
        <f>IFERROR(TableauRecette[[#This Row],[Proportion]]/SUMIFS(TableauRecette[Proportion],TableauRecette[Recette],TableauRecette[[#This Row],[Recette]],TableauRecette[Conditionnement],TableauRecette[[#This Row],[Conditionnement]]),0)</f>
        <v>0.14814814814814814</v>
      </c>
      <c r="G236">
        <f>IFERROR(_xlfn.XLOOKUP(TableauRecette[[#This Row],[Ingredients]],TableauIngredients[Ingredients],#REF!,0)*#REF!,0)</f>
        <v>0</v>
      </c>
      <c r="H236">
        <f>IFERROR(SUMIFS(TableauRecette[Proportion],TableauRecette[Recette],TableauRecette[[#This Row],[Recette]],TableauRecette[Conditionnement],TableauRecette[[#This Row],[Conditionnement]]),0)</f>
        <v>135</v>
      </c>
      <c r="I236">
        <f>_xlfn.XLOOKUP(TableauRecette[[#This Row],[Ingredients]],TableauIngredients[Ingredients],TableauIngredients[Prix d''achat (kg)],0,0,1)*TableauRecette[[#This Row],[Proportion]]/TableauRecette[[#This Row],[Total Proportion]]</f>
        <v>0.56918518518518524</v>
      </c>
      <c r="L236">
        <f>_xlfn.XLOOKUP(TableauRecette[[#This Row],[ID]],TableauProduit[ID],TableauProduit[Total (kg) N1],0,0,1)*_xlfn.XLOOKUP(TableauRecette[[#This Row],[ID]],TableauProduit[ID],TableauProduit[Total (kg) N1],0,0,1)</f>
        <v>35156.25</v>
      </c>
      <c r="M236" t="e">
        <f>_xlfn.XLOOKUP(TableauRecette[[#This Row],[ID]],TableauProduit[ID],TableauProduit[Total (kg) N1],0,0,1)*_xlfn.XLOOKUP(TableauRecette[[#This Row],[ID]],TableauProduit[ID],TableauProduit[Total (kg) N2],0,0,1)</f>
        <v>#REF!</v>
      </c>
      <c r="N236" t="e">
        <f>_xlfn.XLOOKUP(TableauRecette[[#This Row],[ID]],TableauProduit[ID],TableauProduit[Total (kg) N3],0,0,1)*#REF!</f>
        <v>#REF!</v>
      </c>
      <c r="O236" t="e">
        <f>_xlfn.XLOOKUP(TableauRecette[[#This Row],[ID]],TableauProduit[ID],TableauProduit[Total (kg) N4],0,0,1)*#REF!</f>
        <v>#REF!</v>
      </c>
      <c r="P236" t="e">
        <f>_xlfn.XLOOKUP(TableauRecette[[#This Row],[ID]],TableauProduit[ID],TableauProduit[Total (kg) N5],0,0,1)*#REF!</f>
        <v>#REF!</v>
      </c>
      <c r="Q236" t="e">
        <f>_xlfn.XLOOKUP(TableauRecette[[#This Row],[ID]],TableauProduit[ID],TableauProduit[Total (kg) N6],0,0,1)*#REF!</f>
        <v>#REF!</v>
      </c>
      <c r="R236" t="e">
        <f>_xlfn.XLOOKUP(TableauRecette[[#This Row],[ID]],TableauProduit[ID],TableauProduit[Total (kg) N7],0,0,1)*#REF!</f>
        <v>#REF!</v>
      </c>
      <c r="S236" t="e">
        <f>_xlfn.XLOOKUP(TableauRecette[[#This Row],[ID]],TableauProduit[ID],TableauProduit[Total (kg) N8],0,0,1)*#REF!</f>
        <v>#REF!</v>
      </c>
      <c r="T236" t="e">
        <f>_xlfn.XLOOKUP(TableauRecette[[#This Row],[ID]],TableauProduit[ID],TableauProduit[Total (kg) N9],0,0,1)*#REF!</f>
        <v>#REF!</v>
      </c>
    </row>
    <row r="237" spans="1:20" x14ac:dyDescent="0.2">
      <c r="A237" t="s">
        <v>68</v>
      </c>
      <c r="B237" t="str">
        <f>TableauRecette[[#This Row],[Recette]]&amp;TableauRecette[[#This Row],[Conditionnement]]</f>
        <v>Moutarde à l'ancienneMoutarde verre 265 ml</v>
      </c>
      <c r="C237" t="s">
        <v>427</v>
      </c>
      <c r="D237">
        <v>20</v>
      </c>
      <c r="E237" t="s">
        <v>69</v>
      </c>
      <c r="F237">
        <f>IFERROR(TableauRecette[[#This Row],[Proportion]]/SUMIFS(TableauRecette[Proportion],TableauRecette[Recette],TableauRecette[[#This Row],[Recette]],TableauRecette[Conditionnement],TableauRecette[[#This Row],[Conditionnement]]),0)</f>
        <v>0.14814814814814814</v>
      </c>
      <c r="G237">
        <f>IFERROR(_xlfn.XLOOKUP(TableauRecette[[#This Row],[Ingredients]],TableauIngredients[Ingredients],#REF!,0)*#REF!,0)</f>
        <v>0</v>
      </c>
      <c r="H237">
        <f>IFERROR(SUMIFS(TableauRecette[Proportion],TableauRecette[Recette],TableauRecette[[#This Row],[Recette]],TableauRecette[Conditionnement],TableauRecette[[#This Row],[Conditionnement]]),0)</f>
        <v>135</v>
      </c>
      <c r="I23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37">
        <f>_xlfn.XLOOKUP(TableauRecette[[#This Row],[ID]],TableauProduit[ID],TableauProduit[Total (kg) N1],0,0,1)*_xlfn.XLOOKUP(TableauRecette[[#This Row],[ID]],TableauProduit[ID],TableauProduit[Total (kg) N1],0,0,1)</f>
        <v>35156.25</v>
      </c>
      <c r="M237" t="e">
        <f>_xlfn.XLOOKUP(TableauRecette[[#This Row],[ID]],TableauProduit[ID],TableauProduit[Total (kg) N1],0,0,1)*_xlfn.XLOOKUP(TableauRecette[[#This Row],[ID]],TableauProduit[ID],TableauProduit[Total (kg) N2],0,0,1)</f>
        <v>#REF!</v>
      </c>
      <c r="N237" t="e">
        <f>_xlfn.XLOOKUP(TableauRecette[[#This Row],[ID]],TableauProduit[ID],TableauProduit[Total (kg) N3],0,0,1)*#REF!</f>
        <v>#REF!</v>
      </c>
      <c r="O237" t="e">
        <f>_xlfn.XLOOKUP(TableauRecette[[#This Row],[ID]],TableauProduit[ID],TableauProduit[Total (kg) N4],0,0,1)*#REF!</f>
        <v>#REF!</v>
      </c>
      <c r="P237" t="e">
        <f>_xlfn.XLOOKUP(TableauRecette[[#This Row],[ID]],TableauProduit[ID],TableauProduit[Total (kg) N5],0,0,1)*#REF!</f>
        <v>#REF!</v>
      </c>
      <c r="Q237" t="e">
        <f>_xlfn.XLOOKUP(TableauRecette[[#This Row],[ID]],TableauProduit[ID],TableauProduit[Total (kg) N6],0,0,1)*#REF!</f>
        <v>#REF!</v>
      </c>
      <c r="R237" t="e">
        <f>_xlfn.XLOOKUP(TableauRecette[[#This Row],[ID]],TableauProduit[ID],TableauProduit[Total (kg) N7],0,0,1)*#REF!</f>
        <v>#REF!</v>
      </c>
      <c r="S237" t="e">
        <f>_xlfn.XLOOKUP(TableauRecette[[#This Row],[ID]],TableauProduit[ID],TableauProduit[Total (kg) N8],0,0,1)*#REF!</f>
        <v>#REF!</v>
      </c>
      <c r="T237" t="e">
        <f>_xlfn.XLOOKUP(TableauRecette[[#This Row],[ID]],TableauProduit[ID],TableauProduit[Total (kg) N9],0,0,1)*#REF!</f>
        <v>#REF!</v>
      </c>
    </row>
    <row r="238" spans="1:20" x14ac:dyDescent="0.2">
      <c r="A238" t="s">
        <v>68</v>
      </c>
      <c r="B238" t="str">
        <f>TableauRecette[[#This Row],[Recette]]&amp;TableauRecette[[#This Row],[Conditionnement]]</f>
        <v>Moutarde à l'ancienneMoutarde verre 265 ml</v>
      </c>
      <c r="C238" t="s">
        <v>364</v>
      </c>
      <c r="D238">
        <v>15</v>
      </c>
      <c r="E238" t="s">
        <v>69</v>
      </c>
      <c r="F238">
        <f>IFERROR(TableauRecette[[#This Row],[Proportion]]/SUMIFS(TableauRecette[Proportion],TableauRecette[Recette],TableauRecette[[#This Row],[Recette]],TableauRecette[Conditionnement],TableauRecette[[#This Row],[Conditionnement]]),0)</f>
        <v>0.1111111111111111</v>
      </c>
      <c r="G238">
        <f>IFERROR(_xlfn.XLOOKUP(TableauRecette[[#This Row],[Ingredients]],TableauIngredients[Ingredients],#REF!,0)*#REF!,0)</f>
        <v>0</v>
      </c>
      <c r="H238">
        <f>IFERROR(SUMIFS(TableauRecette[Proportion],TableauRecette[Recette],TableauRecette[[#This Row],[Recette]],TableauRecette[Conditionnement],TableauRecette[[#This Row],[Conditionnement]]),0)</f>
        <v>135</v>
      </c>
      <c r="I238">
        <f>_xlfn.XLOOKUP(TableauRecette[[#This Row],[Ingredients]],TableauIngredients[Ingredients],TableauIngredients[Prix d''achat (kg)],0,0,1)*TableauRecette[[#This Row],[Proportion]]/TableauRecette[[#This Row],[Total Proportion]]</f>
        <v>0.15555555555555556</v>
      </c>
      <c r="L238">
        <f>_xlfn.XLOOKUP(TableauRecette[[#This Row],[ID]],TableauProduit[ID],TableauProduit[Total (kg) N1],0,0,1)*_xlfn.XLOOKUP(TableauRecette[[#This Row],[ID]],TableauProduit[ID],TableauProduit[Total (kg) N1],0,0,1)</f>
        <v>35156.25</v>
      </c>
      <c r="M238" t="e">
        <f>_xlfn.XLOOKUP(TableauRecette[[#This Row],[ID]],TableauProduit[ID],TableauProduit[Total (kg) N1],0,0,1)*_xlfn.XLOOKUP(TableauRecette[[#This Row],[ID]],TableauProduit[ID],TableauProduit[Total (kg) N2],0,0,1)</f>
        <v>#REF!</v>
      </c>
      <c r="N238" t="e">
        <f>_xlfn.XLOOKUP(TableauRecette[[#This Row],[ID]],TableauProduit[ID],TableauProduit[Total (kg) N3],0,0,1)*#REF!</f>
        <v>#REF!</v>
      </c>
      <c r="O238" t="e">
        <f>_xlfn.XLOOKUP(TableauRecette[[#This Row],[ID]],TableauProduit[ID],TableauProduit[Total (kg) N4],0,0,1)*#REF!</f>
        <v>#REF!</v>
      </c>
      <c r="P238" t="e">
        <f>_xlfn.XLOOKUP(TableauRecette[[#This Row],[ID]],TableauProduit[ID],TableauProduit[Total (kg) N5],0,0,1)*#REF!</f>
        <v>#REF!</v>
      </c>
      <c r="Q238" t="e">
        <f>_xlfn.XLOOKUP(TableauRecette[[#This Row],[ID]],TableauProduit[ID],TableauProduit[Total (kg) N6],0,0,1)*#REF!</f>
        <v>#REF!</v>
      </c>
      <c r="R238" t="e">
        <f>_xlfn.XLOOKUP(TableauRecette[[#This Row],[ID]],TableauProduit[ID],TableauProduit[Total (kg) N7],0,0,1)*#REF!</f>
        <v>#REF!</v>
      </c>
      <c r="S238" t="e">
        <f>_xlfn.XLOOKUP(TableauRecette[[#This Row],[ID]],TableauProduit[ID],TableauProduit[Total (kg) N8],0,0,1)*#REF!</f>
        <v>#REF!</v>
      </c>
      <c r="T238" t="e">
        <f>_xlfn.XLOOKUP(TableauRecette[[#This Row],[ID]],TableauProduit[ID],TableauProduit[Total (kg) N9],0,0,1)*#REF!</f>
        <v>#REF!</v>
      </c>
    </row>
    <row r="239" spans="1:20" x14ac:dyDescent="0.2">
      <c r="A239" t="s">
        <v>77</v>
      </c>
      <c r="B239" t="str">
        <f>TableauRecette[[#This Row],[Recette]]&amp;TableauRecette[[#This Row],[Conditionnement]]</f>
        <v>Moutarde à l'estragonMoutarde verre 212 ml</v>
      </c>
      <c r="C239" t="s">
        <v>368</v>
      </c>
      <c r="D239">
        <v>80</v>
      </c>
      <c r="E239" t="s">
        <v>78</v>
      </c>
      <c r="F239">
        <f>IFERROR(TableauRecette[[#This Row],[Proportion]]/SUMIFS(TableauRecette[Proportion],TableauRecette[Recette],TableauRecette[[#This Row],[Recette]],TableauRecette[Conditionnement],TableauRecette[[#This Row],[Conditionnement]]),0)</f>
        <v>0.4</v>
      </c>
      <c r="G239">
        <f>IFERROR(_xlfn.XLOOKUP(TableauRecette[[#This Row],[Ingredients]],TableauIngredients[Ingredients],#REF!,0)*#REF!,0)</f>
        <v>0</v>
      </c>
      <c r="H239">
        <f>IFERROR(SUMIFS(TableauRecette[Proportion],TableauRecette[Recette],TableauRecette[[#This Row],[Recette]],TableauRecette[Conditionnement],TableauRecette[[#This Row],[Conditionnement]]),0)</f>
        <v>200</v>
      </c>
      <c r="I23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39">
        <f>_xlfn.XLOOKUP(TableauRecette[[#This Row],[ID]],TableauProduit[ID],TableauProduit[Total (kg) N1],0,0,1)*_xlfn.XLOOKUP(TableauRecette[[#This Row],[ID]],TableauProduit[ID],TableauProduit[Total (kg) N1],0,0,1)</f>
        <v>13340.25</v>
      </c>
      <c r="M239" t="e">
        <f>_xlfn.XLOOKUP(TableauRecette[[#This Row],[ID]],TableauProduit[ID],TableauProduit[Total (kg) N1],0,0,1)*_xlfn.XLOOKUP(TableauRecette[[#This Row],[ID]],TableauProduit[ID],TableauProduit[Total (kg) N2],0,0,1)</f>
        <v>#REF!</v>
      </c>
      <c r="N239" t="e">
        <f>_xlfn.XLOOKUP(TableauRecette[[#This Row],[ID]],TableauProduit[ID],TableauProduit[Total (kg) N3],0,0,1)*#REF!</f>
        <v>#REF!</v>
      </c>
      <c r="O239" t="e">
        <f>_xlfn.XLOOKUP(TableauRecette[[#This Row],[ID]],TableauProduit[ID],TableauProduit[Total (kg) N4],0,0,1)*#REF!</f>
        <v>#REF!</v>
      </c>
      <c r="P239" t="e">
        <f>_xlfn.XLOOKUP(TableauRecette[[#This Row],[ID]],TableauProduit[ID],TableauProduit[Total (kg) N5],0,0,1)*#REF!</f>
        <v>#REF!</v>
      </c>
      <c r="Q239" t="e">
        <f>_xlfn.XLOOKUP(TableauRecette[[#This Row],[ID]],TableauProduit[ID],TableauProduit[Total (kg) N6],0,0,1)*#REF!</f>
        <v>#REF!</v>
      </c>
      <c r="R239" t="e">
        <f>_xlfn.XLOOKUP(TableauRecette[[#This Row],[ID]],TableauProduit[ID],TableauProduit[Total (kg) N7],0,0,1)*#REF!</f>
        <v>#REF!</v>
      </c>
      <c r="S239" t="e">
        <f>_xlfn.XLOOKUP(TableauRecette[[#This Row],[ID]],TableauProduit[ID],TableauProduit[Total (kg) N8],0,0,1)*#REF!</f>
        <v>#REF!</v>
      </c>
      <c r="T239" t="e">
        <f>_xlfn.XLOOKUP(TableauRecette[[#This Row],[ID]],TableauProduit[ID],TableauProduit[Total (kg) N9],0,0,1)*#REF!</f>
        <v>#REF!</v>
      </c>
    </row>
    <row r="240" spans="1:20" x14ac:dyDescent="0.2">
      <c r="A240" t="s">
        <v>77</v>
      </c>
      <c r="B240" t="str">
        <f>TableauRecette[[#This Row],[Recette]]&amp;TableauRecette[[#This Row],[Conditionnement]]</f>
        <v>Moutarde à l'estragonMoutarde verre 212 ml</v>
      </c>
      <c r="C240" t="s">
        <v>425</v>
      </c>
      <c r="D240">
        <v>20</v>
      </c>
      <c r="E240" t="s">
        <v>78</v>
      </c>
      <c r="F240">
        <f>IFERROR(TableauRecette[[#This Row],[Proportion]]/SUMIFS(TableauRecette[Proportion],TableauRecette[Recette],TableauRecette[[#This Row],[Recette]],TableauRecette[Conditionnement],TableauRecette[[#This Row],[Conditionnement]]),0)</f>
        <v>0.1</v>
      </c>
      <c r="G240">
        <f>IFERROR(_xlfn.XLOOKUP(TableauRecette[[#This Row],[Ingredients]],TableauIngredients[Ingredients],#REF!,0)*#REF!,0)</f>
        <v>0</v>
      </c>
      <c r="H240">
        <f>IFERROR(SUMIFS(TableauRecette[Proportion],TableauRecette[Recette],TableauRecette[[#This Row],[Recette]],TableauRecette[Conditionnement],TableauRecette[[#This Row],[Conditionnement]]),0)</f>
        <v>200</v>
      </c>
      <c r="I240">
        <f>_xlfn.XLOOKUP(TableauRecette[[#This Row],[Ingredients]],TableauIngredients[Ingredients],TableauIngredients[Prix d''achat (kg)],0,0,1)*TableauRecette[[#This Row],[Proportion]]/TableauRecette[[#This Row],[Total Proportion]]</f>
        <v>0.38420000000000004</v>
      </c>
      <c r="L240">
        <f>_xlfn.XLOOKUP(TableauRecette[[#This Row],[ID]],TableauProduit[ID],TableauProduit[Total (kg) N1],0,0,1)*_xlfn.XLOOKUP(TableauRecette[[#This Row],[ID]],TableauProduit[ID],TableauProduit[Total (kg) N1],0,0,1)</f>
        <v>13340.25</v>
      </c>
      <c r="M240" t="e">
        <f>_xlfn.XLOOKUP(TableauRecette[[#This Row],[ID]],TableauProduit[ID],TableauProduit[Total (kg) N1],0,0,1)*_xlfn.XLOOKUP(TableauRecette[[#This Row],[ID]],TableauProduit[ID],TableauProduit[Total (kg) N2],0,0,1)</f>
        <v>#REF!</v>
      </c>
      <c r="N240" t="e">
        <f>_xlfn.XLOOKUP(TableauRecette[[#This Row],[ID]],TableauProduit[ID],TableauProduit[Total (kg) N3],0,0,1)*#REF!</f>
        <v>#REF!</v>
      </c>
      <c r="O240" t="e">
        <f>_xlfn.XLOOKUP(TableauRecette[[#This Row],[ID]],TableauProduit[ID],TableauProduit[Total (kg) N4],0,0,1)*#REF!</f>
        <v>#REF!</v>
      </c>
      <c r="P240" t="e">
        <f>_xlfn.XLOOKUP(TableauRecette[[#This Row],[ID]],TableauProduit[ID],TableauProduit[Total (kg) N5],0,0,1)*#REF!</f>
        <v>#REF!</v>
      </c>
      <c r="Q240" t="e">
        <f>_xlfn.XLOOKUP(TableauRecette[[#This Row],[ID]],TableauProduit[ID],TableauProduit[Total (kg) N6],0,0,1)*#REF!</f>
        <v>#REF!</v>
      </c>
      <c r="R240" t="e">
        <f>_xlfn.XLOOKUP(TableauRecette[[#This Row],[ID]],TableauProduit[ID],TableauProduit[Total (kg) N7],0,0,1)*#REF!</f>
        <v>#REF!</v>
      </c>
      <c r="S240" t="e">
        <f>_xlfn.XLOOKUP(TableauRecette[[#This Row],[ID]],TableauProduit[ID],TableauProduit[Total (kg) N8],0,0,1)*#REF!</f>
        <v>#REF!</v>
      </c>
      <c r="T240" t="e">
        <f>_xlfn.XLOOKUP(TableauRecette[[#This Row],[ID]],TableauProduit[ID],TableauProduit[Total (kg) N9],0,0,1)*#REF!</f>
        <v>#REF!</v>
      </c>
    </row>
    <row r="241" spans="1:20" x14ac:dyDescent="0.2">
      <c r="A241" t="s">
        <v>77</v>
      </c>
      <c r="B241" t="str">
        <f>TableauRecette[[#This Row],[Recette]]&amp;TableauRecette[[#This Row],[Conditionnement]]</f>
        <v>Moutarde à l'estragonMoutarde verre 212 ml</v>
      </c>
      <c r="C241" t="s">
        <v>427</v>
      </c>
      <c r="D241">
        <v>80</v>
      </c>
      <c r="E241" t="s">
        <v>78</v>
      </c>
      <c r="F241">
        <f>IFERROR(TableauRecette[[#This Row],[Proportion]]/SUMIFS(TableauRecette[Proportion],TableauRecette[Recette],TableauRecette[[#This Row],[Recette]],TableauRecette[Conditionnement],TableauRecette[[#This Row],[Conditionnement]]),0)</f>
        <v>0.4</v>
      </c>
      <c r="G241">
        <f>IFERROR(_xlfn.XLOOKUP(TableauRecette[[#This Row],[Ingredients]],TableauIngredients[Ingredients],#REF!,0)*#REF!,0)</f>
        <v>0</v>
      </c>
      <c r="H241">
        <f>IFERROR(SUMIFS(TableauRecette[Proportion],TableauRecette[Recette],TableauRecette[[#This Row],[Recette]],TableauRecette[Conditionnement],TableauRecette[[#This Row],[Conditionnement]]),0)</f>
        <v>200</v>
      </c>
      <c r="I24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41">
        <f>_xlfn.XLOOKUP(TableauRecette[[#This Row],[ID]],TableauProduit[ID],TableauProduit[Total (kg) N1],0,0,1)*_xlfn.XLOOKUP(TableauRecette[[#This Row],[ID]],TableauProduit[ID],TableauProduit[Total (kg) N1],0,0,1)</f>
        <v>13340.25</v>
      </c>
      <c r="M241" t="e">
        <f>_xlfn.XLOOKUP(TableauRecette[[#This Row],[ID]],TableauProduit[ID],TableauProduit[Total (kg) N1],0,0,1)*_xlfn.XLOOKUP(TableauRecette[[#This Row],[ID]],TableauProduit[ID],TableauProduit[Total (kg) N2],0,0,1)</f>
        <v>#REF!</v>
      </c>
      <c r="N241" t="e">
        <f>_xlfn.XLOOKUP(TableauRecette[[#This Row],[ID]],TableauProduit[ID],TableauProduit[Total (kg) N3],0,0,1)*#REF!</f>
        <v>#REF!</v>
      </c>
      <c r="O241" t="e">
        <f>_xlfn.XLOOKUP(TableauRecette[[#This Row],[ID]],TableauProduit[ID],TableauProduit[Total (kg) N4],0,0,1)*#REF!</f>
        <v>#REF!</v>
      </c>
      <c r="P241" t="e">
        <f>_xlfn.XLOOKUP(TableauRecette[[#This Row],[ID]],TableauProduit[ID],TableauProduit[Total (kg) N5],0,0,1)*#REF!</f>
        <v>#REF!</v>
      </c>
      <c r="Q241" t="e">
        <f>_xlfn.XLOOKUP(TableauRecette[[#This Row],[ID]],TableauProduit[ID],TableauProduit[Total (kg) N6],0,0,1)*#REF!</f>
        <v>#REF!</v>
      </c>
      <c r="R241" t="e">
        <f>_xlfn.XLOOKUP(TableauRecette[[#This Row],[ID]],TableauProduit[ID],TableauProduit[Total (kg) N7],0,0,1)*#REF!</f>
        <v>#REF!</v>
      </c>
      <c r="S241" t="e">
        <f>_xlfn.XLOOKUP(TableauRecette[[#This Row],[ID]],TableauProduit[ID],TableauProduit[Total (kg) N8],0,0,1)*#REF!</f>
        <v>#REF!</v>
      </c>
      <c r="T241" t="e">
        <f>_xlfn.XLOOKUP(TableauRecette[[#This Row],[ID]],TableauProduit[ID],TableauProduit[Total (kg) N9],0,0,1)*#REF!</f>
        <v>#REF!</v>
      </c>
    </row>
    <row r="242" spans="1:20" x14ac:dyDescent="0.2">
      <c r="A242" t="s">
        <v>77</v>
      </c>
      <c r="B242" t="str">
        <f>TableauRecette[[#This Row],[Recette]]&amp;TableauRecette[[#This Row],[Conditionnement]]</f>
        <v>Moutarde à l'estragonMoutarde verre 212 ml</v>
      </c>
      <c r="C242" t="s">
        <v>364</v>
      </c>
      <c r="D242">
        <v>15</v>
      </c>
      <c r="E242" t="s">
        <v>78</v>
      </c>
      <c r="F242">
        <f>IFERROR(TableauRecette[[#This Row],[Proportion]]/SUMIFS(TableauRecette[Proportion],TableauRecette[Recette],TableauRecette[[#This Row],[Recette]],TableauRecette[Conditionnement],TableauRecette[[#This Row],[Conditionnement]]),0)</f>
        <v>7.4999999999999997E-2</v>
      </c>
      <c r="G242">
        <f>IFERROR(_xlfn.XLOOKUP(TableauRecette[[#This Row],[Ingredients]],TableauIngredients[Ingredients],#REF!,0)*#REF!,0)</f>
        <v>0</v>
      </c>
      <c r="H242">
        <f>IFERROR(SUMIFS(TableauRecette[Proportion],TableauRecette[Recette],TableauRecette[[#This Row],[Recette]],TableauRecette[Conditionnement],TableauRecette[[#This Row],[Conditionnement]]),0)</f>
        <v>200</v>
      </c>
      <c r="I242">
        <f>_xlfn.XLOOKUP(TableauRecette[[#This Row],[Ingredients]],TableauIngredients[Ingredients],TableauIngredients[Prix d''achat (kg)],0,0,1)*TableauRecette[[#This Row],[Proportion]]/TableauRecette[[#This Row],[Total Proportion]]</f>
        <v>0.105</v>
      </c>
      <c r="L242">
        <f>_xlfn.XLOOKUP(TableauRecette[[#This Row],[ID]],TableauProduit[ID],TableauProduit[Total (kg) N1],0,0,1)*_xlfn.XLOOKUP(TableauRecette[[#This Row],[ID]],TableauProduit[ID],TableauProduit[Total (kg) N1],0,0,1)</f>
        <v>13340.25</v>
      </c>
      <c r="M242" t="e">
        <f>_xlfn.XLOOKUP(TableauRecette[[#This Row],[ID]],TableauProduit[ID],TableauProduit[Total (kg) N1],0,0,1)*_xlfn.XLOOKUP(TableauRecette[[#This Row],[ID]],TableauProduit[ID],TableauProduit[Total (kg) N2],0,0,1)</f>
        <v>#REF!</v>
      </c>
      <c r="N242" t="e">
        <f>_xlfn.XLOOKUP(TableauRecette[[#This Row],[ID]],TableauProduit[ID],TableauProduit[Total (kg) N3],0,0,1)*#REF!</f>
        <v>#REF!</v>
      </c>
      <c r="O242" t="e">
        <f>_xlfn.XLOOKUP(TableauRecette[[#This Row],[ID]],TableauProduit[ID],TableauProduit[Total (kg) N4],0,0,1)*#REF!</f>
        <v>#REF!</v>
      </c>
      <c r="P242" t="e">
        <f>_xlfn.XLOOKUP(TableauRecette[[#This Row],[ID]],TableauProduit[ID],TableauProduit[Total (kg) N5],0,0,1)*#REF!</f>
        <v>#REF!</v>
      </c>
      <c r="Q242" t="e">
        <f>_xlfn.XLOOKUP(TableauRecette[[#This Row],[ID]],TableauProduit[ID],TableauProduit[Total (kg) N6],0,0,1)*#REF!</f>
        <v>#REF!</v>
      </c>
      <c r="R242" t="e">
        <f>_xlfn.XLOOKUP(TableauRecette[[#This Row],[ID]],TableauProduit[ID],TableauProduit[Total (kg) N7],0,0,1)*#REF!</f>
        <v>#REF!</v>
      </c>
      <c r="S242" t="e">
        <f>_xlfn.XLOOKUP(TableauRecette[[#This Row],[ID]],TableauProduit[ID],TableauProduit[Total (kg) N8],0,0,1)*#REF!</f>
        <v>#REF!</v>
      </c>
      <c r="T242" t="e">
        <f>_xlfn.XLOOKUP(TableauRecette[[#This Row],[ID]],TableauProduit[ID],TableauProduit[Total (kg) N9],0,0,1)*#REF!</f>
        <v>#REF!</v>
      </c>
    </row>
    <row r="243" spans="1:20" x14ac:dyDescent="0.2">
      <c r="A243" t="s">
        <v>77</v>
      </c>
      <c r="B243" t="str">
        <f>TableauRecette[[#This Row],[Recette]]&amp;TableauRecette[[#This Row],[Conditionnement]]</f>
        <v>Moutarde à l'estragonMoutarde verre 212 ml</v>
      </c>
      <c r="C243" t="s">
        <v>428</v>
      </c>
      <c r="D243">
        <v>5</v>
      </c>
      <c r="E243" t="s">
        <v>78</v>
      </c>
      <c r="F243">
        <f>IFERROR(TableauRecette[[#This Row],[Proportion]]/SUMIFS(TableauRecette[Proportion],TableauRecette[Recette],TableauRecette[[#This Row],[Recette]],TableauRecette[Conditionnement],TableauRecette[[#This Row],[Conditionnement]]),0)</f>
        <v>2.5000000000000001E-2</v>
      </c>
      <c r="G243">
        <f>IFERROR(_xlfn.XLOOKUP(TableauRecette[[#This Row],[Ingredients]],TableauIngredients[Ingredients],#REF!,0)*#REF!,0)</f>
        <v>0</v>
      </c>
      <c r="H243">
        <f>IFERROR(SUMIFS(TableauRecette[Proportion],TableauRecette[Recette],TableauRecette[[#This Row],[Recette]],TableauRecette[Conditionnement],TableauRecette[[#This Row],[Conditionnement]]),0)</f>
        <v>200</v>
      </c>
      <c r="I243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43">
        <f>_xlfn.XLOOKUP(TableauRecette[[#This Row],[ID]],TableauProduit[ID],TableauProduit[Total (kg) N1],0,0,1)*_xlfn.XLOOKUP(TableauRecette[[#This Row],[ID]],TableauProduit[ID],TableauProduit[Total (kg) N1],0,0,1)</f>
        <v>13340.25</v>
      </c>
      <c r="M243" t="e">
        <f>_xlfn.XLOOKUP(TableauRecette[[#This Row],[ID]],TableauProduit[ID],TableauProduit[Total (kg) N1],0,0,1)*_xlfn.XLOOKUP(TableauRecette[[#This Row],[ID]],TableauProduit[ID],TableauProduit[Total (kg) N2],0,0,1)</f>
        <v>#REF!</v>
      </c>
      <c r="N243" t="e">
        <f>_xlfn.XLOOKUP(TableauRecette[[#This Row],[ID]],TableauProduit[ID],TableauProduit[Total (kg) N3],0,0,1)*#REF!</f>
        <v>#REF!</v>
      </c>
      <c r="O243" t="e">
        <f>_xlfn.XLOOKUP(TableauRecette[[#This Row],[ID]],TableauProduit[ID],TableauProduit[Total (kg) N4],0,0,1)*#REF!</f>
        <v>#REF!</v>
      </c>
      <c r="P243" t="e">
        <f>_xlfn.XLOOKUP(TableauRecette[[#This Row],[ID]],TableauProduit[ID],TableauProduit[Total (kg) N5],0,0,1)*#REF!</f>
        <v>#REF!</v>
      </c>
      <c r="Q243" t="e">
        <f>_xlfn.XLOOKUP(TableauRecette[[#This Row],[ID]],TableauProduit[ID],TableauProduit[Total (kg) N6],0,0,1)*#REF!</f>
        <v>#REF!</v>
      </c>
      <c r="R243" t="e">
        <f>_xlfn.XLOOKUP(TableauRecette[[#This Row],[ID]],TableauProduit[ID],TableauProduit[Total (kg) N7],0,0,1)*#REF!</f>
        <v>#REF!</v>
      </c>
      <c r="S243" t="e">
        <f>_xlfn.XLOOKUP(TableauRecette[[#This Row],[ID]],TableauProduit[ID],TableauProduit[Total (kg) N8],0,0,1)*#REF!</f>
        <v>#REF!</v>
      </c>
      <c r="T243" t="e">
        <f>_xlfn.XLOOKUP(TableauRecette[[#This Row],[ID]],TableauProduit[ID],TableauProduit[Total (kg) N9],0,0,1)*#REF!</f>
        <v>#REF!</v>
      </c>
    </row>
    <row r="244" spans="1:20" x14ac:dyDescent="0.2">
      <c r="A244" t="s">
        <v>122</v>
      </c>
      <c r="B244" t="str">
        <f>TableauRecette[[#This Row],[Recette]]&amp;TableauRecette[[#This Row],[Conditionnement]]</f>
        <v>Nuoc chamEpice 100ml</v>
      </c>
      <c r="C244" t="s">
        <v>386</v>
      </c>
      <c r="D244">
        <v>2</v>
      </c>
      <c r="E244" t="s">
        <v>73</v>
      </c>
      <c r="F244">
        <f>IFERROR(TableauRecette[[#This Row],[Proportion]]/SUMIFS(TableauRecette[Proportion],TableauRecette[Recette],TableauRecette[[#This Row],[Recette]],TableauRecette[Conditionnement],TableauRecette[[#This Row],[Conditionnement]]),0)</f>
        <v>6.25E-2</v>
      </c>
      <c r="G244">
        <f>IFERROR(_xlfn.XLOOKUP(TableauRecette[[#This Row],[Ingredients]],TableauIngredients[Ingredients],#REF!,0)*#REF!,0)</f>
        <v>0</v>
      </c>
      <c r="H244">
        <f>IFERROR(SUMIFS(TableauRecette[Proportion],TableauRecette[Recette],TableauRecette[[#This Row],[Recette]],TableauRecette[Conditionnement],TableauRecette[[#This Row],[Conditionnement]]),0)</f>
        <v>32</v>
      </c>
      <c r="I244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44">
        <f>_xlfn.XLOOKUP(TableauRecette[[#This Row],[ID]],TableauProduit[ID],TableauProduit[Total (kg) N1],0,0,1)*_xlfn.XLOOKUP(TableauRecette[[#This Row],[ID]],TableauProduit[ID],TableauProduit[Total (kg) N1],0,0,1)</f>
        <v>0</v>
      </c>
      <c r="M244" t="e">
        <f>_xlfn.XLOOKUP(TableauRecette[[#This Row],[ID]],TableauProduit[ID],TableauProduit[Total (kg) N1],0,0,1)*_xlfn.XLOOKUP(TableauRecette[[#This Row],[ID]],TableauProduit[ID],TableauProduit[Total (kg) N2],0,0,1)</f>
        <v>#REF!</v>
      </c>
      <c r="N244" t="e">
        <f>_xlfn.XLOOKUP(TableauRecette[[#This Row],[ID]],TableauProduit[ID],TableauProduit[Total (kg) N3],0,0,1)*#REF!</f>
        <v>#REF!</v>
      </c>
      <c r="O244" t="e">
        <f>_xlfn.XLOOKUP(TableauRecette[[#This Row],[ID]],TableauProduit[ID],TableauProduit[Total (kg) N4],0,0,1)*#REF!</f>
        <v>#REF!</v>
      </c>
      <c r="P244" t="e">
        <f>_xlfn.XLOOKUP(TableauRecette[[#This Row],[ID]],TableauProduit[ID],TableauProduit[Total (kg) N5],0,0,1)*#REF!</f>
        <v>#REF!</v>
      </c>
      <c r="Q244" t="e">
        <f>_xlfn.XLOOKUP(TableauRecette[[#This Row],[ID]],TableauProduit[ID],TableauProduit[Total (kg) N6],0,0,1)*#REF!</f>
        <v>#REF!</v>
      </c>
      <c r="R244" t="e">
        <f>_xlfn.XLOOKUP(TableauRecette[[#This Row],[ID]],TableauProduit[ID],TableauProduit[Total (kg) N7],0,0,1)*#REF!</f>
        <v>#REF!</v>
      </c>
      <c r="S244" t="e">
        <f>_xlfn.XLOOKUP(TableauRecette[[#This Row],[ID]],TableauProduit[ID],TableauProduit[Total (kg) N8],0,0,1)*#REF!</f>
        <v>#REF!</v>
      </c>
      <c r="T244" t="e">
        <f>_xlfn.XLOOKUP(TableauRecette[[#This Row],[ID]],TableauProduit[ID],TableauProduit[Total (kg) N9],0,0,1)*#REF!</f>
        <v>#REF!</v>
      </c>
    </row>
    <row r="245" spans="1:20" x14ac:dyDescent="0.2">
      <c r="A245" t="s">
        <v>122</v>
      </c>
      <c r="B245" t="str">
        <f>TableauRecette[[#This Row],[Recette]]&amp;TableauRecette[[#This Row],[Conditionnement]]</f>
        <v>Nuoc chamEpice 100ml</v>
      </c>
      <c r="C245" t="s">
        <v>429</v>
      </c>
      <c r="D245">
        <v>6</v>
      </c>
      <c r="E245" t="s">
        <v>73</v>
      </c>
      <c r="F245">
        <f>IFERROR(TableauRecette[[#This Row],[Proportion]]/SUMIFS(TableauRecette[Proportion],TableauRecette[Recette],TableauRecette[[#This Row],[Recette]],TableauRecette[Conditionnement],TableauRecette[[#This Row],[Conditionnement]]),0)</f>
        <v>0.1875</v>
      </c>
      <c r="G245">
        <f>IFERROR(_xlfn.XLOOKUP(TableauRecette[[#This Row],[Ingredients]],TableauIngredients[Ingredients],#REF!,0)*#REF!,0)</f>
        <v>0</v>
      </c>
      <c r="H245">
        <f>IFERROR(SUMIFS(TableauRecette[Proportion],TableauRecette[Recette],TableauRecette[[#This Row],[Recette]],TableauRecette[Conditionnement],TableauRecette[[#This Row],[Conditionnement]]),0)</f>
        <v>32</v>
      </c>
      <c r="I24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45">
        <f>_xlfn.XLOOKUP(TableauRecette[[#This Row],[ID]],TableauProduit[ID],TableauProduit[Total (kg) N1],0,0,1)*_xlfn.XLOOKUP(TableauRecette[[#This Row],[ID]],TableauProduit[ID],TableauProduit[Total (kg) N1],0,0,1)</f>
        <v>0</v>
      </c>
      <c r="M245" t="e">
        <f>_xlfn.XLOOKUP(TableauRecette[[#This Row],[ID]],TableauProduit[ID],TableauProduit[Total (kg) N1],0,0,1)*_xlfn.XLOOKUP(TableauRecette[[#This Row],[ID]],TableauProduit[ID],TableauProduit[Total (kg) N2],0,0,1)</f>
        <v>#REF!</v>
      </c>
      <c r="N245" t="e">
        <f>_xlfn.XLOOKUP(TableauRecette[[#This Row],[ID]],TableauProduit[ID],TableauProduit[Total (kg) N3],0,0,1)*#REF!</f>
        <v>#REF!</v>
      </c>
      <c r="O245" t="e">
        <f>_xlfn.XLOOKUP(TableauRecette[[#This Row],[ID]],TableauProduit[ID],TableauProduit[Total (kg) N4],0,0,1)*#REF!</f>
        <v>#REF!</v>
      </c>
      <c r="P245" t="e">
        <f>_xlfn.XLOOKUP(TableauRecette[[#This Row],[ID]],TableauProduit[ID],TableauProduit[Total (kg) N5],0,0,1)*#REF!</f>
        <v>#REF!</v>
      </c>
      <c r="Q245" t="e">
        <f>_xlfn.XLOOKUP(TableauRecette[[#This Row],[ID]],TableauProduit[ID],TableauProduit[Total (kg) N6],0,0,1)*#REF!</f>
        <v>#REF!</v>
      </c>
      <c r="R245" t="e">
        <f>_xlfn.XLOOKUP(TableauRecette[[#This Row],[ID]],TableauProduit[ID],TableauProduit[Total (kg) N7],0,0,1)*#REF!</f>
        <v>#REF!</v>
      </c>
      <c r="S245" t="e">
        <f>_xlfn.XLOOKUP(TableauRecette[[#This Row],[ID]],TableauProduit[ID],TableauProduit[Total (kg) N8],0,0,1)*#REF!</f>
        <v>#REF!</v>
      </c>
      <c r="T245" t="e">
        <f>_xlfn.XLOOKUP(TableauRecette[[#This Row],[ID]],TableauProduit[ID],TableauProduit[Total (kg) N9],0,0,1)*#REF!</f>
        <v>#REF!</v>
      </c>
    </row>
    <row r="246" spans="1:20" x14ac:dyDescent="0.2">
      <c r="A246" t="s">
        <v>122</v>
      </c>
      <c r="B246" t="str">
        <f>TableauRecette[[#This Row],[Recette]]&amp;TableauRecette[[#This Row],[Conditionnement]]</f>
        <v>Nuoc chamEpice 100ml</v>
      </c>
      <c r="C246" t="s">
        <v>430</v>
      </c>
      <c r="D246">
        <v>6</v>
      </c>
      <c r="E246" t="s">
        <v>73</v>
      </c>
      <c r="F246">
        <f>IFERROR(TableauRecette[[#This Row],[Proportion]]/SUMIFS(TableauRecette[Proportion],TableauRecette[Recette],TableauRecette[[#This Row],[Recette]],TableauRecette[Conditionnement],TableauRecette[[#This Row],[Conditionnement]]),0)</f>
        <v>0.1875</v>
      </c>
      <c r="G246">
        <f>IFERROR(_xlfn.XLOOKUP(TableauRecette[[#This Row],[Ingredients]],TableauIngredients[Ingredients],#REF!,0)*#REF!,0)</f>
        <v>0</v>
      </c>
      <c r="H246">
        <f>IFERROR(SUMIFS(TableauRecette[Proportion],TableauRecette[Recette],TableauRecette[[#This Row],[Recette]],TableauRecette[Conditionnement],TableauRecette[[#This Row],[Conditionnement]]),0)</f>
        <v>32</v>
      </c>
      <c r="I246">
        <f>_xlfn.XLOOKUP(TableauRecette[[#This Row],[Ingredients]],TableauIngredients[Ingredients],TableauIngredients[Prix d''achat (kg)],0,0,1)*TableauRecette[[#This Row],[Proportion]]/TableauRecette[[#This Row],[Total Proportion]]</f>
        <v>0.52499999999999991</v>
      </c>
      <c r="L246">
        <f>_xlfn.XLOOKUP(TableauRecette[[#This Row],[ID]],TableauProduit[ID],TableauProduit[Total (kg) N1],0,0,1)*_xlfn.XLOOKUP(TableauRecette[[#This Row],[ID]],TableauProduit[ID],TableauProduit[Total (kg) N1],0,0,1)</f>
        <v>0</v>
      </c>
      <c r="M246" t="e">
        <f>_xlfn.XLOOKUP(TableauRecette[[#This Row],[ID]],TableauProduit[ID],TableauProduit[Total (kg) N1],0,0,1)*_xlfn.XLOOKUP(TableauRecette[[#This Row],[ID]],TableauProduit[ID],TableauProduit[Total (kg) N2],0,0,1)</f>
        <v>#REF!</v>
      </c>
      <c r="N246" t="e">
        <f>_xlfn.XLOOKUP(TableauRecette[[#This Row],[ID]],TableauProduit[ID],TableauProduit[Total (kg) N3],0,0,1)*#REF!</f>
        <v>#REF!</v>
      </c>
      <c r="O246" t="e">
        <f>_xlfn.XLOOKUP(TableauRecette[[#This Row],[ID]],TableauProduit[ID],TableauProduit[Total (kg) N4],0,0,1)*#REF!</f>
        <v>#REF!</v>
      </c>
      <c r="P246" t="e">
        <f>_xlfn.XLOOKUP(TableauRecette[[#This Row],[ID]],TableauProduit[ID],TableauProduit[Total (kg) N5],0,0,1)*#REF!</f>
        <v>#REF!</v>
      </c>
      <c r="Q246" t="e">
        <f>_xlfn.XLOOKUP(TableauRecette[[#This Row],[ID]],TableauProduit[ID],TableauProduit[Total (kg) N6],0,0,1)*#REF!</f>
        <v>#REF!</v>
      </c>
      <c r="R246" t="e">
        <f>_xlfn.XLOOKUP(TableauRecette[[#This Row],[ID]],TableauProduit[ID],TableauProduit[Total (kg) N7],0,0,1)*#REF!</f>
        <v>#REF!</v>
      </c>
      <c r="S246" t="e">
        <f>_xlfn.XLOOKUP(TableauRecette[[#This Row],[ID]],TableauProduit[ID],TableauProduit[Total (kg) N8],0,0,1)*#REF!</f>
        <v>#REF!</v>
      </c>
      <c r="T246" t="e">
        <f>_xlfn.XLOOKUP(TableauRecette[[#This Row],[ID]],TableauProduit[ID],TableauProduit[Total (kg) N9],0,0,1)*#REF!</f>
        <v>#REF!</v>
      </c>
    </row>
    <row r="247" spans="1:20" x14ac:dyDescent="0.2">
      <c r="A247" t="s">
        <v>122</v>
      </c>
      <c r="B247" t="str">
        <f>TableauRecette[[#This Row],[Recette]]&amp;TableauRecette[[#This Row],[Conditionnement]]</f>
        <v>Nuoc chamEpice 100ml</v>
      </c>
      <c r="C247" t="s">
        <v>431</v>
      </c>
      <c r="D247">
        <v>6</v>
      </c>
      <c r="E247" t="s">
        <v>73</v>
      </c>
      <c r="F247">
        <f>IFERROR(TableauRecette[[#This Row],[Proportion]]/SUMIFS(TableauRecette[Proportion],TableauRecette[Recette],TableauRecette[[#This Row],[Recette]],TableauRecette[Conditionnement],TableauRecette[[#This Row],[Conditionnement]]),0)</f>
        <v>0.1875</v>
      </c>
      <c r="G247">
        <f>IFERROR(_xlfn.XLOOKUP(TableauRecette[[#This Row],[Ingredients]],TableauIngredients[Ingredients],#REF!,0)*#REF!,0)</f>
        <v>0</v>
      </c>
      <c r="H247">
        <f>IFERROR(SUMIFS(TableauRecette[Proportion],TableauRecette[Recette],TableauRecette[[#This Row],[Recette]],TableauRecette[Conditionnement],TableauRecette[[#This Row],[Conditionnement]]),0)</f>
        <v>32</v>
      </c>
      <c r="I247">
        <f>_xlfn.XLOOKUP(TableauRecette[[#This Row],[Ingredients]],TableauIngredients[Ingredients],TableauIngredients[Prix d''achat (kg)],0,0,1)*TableauRecette[[#This Row],[Proportion]]/TableauRecette[[#This Row],[Total Proportion]]</f>
        <v>1.3125</v>
      </c>
      <c r="L247">
        <f>_xlfn.XLOOKUP(TableauRecette[[#This Row],[ID]],TableauProduit[ID],TableauProduit[Total (kg) N1],0,0,1)*_xlfn.XLOOKUP(TableauRecette[[#This Row],[ID]],TableauProduit[ID],TableauProduit[Total (kg) N1],0,0,1)</f>
        <v>0</v>
      </c>
      <c r="M247" t="e">
        <f>_xlfn.XLOOKUP(TableauRecette[[#This Row],[ID]],TableauProduit[ID],TableauProduit[Total (kg) N1],0,0,1)*_xlfn.XLOOKUP(TableauRecette[[#This Row],[ID]],TableauProduit[ID],TableauProduit[Total (kg) N2],0,0,1)</f>
        <v>#REF!</v>
      </c>
      <c r="N247" t="e">
        <f>_xlfn.XLOOKUP(TableauRecette[[#This Row],[ID]],TableauProduit[ID],TableauProduit[Total (kg) N3],0,0,1)*#REF!</f>
        <v>#REF!</v>
      </c>
      <c r="O247" t="e">
        <f>_xlfn.XLOOKUP(TableauRecette[[#This Row],[ID]],TableauProduit[ID],TableauProduit[Total (kg) N4],0,0,1)*#REF!</f>
        <v>#REF!</v>
      </c>
      <c r="P247" t="e">
        <f>_xlfn.XLOOKUP(TableauRecette[[#This Row],[ID]],TableauProduit[ID],TableauProduit[Total (kg) N5],0,0,1)*#REF!</f>
        <v>#REF!</v>
      </c>
      <c r="Q247" t="e">
        <f>_xlfn.XLOOKUP(TableauRecette[[#This Row],[ID]],TableauProduit[ID],TableauProduit[Total (kg) N6],0,0,1)*#REF!</f>
        <v>#REF!</v>
      </c>
      <c r="R247" t="e">
        <f>_xlfn.XLOOKUP(TableauRecette[[#This Row],[ID]],TableauProduit[ID],TableauProduit[Total (kg) N7],0,0,1)*#REF!</f>
        <v>#REF!</v>
      </c>
      <c r="S247" t="e">
        <f>_xlfn.XLOOKUP(TableauRecette[[#This Row],[ID]],TableauProduit[ID],TableauProduit[Total (kg) N8],0,0,1)*#REF!</f>
        <v>#REF!</v>
      </c>
      <c r="T247" t="e">
        <f>_xlfn.XLOOKUP(TableauRecette[[#This Row],[ID]],TableauProduit[ID],TableauProduit[Total (kg) N9],0,0,1)*#REF!</f>
        <v>#REF!</v>
      </c>
    </row>
    <row r="248" spans="1:20" x14ac:dyDescent="0.2">
      <c r="A248" t="s">
        <v>122</v>
      </c>
      <c r="B248" t="str">
        <f>TableauRecette[[#This Row],[Recette]]&amp;TableauRecette[[#This Row],[Conditionnement]]</f>
        <v>Nuoc chamEpice 100ml</v>
      </c>
      <c r="C248" t="s">
        <v>432</v>
      </c>
      <c r="D248">
        <v>12</v>
      </c>
      <c r="E248" t="s">
        <v>73</v>
      </c>
      <c r="F248">
        <f>IFERROR(TableauRecette[[#This Row],[Proportion]]/SUMIFS(TableauRecette[Proportion],TableauRecette[Recette],TableauRecette[[#This Row],[Recette]],TableauRecette[Conditionnement],TableauRecette[[#This Row],[Conditionnement]]),0)</f>
        <v>0.375</v>
      </c>
      <c r="G248">
        <f>IFERROR(_xlfn.XLOOKUP(TableauRecette[[#This Row],[Ingredients]],TableauIngredients[Ingredients],#REF!,0)*#REF!,0)</f>
        <v>0</v>
      </c>
      <c r="H248">
        <f>IFERROR(SUMIFS(TableauRecette[Proportion],TableauRecette[Recette],TableauRecette[[#This Row],[Recette]],TableauRecette[Conditionnement],TableauRecette[[#This Row],[Conditionnement]]),0)</f>
        <v>32</v>
      </c>
      <c r="I248">
        <f>_xlfn.XLOOKUP(TableauRecette[[#This Row],[Ingredients]],TableauIngredients[Ingredients],TableauIngredients[Prix d''achat (kg)],0,0,1)*TableauRecette[[#This Row],[Proportion]]/TableauRecette[[#This Row],[Total Proportion]]</f>
        <v>7.5</v>
      </c>
      <c r="L248">
        <f>_xlfn.XLOOKUP(TableauRecette[[#This Row],[ID]],TableauProduit[ID],TableauProduit[Total (kg) N1],0,0,1)*_xlfn.XLOOKUP(TableauRecette[[#This Row],[ID]],TableauProduit[ID],TableauProduit[Total (kg) N1],0,0,1)</f>
        <v>0</v>
      </c>
      <c r="M248" t="e">
        <f>_xlfn.XLOOKUP(TableauRecette[[#This Row],[ID]],TableauProduit[ID],TableauProduit[Total (kg) N1],0,0,1)*_xlfn.XLOOKUP(TableauRecette[[#This Row],[ID]],TableauProduit[ID],TableauProduit[Total (kg) N2],0,0,1)</f>
        <v>#REF!</v>
      </c>
      <c r="N248" t="e">
        <f>_xlfn.XLOOKUP(TableauRecette[[#This Row],[ID]],TableauProduit[ID],TableauProduit[Total (kg) N3],0,0,1)*#REF!</f>
        <v>#REF!</v>
      </c>
      <c r="O248" t="e">
        <f>_xlfn.XLOOKUP(TableauRecette[[#This Row],[ID]],TableauProduit[ID],TableauProduit[Total (kg) N4],0,0,1)*#REF!</f>
        <v>#REF!</v>
      </c>
      <c r="P248" t="e">
        <f>_xlfn.XLOOKUP(TableauRecette[[#This Row],[ID]],TableauProduit[ID],TableauProduit[Total (kg) N5],0,0,1)*#REF!</f>
        <v>#REF!</v>
      </c>
      <c r="Q248" t="e">
        <f>_xlfn.XLOOKUP(TableauRecette[[#This Row],[ID]],TableauProduit[ID],TableauProduit[Total (kg) N6],0,0,1)*#REF!</f>
        <v>#REF!</v>
      </c>
      <c r="R248" t="e">
        <f>_xlfn.XLOOKUP(TableauRecette[[#This Row],[ID]],TableauProduit[ID],TableauProduit[Total (kg) N7],0,0,1)*#REF!</f>
        <v>#REF!</v>
      </c>
      <c r="S248" t="e">
        <f>_xlfn.XLOOKUP(TableauRecette[[#This Row],[ID]],TableauProduit[ID],TableauProduit[Total (kg) N8],0,0,1)*#REF!</f>
        <v>#REF!</v>
      </c>
      <c r="T248" t="e">
        <f>_xlfn.XLOOKUP(TableauRecette[[#This Row],[ID]],TableauProduit[ID],TableauProduit[Total (kg) N9],0,0,1)*#REF!</f>
        <v>#REF!</v>
      </c>
    </row>
    <row r="249" spans="1:20" x14ac:dyDescent="0.2">
      <c r="A249" t="s">
        <v>103</v>
      </c>
      <c r="B249" t="str">
        <f>TableauRecette[[#This Row],[Recette]]&amp;TableauRecette[[#This Row],[Conditionnement]]</f>
        <v>Panch phoronEpice 100ml</v>
      </c>
      <c r="C249" t="s">
        <v>343</v>
      </c>
      <c r="D249">
        <v>2</v>
      </c>
      <c r="E249" t="s">
        <v>73</v>
      </c>
      <c r="F249">
        <f>IFERROR(TableauRecette[[#This Row],[Proportion]]/SUMIFS(TableauRecette[Proportion],TableauRecette[Recette],TableauRecette[[#This Row],[Recette]],TableauRecette[Conditionnement],TableauRecette[[#This Row],[Conditionnement]]),0)</f>
        <v>0.25</v>
      </c>
      <c r="G249">
        <f>IFERROR(_xlfn.XLOOKUP(TableauRecette[[#This Row],[Ingredients]],TableauIngredients[Ingredients],#REF!,0)*#REF!,0)</f>
        <v>0</v>
      </c>
      <c r="H249">
        <f>IFERROR(SUMIFS(TableauRecette[Proportion],TableauRecette[Recette],TableauRecette[[#This Row],[Recette]],TableauRecette[Conditionnement],TableauRecette[[#This Row],[Conditionnement]]),0)</f>
        <v>8</v>
      </c>
      <c r="I24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49">
        <f>_xlfn.XLOOKUP(TableauRecette[[#This Row],[ID]],TableauProduit[ID],TableauProduit[Total (kg) N1],0,0,1)*_xlfn.XLOOKUP(TableauRecette[[#This Row],[ID]],TableauProduit[ID],TableauProduit[Total (kg) N1],0,0,1)</f>
        <v>0</v>
      </c>
      <c r="M249" t="e">
        <f>_xlfn.XLOOKUP(TableauRecette[[#This Row],[ID]],TableauProduit[ID],TableauProduit[Total (kg) N1],0,0,1)*_xlfn.XLOOKUP(TableauRecette[[#This Row],[ID]],TableauProduit[ID],TableauProduit[Total (kg) N2],0,0,1)</f>
        <v>#REF!</v>
      </c>
      <c r="N249" t="e">
        <f>_xlfn.XLOOKUP(TableauRecette[[#This Row],[ID]],TableauProduit[ID],TableauProduit[Total (kg) N3],0,0,1)*#REF!</f>
        <v>#REF!</v>
      </c>
      <c r="O249" t="e">
        <f>_xlfn.XLOOKUP(TableauRecette[[#This Row],[ID]],TableauProduit[ID],TableauProduit[Total (kg) N4],0,0,1)*#REF!</f>
        <v>#REF!</v>
      </c>
      <c r="P249" t="e">
        <f>_xlfn.XLOOKUP(TableauRecette[[#This Row],[ID]],TableauProduit[ID],TableauProduit[Total (kg) N5],0,0,1)*#REF!</f>
        <v>#REF!</v>
      </c>
      <c r="Q249" t="e">
        <f>_xlfn.XLOOKUP(TableauRecette[[#This Row],[ID]],TableauProduit[ID],TableauProduit[Total (kg) N6],0,0,1)*#REF!</f>
        <v>#REF!</v>
      </c>
      <c r="R249" t="e">
        <f>_xlfn.XLOOKUP(TableauRecette[[#This Row],[ID]],TableauProduit[ID],TableauProduit[Total (kg) N7],0,0,1)*#REF!</f>
        <v>#REF!</v>
      </c>
      <c r="S249" t="e">
        <f>_xlfn.XLOOKUP(TableauRecette[[#This Row],[ID]],TableauProduit[ID],TableauProduit[Total (kg) N8],0,0,1)*#REF!</f>
        <v>#REF!</v>
      </c>
      <c r="T249" t="e">
        <f>_xlfn.XLOOKUP(TableauRecette[[#This Row],[ID]],TableauProduit[ID],TableauProduit[Total (kg) N9],0,0,1)*#REF!</f>
        <v>#REF!</v>
      </c>
    </row>
    <row r="250" spans="1:20" x14ac:dyDescent="0.2">
      <c r="A250" t="s">
        <v>103</v>
      </c>
      <c r="B250" t="str">
        <f>TableauRecette[[#This Row],[Recette]]&amp;TableauRecette[[#This Row],[Conditionnement]]</f>
        <v>Panch phoronEpice 100ml</v>
      </c>
      <c r="C250" t="s">
        <v>368</v>
      </c>
      <c r="D250">
        <v>2</v>
      </c>
      <c r="E250" t="s">
        <v>73</v>
      </c>
      <c r="F250">
        <f>IFERROR(TableauRecette[[#This Row],[Proportion]]/SUMIFS(TableauRecette[Proportion],TableauRecette[Recette],TableauRecette[[#This Row],[Recette]],TableauRecette[Conditionnement],TableauRecette[[#This Row],[Conditionnement]]),0)</f>
        <v>0.25</v>
      </c>
      <c r="G250">
        <f>IFERROR(_xlfn.XLOOKUP(TableauRecette[[#This Row],[Ingredients]],TableauIngredients[Ingredients],#REF!,0)*#REF!,0)</f>
        <v>0</v>
      </c>
      <c r="H250">
        <f>IFERROR(SUMIFS(TableauRecette[Proportion],TableauRecette[Recette],TableauRecette[[#This Row],[Recette]],TableauRecette[Conditionnement],TableauRecette[[#This Row],[Conditionnement]]),0)</f>
        <v>8</v>
      </c>
      <c r="I250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50">
        <f>_xlfn.XLOOKUP(TableauRecette[[#This Row],[ID]],TableauProduit[ID],TableauProduit[Total (kg) N1],0,0,1)*_xlfn.XLOOKUP(TableauRecette[[#This Row],[ID]],TableauProduit[ID],TableauProduit[Total (kg) N1],0,0,1)</f>
        <v>0</v>
      </c>
      <c r="M250" t="e">
        <f>_xlfn.XLOOKUP(TableauRecette[[#This Row],[ID]],TableauProduit[ID],TableauProduit[Total (kg) N1],0,0,1)*_xlfn.XLOOKUP(TableauRecette[[#This Row],[ID]],TableauProduit[ID],TableauProduit[Total (kg) N2],0,0,1)</f>
        <v>#REF!</v>
      </c>
      <c r="N250" t="e">
        <f>_xlfn.XLOOKUP(TableauRecette[[#This Row],[ID]],TableauProduit[ID],TableauProduit[Total (kg) N3],0,0,1)*#REF!</f>
        <v>#REF!</v>
      </c>
      <c r="O250" t="e">
        <f>_xlfn.XLOOKUP(TableauRecette[[#This Row],[ID]],TableauProduit[ID],TableauProduit[Total (kg) N4],0,0,1)*#REF!</f>
        <v>#REF!</v>
      </c>
      <c r="P250" t="e">
        <f>_xlfn.XLOOKUP(TableauRecette[[#This Row],[ID]],TableauProduit[ID],TableauProduit[Total (kg) N5],0,0,1)*#REF!</f>
        <v>#REF!</v>
      </c>
      <c r="Q250" t="e">
        <f>_xlfn.XLOOKUP(TableauRecette[[#This Row],[ID]],TableauProduit[ID],TableauProduit[Total (kg) N6],0,0,1)*#REF!</f>
        <v>#REF!</v>
      </c>
      <c r="R250" t="e">
        <f>_xlfn.XLOOKUP(TableauRecette[[#This Row],[ID]],TableauProduit[ID],TableauProduit[Total (kg) N7],0,0,1)*#REF!</f>
        <v>#REF!</v>
      </c>
      <c r="S250" t="e">
        <f>_xlfn.XLOOKUP(TableauRecette[[#This Row],[ID]],TableauProduit[ID],TableauProduit[Total (kg) N8],0,0,1)*#REF!</f>
        <v>#REF!</v>
      </c>
      <c r="T250" t="e">
        <f>_xlfn.XLOOKUP(TableauRecette[[#This Row],[ID]],TableauProduit[ID],TableauProduit[Total (kg) N9],0,0,1)*#REF!</f>
        <v>#REF!</v>
      </c>
    </row>
    <row r="251" spans="1:20" x14ac:dyDescent="0.2">
      <c r="A251" t="s">
        <v>103</v>
      </c>
      <c r="B251" t="str">
        <f>TableauRecette[[#This Row],[Recette]]&amp;TableauRecette[[#This Row],[Conditionnement]]</f>
        <v>Panch phoronEpice 100ml</v>
      </c>
      <c r="C251" t="s">
        <v>370</v>
      </c>
      <c r="D251">
        <v>2</v>
      </c>
      <c r="E251" t="s">
        <v>73</v>
      </c>
      <c r="F251">
        <f>IFERROR(TableauRecette[[#This Row],[Proportion]]/SUMIFS(TableauRecette[Proportion],TableauRecette[Recette],TableauRecette[[#This Row],[Recette]],TableauRecette[Conditionnement],TableauRecette[[#This Row],[Conditionnement]]),0)</f>
        <v>0.25</v>
      </c>
      <c r="G251">
        <f>IFERROR(_xlfn.XLOOKUP(TableauRecette[[#This Row],[Ingredients]],TableauIngredients[Ingredients],#REF!,0)*#REF!,0)</f>
        <v>0</v>
      </c>
      <c r="H251">
        <f>IFERROR(SUMIFS(TableauRecette[Proportion],TableauRecette[Recette],TableauRecette[[#This Row],[Recette]],TableauRecette[Conditionnement],TableauRecette[[#This Row],[Conditionnement]]),0)</f>
        <v>8</v>
      </c>
      <c r="I25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51">
        <f>_xlfn.XLOOKUP(TableauRecette[[#This Row],[ID]],TableauProduit[ID],TableauProduit[Total (kg) N1],0,0,1)*_xlfn.XLOOKUP(TableauRecette[[#This Row],[ID]],TableauProduit[ID],TableauProduit[Total (kg) N1],0,0,1)</f>
        <v>0</v>
      </c>
      <c r="M251" t="e">
        <f>_xlfn.XLOOKUP(TableauRecette[[#This Row],[ID]],TableauProduit[ID],TableauProduit[Total (kg) N1],0,0,1)*_xlfn.XLOOKUP(TableauRecette[[#This Row],[ID]],TableauProduit[ID],TableauProduit[Total (kg) N2],0,0,1)</f>
        <v>#REF!</v>
      </c>
      <c r="N251" t="e">
        <f>_xlfn.XLOOKUP(TableauRecette[[#This Row],[ID]],TableauProduit[ID],TableauProduit[Total (kg) N3],0,0,1)*#REF!</f>
        <v>#REF!</v>
      </c>
      <c r="O251" t="e">
        <f>_xlfn.XLOOKUP(TableauRecette[[#This Row],[ID]],TableauProduit[ID],TableauProduit[Total (kg) N4],0,0,1)*#REF!</f>
        <v>#REF!</v>
      </c>
      <c r="P251" t="e">
        <f>_xlfn.XLOOKUP(TableauRecette[[#This Row],[ID]],TableauProduit[ID],TableauProduit[Total (kg) N5],0,0,1)*#REF!</f>
        <v>#REF!</v>
      </c>
      <c r="Q251" t="e">
        <f>_xlfn.XLOOKUP(TableauRecette[[#This Row],[ID]],TableauProduit[ID],TableauProduit[Total (kg) N6],0,0,1)*#REF!</f>
        <v>#REF!</v>
      </c>
      <c r="R251" t="e">
        <f>_xlfn.XLOOKUP(TableauRecette[[#This Row],[ID]],TableauProduit[ID],TableauProduit[Total (kg) N7],0,0,1)*#REF!</f>
        <v>#REF!</v>
      </c>
      <c r="S251" t="e">
        <f>_xlfn.XLOOKUP(TableauRecette[[#This Row],[ID]],TableauProduit[ID],TableauProduit[Total (kg) N8],0,0,1)*#REF!</f>
        <v>#REF!</v>
      </c>
      <c r="T251" t="e">
        <f>_xlfn.XLOOKUP(TableauRecette[[#This Row],[ID]],TableauProduit[ID],TableauProduit[Total (kg) N9],0,0,1)*#REF!</f>
        <v>#REF!</v>
      </c>
    </row>
    <row r="252" spans="1:20" x14ac:dyDescent="0.2">
      <c r="A252" t="s">
        <v>103</v>
      </c>
      <c r="B252" t="str">
        <f>TableauRecette[[#This Row],[Recette]]&amp;TableauRecette[[#This Row],[Conditionnement]]</f>
        <v>Panch phoronEpice 100ml</v>
      </c>
      <c r="C252" t="s">
        <v>433</v>
      </c>
      <c r="D252">
        <v>1</v>
      </c>
      <c r="E252" t="s">
        <v>73</v>
      </c>
      <c r="F252">
        <f>IFERROR(TableauRecette[[#This Row],[Proportion]]/SUMIFS(TableauRecette[Proportion],TableauRecette[Recette],TableauRecette[[#This Row],[Recette]],TableauRecette[Conditionnement],TableauRecette[[#This Row],[Conditionnement]]),0)</f>
        <v>0.125</v>
      </c>
      <c r="G252">
        <f>IFERROR(_xlfn.XLOOKUP(TableauRecette[[#This Row],[Ingredients]],TableauIngredients[Ingredients],#REF!,0)*#REF!,0)</f>
        <v>0</v>
      </c>
      <c r="H252">
        <f>IFERROR(SUMIFS(TableauRecette[Proportion],TableauRecette[Recette],TableauRecette[[#This Row],[Recette]],TableauRecette[Conditionnement],TableauRecette[[#This Row],[Conditionnement]]),0)</f>
        <v>8</v>
      </c>
      <c r="I25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52">
        <f>_xlfn.XLOOKUP(TableauRecette[[#This Row],[ID]],TableauProduit[ID],TableauProduit[Total (kg) N1],0,0,1)*_xlfn.XLOOKUP(TableauRecette[[#This Row],[ID]],TableauProduit[ID],TableauProduit[Total (kg) N1],0,0,1)</f>
        <v>0</v>
      </c>
      <c r="M252" t="e">
        <f>_xlfn.XLOOKUP(TableauRecette[[#This Row],[ID]],TableauProduit[ID],TableauProduit[Total (kg) N1],0,0,1)*_xlfn.XLOOKUP(TableauRecette[[#This Row],[ID]],TableauProduit[ID],TableauProduit[Total (kg) N2],0,0,1)</f>
        <v>#REF!</v>
      </c>
      <c r="N252" t="e">
        <f>_xlfn.XLOOKUP(TableauRecette[[#This Row],[ID]],TableauProduit[ID],TableauProduit[Total (kg) N3],0,0,1)*#REF!</f>
        <v>#REF!</v>
      </c>
      <c r="O252" t="e">
        <f>_xlfn.XLOOKUP(TableauRecette[[#This Row],[ID]],TableauProduit[ID],TableauProduit[Total (kg) N4],0,0,1)*#REF!</f>
        <v>#REF!</v>
      </c>
      <c r="P252" t="e">
        <f>_xlfn.XLOOKUP(TableauRecette[[#This Row],[ID]],TableauProduit[ID],TableauProduit[Total (kg) N5],0,0,1)*#REF!</f>
        <v>#REF!</v>
      </c>
      <c r="Q252" t="e">
        <f>_xlfn.XLOOKUP(TableauRecette[[#This Row],[ID]],TableauProduit[ID],TableauProduit[Total (kg) N6],0,0,1)*#REF!</f>
        <v>#REF!</v>
      </c>
      <c r="R252" t="e">
        <f>_xlfn.XLOOKUP(TableauRecette[[#This Row],[ID]],TableauProduit[ID],TableauProduit[Total (kg) N7],0,0,1)*#REF!</f>
        <v>#REF!</v>
      </c>
      <c r="S252" t="e">
        <f>_xlfn.XLOOKUP(TableauRecette[[#This Row],[ID]],TableauProduit[ID],TableauProduit[Total (kg) N8],0,0,1)*#REF!</f>
        <v>#REF!</v>
      </c>
      <c r="T252" t="e">
        <f>_xlfn.XLOOKUP(TableauRecette[[#This Row],[ID]],TableauProduit[ID],TableauProduit[Total (kg) N9],0,0,1)*#REF!</f>
        <v>#REF!</v>
      </c>
    </row>
    <row r="253" spans="1:20" x14ac:dyDescent="0.2">
      <c r="A253" t="s">
        <v>103</v>
      </c>
      <c r="B253" t="str">
        <f>TableauRecette[[#This Row],[Recette]]&amp;TableauRecette[[#This Row],[Conditionnement]]</f>
        <v>Panch phoronEpice 100ml</v>
      </c>
      <c r="C253" t="s">
        <v>369</v>
      </c>
      <c r="D253">
        <v>1</v>
      </c>
      <c r="E253" t="s">
        <v>73</v>
      </c>
      <c r="F253">
        <f>IFERROR(TableauRecette[[#This Row],[Proportion]]/SUMIFS(TableauRecette[Proportion],TableauRecette[Recette],TableauRecette[[#This Row],[Recette]],TableauRecette[Conditionnement],TableauRecette[[#This Row],[Conditionnement]]),0)</f>
        <v>0.125</v>
      </c>
      <c r="G253">
        <f>IFERROR(_xlfn.XLOOKUP(TableauRecette[[#This Row],[Ingredients]],TableauIngredients[Ingredients],#REF!,0)*#REF!,0)</f>
        <v>0</v>
      </c>
      <c r="H253">
        <f>IFERROR(SUMIFS(TableauRecette[Proportion],TableauRecette[Recette],TableauRecette[[#This Row],[Recette]],TableauRecette[Conditionnement],TableauRecette[[#This Row],[Conditionnement]]),0)</f>
        <v>8</v>
      </c>
      <c r="I253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53">
        <f>_xlfn.XLOOKUP(TableauRecette[[#This Row],[ID]],TableauProduit[ID],TableauProduit[Total (kg) N1],0,0,1)*_xlfn.XLOOKUP(TableauRecette[[#This Row],[ID]],TableauProduit[ID],TableauProduit[Total (kg) N1],0,0,1)</f>
        <v>0</v>
      </c>
      <c r="M253" t="e">
        <f>_xlfn.XLOOKUP(TableauRecette[[#This Row],[ID]],TableauProduit[ID],TableauProduit[Total (kg) N1],0,0,1)*_xlfn.XLOOKUP(TableauRecette[[#This Row],[ID]],TableauProduit[ID],TableauProduit[Total (kg) N2],0,0,1)</f>
        <v>#REF!</v>
      </c>
      <c r="N253" t="e">
        <f>_xlfn.XLOOKUP(TableauRecette[[#This Row],[ID]],TableauProduit[ID],TableauProduit[Total (kg) N3],0,0,1)*#REF!</f>
        <v>#REF!</v>
      </c>
      <c r="O253" t="e">
        <f>_xlfn.XLOOKUP(TableauRecette[[#This Row],[ID]],TableauProduit[ID],TableauProduit[Total (kg) N4],0,0,1)*#REF!</f>
        <v>#REF!</v>
      </c>
      <c r="P253" t="e">
        <f>_xlfn.XLOOKUP(TableauRecette[[#This Row],[ID]],TableauProduit[ID],TableauProduit[Total (kg) N5],0,0,1)*#REF!</f>
        <v>#REF!</v>
      </c>
      <c r="Q253" t="e">
        <f>_xlfn.XLOOKUP(TableauRecette[[#This Row],[ID]],TableauProduit[ID],TableauProduit[Total (kg) N6],0,0,1)*#REF!</f>
        <v>#REF!</v>
      </c>
      <c r="R253" t="e">
        <f>_xlfn.XLOOKUP(TableauRecette[[#This Row],[ID]],TableauProduit[ID],TableauProduit[Total (kg) N7],0,0,1)*#REF!</f>
        <v>#REF!</v>
      </c>
      <c r="S253" t="e">
        <f>_xlfn.XLOOKUP(TableauRecette[[#This Row],[ID]],TableauProduit[ID],TableauProduit[Total (kg) N8],0,0,1)*#REF!</f>
        <v>#REF!</v>
      </c>
      <c r="T253" t="e">
        <f>_xlfn.XLOOKUP(TableauRecette[[#This Row],[ID]],TableauProduit[ID],TableauProduit[Total (kg) N9],0,0,1)*#REF!</f>
        <v>#REF!</v>
      </c>
    </row>
    <row r="254" spans="1:20" x14ac:dyDescent="0.2">
      <c r="A254" t="s">
        <v>87</v>
      </c>
      <c r="B254" t="str">
        <f>TableauRecette[[#This Row],[Recette]]&amp;TableauRecette[[#This Row],[Conditionnement]]</f>
        <v>PaprikaEpice 100ml</v>
      </c>
      <c r="C254" t="s">
        <v>372</v>
      </c>
      <c r="D254">
        <v>1</v>
      </c>
      <c r="E254" t="s">
        <v>73</v>
      </c>
      <c r="F254">
        <f>IFERROR(TableauRecette[[#This Row],[Proportion]]/SUMIFS(TableauRecette[Proportion],TableauRecette[Recette],TableauRecette[[#This Row],[Recette]],TableauRecette[Conditionnement],TableauRecette[[#This Row],[Conditionnement]]),0)</f>
        <v>1</v>
      </c>
      <c r="G254">
        <f>IFERROR(_xlfn.XLOOKUP(TableauRecette[[#This Row],[Ingredients]],TableauIngredients[Ingredients],#REF!,0)*#REF!,0)</f>
        <v>0</v>
      </c>
      <c r="H254">
        <f>IFERROR(SUMIFS(TableauRecette[Proportion],TableauRecette[Recette],TableauRecette[[#This Row],[Recette]],TableauRecette[Conditionnement],TableauRecette[[#This Row],[Conditionnement]]),0)</f>
        <v>1</v>
      </c>
      <c r="I254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54">
        <f>_xlfn.XLOOKUP(TableauRecette[[#This Row],[ID]],TableauProduit[ID],TableauProduit[Total (kg) N1],0,0,1)*_xlfn.XLOOKUP(TableauRecette[[#This Row],[ID]],TableauProduit[ID],TableauProduit[Total (kg) N1],0,0,1)</f>
        <v>576</v>
      </c>
      <c r="M254" t="e">
        <f>_xlfn.XLOOKUP(TableauRecette[[#This Row],[ID]],TableauProduit[ID],TableauProduit[Total (kg) N1],0,0,1)*_xlfn.XLOOKUP(TableauRecette[[#This Row],[ID]],TableauProduit[ID],TableauProduit[Total (kg) N2],0,0,1)</f>
        <v>#REF!</v>
      </c>
      <c r="N254" t="e">
        <f>_xlfn.XLOOKUP(TableauRecette[[#This Row],[ID]],TableauProduit[ID],TableauProduit[Total (kg) N3],0,0,1)*#REF!</f>
        <v>#REF!</v>
      </c>
      <c r="O254" t="e">
        <f>_xlfn.XLOOKUP(TableauRecette[[#This Row],[ID]],TableauProduit[ID],TableauProduit[Total (kg) N4],0,0,1)*#REF!</f>
        <v>#REF!</v>
      </c>
      <c r="P254" t="e">
        <f>_xlfn.XLOOKUP(TableauRecette[[#This Row],[ID]],TableauProduit[ID],TableauProduit[Total (kg) N5],0,0,1)*#REF!</f>
        <v>#REF!</v>
      </c>
      <c r="Q254" t="e">
        <f>_xlfn.XLOOKUP(TableauRecette[[#This Row],[ID]],TableauProduit[ID],TableauProduit[Total (kg) N6],0,0,1)*#REF!</f>
        <v>#REF!</v>
      </c>
      <c r="R254" t="e">
        <f>_xlfn.XLOOKUP(TableauRecette[[#This Row],[ID]],TableauProduit[ID],TableauProduit[Total (kg) N7],0,0,1)*#REF!</f>
        <v>#REF!</v>
      </c>
      <c r="S254" t="e">
        <f>_xlfn.XLOOKUP(TableauRecette[[#This Row],[ID]],TableauProduit[ID],TableauProduit[Total (kg) N8],0,0,1)*#REF!</f>
        <v>#REF!</v>
      </c>
      <c r="T254" t="e">
        <f>_xlfn.XLOOKUP(TableauRecette[[#This Row],[ID]],TableauProduit[ID],TableauProduit[Total (kg) N9],0,0,1)*#REF!</f>
        <v>#REF!</v>
      </c>
    </row>
    <row r="255" spans="1:20" x14ac:dyDescent="0.2">
      <c r="A255" t="s">
        <v>79</v>
      </c>
      <c r="B255" t="str">
        <f>TableauRecette[[#This Row],[Recette]]&amp;TableauRecette[[#This Row],[Conditionnement]]</f>
        <v>Paprika fuméEpice 100ml</v>
      </c>
      <c r="C255" t="s">
        <v>372</v>
      </c>
      <c r="D255">
        <v>1</v>
      </c>
      <c r="E255" t="s">
        <v>73</v>
      </c>
      <c r="F255">
        <f>IFERROR(TableauRecette[[#This Row],[Proportion]]/SUMIFS(TableauRecette[Proportion],TableauRecette[Recette],TableauRecette[[#This Row],[Recette]],TableauRecette[Conditionnement],TableauRecette[[#This Row],[Conditionnement]]),0)</f>
        <v>1</v>
      </c>
      <c r="G255">
        <f>IFERROR(_xlfn.XLOOKUP(TableauRecette[[#This Row],[Ingredients]],TableauIngredients[Ingredients],#REF!,0)*#REF!,0)</f>
        <v>0</v>
      </c>
      <c r="H255">
        <f>IFERROR(SUMIFS(TableauRecette[Proportion],TableauRecette[Recette],TableauRecette[[#This Row],[Recette]],TableauRecette[Conditionnement],TableauRecette[[#This Row],[Conditionnement]]),0)</f>
        <v>1</v>
      </c>
      <c r="I25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55">
        <f>_xlfn.XLOOKUP(TableauRecette[[#This Row],[ID]],TableauProduit[ID],TableauProduit[Total (kg) N1],0,0,1)*_xlfn.XLOOKUP(TableauRecette[[#This Row],[ID]],TableauProduit[ID],TableauProduit[Total (kg) N1],0,0,1)</f>
        <v>729</v>
      </c>
      <c r="M255" t="e">
        <f>_xlfn.XLOOKUP(TableauRecette[[#This Row],[ID]],TableauProduit[ID],TableauProduit[Total (kg) N1],0,0,1)*_xlfn.XLOOKUP(TableauRecette[[#This Row],[ID]],TableauProduit[ID],TableauProduit[Total (kg) N2],0,0,1)</f>
        <v>#REF!</v>
      </c>
      <c r="N255" t="e">
        <f>_xlfn.XLOOKUP(TableauRecette[[#This Row],[ID]],TableauProduit[ID],TableauProduit[Total (kg) N3],0,0,1)*#REF!</f>
        <v>#REF!</v>
      </c>
      <c r="O255" t="e">
        <f>_xlfn.XLOOKUP(TableauRecette[[#This Row],[ID]],TableauProduit[ID],TableauProduit[Total (kg) N4],0,0,1)*#REF!</f>
        <v>#REF!</v>
      </c>
      <c r="P255" t="e">
        <f>_xlfn.XLOOKUP(TableauRecette[[#This Row],[ID]],TableauProduit[ID],TableauProduit[Total (kg) N5],0,0,1)*#REF!</f>
        <v>#REF!</v>
      </c>
      <c r="Q255" t="e">
        <f>_xlfn.XLOOKUP(TableauRecette[[#This Row],[ID]],TableauProduit[ID],TableauProduit[Total (kg) N6],0,0,1)*#REF!</f>
        <v>#REF!</v>
      </c>
      <c r="R255" t="e">
        <f>_xlfn.XLOOKUP(TableauRecette[[#This Row],[ID]],TableauProduit[ID],TableauProduit[Total (kg) N7],0,0,1)*#REF!</f>
        <v>#REF!</v>
      </c>
      <c r="S255" t="e">
        <f>_xlfn.XLOOKUP(TableauRecette[[#This Row],[ID]],TableauProduit[ID],TableauProduit[Total (kg) N8],0,0,1)*#REF!</f>
        <v>#REF!</v>
      </c>
      <c r="T255" t="e">
        <f>_xlfn.XLOOKUP(TableauRecette[[#This Row],[ID]],TableauProduit[ID],TableauProduit[Total (kg) N9],0,0,1)*#REF!</f>
        <v>#REF!</v>
      </c>
    </row>
    <row r="256" spans="1:20" x14ac:dyDescent="0.2">
      <c r="A256" t="s">
        <v>135</v>
      </c>
      <c r="B256" t="str">
        <f>TableauRecette[[#This Row],[Recette]]&amp;TableauRecette[[#This Row],[Conditionnement]]</f>
        <v>Pâte vindalooEpice 100ml</v>
      </c>
      <c r="C256" t="s">
        <v>343</v>
      </c>
      <c r="D256">
        <v>1</v>
      </c>
      <c r="E256" t="s">
        <v>73</v>
      </c>
      <c r="F256">
        <f>IFERROR(TableauRecette[[#This Row],[Proportion]]/SUMIFS(TableauRecette[Proportion],TableauRecette[Recette],TableauRecette[[#This Row],[Recette]],TableauRecette[Conditionnement],TableauRecette[[#This Row],[Conditionnement]]),0)</f>
        <v>8.3333333333333329E-2</v>
      </c>
      <c r="G256">
        <f>IFERROR(_xlfn.XLOOKUP(TableauRecette[[#This Row],[Ingredients]],TableauIngredients[Ingredients],#REF!,0)*#REF!,0)</f>
        <v>0</v>
      </c>
      <c r="H256">
        <f>IFERROR(SUMIFS(TableauRecette[Proportion],TableauRecette[Recette],TableauRecette[[#This Row],[Recette]],TableauRecette[Conditionnement],TableauRecette[[#This Row],[Conditionnement]]),0)</f>
        <v>12</v>
      </c>
      <c r="I25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56">
        <f>_xlfn.XLOOKUP(TableauRecette[[#This Row],[ID]],TableauProduit[ID],TableauProduit[Total (kg) N1],0,0,1)*_xlfn.XLOOKUP(TableauRecette[[#This Row],[ID]],TableauProduit[ID],TableauProduit[Total (kg) N1],0,0,1)</f>
        <v>0</v>
      </c>
      <c r="M256" t="e">
        <f>_xlfn.XLOOKUP(TableauRecette[[#This Row],[ID]],TableauProduit[ID],TableauProduit[Total (kg) N1],0,0,1)*_xlfn.XLOOKUP(TableauRecette[[#This Row],[ID]],TableauProduit[ID],TableauProduit[Total (kg) N2],0,0,1)</f>
        <v>#REF!</v>
      </c>
      <c r="N256" t="e">
        <f>_xlfn.XLOOKUP(TableauRecette[[#This Row],[ID]],TableauProduit[ID],TableauProduit[Total (kg) N3],0,0,1)*#REF!</f>
        <v>#REF!</v>
      </c>
      <c r="O256" t="e">
        <f>_xlfn.XLOOKUP(TableauRecette[[#This Row],[ID]],TableauProduit[ID],TableauProduit[Total (kg) N4],0,0,1)*#REF!</f>
        <v>#REF!</v>
      </c>
      <c r="P256" t="e">
        <f>_xlfn.XLOOKUP(TableauRecette[[#This Row],[ID]],TableauProduit[ID],TableauProduit[Total (kg) N5],0,0,1)*#REF!</f>
        <v>#REF!</v>
      </c>
      <c r="Q256" t="e">
        <f>_xlfn.XLOOKUP(TableauRecette[[#This Row],[ID]],TableauProduit[ID],TableauProduit[Total (kg) N6],0,0,1)*#REF!</f>
        <v>#REF!</v>
      </c>
      <c r="R256" t="e">
        <f>_xlfn.XLOOKUP(TableauRecette[[#This Row],[ID]],TableauProduit[ID],TableauProduit[Total (kg) N7],0,0,1)*#REF!</f>
        <v>#REF!</v>
      </c>
      <c r="S256" t="e">
        <f>_xlfn.XLOOKUP(TableauRecette[[#This Row],[ID]],TableauProduit[ID],TableauProduit[Total (kg) N8],0,0,1)*#REF!</f>
        <v>#REF!</v>
      </c>
      <c r="T256" t="e">
        <f>_xlfn.XLOOKUP(TableauRecette[[#This Row],[ID]],TableauProduit[ID],TableauProduit[Total (kg) N9],0,0,1)*#REF!</f>
        <v>#REF!</v>
      </c>
    </row>
    <row r="257" spans="1:20" x14ac:dyDescent="0.2">
      <c r="A257" t="s">
        <v>135</v>
      </c>
      <c r="B257" t="str">
        <f>TableauRecette[[#This Row],[Recette]]&amp;TableauRecette[[#This Row],[Conditionnement]]</f>
        <v>Pâte vindalooEpice 100ml</v>
      </c>
      <c r="C257" t="s">
        <v>434</v>
      </c>
      <c r="D257">
        <v>1</v>
      </c>
      <c r="E257" t="s">
        <v>73</v>
      </c>
      <c r="F257">
        <f>IFERROR(TableauRecette[[#This Row],[Proportion]]/SUMIFS(TableauRecette[Proportion],TableauRecette[Recette],TableauRecette[[#This Row],[Recette]],TableauRecette[Conditionnement],TableauRecette[[#This Row],[Conditionnement]]),0)</f>
        <v>8.3333333333333329E-2</v>
      </c>
      <c r="G257">
        <f>IFERROR(_xlfn.XLOOKUP(TableauRecette[[#This Row],[Ingredients]],TableauIngredients[Ingredients],#REF!,0)*#REF!,0)</f>
        <v>0</v>
      </c>
      <c r="H257">
        <f>IFERROR(SUMIFS(TableauRecette[Proportion],TableauRecette[Recette],TableauRecette[[#This Row],[Recette]],TableauRecette[Conditionnement],TableauRecette[[#This Row],[Conditionnement]]),0)</f>
        <v>12</v>
      </c>
      <c r="I25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57">
        <f>_xlfn.XLOOKUP(TableauRecette[[#This Row],[ID]],TableauProduit[ID],TableauProduit[Total (kg) N1],0,0,1)*_xlfn.XLOOKUP(TableauRecette[[#This Row],[ID]],TableauProduit[ID],TableauProduit[Total (kg) N1],0,0,1)</f>
        <v>0</v>
      </c>
      <c r="M257" t="e">
        <f>_xlfn.XLOOKUP(TableauRecette[[#This Row],[ID]],TableauProduit[ID],TableauProduit[Total (kg) N1],0,0,1)*_xlfn.XLOOKUP(TableauRecette[[#This Row],[ID]],TableauProduit[ID],TableauProduit[Total (kg) N2],0,0,1)</f>
        <v>#REF!</v>
      </c>
      <c r="N257" t="e">
        <f>_xlfn.XLOOKUP(TableauRecette[[#This Row],[ID]],TableauProduit[ID],TableauProduit[Total (kg) N3],0,0,1)*#REF!</f>
        <v>#REF!</v>
      </c>
      <c r="O257" t="e">
        <f>_xlfn.XLOOKUP(TableauRecette[[#This Row],[ID]],TableauProduit[ID],TableauProduit[Total (kg) N4],0,0,1)*#REF!</f>
        <v>#REF!</v>
      </c>
      <c r="P257" t="e">
        <f>_xlfn.XLOOKUP(TableauRecette[[#This Row],[ID]],TableauProduit[ID],TableauProduit[Total (kg) N5],0,0,1)*#REF!</f>
        <v>#REF!</v>
      </c>
      <c r="Q257" t="e">
        <f>_xlfn.XLOOKUP(TableauRecette[[#This Row],[ID]],TableauProduit[ID],TableauProduit[Total (kg) N6],0,0,1)*#REF!</f>
        <v>#REF!</v>
      </c>
      <c r="R257" t="e">
        <f>_xlfn.XLOOKUP(TableauRecette[[#This Row],[ID]],TableauProduit[ID],TableauProduit[Total (kg) N7],0,0,1)*#REF!</f>
        <v>#REF!</v>
      </c>
      <c r="S257" t="e">
        <f>_xlfn.XLOOKUP(TableauRecette[[#This Row],[ID]],TableauProduit[ID],TableauProduit[Total (kg) N8],0,0,1)*#REF!</f>
        <v>#REF!</v>
      </c>
      <c r="T257" t="e">
        <f>_xlfn.XLOOKUP(TableauRecette[[#This Row],[ID]],TableauProduit[ID],TableauProduit[Total (kg) N9],0,0,1)*#REF!</f>
        <v>#REF!</v>
      </c>
    </row>
    <row r="258" spans="1:20" x14ac:dyDescent="0.2">
      <c r="A258" t="s">
        <v>135</v>
      </c>
      <c r="B258" t="str">
        <f>TableauRecette[[#This Row],[Recette]]&amp;TableauRecette[[#This Row],[Conditionnement]]</f>
        <v>Pâte vindalooEpice 100ml</v>
      </c>
      <c r="C258" t="s">
        <v>348</v>
      </c>
      <c r="D258">
        <v>1</v>
      </c>
      <c r="E258" t="s">
        <v>73</v>
      </c>
      <c r="F258">
        <f>IFERROR(TableauRecette[[#This Row],[Proportion]]/SUMIFS(TableauRecette[Proportion],TableauRecette[Recette],TableauRecette[[#This Row],[Recette]],TableauRecette[Conditionnement],TableauRecette[[#This Row],[Conditionnement]]),0)</f>
        <v>8.3333333333333329E-2</v>
      </c>
      <c r="G258">
        <f>IFERROR(_xlfn.XLOOKUP(TableauRecette[[#This Row],[Ingredients]],TableauIngredients[Ingredients],#REF!,0)*#REF!,0)</f>
        <v>0</v>
      </c>
      <c r="H258">
        <f>IFERROR(SUMIFS(TableauRecette[Proportion],TableauRecette[Recette],TableauRecette[[#This Row],[Recette]],TableauRecette[Conditionnement],TableauRecette[[#This Row],[Conditionnement]]),0)</f>
        <v>12</v>
      </c>
      <c r="I258">
        <f>_xlfn.XLOOKUP(TableauRecette[[#This Row],[Ingredients]],TableauIngredients[Ingredients],TableauIngredients[Prix d''achat (kg)],0,0,1)*TableauRecette[[#This Row],[Proportion]]/TableauRecette[[#This Row],[Total Proportion]]</f>
        <v>3.0708333333333333</v>
      </c>
      <c r="L258">
        <f>_xlfn.XLOOKUP(TableauRecette[[#This Row],[ID]],TableauProduit[ID],TableauProduit[Total (kg) N1],0,0,1)*_xlfn.XLOOKUP(TableauRecette[[#This Row],[ID]],TableauProduit[ID],TableauProduit[Total (kg) N1],0,0,1)</f>
        <v>0</v>
      </c>
      <c r="M258" t="e">
        <f>_xlfn.XLOOKUP(TableauRecette[[#This Row],[ID]],TableauProduit[ID],TableauProduit[Total (kg) N1],0,0,1)*_xlfn.XLOOKUP(TableauRecette[[#This Row],[ID]],TableauProduit[ID],TableauProduit[Total (kg) N2],0,0,1)</f>
        <v>#REF!</v>
      </c>
      <c r="N258" t="e">
        <f>_xlfn.XLOOKUP(TableauRecette[[#This Row],[ID]],TableauProduit[ID],TableauProduit[Total (kg) N3],0,0,1)*#REF!</f>
        <v>#REF!</v>
      </c>
      <c r="O258" t="e">
        <f>_xlfn.XLOOKUP(TableauRecette[[#This Row],[ID]],TableauProduit[ID],TableauProduit[Total (kg) N4],0,0,1)*#REF!</f>
        <v>#REF!</v>
      </c>
      <c r="P258" t="e">
        <f>_xlfn.XLOOKUP(TableauRecette[[#This Row],[ID]],TableauProduit[ID],TableauProduit[Total (kg) N5],0,0,1)*#REF!</f>
        <v>#REF!</v>
      </c>
      <c r="Q258" t="e">
        <f>_xlfn.XLOOKUP(TableauRecette[[#This Row],[ID]],TableauProduit[ID],TableauProduit[Total (kg) N6],0,0,1)*#REF!</f>
        <v>#REF!</v>
      </c>
      <c r="R258" t="e">
        <f>_xlfn.XLOOKUP(TableauRecette[[#This Row],[ID]],TableauProduit[ID],TableauProduit[Total (kg) N7],0,0,1)*#REF!</f>
        <v>#REF!</v>
      </c>
      <c r="S258" t="e">
        <f>_xlfn.XLOOKUP(TableauRecette[[#This Row],[ID]],TableauProduit[ID],TableauProduit[Total (kg) N8],0,0,1)*#REF!</f>
        <v>#REF!</v>
      </c>
      <c r="T258" t="e">
        <f>_xlfn.XLOOKUP(TableauRecette[[#This Row],[ID]],TableauProduit[ID],TableauProduit[Total (kg) N9],0,0,1)*#REF!</f>
        <v>#REF!</v>
      </c>
    </row>
    <row r="259" spans="1:20" x14ac:dyDescent="0.2">
      <c r="A259" t="s">
        <v>135</v>
      </c>
      <c r="B259" t="str">
        <f>TableauRecette[[#This Row],[Recette]]&amp;TableauRecette[[#This Row],[Conditionnement]]</f>
        <v>Pâte vindalooEpice 100ml</v>
      </c>
      <c r="C259" t="s">
        <v>435</v>
      </c>
      <c r="D259">
        <v>1</v>
      </c>
      <c r="E259" t="s">
        <v>73</v>
      </c>
      <c r="F259">
        <f>IFERROR(TableauRecette[[#This Row],[Proportion]]/SUMIFS(TableauRecette[Proportion],TableauRecette[Recette],TableauRecette[[#This Row],[Recette]],TableauRecette[Conditionnement],TableauRecette[[#This Row],[Conditionnement]]),0)</f>
        <v>8.3333333333333329E-2</v>
      </c>
      <c r="G259">
        <f>IFERROR(_xlfn.XLOOKUP(TableauRecette[[#This Row],[Ingredients]],TableauIngredients[Ingredients],#REF!,0)*#REF!,0)</f>
        <v>0</v>
      </c>
      <c r="H259">
        <f>IFERROR(SUMIFS(TableauRecette[Proportion],TableauRecette[Recette],TableauRecette[[#This Row],[Recette]],TableauRecette[Conditionnement],TableauRecette[[#This Row],[Conditionnement]]),0)</f>
        <v>12</v>
      </c>
      <c r="I25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59">
        <f>_xlfn.XLOOKUP(TableauRecette[[#This Row],[ID]],TableauProduit[ID],TableauProduit[Total (kg) N1],0,0,1)*_xlfn.XLOOKUP(TableauRecette[[#This Row],[ID]],TableauProduit[ID],TableauProduit[Total (kg) N1],0,0,1)</f>
        <v>0</v>
      </c>
      <c r="M259" t="e">
        <f>_xlfn.XLOOKUP(TableauRecette[[#This Row],[ID]],TableauProduit[ID],TableauProduit[Total (kg) N1],0,0,1)*_xlfn.XLOOKUP(TableauRecette[[#This Row],[ID]],TableauProduit[ID],TableauProduit[Total (kg) N2],0,0,1)</f>
        <v>#REF!</v>
      </c>
      <c r="N259" t="e">
        <f>_xlfn.XLOOKUP(TableauRecette[[#This Row],[ID]],TableauProduit[ID],TableauProduit[Total (kg) N3],0,0,1)*#REF!</f>
        <v>#REF!</v>
      </c>
      <c r="O259" t="e">
        <f>_xlfn.XLOOKUP(TableauRecette[[#This Row],[ID]],TableauProduit[ID],TableauProduit[Total (kg) N4],0,0,1)*#REF!</f>
        <v>#REF!</v>
      </c>
      <c r="P259" t="e">
        <f>_xlfn.XLOOKUP(TableauRecette[[#This Row],[ID]],TableauProduit[ID],TableauProduit[Total (kg) N5],0,0,1)*#REF!</f>
        <v>#REF!</v>
      </c>
      <c r="Q259" t="e">
        <f>_xlfn.XLOOKUP(TableauRecette[[#This Row],[ID]],TableauProduit[ID],TableauProduit[Total (kg) N6],0,0,1)*#REF!</f>
        <v>#REF!</v>
      </c>
      <c r="R259" t="e">
        <f>_xlfn.XLOOKUP(TableauRecette[[#This Row],[ID]],TableauProduit[ID],TableauProduit[Total (kg) N7],0,0,1)*#REF!</f>
        <v>#REF!</v>
      </c>
      <c r="S259" t="e">
        <f>_xlfn.XLOOKUP(TableauRecette[[#This Row],[ID]],TableauProduit[ID],TableauProduit[Total (kg) N8],0,0,1)*#REF!</f>
        <v>#REF!</v>
      </c>
      <c r="T259" t="e">
        <f>_xlfn.XLOOKUP(TableauRecette[[#This Row],[ID]],TableauProduit[ID],TableauProduit[Total (kg) N9],0,0,1)*#REF!</f>
        <v>#REF!</v>
      </c>
    </row>
    <row r="260" spans="1:20" x14ac:dyDescent="0.2">
      <c r="A260" t="s">
        <v>135</v>
      </c>
      <c r="B260" t="str">
        <f>TableauRecette[[#This Row],[Recette]]&amp;TableauRecette[[#This Row],[Conditionnement]]</f>
        <v>Pâte vindalooEpice 100ml</v>
      </c>
      <c r="C260" t="s">
        <v>369</v>
      </c>
      <c r="D260">
        <v>1</v>
      </c>
      <c r="E260" t="s">
        <v>73</v>
      </c>
      <c r="F260">
        <f>IFERROR(TableauRecette[[#This Row],[Proportion]]/SUMIFS(TableauRecette[Proportion],TableauRecette[Recette],TableauRecette[[#This Row],[Recette]],TableauRecette[Conditionnement],TableauRecette[[#This Row],[Conditionnement]]),0)</f>
        <v>8.3333333333333329E-2</v>
      </c>
      <c r="G260">
        <f>IFERROR(_xlfn.XLOOKUP(TableauRecette[[#This Row],[Ingredients]],TableauIngredients[Ingredients],#REF!,0)*#REF!,0)</f>
        <v>0</v>
      </c>
      <c r="H260">
        <f>IFERROR(SUMIFS(TableauRecette[Proportion],TableauRecette[Recette],TableauRecette[[#This Row],[Recette]],TableauRecette[Conditionnement],TableauRecette[[#This Row],[Conditionnement]]),0)</f>
        <v>12</v>
      </c>
      <c r="I260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60">
        <f>_xlfn.XLOOKUP(TableauRecette[[#This Row],[ID]],TableauProduit[ID],TableauProduit[Total (kg) N1],0,0,1)*_xlfn.XLOOKUP(TableauRecette[[#This Row],[ID]],TableauProduit[ID],TableauProduit[Total (kg) N1],0,0,1)</f>
        <v>0</v>
      </c>
      <c r="M260" t="e">
        <f>_xlfn.XLOOKUP(TableauRecette[[#This Row],[ID]],TableauProduit[ID],TableauProduit[Total (kg) N1],0,0,1)*_xlfn.XLOOKUP(TableauRecette[[#This Row],[ID]],TableauProduit[ID],TableauProduit[Total (kg) N2],0,0,1)</f>
        <v>#REF!</v>
      </c>
      <c r="N260" t="e">
        <f>_xlfn.XLOOKUP(TableauRecette[[#This Row],[ID]],TableauProduit[ID],TableauProduit[Total (kg) N3],0,0,1)*#REF!</f>
        <v>#REF!</v>
      </c>
      <c r="O260" t="e">
        <f>_xlfn.XLOOKUP(TableauRecette[[#This Row],[ID]],TableauProduit[ID],TableauProduit[Total (kg) N4],0,0,1)*#REF!</f>
        <v>#REF!</v>
      </c>
      <c r="P260" t="e">
        <f>_xlfn.XLOOKUP(TableauRecette[[#This Row],[ID]],TableauProduit[ID],TableauProduit[Total (kg) N5],0,0,1)*#REF!</f>
        <v>#REF!</v>
      </c>
      <c r="Q260" t="e">
        <f>_xlfn.XLOOKUP(TableauRecette[[#This Row],[ID]],TableauProduit[ID],TableauProduit[Total (kg) N6],0,0,1)*#REF!</f>
        <v>#REF!</v>
      </c>
      <c r="R260" t="e">
        <f>_xlfn.XLOOKUP(TableauRecette[[#This Row],[ID]],TableauProduit[ID],TableauProduit[Total (kg) N7],0,0,1)*#REF!</f>
        <v>#REF!</v>
      </c>
      <c r="S260" t="e">
        <f>_xlfn.XLOOKUP(TableauRecette[[#This Row],[ID]],TableauProduit[ID],TableauProduit[Total (kg) N8],0,0,1)*#REF!</f>
        <v>#REF!</v>
      </c>
      <c r="T260" t="e">
        <f>_xlfn.XLOOKUP(TableauRecette[[#This Row],[ID]],TableauProduit[ID],TableauProduit[Total (kg) N9],0,0,1)*#REF!</f>
        <v>#REF!</v>
      </c>
    </row>
    <row r="261" spans="1:20" x14ac:dyDescent="0.2">
      <c r="A261" t="s">
        <v>135</v>
      </c>
      <c r="B261" t="str">
        <f>TableauRecette[[#This Row],[Recette]]&amp;TableauRecette[[#This Row],[Conditionnement]]</f>
        <v>Pâte vindalooEpice 100ml</v>
      </c>
      <c r="C261" t="s">
        <v>350</v>
      </c>
      <c r="D261">
        <v>1</v>
      </c>
      <c r="E261" t="s">
        <v>73</v>
      </c>
      <c r="F261">
        <f>IFERROR(TableauRecette[[#This Row],[Proportion]]/SUMIFS(TableauRecette[Proportion],TableauRecette[Recette],TableauRecette[[#This Row],[Recette]],TableauRecette[Conditionnement],TableauRecette[[#This Row],[Conditionnement]]),0)</f>
        <v>8.3333333333333329E-2</v>
      </c>
      <c r="G261">
        <f>IFERROR(_xlfn.XLOOKUP(TableauRecette[[#This Row],[Ingredients]],TableauIngredients[Ingredients],#REF!,0)*#REF!,0)</f>
        <v>0</v>
      </c>
      <c r="H261">
        <f>IFERROR(SUMIFS(TableauRecette[Proportion],TableauRecette[Recette],TableauRecette[[#This Row],[Recette]],TableauRecette[Conditionnement],TableauRecette[[#This Row],[Conditionnement]]),0)</f>
        <v>12</v>
      </c>
      <c r="I261">
        <f>_xlfn.XLOOKUP(TableauRecette[[#This Row],[Ingredients]],TableauIngredients[Ingredients],TableauIngredients[Prix d''achat (kg)],0,0,1)*TableauRecette[[#This Row],[Proportion]]/TableauRecette[[#This Row],[Total Proportion]]</f>
        <v>3</v>
      </c>
      <c r="L261">
        <f>_xlfn.XLOOKUP(TableauRecette[[#This Row],[ID]],TableauProduit[ID],TableauProduit[Total (kg) N1],0,0,1)*_xlfn.XLOOKUP(TableauRecette[[#This Row],[ID]],TableauProduit[ID],TableauProduit[Total (kg) N1],0,0,1)</f>
        <v>0</v>
      </c>
      <c r="M261" t="e">
        <f>_xlfn.XLOOKUP(TableauRecette[[#This Row],[ID]],TableauProduit[ID],TableauProduit[Total (kg) N1],0,0,1)*_xlfn.XLOOKUP(TableauRecette[[#This Row],[ID]],TableauProduit[ID],TableauProduit[Total (kg) N2],0,0,1)</f>
        <v>#REF!</v>
      </c>
      <c r="N261" t="e">
        <f>_xlfn.XLOOKUP(TableauRecette[[#This Row],[ID]],TableauProduit[ID],TableauProduit[Total (kg) N3],0,0,1)*#REF!</f>
        <v>#REF!</v>
      </c>
      <c r="O261" t="e">
        <f>_xlfn.XLOOKUP(TableauRecette[[#This Row],[ID]],TableauProduit[ID],TableauProduit[Total (kg) N4],0,0,1)*#REF!</f>
        <v>#REF!</v>
      </c>
      <c r="P261" t="e">
        <f>_xlfn.XLOOKUP(TableauRecette[[#This Row],[ID]],TableauProduit[ID],TableauProduit[Total (kg) N5],0,0,1)*#REF!</f>
        <v>#REF!</v>
      </c>
      <c r="Q261" t="e">
        <f>_xlfn.XLOOKUP(TableauRecette[[#This Row],[ID]],TableauProduit[ID],TableauProduit[Total (kg) N6],0,0,1)*#REF!</f>
        <v>#REF!</v>
      </c>
      <c r="R261" t="e">
        <f>_xlfn.XLOOKUP(TableauRecette[[#This Row],[ID]],TableauProduit[ID],TableauProduit[Total (kg) N7],0,0,1)*#REF!</f>
        <v>#REF!</v>
      </c>
      <c r="S261" t="e">
        <f>_xlfn.XLOOKUP(TableauRecette[[#This Row],[ID]],TableauProduit[ID],TableauProduit[Total (kg) N8],0,0,1)*#REF!</f>
        <v>#REF!</v>
      </c>
      <c r="T261" t="e">
        <f>_xlfn.XLOOKUP(TableauRecette[[#This Row],[ID]],TableauProduit[ID],TableauProduit[Total (kg) N9],0,0,1)*#REF!</f>
        <v>#REF!</v>
      </c>
    </row>
    <row r="262" spans="1:20" x14ac:dyDescent="0.2">
      <c r="A262" t="s">
        <v>135</v>
      </c>
      <c r="B262" t="str">
        <f>TableauRecette[[#This Row],[Recette]]&amp;TableauRecette[[#This Row],[Conditionnement]]</f>
        <v>Pâte vindalooEpice 100ml</v>
      </c>
      <c r="C262" t="s">
        <v>342</v>
      </c>
      <c r="D262">
        <v>1</v>
      </c>
      <c r="E262" t="s">
        <v>73</v>
      </c>
      <c r="F262">
        <f>IFERROR(TableauRecette[[#This Row],[Proportion]]/SUMIFS(TableauRecette[Proportion],TableauRecette[Recette],TableauRecette[[#This Row],[Recette]],TableauRecette[Conditionnement],TableauRecette[[#This Row],[Conditionnement]]),0)</f>
        <v>8.3333333333333329E-2</v>
      </c>
      <c r="G262">
        <f>IFERROR(_xlfn.XLOOKUP(TableauRecette[[#This Row],[Ingredients]],TableauIngredients[Ingredients],#REF!,0)*#REF!,0)</f>
        <v>0</v>
      </c>
      <c r="H262">
        <f>IFERROR(SUMIFS(TableauRecette[Proportion],TableauRecette[Recette],TableauRecette[[#This Row],[Recette]],TableauRecette[Conditionnement],TableauRecette[[#This Row],[Conditionnement]]),0)</f>
        <v>12</v>
      </c>
      <c r="I26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62">
        <f>_xlfn.XLOOKUP(TableauRecette[[#This Row],[ID]],TableauProduit[ID],TableauProduit[Total (kg) N1],0,0,1)*_xlfn.XLOOKUP(TableauRecette[[#This Row],[ID]],TableauProduit[ID],TableauProduit[Total (kg) N1],0,0,1)</f>
        <v>0</v>
      </c>
      <c r="M262" t="e">
        <f>_xlfn.XLOOKUP(TableauRecette[[#This Row],[ID]],TableauProduit[ID],TableauProduit[Total (kg) N1],0,0,1)*_xlfn.XLOOKUP(TableauRecette[[#This Row],[ID]],TableauProduit[ID],TableauProduit[Total (kg) N2],0,0,1)</f>
        <v>#REF!</v>
      </c>
      <c r="N262" t="e">
        <f>_xlfn.XLOOKUP(TableauRecette[[#This Row],[ID]],TableauProduit[ID],TableauProduit[Total (kg) N3],0,0,1)*#REF!</f>
        <v>#REF!</v>
      </c>
      <c r="O262" t="e">
        <f>_xlfn.XLOOKUP(TableauRecette[[#This Row],[ID]],TableauProduit[ID],TableauProduit[Total (kg) N4],0,0,1)*#REF!</f>
        <v>#REF!</v>
      </c>
      <c r="P262" t="e">
        <f>_xlfn.XLOOKUP(TableauRecette[[#This Row],[ID]],TableauProduit[ID],TableauProduit[Total (kg) N5],0,0,1)*#REF!</f>
        <v>#REF!</v>
      </c>
      <c r="Q262" t="e">
        <f>_xlfn.XLOOKUP(TableauRecette[[#This Row],[ID]],TableauProduit[ID],TableauProduit[Total (kg) N6],0,0,1)*#REF!</f>
        <v>#REF!</v>
      </c>
      <c r="R262" t="e">
        <f>_xlfn.XLOOKUP(TableauRecette[[#This Row],[ID]],TableauProduit[ID],TableauProduit[Total (kg) N7],0,0,1)*#REF!</f>
        <v>#REF!</v>
      </c>
      <c r="S262" t="e">
        <f>_xlfn.XLOOKUP(TableauRecette[[#This Row],[ID]],TableauProduit[ID],TableauProduit[Total (kg) N8],0,0,1)*#REF!</f>
        <v>#REF!</v>
      </c>
      <c r="T262" t="e">
        <f>_xlfn.XLOOKUP(TableauRecette[[#This Row],[ID]],TableauProduit[ID],TableauProduit[Total (kg) N9],0,0,1)*#REF!</f>
        <v>#REF!</v>
      </c>
    </row>
    <row r="263" spans="1:20" x14ac:dyDescent="0.2">
      <c r="A263" t="s">
        <v>135</v>
      </c>
      <c r="B263" t="str">
        <f>TableauRecette[[#This Row],[Recette]]&amp;TableauRecette[[#This Row],[Conditionnement]]</f>
        <v>Pâte vindalooEpice 100ml</v>
      </c>
      <c r="C263" t="s">
        <v>400</v>
      </c>
      <c r="D263">
        <v>1</v>
      </c>
      <c r="E263" t="s">
        <v>73</v>
      </c>
      <c r="F263">
        <f>IFERROR(TableauRecette[[#This Row],[Proportion]]/SUMIFS(TableauRecette[Proportion],TableauRecette[Recette],TableauRecette[[#This Row],[Recette]],TableauRecette[Conditionnement],TableauRecette[[#This Row],[Conditionnement]]),0)</f>
        <v>8.3333333333333329E-2</v>
      </c>
      <c r="G263">
        <f>IFERROR(_xlfn.XLOOKUP(TableauRecette[[#This Row],[Ingredients]],TableauIngredients[Ingredients],#REF!,0)*#REF!,0)</f>
        <v>0</v>
      </c>
      <c r="H263">
        <f>IFERROR(SUMIFS(TableauRecette[Proportion],TableauRecette[Recette],TableauRecette[[#This Row],[Recette]],TableauRecette[Conditionnement],TableauRecette[[#This Row],[Conditionnement]]),0)</f>
        <v>12</v>
      </c>
      <c r="I263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63">
        <f>_xlfn.XLOOKUP(TableauRecette[[#This Row],[ID]],TableauProduit[ID],TableauProduit[Total (kg) N1],0,0,1)*_xlfn.XLOOKUP(TableauRecette[[#This Row],[ID]],TableauProduit[ID],TableauProduit[Total (kg) N1],0,0,1)</f>
        <v>0</v>
      </c>
      <c r="M263" t="e">
        <f>_xlfn.XLOOKUP(TableauRecette[[#This Row],[ID]],TableauProduit[ID],TableauProduit[Total (kg) N1],0,0,1)*_xlfn.XLOOKUP(TableauRecette[[#This Row],[ID]],TableauProduit[ID],TableauProduit[Total (kg) N2],0,0,1)</f>
        <v>#REF!</v>
      </c>
      <c r="N263" t="e">
        <f>_xlfn.XLOOKUP(TableauRecette[[#This Row],[ID]],TableauProduit[ID],TableauProduit[Total (kg) N3],0,0,1)*#REF!</f>
        <v>#REF!</v>
      </c>
      <c r="O263" t="e">
        <f>_xlfn.XLOOKUP(TableauRecette[[#This Row],[ID]],TableauProduit[ID],TableauProduit[Total (kg) N4],0,0,1)*#REF!</f>
        <v>#REF!</v>
      </c>
      <c r="P263" t="e">
        <f>_xlfn.XLOOKUP(TableauRecette[[#This Row],[ID]],TableauProduit[ID],TableauProduit[Total (kg) N5],0,0,1)*#REF!</f>
        <v>#REF!</v>
      </c>
      <c r="Q263" t="e">
        <f>_xlfn.XLOOKUP(TableauRecette[[#This Row],[ID]],TableauProduit[ID],TableauProduit[Total (kg) N6],0,0,1)*#REF!</f>
        <v>#REF!</v>
      </c>
      <c r="R263" t="e">
        <f>_xlfn.XLOOKUP(TableauRecette[[#This Row],[ID]],TableauProduit[ID],TableauProduit[Total (kg) N7],0,0,1)*#REF!</f>
        <v>#REF!</v>
      </c>
      <c r="S263" t="e">
        <f>_xlfn.XLOOKUP(TableauRecette[[#This Row],[ID]],TableauProduit[ID],TableauProduit[Total (kg) N8],0,0,1)*#REF!</f>
        <v>#REF!</v>
      </c>
      <c r="T263" t="e">
        <f>_xlfn.XLOOKUP(TableauRecette[[#This Row],[ID]],TableauProduit[ID],TableauProduit[Total (kg) N9],0,0,1)*#REF!</f>
        <v>#REF!</v>
      </c>
    </row>
    <row r="264" spans="1:20" x14ac:dyDescent="0.2">
      <c r="A264" t="s">
        <v>135</v>
      </c>
      <c r="B264" t="str">
        <f>TableauRecette[[#This Row],[Recette]]&amp;TableauRecette[[#This Row],[Conditionnement]]</f>
        <v>Pâte vindalooEpice 100ml</v>
      </c>
      <c r="C264" t="s">
        <v>371</v>
      </c>
      <c r="D264">
        <v>1</v>
      </c>
      <c r="E264" t="s">
        <v>73</v>
      </c>
      <c r="F264">
        <f>IFERROR(TableauRecette[[#This Row],[Proportion]]/SUMIFS(TableauRecette[Proportion],TableauRecette[Recette],TableauRecette[[#This Row],[Recette]],TableauRecette[Conditionnement],TableauRecette[[#This Row],[Conditionnement]]),0)</f>
        <v>8.3333333333333329E-2</v>
      </c>
      <c r="G264">
        <f>IFERROR(_xlfn.XLOOKUP(TableauRecette[[#This Row],[Ingredients]],TableauIngredients[Ingredients],#REF!,0)*#REF!,0)</f>
        <v>0</v>
      </c>
      <c r="H264">
        <f>IFERROR(SUMIFS(TableauRecette[Proportion],TableauRecette[Recette],TableauRecette[[#This Row],[Recette]],TableauRecette[Conditionnement],TableauRecette[[#This Row],[Conditionnement]]),0)</f>
        <v>12</v>
      </c>
      <c r="I264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64">
        <f>_xlfn.XLOOKUP(TableauRecette[[#This Row],[ID]],TableauProduit[ID],TableauProduit[Total (kg) N1],0,0,1)*_xlfn.XLOOKUP(TableauRecette[[#This Row],[ID]],TableauProduit[ID],TableauProduit[Total (kg) N1],0,0,1)</f>
        <v>0</v>
      </c>
      <c r="M264" t="e">
        <f>_xlfn.XLOOKUP(TableauRecette[[#This Row],[ID]],TableauProduit[ID],TableauProduit[Total (kg) N1],0,0,1)*_xlfn.XLOOKUP(TableauRecette[[#This Row],[ID]],TableauProduit[ID],TableauProduit[Total (kg) N2],0,0,1)</f>
        <v>#REF!</v>
      </c>
      <c r="N264" t="e">
        <f>_xlfn.XLOOKUP(TableauRecette[[#This Row],[ID]],TableauProduit[ID],TableauProduit[Total (kg) N3],0,0,1)*#REF!</f>
        <v>#REF!</v>
      </c>
      <c r="O264" t="e">
        <f>_xlfn.XLOOKUP(TableauRecette[[#This Row],[ID]],TableauProduit[ID],TableauProduit[Total (kg) N4],0,0,1)*#REF!</f>
        <v>#REF!</v>
      </c>
      <c r="P264" t="e">
        <f>_xlfn.XLOOKUP(TableauRecette[[#This Row],[ID]],TableauProduit[ID],TableauProduit[Total (kg) N5],0,0,1)*#REF!</f>
        <v>#REF!</v>
      </c>
      <c r="Q264" t="e">
        <f>_xlfn.XLOOKUP(TableauRecette[[#This Row],[ID]],TableauProduit[ID],TableauProduit[Total (kg) N6],0,0,1)*#REF!</f>
        <v>#REF!</v>
      </c>
      <c r="R264" t="e">
        <f>_xlfn.XLOOKUP(TableauRecette[[#This Row],[ID]],TableauProduit[ID],TableauProduit[Total (kg) N7],0,0,1)*#REF!</f>
        <v>#REF!</v>
      </c>
      <c r="S264" t="e">
        <f>_xlfn.XLOOKUP(TableauRecette[[#This Row],[ID]],TableauProduit[ID],TableauProduit[Total (kg) N8],0,0,1)*#REF!</f>
        <v>#REF!</v>
      </c>
      <c r="T264" t="e">
        <f>_xlfn.XLOOKUP(TableauRecette[[#This Row],[ID]],TableauProduit[ID],TableauProduit[Total (kg) N9],0,0,1)*#REF!</f>
        <v>#REF!</v>
      </c>
    </row>
    <row r="265" spans="1:20" x14ac:dyDescent="0.2">
      <c r="A265" t="s">
        <v>135</v>
      </c>
      <c r="B265" t="str">
        <f>TableauRecette[[#This Row],[Recette]]&amp;TableauRecette[[#This Row],[Conditionnement]]</f>
        <v>Pâte vindalooEpice 100ml</v>
      </c>
      <c r="C265" t="s">
        <v>425</v>
      </c>
      <c r="D265">
        <v>1</v>
      </c>
      <c r="E265" t="s">
        <v>73</v>
      </c>
      <c r="F265">
        <f>IFERROR(TableauRecette[[#This Row],[Proportion]]/SUMIFS(TableauRecette[Proportion],TableauRecette[Recette],TableauRecette[[#This Row],[Recette]],TableauRecette[Conditionnement],TableauRecette[[#This Row],[Conditionnement]]),0)</f>
        <v>8.3333333333333329E-2</v>
      </c>
      <c r="G265">
        <f>IFERROR(_xlfn.XLOOKUP(TableauRecette[[#This Row],[Ingredients]],TableauIngredients[Ingredients],#REF!,0)*#REF!,0)</f>
        <v>0</v>
      </c>
      <c r="H265">
        <f>IFERROR(SUMIFS(TableauRecette[Proportion],TableauRecette[Recette],TableauRecette[[#This Row],[Recette]],TableauRecette[Conditionnement],TableauRecette[[#This Row],[Conditionnement]]),0)</f>
        <v>12</v>
      </c>
      <c r="I265">
        <f>_xlfn.XLOOKUP(TableauRecette[[#This Row],[Ingredients]],TableauIngredients[Ingredients],TableauIngredients[Prix d''achat (kg)],0,0,1)*TableauRecette[[#This Row],[Proportion]]/TableauRecette[[#This Row],[Total Proportion]]</f>
        <v>0.32016666666666665</v>
      </c>
      <c r="L265">
        <f>_xlfn.XLOOKUP(TableauRecette[[#This Row],[ID]],TableauProduit[ID],TableauProduit[Total (kg) N1],0,0,1)*_xlfn.XLOOKUP(TableauRecette[[#This Row],[ID]],TableauProduit[ID],TableauProduit[Total (kg) N1],0,0,1)</f>
        <v>0</v>
      </c>
      <c r="M265" t="e">
        <f>_xlfn.XLOOKUP(TableauRecette[[#This Row],[ID]],TableauProduit[ID],TableauProduit[Total (kg) N1],0,0,1)*_xlfn.XLOOKUP(TableauRecette[[#This Row],[ID]],TableauProduit[ID],TableauProduit[Total (kg) N2],0,0,1)</f>
        <v>#REF!</v>
      </c>
      <c r="N265" t="e">
        <f>_xlfn.XLOOKUP(TableauRecette[[#This Row],[ID]],TableauProduit[ID],TableauProduit[Total (kg) N3],0,0,1)*#REF!</f>
        <v>#REF!</v>
      </c>
      <c r="O265" t="e">
        <f>_xlfn.XLOOKUP(TableauRecette[[#This Row],[ID]],TableauProduit[ID],TableauProduit[Total (kg) N4],0,0,1)*#REF!</f>
        <v>#REF!</v>
      </c>
      <c r="P265" t="e">
        <f>_xlfn.XLOOKUP(TableauRecette[[#This Row],[ID]],TableauProduit[ID],TableauProduit[Total (kg) N5],0,0,1)*#REF!</f>
        <v>#REF!</v>
      </c>
      <c r="Q265" t="e">
        <f>_xlfn.XLOOKUP(TableauRecette[[#This Row],[ID]],TableauProduit[ID],TableauProduit[Total (kg) N6],0,0,1)*#REF!</f>
        <v>#REF!</v>
      </c>
      <c r="R265" t="e">
        <f>_xlfn.XLOOKUP(TableauRecette[[#This Row],[ID]],TableauProduit[ID],TableauProduit[Total (kg) N7],0,0,1)*#REF!</f>
        <v>#REF!</v>
      </c>
      <c r="S265" t="e">
        <f>_xlfn.XLOOKUP(TableauRecette[[#This Row],[ID]],TableauProduit[ID],TableauProduit[Total (kg) N8],0,0,1)*#REF!</f>
        <v>#REF!</v>
      </c>
      <c r="T265" t="e">
        <f>_xlfn.XLOOKUP(TableauRecette[[#This Row],[ID]],TableauProduit[ID],TableauProduit[Total (kg) N9],0,0,1)*#REF!</f>
        <v>#REF!</v>
      </c>
    </row>
    <row r="266" spans="1:20" x14ac:dyDescent="0.2">
      <c r="A266" t="s">
        <v>135</v>
      </c>
      <c r="B266" t="str">
        <f>TableauRecette[[#This Row],[Recette]]&amp;TableauRecette[[#This Row],[Conditionnement]]</f>
        <v>Pâte vindalooEpice 100ml</v>
      </c>
      <c r="C266" t="s">
        <v>364</v>
      </c>
      <c r="D266">
        <v>1</v>
      </c>
      <c r="E266" t="s">
        <v>73</v>
      </c>
      <c r="F266">
        <f>IFERROR(TableauRecette[[#This Row],[Proportion]]/SUMIFS(TableauRecette[Proportion],TableauRecette[Recette],TableauRecette[[#This Row],[Recette]],TableauRecette[Conditionnement],TableauRecette[[#This Row],[Conditionnement]]),0)</f>
        <v>8.3333333333333329E-2</v>
      </c>
      <c r="G266">
        <f>IFERROR(_xlfn.XLOOKUP(TableauRecette[[#This Row],[Ingredients]],TableauIngredients[Ingredients],#REF!,0)*#REF!,0)</f>
        <v>0</v>
      </c>
      <c r="H266">
        <f>IFERROR(SUMIFS(TableauRecette[Proportion],TableauRecette[Recette],TableauRecette[[#This Row],[Recette]],TableauRecette[Conditionnement],TableauRecette[[#This Row],[Conditionnement]]),0)</f>
        <v>12</v>
      </c>
      <c r="I266">
        <f>_xlfn.XLOOKUP(TableauRecette[[#This Row],[Ingredients]],TableauIngredients[Ingredients],TableauIngredients[Prix d''achat (kg)],0,0,1)*TableauRecette[[#This Row],[Proportion]]/TableauRecette[[#This Row],[Total Proportion]]</f>
        <v>0.11666666666666665</v>
      </c>
      <c r="L266">
        <f>_xlfn.XLOOKUP(TableauRecette[[#This Row],[ID]],TableauProduit[ID],TableauProduit[Total (kg) N1],0,0,1)*_xlfn.XLOOKUP(TableauRecette[[#This Row],[ID]],TableauProduit[ID],TableauProduit[Total (kg) N1],0,0,1)</f>
        <v>0</v>
      </c>
      <c r="M266" t="e">
        <f>_xlfn.XLOOKUP(TableauRecette[[#This Row],[ID]],TableauProduit[ID],TableauProduit[Total (kg) N1],0,0,1)*_xlfn.XLOOKUP(TableauRecette[[#This Row],[ID]],TableauProduit[ID],TableauProduit[Total (kg) N2],0,0,1)</f>
        <v>#REF!</v>
      </c>
      <c r="N266" t="e">
        <f>_xlfn.XLOOKUP(TableauRecette[[#This Row],[ID]],TableauProduit[ID],TableauProduit[Total (kg) N3],0,0,1)*#REF!</f>
        <v>#REF!</v>
      </c>
      <c r="O266" t="e">
        <f>_xlfn.XLOOKUP(TableauRecette[[#This Row],[ID]],TableauProduit[ID],TableauProduit[Total (kg) N4],0,0,1)*#REF!</f>
        <v>#REF!</v>
      </c>
      <c r="P266" t="e">
        <f>_xlfn.XLOOKUP(TableauRecette[[#This Row],[ID]],TableauProduit[ID],TableauProduit[Total (kg) N5],0,0,1)*#REF!</f>
        <v>#REF!</v>
      </c>
      <c r="Q266" t="e">
        <f>_xlfn.XLOOKUP(TableauRecette[[#This Row],[ID]],TableauProduit[ID],TableauProduit[Total (kg) N6],0,0,1)*#REF!</f>
        <v>#REF!</v>
      </c>
      <c r="R266" t="e">
        <f>_xlfn.XLOOKUP(TableauRecette[[#This Row],[ID]],TableauProduit[ID],TableauProduit[Total (kg) N7],0,0,1)*#REF!</f>
        <v>#REF!</v>
      </c>
      <c r="S266" t="e">
        <f>_xlfn.XLOOKUP(TableauRecette[[#This Row],[ID]],TableauProduit[ID],TableauProduit[Total (kg) N8],0,0,1)*#REF!</f>
        <v>#REF!</v>
      </c>
      <c r="T266" t="e">
        <f>_xlfn.XLOOKUP(TableauRecette[[#This Row],[ID]],TableauProduit[ID],TableauProduit[Total (kg) N9],0,0,1)*#REF!</f>
        <v>#REF!</v>
      </c>
    </row>
    <row r="267" spans="1:20" x14ac:dyDescent="0.2">
      <c r="A267" t="s">
        <v>135</v>
      </c>
      <c r="B267" t="str">
        <f>TableauRecette[[#This Row],[Recette]]&amp;TableauRecette[[#This Row],[Conditionnement]]</f>
        <v>Pâte vindalooEpice 100ml</v>
      </c>
      <c r="C267" t="s">
        <v>436</v>
      </c>
      <c r="D267">
        <v>1</v>
      </c>
      <c r="E267" t="s">
        <v>73</v>
      </c>
      <c r="F267">
        <f>IFERROR(TableauRecette[[#This Row],[Proportion]]/SUMIFS(TableauRecette[Proportion],TableauRecette[Recette],TableauRecette[[#This Row],[Recette]],TableauRecette[Conditionnement],TableauRecette[[#This Row],[Conditionnement]]),0)</f>
        <v>8.3333333333333329E-2</v>
      </c>
      <c r="G267">
        <f>IFERROR(_xlfn.XLOOKUP(TableauRecette[[#This Row],[Ingredients]],TableauIngredients[Ingredients],#REF!,0)*#REF!,0)</f>
        <v>0</v>
      </c>
      <c r="H267">
        <f>IFERROR(SUMIFS(TableauRecette[Proportion],TableauRecette[Recette],TableauRecette[[#This Row],[Recette]],TableauRecette[Conditionnement],TableauRecette[[#This Row],[Conditionnement]]),0)</f>
        <v>12</v>
      </c>
      <c r="I26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67">
        <f>_xlfn.XLOOKUP(TableauRecette[[#This Row],[ID]],TableauProduit[ID],TableauProduit[Total (kg) N1],0,0,1)*_xlfn.XLOOKUP(TableauRecette[[#This Row],[ID]],TableauProduit[ID],TableauProduit[Total (kg) N1],0,0,1)</f>
        <v>0</v>
      </c>
      <c r="M267" t="e">
        <f>_xlfn.XLOOKUP(TableauRecette[[#This Row],[ID]],TableauProduit[ID],TableauProduit[Total (kg) N1],0,0,1)*_xlfn.XLOOKUP(TableauRecette[[#This Row],[ID]],TableauProduit[ID],TableauProduit[Total (kg) N2],0,0,1)</f>
        <v>#REF!</v>
      </c>
      <c r="N267" t="e">
        <f>_xlfn.XLOOKUP(TableauRecette[[#This Row],[ID]],TableauProduit[ID],TableauProduit[Total (kg) N3],0,0,1)*#REF!</f>
        <v>#REF!</v>
      </c>
      <c r="O267" t="e">
        <f>_xlfn.XLOOKUP(TableauRecette[[#This Row],[ID]],TableauProduit[ID],TableauProduit[Total (kg) N4],0,0,1)*#REF!</f>
        <v>#REF!</v>
      </c>
      <c r="P267" t="e">
        <f>_xlfn.XLOOKUP(TableauRecette[[#This Row],[ID]],TableauProduit[ID],TableauProduit[Total (kg) N5],0,0,1)*#REF!</f>
        <v>#REF!</v>
      </c>
      <c r="Q267" t="e">
        <f>_xlfn.XLOOKUP(TableauRecette[[#This Row],[ID]],TableauProduit[ID],TableauProduit[Total (kg) N6],0,0,1)*#REF!</f>
        <v>#REF!</v>
      </c>
      <c r="R267" t="e">
        <f>_xlfn.XLOOKUP(TableauRecette[[#This Row],[ID]],TableauProduit[ID],TableauProduit[Total (kg) N7],0,0,1)*#REF!</f>
        <v>#REF!</v>
      </c>
      <c r="S267" t="e">
        <f>_xlfn.XLOOKUP(TableauRecette[[#This Row],[ID]],TableauProduit[ID],TableauProduit[Total (kg) N8],0,0,1)*#REF!</f>
        <v>#REF!</v>
      </c>
      <c r="T267" t="e">
        <f>_xlfn.XLOOKUP(TableauRecette[[#This Row],[ID]],TableauProduit[ID],TableauProduit[Total (kg) N9],0,0,1)*#REF!</f>
        <v>#REF!</v>
      </c>
    </row>
    <row r="268" spans="1:20" x14ac:dyDescent="0.2">
      <c r="A268" t="s">
        <v>139</v>
      </c>
      <c r="B268" t="str">
        <f>TableauRecette[[#This Row],[Recette]]&amp;TableauRecette[[#This Row],[Conditionnement]]</f>
        <v>Quatre épicesEpice 100ml</v>
      </c>
      <c r="C268" t="s">
        <v>348</v>
      </c>
      <c r="D268">
        <v>20</v>
      </c>
      <c r="E268" t="s">
        <v>73</v>
      </c>
      <c r="F268">
        <f>IFERROR(TableauRecette[[#This Row],[Proportion]]/SUMIFS(TableauRecette[Proportion],TableauRecette[Recette],TableauRecette[[#This Row],[Recette]],TableauRecette[Conditionnement],TableauRecette[[#This Row],[Conditionnement]]),0)</f>
        <v>0.45454545454545453</v>
      </c>
      <c r="G268">
        <f>IFERROR(_xlfn.XLOOKUP(TableauRecette[[#This Row],[Ingredients]],TableauIngredients[Ingredients],#REF!,0)*#REF!,0)</f>
        <v>0</v>
      </c>
      <c r="H268">
        <f>IFERROR(SUMIFS(TableauRecette[Proportion],TableauRecette[Recette],TableauRecette[[#This Row],[Recette]],TableauRecette[Conditionnement],TableauRecette[[#This Row],[Conditionnement]]),0)</f>
        <v>44</v>
      </c>
      <c r="I268">
        <f>_xlfn.XLOOKUP(TableauRecette[[#This Row],[Ingredients]],TableauIngredients[Ingredients],TableauIngredients[Prix d''achat (kg)],0,0,1)*TableauRecette[[#This Row],[Proportion]]/TableauRecette[[#This Row],[Total Proportion]]</f>
        <v>16.75</v>
      </c>
      <c r="L268">
        <f>_xlfn.XLOOKUP(TableauRecette[[#This Row],[ID]],TableauProduit[ID],TableauProduit[Total (kg) N1],0,0,1)*_xlfn.XLOOKUP(TableauRecette[[#This Row],[ID]],TableauProduit[ID],TableauProduit[Total (kg) N1],0,0,1)</f>
        <v>0</v>
      </c>
      <c r="M268" t="e">
        <f>_xlfn.XLOOKUP(TableauRecette[[#This Row],[ID]],TableauProduit[ID],TableauProduit[Total (kg) N1],0,0,1)*_xlfn.XLOOKUP(TableauRecette[[#This Row],[ID]],TableauProduit[ID],TableauProduit[Total (kg) N2],0,0,1)</f>
        <v>#REF!</v>
      </c>
      <c r="N268" t="e">
        <f>_xlfn.XLOOKUP(TableauRecette[[#This Row],[ID]],TableauProduit[ID],TableauProduit[Total (kg) N3],0,0,1)*#REF!</f>
        <v>#REF!</v>
      </c>
      <c r="O268" t="e">
        <f>_xlfn.XLOOKUP(TableauRecette[[#This Row],[ID]],TableauProduit[ID],TableauProduit[Total (kg) N4],0,0,1)*#REF!</f>
        <v>#REF!</v>
      </c>
      <c r="P268" t="e">
        <f>_xlfn.XLOOKUP(TableauRecette[[#This Row],[ID]],TableauProduit[ID],TableauProduit[Total (kg) N5],0,0,1)*#REF!</f>
        <v>#REF!</v>
      </c>
      <c r="Q268" t="e">
        <f>_xlfn.XLOOKUP(TableauRecette[[#This Row],[ID]],TableauProduit[ID],TableauProduit[Total (kg) N6],0,0,1)*#REF!</f>
        <v>#REF!</v>
      </c>
      <c r="R268" t="e">
        <f>_xlfn.XLOOKUP(TableauRecette[[#This Row],[ID]],TableauProduit[ID],TableauProduit[Total (kg) N7],0,0,1)*#REF!</f>
        <v>#REF!</v>
      </c>
      <c r="S268" t="e">
        <f>_xlfn.XLOOKUP(TableauRecette[[#This Row],[ID]],TableauProduit[ID],TableauProduit[Total (kg) N8],0,0,1)*#REF!</f>
        <v>#REF!</v>
      </c>
      <c r="T268" t="e">
        <f>_xlfn.XLOOKUP(TableauRecette[[#This Row],[ID]],TableauProduit[ID],TableauProduit[Total (kg) N9],0,0,1)*#REF!</f>
        <v>#REF!</v>
      </c>
    </row>
    <row r="269" spans="1:20" x14ac:dyDescent="0.2">
      <c r="A269" t="s">
        <v>139</v>
      </c>
      <c r="B269" t="str">
        <f>TableauRecette[[#This Row],[Recette]]&amp;TableauRecette[[#This Row],[Conditionnement]]</f>
        <v>Quatre épicesEpice 100ml</v>
      </c>
      <c r="C269" t="s">
        <v>399</v>
      </c>
      <c r="D269">
        <v>6</v>
      </c>
      <c r="E269" t="s">
        <v>73</v>
      </c>
      <c r="F269">
        <f>IFERROR(TableauRecette[[#This Row],[Proportion]]/SUMIFS(TableauRecette[Proportion],TableauRecette[Recette],TableauRecette[[#This Row],[Recette]],TableauRecette[Conditionnement],TableauRecette[[#This Row],[Conditionnement]]),0)</f>
        <v>0.13636363636363635</v>
      </c>
      <c r="G269">
        <f>IFERROR(_xlfn.XLOOKUP(TableauRecette[[#This Row],[Ingredients]],TableauIngredients[Ingredients],#REF!,0)*#REF!,0)</f>
        <v>0</v>
      </c>
      <c r="H269">
        <f>IFERROR(SUMIFS(TableauRecette[Proportion],TableauRecette[Recette],TableauRecette[[#This Row],[Recette]],TableauRecette[Conditionnement],TableauRecette[[#This Row],[Conditionnement]]),0)</f>
        <v>44</v>
      </c>
      <c r="I26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69">
        <f>_xlfn.XLOOKUP(TableauRecette[[#This Row],[ID]],TableauProduit[ID],TableauProduit[Total (kg) N1],0,0,1)*_xlfn.XLOOKUP(TableauRecette[[#This Row],[ID]],TableauProduit[ID],TableauProduit[Total (kg) N1],0,0,1)</f>
        <v>0</v>
      </c>
      <c r="M269" t="e">
        <f>_xlfn.XLOOKUP(TableauRecette[[#This Row],[ID]],TableauProduit[ID],TableauProduit[Total (kg) N1],0,0,1)*_xlfn.XLOOKUP(TableauRecette[[#This Row],[ID]],TableauProduit[ID],TableauProduit[Total (kg) N2],0,0,1)</f>
        <v>#REF!</v>
      </c>
      <c r="N269" t="e">
        <f>_xlfn.XLOOKUP(TableauRecette[[#This Row],[ID]],TableauProduit[ID],TableauProduit[Total (kg) N3],0,0,1)*#REF!</f>
        <v>#REF!</v>
      </c>
      <c r="O269" t="e">
        <f>_xlfn.XLOOKUP(TableauRecette[[#This Row],[ID]],TableauProduit[ID],TableauProduit[Total (kg) N4],0,0,1)*#REF!</f>
        <v>#REF!</v>
      </c>
      <c r="P269" t="e">
        <f>_xlfn.XLOOKUP(TableauRecette[[#This Row],[ID]],TableauProduit[ID],TableauProduit[Total (kg) N5],0,0,1)*#REF!</f>
        <v>#REF!</v>
      </c>
      <c r="Q269" t="e">
        <f>_xlfn.XLOOKUP(TableauRecette[[#This Row],[ID]],TableauProduit[ID],TableauProduit[Total (kg) N6],0,0,1)*#REF!</f>
        <v>#REF!</v>
      </c>
      <c r="R269" t="e">
        <f>_xlfn.XLOOKUP(TableauRecette[[#This Row],[ID]],TableauProduit[ID],TableauProduit[Total (kg) N7],0,0,1)*#REF!</f>
        <v>#REF!</v>
      </c>
      <c r="S269" t="e">
        <f>_xlfn.XLOOKUP(TableauRecette[[#This Row],[ID]],TableauProduit[ID],TableauProduit[Total (kg) N8],0,0,1)*#REF!</f>
        <v>#REF!</v>
      </c>
      <c r="T269" t="e">
        <f>_xlfn.XLOOKUP(TableauRecette[[#This Row],[ID]],TableauProduit[ID],TableauProduit[Total (kg) N9],0,0,1)*#REF!</f>
        <v>#REF!</v>
      </c>
    </row>
    <row r="270" spans="1:20" x14ac:dyDescent="0.2">
      <c r="A270" t="s">
        <v>139</v>
      </c>
      <c r="B270" t="str">
        <f>TableauRecette[[#This Row],[Recette]]&amp;TableauRecette[[#This Row],[Conditionnement]]</f>
        <v>Quatre épicesEpice 100ml</v>
      </c>
      <c r="C270" t="s">
        <v>350</v>
      </c>
      <c r="D270">
        <v>6</v>
      </c>
      <c r="E270" t="s">
        <v>73</v>
      </c>
      <c r="F270">
        <f>IFERROR(TableauRecette[[#This Row],[Proportion]]/SUMIFS(TableauRecette[Proportion],TableauRecette[Recette],TableauRecette[[#This Row],[Recette]],TableauRecette[Conditionnement],TableauRecette[[#This Row],[Conditionnement]]),0)</f>
        <v>0.13636363636363635</v>
      </c>
      <c r="G270">
        <f>IFERROR(_xlfn.XLOOKUP(TableauRecette[[#This Row],[Ingredients]],TableauIngredients[Ingredients],#REF!,0)*#REF!,0)</f>
        <v>0</v>
      </c>
      <c r="H270">
        <f>IFERROR(SUMIFS(TableauRecette[Proportion],TableauRecette[Recette],TableauRecette[[#This Row],[Recette]],TableauRecette[Conditionnement],TableauRecette[[#This Row],[Conditionnement]]),0)</f>
        <v>44</v>
      </c>
      <c r="I270">
        <f>_xlfn.XLOOKUP(TableauRecette[[#This Row],[Ingredients]],TableauIngredients[Ingredients],TableauIngredients[Prix d''achat (kg)],0,0,1)*TableauRecette[[#This Row],[Proportion]]/TableauRecette[[#This Row],[Total Proportion]]</f>
        <v>4.9090909090909092</v>
      </c>
      <c r="L270">
        <f>_xlfn.XLOOKUP(TableauRecette[[#This Row],[ID]],TableauProduit[ID],TableauProduit[Total (kg) N1],0,0,1)*_xlfn.XLOOKUP(TableauRecette[[#This Row],[ID]],TableauProduit[ID],TableauProduit[Total (kg) N1],0,0,1)</f>
        <v>0</v>
      </c>
      <c r="M270" t="e">
        <f>_xlfn.XLOOKUP(TableauRecette[[#This Row],[ID]],TableauProduit[ID],TableauProduit[Total (kg) N1],0,0,1)*_xlfn.XLOOKUP(TableauRecette[[#This Row],[ID]],TableauProduit[ID],TableauProduit[Total (kg) N2],0,0,1)</f>
        <v>#REF!</v>
      </c>
      <c r="N270" t="e">
        <f>_xlfn.XLOOKUP(TableauRecette[[#This Row],[ID]],TableauProduit[ID],TableauProduit[Total (kg) N3],0,0,1)*#REF!</f>
        <v>#REF!</v>
      </c>
      <c r="O270" t="e">
        <f>_xlfn.XLOOKUP(TableauRecette[[#This Row],[ID]],TableauProduit[ID],TableauProduit[Total (kg) N4],0,0,1)*#REF!</f>
        <v>#REF!</v>
      </c>
      <c r="P270" t="e">
        <f>_xlfn.XLOOKUP(TableauRecette[[#This Row],[ID]],TableauProduit[ID],TableauProduit[Total (kg) N5],0,0,1)*#REF!</f>
        <v>#REF!</v>
      </c>
      <c r="Q270" t="e">
        <f>_xlfn.XLOOKUP(TableauRecette[[#This Row],[ID]],TableauProduit[ID],TableauProduit[Total (kg) N6],0,0,1)*#REF!</f>
        <v>#REF!</v>
      </c>
      <c r="R270" t="e">
        <f>_xlfn.XLOOKUP(TableauRecette[[#This Row],[ID]],TableauProduit[ID],TableauProduit[Total (kg) N7],0,0,1)*#REF!</f>
        <v>#REF!</v>
      </c>
      <c r="S270" t="e">
        <f>_xlfn.XLOOKUP(TableauRecette[[#This Row],[ID]],TableauProduit[ID],TableauProduit[Total (kg) N8],0,0,1)*#REF!</f>
        <v>#REF!</v>
      </c>
      <c r="T270" t="e">
        <f>_xlfn.XLOOKUP(TableauRecette[[#This Row],[ID]],TableauProduit[ID],TableauProduit[Total (kg) N9],0,0,1)*#REF!</f>
        <v>#REF!</v>
      </c>
    </row>
    <row r="271" spans="1:20" x14ac:dyDescent="0.2">
      <c r="A271" t="s">
        <v>139</v>
      </c>
      <c r="B271" t="str">
        <f>TableauRecette[[#This Row],[Recette]]&amp;TableauRecette[[#This Row],[Conditionnement]]</f>
        <v>Quatre épicesEpice 100ml</v>
      </c>
      <c r="C271" t="s">
        <v>344</v>
      </c>
      <c r="D271">
        <v>6</v>
      </c>
      <c r="E271" t="s">
        <v>73</v>
      </c>
      <c r="F271">
        <f>IFERROR(TableauRecette[[#This Row],[Proportion]]/SUMIFS(TableauRecette[Proportion],TableauRecette[Recette],TableauRecette[[#This Row],[Recette]],TableauRecette[Conditionnement],TableauRecette[[#This Row],[Conditionnement]]),0)</f>
        <v>0.13636363636363635</v>
      </c>
      <c r="G271">
        <f>IFERROR(_xlfn.XLOOKUP(TableauRecette[[#This Row],[Ingredients]],TableauIngredients[Ingredients],#REF!,0)*#REF!,0)</f>
        <v>0</v>
      </c>
      <c r="H271">
        <f>IFERROR(SUMIFS(TableauRecette[Proportion],TableauRecette[Recette],TableauRecette[[#This Row],[Recette]],TableauRecette[Conditionnement],TableauRecette[[#This Row],[Conditionnement]]),0)</f>
        <v>44</v>
      </c>
      <c r="I27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71">
        <f>_xlfn.XLOOKUP(TableauRecette[[#This Row],[ID]],TableauProduit[ID],TableauProduit[Total (kg) N1],0,0,1)*_xlfn.XLOOKUP(TableauRecette[[#This Row],[ID]],TableauProduit[ID],TableauProduit[Total (kg) N1],0,0,1)</f>
        <v>0</v>
      </c>
      <c r="M271" t="e">
        <f>_xlfn.XLOOKUP(TableauRecette[[#This Row],[ID]],TableauProduit[ID],TableauProduit[Total (kg) N1],0,0,1)*_xlfn.XLOOKUP(TableauRecette[[#This Row],[ID]],TableauProduit[ID],TableauProduit[Total (kg) N2],0,0,1)</f>
        <v>#REF!</v>
      </c>
      <c r="N271" t="e">
        <f>_xlfn.XLOOKUP(TableauRecette[[#This Row],[ID]],TableauProduit[ID],TableauProduit[Total (kg) N3],0,0,1)*#REF!</f>
        <v>#REF!</v>
      </c>
      <c r="O271" t="e">
        <f>_xlfn.XLOOKUP(TableauRecette[[#This Row],[ID]],TableauProduit[ID],TableauProduit[Total (kg) N4],0,0,1)*#REF!</f>
        <v>#REF!</v>
      </c>
      <c r="P271" t="e">
        <f>_xlfn.XLOOKUP(TableauRecette[[#This Row],[ID]],TableauProduit[ID],TableauProduit[Total (kg) N5],0,0,1)*#REF!</f>
        <v>#REF!</v>
      </c>
      <c r="Q271" t="e">
        <f>_xlfn.XLOOKUP(TableauRecette[[#This Row],[ID]],TableauProduit[ID],TableauProduit[Total (kg) N6],0,0,1)*#REF!</f>
        <v>#REF!</v>
      </c>
      <c r="R271" t="e">
        <f>_xlfn.XLOOKUP(TableauRecette[[#This Row],[ID]],TableauProduit[ID],TableauProduit[Total (kg) N7],0,0,1)*#REF!</f>
        <v>#REF!</v>
      </c>
      <c r="S271" t="e">
        <f>_xlfn.XLOOKUP(TableauRecette[[#This Row],[ID]],TableauProduit[ID],TableauProduit[Total (kg) N8],0,0,1)*#REF!</f>
        <v>#REF!</v>
      </c>
      <c r="T271" t="e">
        <f>_xlfn.XLOOKUP(TableauRecette[[#This Row],[ID]],TableauProduit[ID],TableauProduit[Total (kg) N9],0,0,1)*#REF!</f>
        <v>#REF!</v>
      </c>
    </row>
    <row r="272" spans="1:20" x14ac:dyDescent="0.2">
      <c r="A272" t="s">
        <v>139</v>
      </c>
      <c r="B272" t="str">
        <f>TableauRecette[[#This Row],[Recette]]&amp;TableauRecette[[#This Row],[Conditionnement]]</f>
        <v>Quatre épicesEpice 100ml</v>
      </c>
      <c r="C272" t="s">
        <v>345</v>
      </c>
      <c r="D272">
        <v>6</v>
      </c>
      <c r="E272" t="s">
        <v>73</v>
      </c>
      <c r="F272">
        <f>IFERROR(TableauRecette[[#This Row],[Proportion]]/SUMIFS(TableauRecette[Proportion],TableauRecette[Recette],TableauRecette[[#This Row],[Recette]],TableauRecette[Conditionnement],TableauRecette[[#This Row],[Conditionnement]]),0)</f>
        <v>0.13636363636363635</v>
      </c>
      <c r="G272">
        <f>IFERROR(_xlfn.XLOOKUP(TableauRecette[[#This Row],[Ingredients]],TableauIngredients[Ingredients],#REF!,0)*#REF!,0)</f>
        <v>0</v>
      </c>
      <c r="H272">
        <f>IFERROR(SUMIFS(TableauRecette[Proportion],TableauRecette[Recette],TableauRecette[[#This Row],[Recette]],TableauRecette[Conditionnement],TableauRecette[[#This Row],[Conditionnement]]),0)</f>
        <v>44</v>
      </c>
      <c r="I27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272" t="s">
        <v>341</v>
      </c>
      <c r="L272">
        <f>_xlfn.XLOOKUP(TableauRecette[[#This Row],[ID]],TableauProduit[ID],TableauProduit[Total (kg) N1],0,0,1)*_xlfn.XLOOKUP(TableauRecette[[#This Row],[ID]],TableauProduit[ID],TableauProduit[Total (kg) N1],0,0,1)</f>
        <v>0</v>
      </c>
      <c r="M272" t="e">
        <f>_xlfn.XLOOKUP(TableauRecette[[#This Row],[ID]],TableauProduit[ID],TableauProduit[Total (kg) N1],0,0,1)*_xlfn.XLOOKUP(TableauRecette[[#This Row],[ID]],TableauProduit[ID],TableauProduit[Total (kg) N2],0,0,1)</f>
        <v>#REF!</v>
      </c>
      <c r="N272" t="e">
        <f>_xlfn.XLOOKUP(TableauRecette[[#This Row],[ID]],TableauProduit[ID],TableauProduit[Total (kg) N3],0,0,1)*#REF!</f>
        <v>#REF!</v>
      </c>
      <c r="O272" t="e">
        <f>_xlfn.XLOOKUP(TableauRecette[[#This Row],[ID]],TableauProduit[ID],TableauProduit[Total (kg) N4],0,0,1)*#REF!</f>
        <v>#REF!</v>
      </c>
      <c r="P272" t="e">
        <f>_xlfn.XLOOKUP(TableauRecette[[#This Row],[ID]],TableauProduit[ID],TableauProduit[Total (kg) N5],0,0,1)*#REF!</f>
        <v>#REF!</v>
      </c>
      <c r="Q272" t="e">
        <f>_xlfn.XLOOKUP(TableauRecette[[#This Row],[ID]],TableauProduit[ID],TableauProduit[Total (kg) N6],0,0,1)*#REF!</f>
        <v>#REF!</v>
      </c>
      <c r="R272" t="e">
        <f>_xlfn.XLOOKUP(TableauRecette[[#This Row],[ID]],TableauProduit[ID],TableauProduit[Total (kg) N7],0,0,1)*#REF!</f>
        <v>#REF!</v>
      </c>
      <c r="S272" t="e">
        <f>_xlfn.XLOOKUP(TableauRecette[[#This Row],[ID]],TableauProduit[ID],TableauProduit[Total (kg) N8],0,0,1)*#REF!</f>
        <v>#REF!</v>
      </c>
      <c r="T272" t="e">
        <f>_xlfn.XLOOKUP(TableauRecette[[#This Row],[ID]],TableauProduit[ID],TableauProduit[Total (kg) N9],0,0,1)*#REF!</f>
        <v>#REF!</v>
      </c>
    </row>
    <row r="273" spans="1:20" x14ac:dyDescent="0.2">
      <c r="A273" t="s">
        <v>127</v>
      </c>
      <c r="B273" t="str">
        <f>TableauRecette[[#This Row],[Recette]]&amp;TableauRecette[[#This Row],[Conditionnement]]</f>
        <v>Ras el hanoutEpice 100ml</v>
      </c>
      <c r="C273" t="s">
        <v>364</v>
      </c>
      <c r="D273">
        <v>1</v>
      </c>
      <c r="E273" t="s">
        <v>73</v>
      </c>
      <c r="F273">
        <f>IFERROR(TableauRecette[[#This Row],[Proportion]]/SUMIFS(TableauRecette[Proportion],TableauRecette[Recette],TableauRecette[[#This Row],[Recette]],TableauRecette[Conditionnement],TableauRecette[[#This Row],[Conditionnement]]),0)</f>
        <v>0.12121212121212122</v>
      </c>
      <c r="G273">
        <f>IFERROR(_xlfn.XLOOKUP(TableauRecette[[#This Row],[Ingredients]],TableauIngredients[Ingredients],#REF!,0)*#REF!,0)</f>
        <v>0</v>
      </c>
      <c r="H273">
        <f>IFERROR(SUMIFS(TableauRecette[Proportion],TableauRecette[Recette],TableauRecette[[#This Row],[Recette]],TableauRecette[Conditionnement],TableauRecette[[#This Row],[Conditionnement]]),0)</f>
        <v>8.25</v>
      </c>
      <c r="I273">
        <f>_xlfn.XLOOKUP(TableauRecette[[#This Row],[Ingredients]],TableauIngredients[Ingredients],TableauIngredients[Prix d''achat (kg)],0,0,1)*TableauRecette[[#This Row],[Proportion]]/TableauRecette[[#This Row],[Total Proportion]]</f>
        <v>0.16969696969696968</v>
      </c>
      <c r="L273">
        <f>_xlfn.XLOOKUP(TableauRecette[[#This Row],[ID]],TableauProduit[ID],TableauProduit[Total (kg) N1],0,0,1)*_xlfn.XLOOKUP(TableauRecette[[#This Row],[ID]],TableauProduit[ID],TableauProduit[Total (kg) N1],0,0,1)</f>
        <v>0</v>
      </c>
      <c r="M273" t="e">
        <f>_xlfn.XLOOKUP(TableauRecette[[#This Row],[ID]],TableauProduit[ID],TableauProduit[Total (kg) N1],0,0,1)*_xlfn.XLOOKUP(TableauRecette[[#This Row],[ID]],TableauProduit[ID],TableauProduit[Total (kg) N2],0,0,1)</f>
        <v>#REF!</v>
      </c>
      <c r="N273" t="e">
        <f>_xlfn.XLOOKUP(TableauRecette[[#This Row],[ID]],TableauProduit[ID],TableauProduit[Total (kg) N3],0,0,1)*#REF!</f>
        <v>#REF!</v>
      </c>
      <c r="O273" t="e">
        <f>_xlfn.XLOOKUP(TableauRecette[[#This Row],[ID]],TableauProduit[ID],TableauProduit[Total (kg) N4],0,0,1)*#REF!</f>
        <v>#REF!</v>
      </c>
      <c r="P273" t="e">
        <f>_xlfn.XLOOKUP(TableauRecette[[#This Row],[ID]],TableauProduit[ID],TableauProduit[Total (kg) N5],0,0,1)*#REF!</f>
        <v>#REF!</v>
      </c>
      <c r="Q273" t="e">
        <f>_xlfn.XLOOKUP(TableauRecette[[#This Row],[ID]],TableauProduit[ID],TableauProduit[Total (kg) N6],0,0,1)*#REF!</f>
        <v>#REF!</v>
      </c>
      <c r="R273" t="e">
        <f>_xlfn.XLOOKUP(TableauRecette[[#This Row],[ID]],TableauProduit[ID],TableauProduit[Total (kg) N7],0,0,1)*#REF!</f>
        <v>#REF!</v>
      </c>
      <c r="S273" t="e">
        <f>_xlfn.XLOOKUP(TableauRecette[[#This Row],[ID]],TableauProduit[ID],TableauProduit[Total (kg) N8],0,0,1)*#REF!</f>
        <v>#REF!</v>
      </c>
      <c r="T273" t="e">
        <f>_xlfn.XLOOKUP(TableauRecette[[#This Row],[ID]],TableauProduit[ID],TableauProduit[Total (kg) N9],0,0,1)*#REF!</f>
        <v>#REF!</v>
      </c>
    </row>
    <row r="274" spans="1:20" x14ac:dyDescent="0.2">
      <c r="A274" t="s">
        <v>127</v>
      </c>
      <c r="B274" t="str">
        <f>TableauRecette[[#This Row],[Recette]]&amp;TableauRecette[[#This Row],[Conditionnement]]</f>
        <v>Ras el hanoutEpice 100ml</v>
      </c>
      <c r="C274" t="s">
        <v>352</v>
      </c>
      <c r="D274">
        <v>1</v>
      </c>
      <c r="E274" t="s">
        <v>73</v>
      </c>
      <c r="F274">
        <f>IFERROR(TableauRecette[[#This Row],[Proportion]]/SUMIFS(TableauRecette[Proportion],TableauRecette[Recette],TableauRecette[[#This Row],[Recette]],TableauRecette[Conditionnement],TableauRecette[[#This Row],[Conditionnement]]),0)</f>
        <v>0.12121212121212122</v>
      </c>
      <c r="G274">
        <f>IFERROR(_xlfn.XLOOKUP(TableauRecette[[#This Row],[Ingredients]],TableauIngredients[Ingredients],#REF!,0)*#REF!,0)</f>
        <v>0</v>
      </c>
      <c r="H274">
        <f>IFERROR(SUMIFS(TableauRecette[Proportion],TableauRecette[Recette],TableauRecette[[#This Row],[Recette]],TableauRecette[Conditionnement],TableauRecette[[#This Row],[Conditionnement]]),0)</f>
        <v>8.25</v>
      </c>
      <c r="I274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74">
        <f>_xlfn.XLOOKUP(TableauRecette[[#This Row],[ID]],TableauProduit[ID],TableauProduit[Total (kg) N1],0,0,1)*_xlfn.XLOOKUP(TableauRecette[[#This Row],[ID]],TableauProduit[ID],TableauProduit[Total (kg) N1],0,0,1)</f>
        <v>0</v>
      </c>
      <c r="M274" t="e">
        <f>_xlfn.XLOOKUP(TableauRecette[[#This Row],[ID]],TableauProduit[ID],TableauProduit[Total (kg) N1],0,0,1)*_xlfn.XLOOKUP(TableauRecette[[#This Row],[ID]],TableauProduit[ID],TableauProduit[Total (kg) N2],0,0,1)</f>
        <v>#REF!</v>
      </c>
      <c r="N274" t="e">
        <f>_xlfn.XLOOKUP(TableauRecette[[#This Row],[ID]],TableauProduit[ID],TableauProduit[Total (kg) N3],0,0,1)*#REF!</f>
        <v>#REF!</v>
      </c>
      <c r="O274" t="e">
        <f>_xlfn.XLOOKUP(TableauRecette[[#This Row],[ID]],TableauProduit[ID],TableauProduit[Total (kg) N4],0,0,1)*#REF!</f>
        <v>#REF!</v>
      </c>
      <c r="P274" t="e">
        <f>_xlfn.XLOOKUP(TableauRecette[[#This Row],[ID]],TableauProduit[ID],TableauProduit[Total (kg) N5],0,0,1)*#REF!</f>
        <v>#REF!</v>
      </c>
      <c r="Q274" t="e">
        <f>_xlfn.XLOOKUP(TableauRecette[[#This Row],[ID]],TableauProduit[ID],TableauProduit[Total (kg) N6],0,0,1)*#REF!</f>
        <v>#REF!</v>
      </c>
      <c r="R274" t="e">
        <f>_xlfn.XLOOKUP(TableauRecette[[#This Row],[ID]],TableauProduit[ID],TableauProduit[Total (kg) N7],0,0,1)*#REF!</f>
        <v>#REF!</v>
      </c>
      <c r="S274" t="e">
        <f>_xlfn.XLOOKUP(TableauRecette[[#This Row],[ID]],TableauProduit[ID],TableauProduit[Total (kg) N8],0,0,1)*#REF!</f>
        <v>#REF!</v>
      </c>
      <c r="T274" t="e">
        <f>_xlfn.XLOOKUP(TableauRecette[[#This Row],[ID]],TableauProduit[ID],TableauProduit[Total (kg) N9],0,0,1)*#REF!</f>
        <v>#REF!</v>
      </c>
    </row>
    <row r="275" spans="1:20" x14ac:dyDescent="0.2">
      <c r="A275" t="s">
        <v>127</v>
      </c>
      <c r="B275" t="str">
        <f>TableauRecette[[#This Row],[Recette]]&amp;TableauRecette[[#This Row],[Conditionnement]]</f>
        <v>Ras el hanoutEpice 100ml</v>
      </c>
      <c r="C275" t="s">
        <v>345</v>
      </c>
      <c r="D275">
        <v>1</v>
      </c>
      <c r="E275" t="s">
        <v>73</v>
      </c>
      <c r="F275">
        <f>IFERROR(TableauRecette[[#This Row],[Proportion]]/SUMIFS(TableauRecette[Proportion],TableauRecette[Recette],TableauRecette[[#This Row],[Recette]],TableauRecette[Conditionnement],TableauRecette[[#This Row],[Conditionnement]]),0)</f>
        <v>0.12121212121212122</v>
      </c>
      <c r="G275">
        <f>IFERROR(_xlfn.XLOOKUP(TableauRecette[[#This Row],[Ingredients]],TableauIngredients[Ingredients],#REF!,0)*#REF!,0)</f>
        <v>0</v>
      </c>
      <c r="H275">
        <f>IFERROR(SUMIFS(TableauRecette[Proportion],TableauRecette[Recette],TableauRecette[[#This Row],[Recette]],TableauRecette[Conditionnement],TableauRecette[[#This Row],[Conditionnement]]),0)</f>
        <v>8.25</v>
      </c>
      <c r="I27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275" t="s">
        <v>341</v>
      </c>
      <c r="L275">
        <f>_xlfn.XLOOKUP(TableauRecette[[#This Row],[ID]],TableauProduit[ID],TableauProduit[Total (kg) N1],0,0,1)*_xlfn.XLOOKUP(TableauRecette[[#This Row],[ID]],TableauProduit[ID],TableauProduit[Total (kg) N1],0,0,1)</f>
        <v>0</v>
      </c>
      <c r="M275" t="e">
        <f>_xlfn.XLOOKUP(TableauRecette[[#This Row],[ID]],TableauProduit[ID],TableauProduit[Total (kg) N1],0,0,1)*_xlfn.XLOOKUP(TableauRecette[[#This Row],[ID]],TableauProduit[ID],TableauProduit[Total (kg) N2],0,0,1)</f>
        <v>#REF!</v>
      </c>
      <c r="N275" t="e">
        <f>_xlfn.XLOOKUP(TableauRecette[[#This Row],[ID]],TableauProduit[ID],TableauProduit[Total (kg) N3],0,0,1)*#REF!</f>
        <v>#REF!</v>
      </c>
      <c r="O275" t="e">
        <f>_xlfn.XLOOKUP(TableauRecette[[#This Row],[ID]],TableauProduit[ID],TableauProduit[Total (kg) N4],0,0,1)*#REF!</f>
        <v>#REF!</v>
      </c>
      <c r="P275" t="e">
        <f>_xlfn.XLOOKUP(TableauRecette[[#This Row],[ID]],TableauProduit[ID],TableauProduit[Total (kg) N5],0,0,1)*#REF!</f>
        <v>#REF!</v>
      </c>
      <c r="Q275" t="e">
        <f>_xlfn.XLOOKUP(TableauRecette[[#This Row],[ID]],TableauProduit[ID],TableauProduit[Total (kg) N6],0,0,1)*#REF!</f>
        <v>#REF!</v>
      </c>
      <c r="R275" t="e">
        <f>_xlfn.XLOOKUP(TableauRecette[[#This Row],[ID]],TableauProduit[ID],TableauProduit[Total (kg) N7],0,0,1)*#REF!</f>
        <v>#REF!</v>
      </c>
      <c r="S275" t="e">
        <f>_xlfn.XLOOKUP(TableauRecette[[#This Row],[ID]],TableauProduit[ID],TableauProduit[Total (kg) N8],0,0,1)*#REF!</f>
        <v>#REF!</v>
      </c>
      <c r="T275" t="e">
        <f>_xlfn.XLOOKUP(TableauRecette[[#This Row],[ID]],TableauProduit[ID],TableauProduit[Total (kg) N9],0,0,1)*#REF!</f>
        <v>#REF!</v>
      </c>
    </row>
    <row r="276" spans="1:20" x14ac:dyDescent="0.2">
      <c r="A276" t="s">
        <v>127</v>
      </c>
      <c r="B276" t="str">
        <f>TableauRecette[[#This Row],[Recette]]&amp;TableauRecette[[#This Row],[Conditionnement]]</f>
        <v>Ras el hanoutEpice 100ml</v>
      </c>
      <c r="C276" t="s">
        <v>367</v>
      </c>
      <c r="D276">
        <v>1</v>
      </c>
      <c r="E276" t="s">
        <v>73</v>
      </c>
      <c r="F276">
        <f>IFERROR(TableauRecette[[#This Row],[Proportion]]/SUMIFS(TableauRecette[Proportion],TableauRecette[Recette],TableauRecette[[#This Row],[Recette]],TableauRecette[Conditionnement],TableauRecette[[#This Row],[Conditionnement]]),0)</f>
        <v>0.12121212121212122</v>
      </c>
      <c r="G276">
        <f>IFERROR(_xlfn.XLOOKUP(TableauRecette[[#This Row],[Ingredients]],TableauIngredients[Ingredients],#REF!,0)*#REF!,0)</f>
        <v>0</v>
      </c>
      <c r="H276">
        <f>IFERROR(SUMIFS(TableauRecette[Proportion],TableauRecette[Recette],TableauRecette[[#This Row],[Recette]],TableauRecette[Conditionnement],TableauRecette[[#This Row],[Conditionnement]]),0)</f>
        <v>8.25</v>
      </c>
      <c r="I27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76">
        <f>_xlfn.XLOOKUP(TableauRecette[[#This Row],[ID]],TableauProduit[ID],TableauProduit[Total (kg) N1],0,0,1)*_xlfn.XLOOKUP(TableauRecette[[#This Row],[ID]],TableauProduit[ID],TableauProduit[Total (kg) N1],0,0,1)</f>
        <v>0</v>
      </c>
      <c r="M276" t="e">
        <f>_xlfn.XLOOKUP(TableauRecette[[#This Row],[ID]],TableauProduit[ID],TableauProduit[Total (kg) N1],0,0,1)*_xlfn.XLOOKUP(TableauRecette[[#This Row],[ID]],TableauProduit[ID],TableauProduit[Total (kg) N2],0,0,1)</f>
        <v>#REF!</v>
      </c>
      <c r="N276" t="e">
        <f>_xlfn.XLOOKUP(TableauRecette[[#This Row],[ID]],TableauProduit[ID],TableauProduit[Total (kg) N3],0,0,1)*#REF!</f>
        <v>#REF!</v>
      </c>
      <c r="O276" t="e">
        <f>_xlfn.XLOOKUP(TableauRecette[[#This Row],[ID]],TableauProduit[ID],TableauProduit[Total (kg) N4],0,0,1)*#REF!</f>
        <v>#REF!</v>
      </c>
      <c r="P276" t="e">
        <f>_xlfn.XLOOKUP(TableauRecette[[#This Row],[ID]],TableauProduit[ID],TableauProduit[Total (kg) N5],0,0,1)*#REF!</f>
        <v>#REF!</v>
      </c>
      <c r="Q276" t="e">
        <f>_xlfn.XLOOKUP(TableauRecette[[#This Row],[ID]],TableauProduit[ID],TableauProduit[Total (kg) N6],0,0,1)*#REF!</f>
        <v>#REF!</v>
      </c>
      <c r="R276" t="e">
        <f>_xlfn.XLOOKUP(TableauRecette[[#This Row],[ID]],TableauProduit[ID],TableauProduit[Total (kg) N7],0,0,1)*#REF!</f>
        <v>#REF!</v>
      </c>
      <c r="S276" t="e">
        <f>_xlfn.XLOOKUP(TableauRecette[[#This Row],[ID]],TableauProduit[ID],TableauProduit[Total (kg) N8],0,0,1)*#REF!</f>
        <v>#REF!</v>
      </c>
      <c r="T276" t="e">
        <f>_xlfn.XLOOKUP(TableauRecette[[#This Row],[ID]],TableauProduit[ID],TableauProduit[Total (kg) N9],0,0,1)*#REF!</f>
        <v>#REF!</v>
      </c>
    </row>
    <row r="277" spans="1:20" x14ac:dyDescent="0.2">
      <c r="A277" t="s">
        <v>127</v>
      </c>
      <c r="B277" t="str">
        <f>TableauRecette[[#This Row],[Recette]]&amp;TableauRecette[[#This Row],[Conditionnement]]</f>
        <v>Ras el hanoutEpice 100ml</v>
      </c>
      <c r="C277" t="s">
        <v>344</v>
      </c>
      <c r="D277">
        <f>3/4</f>
        <v>0.75</v>
      </c>
      <c r="E277" t="s">
        <v>73</v>
      </c>
      <c r="F277">
        <f>IFERROR(TableauRecette[[#This Row],[Proportion]]/SUMIFS(TableauRecette[Proportion],TableauRecette[Recette],TableauRecette[[#This Row],[Recette]],TableauRecette[Conditionnement],TableauRecette[[#This Row],[Conditionnement]]),0)</f>
        <v>9.0909090909090912E-2</v>
      </c>
      <c r="G277">
        <f>IFERROR(_xlfn.XLOOKUP(TableauRecette[[#This Row],[Ingredients]],TableauIngredients[Ingredients],#REF!,0)*#REF!,0)</f>
        <v>0</v>
      </c>
      <c r="H277">
        <f>IFERROR(SUMIFS(TableauRecette[Proportion],TableauRecette[Recette],TableauRecette[[#This Row],[Recette]],TableauRecette[Conditionnement],TableauRecette[[#This Row],[Conditionnement]]),0)</f>
        <v>8.25</v>
      </c>
      <c r="I27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77">
        <f>_xlfn.XLOOKUP(TableauRecette[[#This Row],[ID]],TableauProduit[ID],TableauProduit[Total (kg) N1],0,0,1)*_xlfn.XLOOKUP(TableauRecette[[#This Row],[ID]],TableauProduit[ID],TableauProduit[Total (kg) N1],0,0,1)</f>
        <v>0</v>
      </c>
      <c r="M277" t="e">
        <f>_xlfn.XLOOKUP(TableauRecette[[#This Row],[ID]],TableauProduit[ID],TableauProduit[Total (kg) N1],0,0,1)*_xlfn.XLOOKUP(TableauRecette[[#This Row],[ID]],TableauProduit[ID],TableauProduit[Total (kg) N2],0,0,1)</f>
        <v>#REF!</v>
      </c>
      <c r="N277" t="e">
        <f>_xlfn.XLOOKUP(TableauRecette[[#This Row],[ID]],TableauProduit[ID],TableauProduit[Total (kg) N3],0,0,1)*#REF!</f>
        <v>#REF!</v>
      </c>
      <c r="O277" t="e">
        <f>_xlfn.XLOOKUP(TableauRecette[[#This Row],[ID]],TableauProduit[ID],TableauProduit[Total (kg) N4],0,0,1)*#REF!</f>
        <v>#REF!</v>
      </c>
      <c r="P277" t="e">
        <f>_xlfn.XLOOKUP(TableauRecette[[#This Row],[ID]],TableauProduit[ID],TableauProduit[Total (kg) N5],0,0,1)*#REF!</f>
        <v>#REF!</v>
      </c>
      <c r="Q277" t="e">
        <f>_xlfn.XLOOKUP(TableauRecette[[#This Row],[ID]],TableauProduit[ID],TableauProduit[Total (kg) N6],0,0,1)*#REF!</f>
        <v>#REF!</v>
      </c>
      <c r="R277" t="e">
        <f>_xlfn.XLOOKUP(TableauRecette[[#This Row],[ID]],TableauProduit[ID],TableauProduit[Total (kg) N7],0,0,1)*#REF!</f>
        <v>#REF!</v>
      </c>
      <c r="S277" t="e">
        <f>_xlfn.XLOOKUP(TableauRecette[[#This Row],[ID]],TableauProduit[ID],TableauProduit[Total (kg) N8],0,0,1)*#REF!</f>
        <v>#REF!</v>
      </c>
      <c r="T277" t="e">
        <f>_xlfn.XLOOKUP(TableauRecette[[#This Row],[ID]],TableauProduit[ID],TableauProduit[Total (kg) N9],0,0,1)*#REF!</f>
        <v>#REF!</v>
      </c>
    </row>
    <row r="278" spans="1:20" x14ac:dyDescent="0.2">
      <c r="A278" t="s">
        <v>127</v>
      </c>
      <c r="B278" t="str">
        <f>TableauRecette[[#This Row],[Recette]]&amp;TableauRecette[[#This Row],[Conditionnement]]</f>
        <v>Ras el hanoutEpice 100ml</v>
      </c>
      <c r="C278" t="s">
        <v>348</v>
      </c>
      <c r="D278">
        <f>3/4</f>
        <v>0.75</v>
      </c>
      <c r="E278" t="s">
        <v>73</v>
      </c>
      <c r="F278">
        <f>IFERROR(TableauRecette[[#This Row],[Proportion]]/SUMIFS(TableauRecette[Proportion],TableauRecette[Recette],TableauRecette[[#This Row],[Recette]],TableauRecette[Conditionnement],TableauRecette[[#This Row],[Conditionnement]]),0)</f>
        <v>9.0909090909090912E-2</v>
      </c>
      <c r="G278">
        <f>IFERROR(_xlfn.XLOOKUP(TableauRecette[[#This Row],[Ingredients]],TableauIngredients[Ingredients],#REF!,0)*#REF!,0)</f>
        <v>0</v>
      </c>
      <c r="H278">
        <f>IFERROR(SUMIFS(TableauRecette[Proportion],TableauRecette[Recette],TableauRecette[[#This Row],[Recette]],TableauRecette[Conditionnement],TableauRecette[[#This Row],[Conditionnement]]),0)</f>
        <v>8.25</v>
      </c>
      <c r="I278">
        <f>_xlfn.XLOOKUP(TableauRecette[[#This Row],[Ingredients]],TableauIngredients[Ingredients],TableauIngredients[Prix d''achat (kg)],0,0,1)*TableauRecette[[#This Row],[Proportion]]/TableauRecette[[#This Row],[Total Proportion]]</f>
        <v>3.3500000000000005</v>
      </c>
      <c r="L278">
        <f>_xlfn.XLOOKUP(TableauRecette[[#This Row],[ID]],TableauProduit[ID],TableauProduit[Total (kg) N1],0,0,1)*_xlfn.XLOOKUP(TableauRecette[[#This Row],[ID]],TableauProduit[ID],TableauProduit[Total (kg) N1],0,0,1)</f>
        <v>0</v>
      </c>
      <c r="M278" t="e">
        <f>_xlfn.XLOOKUP(TableauRecette[[#This Row],[ID]],TableauProduit[ID],TableauProduit[Total (kg) N1],0,0,1)*_xlfn.XLOOKUP(TableauRecette[[#This Row],[ID]],TableauProduit[ID],TableauProduit[Total (kg) N2],0,0,1)</f>
        <v>#REF!</v>
      </c>
      <c r="N278" t="e">
        <f>_xlfn.XLOOKUP(TableauRecette[[#This Row],[ID]],TableauProduit[ID],TableauProduit[Total (kg) N3],0,0,1)*#REF!</f>
        <v>#REF!</v>
      </c>
      <c r="O278" t="e">
        <f>_xlfn.XLOOKUP(TableauRecette[[#This Row],[ID]],TableauProduit[ID],TableauProduit[Total (kg) N4],0,0,1)*#REF!</f>
        <v>#REF!</v>
      </c>
      <c r="P278" t="e">
        <f>_xlfn.XLOOKUP(TableauRecette[[#This Row],[ID]],TableauProduit[ID],TableauProduit[Total (kg) N5],0,0,1)*#REF!</f>
        <v>#REF!</v>
      </c>
      <c r="Q278" t="e">
        <f>_xlfn.XLOOKUP(TableauRecette[[#This Row],[ID]],TableauProduit[ID],TableauProduit[Total (kg) N6],0,0,1)*#REF!</f>
        <v>#REF!</v>
      </c>
      <c r="R278" t="e">
        <f>_xlfn.XLOOKUP(TableauRecette[[#This Row],[ID]],TableauProduit[ID],TableauProduit[Total (kg) N7],0,0,1)*#REF!</f>
        <v>#REF!</v>
      </c>
      <c r="S278" t="e">
        <f>_xlfn.XLOOKUP(TableauRecette[[#This Row],[ID]],TableauProduit[ID],TableauProduit[Total (kg) N8],0,0,1)*#REF!</f>
        <v>#REF!</v>
      </c>
      <c r="T278" t="e">
        <f>_xlfn.XLOOKUP(TableauRecette[[#This Row],[ID]],TableauProduit[ID],TableauProduit[Total (kg) N9],0,0,1)*#REF!</f>
        <v>#REF!</v>
      </c>
    </row>
    <row r="279" spans="1:20" x14ac:dyDescent="0.2">
      <c r="A279" t="s">
        <v>127</v>
      </c>
      <c r="B279" t="str">
        <f>TableauRecette[[#This Row],[Recette]]&amp;TableauRecette[[#This Row],[Conditionnement]]</f>
        <v>Ras el hanoutEpice 100ml</v>
      </c>
      <c r="C279" t="s">
        <v>437</v>
      </c>
      <c r="D279">
        <v>0.5</v>
      </c>
      <c r="E279" t="s">
        <v>73</v>
      </c>
      <c r="F279">
        <f>IFERROR(TableauRecette[[#This Row],[Proportion]]/SUMIFS(TableauRecette[Proportion],TableauRecette[Recette],TableauRecette[[#This Row],[Recette]],TableauRecette[Conditionnement],TableauRecette[[#This Row],[Conditionnement]]),0)</f>
        <v>6.0606060606060608E-2</v>
      </c>
      <c r="G279">
        <f>IFERROR(_xlfn.XLOOKUP(TableauRecette[[#This Row],[Ingredients]],TableauIngredients[Ingredients],#REF!,0)*#REF!,0)</f>
        <v>0</v>
      </c>
      <c r="H279">
        <f>IFERROR(SUMIFS(TableauRecette[Proportion],TableauRecette[Recette],TableauRecette[[#This Row],[Recette]],TableauRecette[Conditionnement],TableauRecette[[#This Row],[Conditionnement]]),0)</f>
        <v>8.25</v>
      </c>
      <c r="I27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79">
        <f>_xlfn.XLOOKUP(TableauRecette[[#This Row],[ID]],TableauProduit[ID],TableauProduit[Total (kg) N1],0,0,1)*_xlfn.XLOOKUP(TableauRecette[[#This Row],[ID]],TableauProduit[ID],TableauProduit[Total (kg) N1],0,0,1)</f>
        <v>0</v>
      </c>
      <c r="M279" t="e">
        <f>_xlfn.XLOOKUP(TableauRecette[[#This Row],[ID]],TableauProduit[ID],TableauProduit[Total (kg) N1],0,0,1)*_xlfn.XLOOKUP(TableauRecette[[#This Row],[ID]],TableauProduit[ID],TableauProduit[Total (kg) N2],0,0,1)</f>
        <v>#REF!</v>
      </c>
      <c r="N279" t="e">
        <f>_xlfn.XLOOKUP(TableauRecette[[#This Row],[ID]],TableauProduit[ID],TableauProduit[Total (kg) N3],0,0,1)*#REF!</f>
        <v>#REF!</v>
      </c>
      <c r="O279" t="e">
        <f>_xlfn.XLOOKUP(TableauRecette[[#This Row],[ID]],TableauProduit[ID],TableauProduit[Total (kg) N4],0,0,1)*#REF!</f>
        <v>#REF!</v>
      </c>
      <c r="P279" t="e">
        <f>_xlfn.XLOOKUP(TableauRecette[[#This Row],[ID]],TableauProduit[ID],TableauProduit[Total (kg) N5],0,0,1)*#REF!</f>
        <v>#REF!</v>
      </c>
      <c r="Q279" t="e">
        <f>_xlfn.XLOOKUP(TableauRecette[[#This Row],[ID]],TableauProduit[ID],TableauProduit[Total (kg) N6],0,0,1)*#REF!</f>
        <v>#REF!</v>
      </c>
      <c r="R279" t="e">
        <f>_xlfn.XLOOKUP(TableauRecette[[#This Row],[ID]],TableauProduit[ID],TableauProduit[Total (kg) N7],0,0,1)*#REF!</f>
        <v>#REF!</v>
      </c>
      <c r="S279" t="e">
        <f>_xlfn.XLOOKUP(TableauRecette[[#This Row],[ID]],TableauProduit[ID],TableauProduit[Total (kg) N8],0,0,1)*#REF!</f>
        <v>#REF!</v>
      </c>
      <c r="T279" t="e">
        <f>_xlfn.XLOOKUP(TableauRecette[[#This Row],[ID]],TableauProduit[ID],TableauProduit[Total (kg) N9],0,0,1)*#REF!</f>
        <v>#REF!</v>
      </c>
    </row>
    <row r="280" spans="1:20" x14ac:dyDescent="0.2">
      <c r="A280" t="s">
        <v>127</v>
      </c>
      <c r="B280" t="str">
        <f>TableauRecette[[#This Row],[Recette]]&amp;TableauRecette[[#This Row],[Conditionnement]]</f>
        <v>Ras el hanoutEpice 100ml</v>
      </c>
      <c r="C280" t="s">
        <v>351</v>
      </c>
      <c r="D280">
        <v>0.5</v>
      </c>
      <c r="E280" t="s">
        <v>73</v>
      </c>
      <c r="F280">
        <f>IFERROR(TableauRecette[[#This Row],[Proportion]]/SUMIFS(TableauRecette[Proportion],TableauRecette[Recette],TableauRecette[[#This Row],[Recette]],TableauRecette[Conditionnement],TableauRecette[[#This Row],[Conditionnement]]),0)</f>
        <v>6.0606060606060608E-2</v>
      </c>
      <c r="G280">
        <f>IFERROR(_xlfn.XLOOKUP(TableauRecette[[#This Row],[Ingredients]],TableauIngredients[Ingredients],#REF!,0)*#REF!,0)</f>
        <v>0</v>
      </c>
      <c r="H280">
        <f>IFERROR(SUMIFS(TableauRecette[Proportion],TableauRecette[Recette],TableauRecette[[#This Row],[Recette]],TableauRecette[Conditionnement],TableauRecette[[#This Row],[Conditionnement]]),0)</f>
        <v>8.25</v>
      </c>
      <c r="I280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80">
        <f>_xlfn.XLOOKUP(TableauRecette[[#This Row],[ID]],TableauProduit[ID],TableauProduit[Total (kg) N1],0,0,1)*_xlfn.XLOOKUP(TableauRecette[[#This Row],[ID]],TableauProduit[ID],TableauProduit[Total (kg) N1],0,0,1)</f>
        <v>0</v>
      </c>
      <c r="M280" t="e">
        <f>_xlfn.XLOOKUP(TableauRecette[[#This Row],[ID]],TableauProduit[ID],TableauProduit[Total (kg) N1],0,0,1)*_xlfn.XLOOKUP(TableauRecette[[#This Row],[ID]],TableauProduit[ID],TableauProduit[Total (kg) N2],0,0,1)</f>
        <v>#REF!</v>
      </c>
      <c r="N280" t="e">
        <f>_xlfn.XLOOKUP(TableauRecette[[#This Row],[ID]],TableauProduit[ID],TableauProduit[Total (kg) N3],0,0,1)*#REF!</f>
        <v>#REF!</v>
      </c>
      <c r="O280" t="e">
        <f>_xlfn.XLOOKUP(TableauRecette[[#This Row],[ID]],TableauProduit[ID],TableauProduit[Total (kg) N4],0,0,1)*#REF!</f>
        <v>#REF!</v>
      </c>
      <c r="P280" t="e">
        <f>_xlfn.XLOOKUP(TableauRecette[[#This Row],[ID]],TableauProduit[ID],TableauProduit[Total (kg) N5],0,0,1)*#REF!</f>
        <v>#REF!</v>
      </c>
      <c r="Q280" t="e">
        <f>_xlfn.XLOOKUP(TableauRecette[[#This Row],[ID]],TableauProduit[ID],TableauProduit[Total (kg) N6],0,0,1)*#REF!</f>
        <v>#REF!</v>
      </c>
      <c r="R280" t="e">
        <f>_xlfn.XLOOKUP(TableauRecette[[#This Row],[ID]],TableauProduit[ID],TableauProduit[Total (kg) N7],0,0,1)*#REF!</f>
        <v>#REF!</v>
      </c>
      <c r="S280" t="e">
        <f>_xlfn.XLOOKUP(TableauRecette[[#This Row],[ID]],TableauProduit[ID],TableauProduit[Total (kg) N8],0,0,1)*#REF!</f>
        <v>#REF!</v>
      </c>
      <c r="T280" t="e">
        <f>_xlfn.XLOOKUP(TableauRecette[[#This Row],[ID]],TableauProduit[ID],TableauProduit[Total (kg) N9],0,0,1)*#REF!</f>
        <v>#REF!</v>
      </c>
    </row>
    <row r="281" spans="1:20" x14ac:dyDescent="0.2">
      <c r="A281" t="s">
        <v>127</v>
      </c>
      <c r="B281" t="str">
        <f>TableauRecette[[#This Row],[Recette]]&amp;TableauRecette[[#This Row],[Conditionnement]]</f>
        <v>Ras el hanoutEpice 100ml</v>
      </c>
      <c r="C281" t="s">
        <v>398</v>
      </c>
      <c r="D281">
        <v>0.5</v>
      </c>
      <c r="E281" t="s">
        <v>73</v>
      </c>
      <c r="F281">
        <f>IFERROR(TableauRecette[[#This Row],[Proportion]]/SUMIFS(TableauRecette[Proportion],TableauRecette[Recette],TableauRecette[[#This Row],[Recette]],TableauRecette[Conditionnement],TableauRecette[[#This Row],[Conditionnement]]),0)</f>
        <v>6.0606060606060608E-2</v>
      </c>
      <c r="G281">
        <f>IFERROR(_xlfn.XLOOKUP(TableauRecette[[#This Row],[Ingredients]],TableauIngredients[Ingredients],#REF!,0)*#REF!,0)</f>
        <v>0</v>
      </c>
      <c r="H281">
        <f>IFERROR(SUMIFS(TableauRecette[Proportion],TableauRecette[Recette],TableauRecette[[#This Row],[Recette]],TableauRecette[Conditionnement],TableauRecette[[#This Row],[Conditionnement]]),0)</f>
        <v>8.25</v>
      </c>
      <c r="I28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281" t="s">
        <v>341</v>
      </c>
      <c r="L281">
        <f>_xlfn.XLOOKUP(TableauRecette[[#This Row],[ID]],TableauProduit[ID],TableauProduit[Total (kg) N1],0,0,1)*_xlfn.XLOOKUP(TableauRecette[[#This Row],[ID]],TableauProduit[ID],TableauProduit[Total (kg) N1],0,0,1)</f>
        <v>0</v>
      </c>
      <c r="M281" t="e">
        <f>_xlfn.XLOOKUP(TableauRecette[[#This Row],[ID]],TableauProduit[ID],TableauProduit[Total (kg) N1],0,0,1)*_xlfn.XLOOKUP(TableauRecette[[#This Row],[ID]],TableauProduit[ID],TableauProduit[Total (kg) N2],0,0,1)</f>
        <v>#REF!</v>
      </c>
      <c r="N281" t="e">
        <f>_xlfn.XLOOKUP(TableauRecette[[#This Row],[ID]],TableauProduit[ID],TableauProduit[Total (kg) N3],0,0,1)*#REF!</f>
        <v>#REF!</v>
      </c>
      <c r="O281" t="e">
        <f>_xlfn.XLOOKUP(TableauRecette[[#This Row],[ID]],TableauProduit[ID],TableauProduit[Total (kg) N4],0,0,1)*#REF!</f>
        <v>#REF!</v>
      </c>
      <c r="P281" t="e">
        <f>_xlfn.XLOOKUP(TableauRecette[[#This Row],[ID]],TableauProduit[ID],TableauProduit[Total (kg) N5],0,0,1)*#REF!</f>
        <v>#REF!</v>
      </c>
      <c r="Q281" t="e">
        <f>_xlfn.XLOOKUP(TableauRecette[[#This Row],[ID]],TableauProduit[ID],TableauProduit[Total (kg) N6],0,0,1)*#REF!</f>
        <v>#REF!</v>
      </c>
      <c r="R281" t="e">
        <f>_xlfn.XLOOKUP(TableauRecette[[#This Row],[ID]],TableauProduit[ID],TableauProduit[Total (kg) N7],0,0,1)*#REF!</f>
        <v>#REF!</v>
      </c>
      <c r="S281" t="e">
        <f>_xlfn.XLOOKUP(TableauRecette[[#This Row],[ID]],TableauProduit[ID],TableauProduit[Total (kg) N8],0,0,1)*#REF!</f>
        <v>#REF!</v>
      </c>
      <c r="T281" t="e">
        <f>_xlfn.XLOOKUP(TableauRecette[[#This Row],[ID]],TableauProduit[ID],TableauProduit[Total (kg) N9],0,0,1)*#REF!</f>
        <v>#REF!</v>
      </c>
    </row>
    <row r="282" spans="1:20" x14ac:dyDescent="0.2">
      <c r="A282" t="s">
        <v>127</v>
      </c>
      <c r="B282" t="str">
        <f>TableauRecette[[#This Row],[Recette]]&amp;TableauRecette[[#This Row],[Conditionnement]]</f>
        <v>Ras el hanoutEpice 100ml</v>
      </c>
      <c r="C282" t="s">
        <v>396</v>
      </c>
      <c r="D282">
        <v>0.5</v>
      </c>
      <c r="E282" t="s">
        <v>73</v>
      </c>
      <c r="F282">
        <f>IFERROR(TableauRecette[[#This Row],[Proportion]]/SUMIFS(TableauRecette[Proportion],TableauRecette[Recette],TableauRecette[[#This Row],[Recette]],TableauRecette[Conditionnement],TableauRecette[[#This Row],[Conditionnement]]),0)</f>
        <v>6.0606060606060608E-2</v>
      </c>
      <c r="G282">
        <f>IFERROR(_xlfn.XLOOKUP(TableauRecette[[#This Row],[Ingredients]],TableauIngredients[Ingredients],#REF!,0)*#REF!,0)</f>
        <v>0</v>
      </c>
      <c r="H282">
        <f>IFERROR(SUMIFS(TableauRecette[Proportion],TableauRecette[Recette],TableauRecette[[#This Row],[Recette]],TableauRecette[Conditionnement],TableauRecette[[#This Row],[Conditionnement]]),0)</f>
        <v>8.25</v>
      </c>
      <c r="I28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82">
        <f>_xlfn.XLOOKUP(TableauRecette[[#This Row],[ID]],TableauProduit[ID],TableauProduit[Total (kg) N1],0,0,1)*_xlfn.XLOOKUP(TableauRecette[[#This Row],[ID]],TableauProduit[ID],TableauProduit[Total (kg) N1],0,0,1)</f>
        <v>0</v>
      </c>
      <c r="M282" t="e">
        <f>_xlfn.XLOOKUP(TableauRecette[[#This Row],[ID]],TableauProduit[ID],TableauProduit[Total (kg) N1],0,0,1)*_xlfn.XLOOKUP(TableauRecette[[#This Row],[ID]],TableauProduit[ID],TableauProduit[Total (kg) N2],0,0,1)</f>
        <v>#REF!</v>
      </c>
      <c r="N282" t="e">
        <f>_xlfn.XLOOKUP(TableauRecette[[#This Row],[ID]],TableauProduit[ID],TableauProduit[Total (kg) N3],0,0,1)*#REF!</f>
        <v>#REF!</v>
      </c>
      <c r="O282" t="e">
        <f>_xlfn.XLOOKUP(TableauRecette[[#This Row],[ID]],TableauProduit[ID],TableauProduit[Total (kg) N4],0,0,1)*#REF!</f>
        <v>#REF!</v>
      </c>
      <c r="P282" t="e">
        <f>_xlfn.XLOOKUP(TableauRecette[[#This Row],[ID]],TableauProduit[ID],TableauProduit[Total (kg) N5],0,0,1)*#REF!</f>
        <v>#REF!</v>
      </c>
      <c r="Q282" t="e">
        <f>_xlfn.XLOOKUP(TableauRecette[[#This Row],[ID]],TableauProduit[ID],TableauProduit[Total (kg) N6],0,0,1)*#REF!</f>
        <v>#REF!</v>
      </c>
      <c r="R282" t="e">
        <f>_xlfn.XLOOKUP(TableauRecette[[#This Row],[ID]],TableauProduit[ID],TableauProduit[Total (kg) N7],0,0,1)*#REF!</f>
        <v>#REF!</v>
      </c>
      <c r="S282" t="e">
        <f>_xlfn.XLOOKUP(TableauRecette[[#This Row],[ID]],TableauProduit[ID],TableauProduit[Total (kg) N8],0,0,1)*#REF!</f>
        <v>#REF!</v>
      </c>
      <c r="T282" t="e">
        <f>_xlfn.XLOOKUP(TableauRecette[[#This Row],[ID]],TableauProduit[ID],TableauProduit[Total (kg) N9],0,0,1)*#REF!</f>
        <v>#REF!</v>
      </c>
    </row>
    <row r="283" spans="1:20" x14ac:dyDescent="0.2">
      <c r="A283" t="s">
        <v>127</v>
      </c>
      <c r="B283" t="str">
        <f>TableauRecette[[#This Row],[Recette]]&amp;TableauRecette[[#This Row],[Conditionnement]]</f>
        <v>Ras el hanoutEpice 100ml</v>
      </c>
      <c r="C283" t="s">
        <v>399</v>
      </c>
      <c r="D283">
        <v>0.5</v>
      </c>
      <c r="E283" t="s">
        <v>73</v>
      </c>
      <c r="F283">
        <f>IFERROR(TableauRecette[[#This Row],[Proportion]]/SUMIFS(TableauRecette[Proportion],TableauRecette[Recette],TableauRecette[[#This Row],[Recette]],TableauRecette[Conditionnement],TableauRecette[[#This Row],[Conditionnement]]),0)</f>
        <v>6.0606060606060608E-2</v>
      </c>
      <c r="G283">
        <f>IFERROR(_xlfn.XLOOKUP(TableauRecette[[#This Row],[Ingredients]],TableauIngredients[Ingredients],#REF!,0)*#REF!,0)</f>
        <v>0</v>
      </c>
      <c r="H283">
        <f>IFERROR(SUMIFS(TableauRecette[Proportion],TableauRecette[Recette],TableauRecette[[#This Row],[Recette]],TableauRecette[Conditionnement],TableauRecette[[#This Row],[Conditionnement]]),0)</f>
        <v>8.25</v>
      </c>
      <c r="I283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83">
        <f>_xlfn.XLOOKUP(TableauRecette[[#This Row],[ID]],TableauProduit[ID],TableauProduit[Total (kg) N1],0,0,1)*_xlfn.XLOOKUP(TableauRecette[[#This Row],[ID]],TableauProduit[ID],TableauProduit[Total (kg) N1],0,0,1)</f>
        <v>0</v>
      </c>
      <c r="M283" t="e">
        <f>_xlfn.XLOOKUP(TableauRecette[[#This Row],[ID]],TableauProduit[ID],TableauProduit[Total (kg) N1],0,0,1)*_xlfn.XLOOKUP(TableauRecette[[#This Row],[ID]],TableauProduit[ID],TableauProduit[Total (kg) N2],0,0,1)</f>
        <v>#REF!</v>
      </c>
      <c r="N283" t="e">
        <f>_xlfn.XLOOKUP(TableauRecette[[#This Row],[ID]],TableauProduit[ID],TableauProduit[Total (kg) N3],0,0,1)*#REF!</f>
        <v>#REF!</v>
      </c>
      <c r="O283" t="e">
        <f>_xlfn.XLOOKUP(TableauRecette[[#This Row],[ID]],TableauProduit[ID],TableauProduit[Total (kg) N4],0,0,1)*#REF!</f>
        <v>#REF!</v>
      </c>
      <c r="P283" t="e">
        <f>_xlfn.XLOOKUP(TableauRecette[[#This Row],[ID]],TableauProduit[ID],TableauProduit[Total (kg) N5],0,0,1)*#REF!</f>
        <v>#REF!</v>
      </c>
      <c r="Q283" t="e">
        <f>_xlfn.XLOOKUP(TableauRecette[[#This Row],[ID]],TableauProduit[ID],TableauProduit[Total (kg) N6],0,0,1)*#REF!</f>
        <v>#REF!</v>
      </c>
      <c r="R283" t="e">
        <f>_xlfn.XLOOKUP(TableauRecette[[#This Row],[ID]],TableauProduit[ID],TableauProduit[Total (kg) N7],0,0,1)*#REF!</f>
        <v>#REF!</v>
      </c>
      <c r="S283" t="e">
        <f>_xlfn.XLOOKUP(TableauRecette[[#This Row],[ID]],TableauProduit[ID],TableauProduit[Total (kg) N8],0,0,1)*#REF!</f>
        <v>#REF!</v>
      </c>
      <c r="T283" t="e">
        <f>_xlfn.XLOOKUP(TableauRecette[[#This Row],[ID]],TableauProduit[ID],TableauProduit[Total (kg) N9],0,0,1)*#REF!</f>
        <v>#REF!</v>
      </c>
    </row>
    <row r="284" spans="1:20" x14ac:dyDescent="0.2">
      <c r="A284" t="s">
        <v>127</v>
      </c>
      <c r="B284" t="str">
        <f>TableauRecette[[#This Row],[Recette]]&amp;TableauRecette[[#This Row],[Conditionnement]]</f>
        <v>Ras el hanoutEpice 100ml</v>
      </c>
      <c r="C284" t="s">
        <v>350</v>
      </c>
      <c r="D284">
        <v>0.25</v>
      </c>
      <c r="E284" t="s">
        <v>73</v>
      </c>
      <c r="F284">
        <f>IFERROR(TableauRecette[[#This Row],[Proportion]]/SUMIFS(TableauRecette[Proportion],TableauRecette[Recette],TableauRecette[[#This Row],[Recette]],TableauRecette[Conditionnement],TableauRecette[[#This Row],[Conditionnement]]),0)</f>
        <v>3.0303030303030304E-2</v>
      </c>
      <c r="G284">
        <f>IFERROR(_xlfn.XLOOKUP(TableauRecette[[#This Row],[Ingredients]],TableauIngredients[Ingredients],#REF!,0)*#REF!,0)</f>
        <v>0</v>
      </c>
      <c r="H284">
        <f>IFERROR(SUMIFS(TableauRecette[Proportion],TableauRecette[Recette],TableauRecette[[#This Row],[Recette]],TableauRecette[Conditionnement],TableauRecette[[#This Row],[Conditionnement]]),0)</f>
        <v>8.25</v>
      </c>
      <c r="I284">
        <f>_xlfn.XLOOKUP(TableauRecette[[#This Row],[Ingredients]],TableauIngredients[Ingredients],TableauIngredients[Prix d''achat (kg)],0,0,1)*TableauRecette[[#This Row],[Proportion]]/TableauRecette[[#This Row],[Total Proportion]]</f>
        <v>1.0909090909090908</v>
      </c>
      <c r="L284">
        <f>_xlfn.XLOOKUP(TableauRecette[[#This Row],[ID]],TableauProduit[ID],TableauProduit[Total (kg) N1],0,0,1)*_xlfn.XLOOKUP(TableauRecette[[#This Row],[ID]],TableauProduit[ID],TableauProduit[Total (kg) N1],0,0,1)</f>
        <v>0</v>
      </c>
      <c r="M284" t="e">
        <f>_xlfn.XLOOKUP(TableauRecette[[#This Row],[ID]],TableauProduit[ID],TableauProduit[Total (kg) N1],0,0,1)*_xlfn.XLOOKUP(TableauRecette[[#This Row],[ID]],TableauProduit[ID],TableauProduit[Total (kg) N2],0,0,1)</f>
        <v>#REF!</v>
      </c>
      <c r="N284" t="e">
        <f>_xlfn.XLOOKUP(TableauRecette[[#This Row],[ID]],TableauProduit[ID],TableauProduit[Total (kg) N3],0,0,1)*#REF!</f>
        <v>#REF!</v>
      </c>
      <c r="O284" t="e">
        <f>_xlfn.XLOOKUP(TableauRecette[[#This Row],[ID]],TableauProduit[ID],TableauProduit[Total (kg) N4],0,0,1)*#REF!</f>
        <v>#REF!</v>
      </c>
      <c r="P284" t="e">
        <f>_xlfn.XLOOKUP(TableauRecette[[#This Row],[ID]],TableauProduit[ID],TableauProduit[Total (kg) N5],0,0,1)*#REF!</f>
        <v>#REF!</v>
      </c>
      <c r="Q284" t="e">
        <f>_xlfn.XLOOKUP(TableauRecette[[#This Row],[ID]],TableauProduit[ID],TableauProduit[Total (kg) N6],0,0,1)*#REF!</f>
        <v>#REF!</v>
      </c>
      <c r="R284" t="e">
        <f>_xlfn.XLOOKUP(TableauRecette[[#This Row],[ID]],TableauProduit[ID],TableauProduit[Total (kg) N7],0,0,1)*#REF!</f>
        <v>#REF!</v>
      </c>
      <c r="S284" t="e">
        <f>_xlfn.XLOOKUP(TableauRecette[[#This Row],[ID]],TableauProduit[ID],TableauProduit[Total (kg) N8],0,0,1)*#REF!</f>
        <v>#REF!</v>
      </c>
      <c r="T284" t="e">
        <f>_xlfn.XLOOKUP(TableauRecette[[#This Row],[ID]],TableauProduit[ID],TableauProduit[Total (kg) N9],0,0,1)*#REF!</f>
        <v>#REF!</v>
      </c>
    </row>
    <row r="285" spans="1:20" x14ac:dyDescent="0.2">
      <c r="A285" t="s">
        <v>104</v>
      </c>
      <c r="B285" t="str">
        <f>TableauRecette[[#This Row],[Recette]]&amp;TableauRecette[[#This Row],[Conditionnement]]</f>
        <v>Sans selEpice 100ml</v>
      </c>
      <c r="C285" t="s">
        <v>87</v>
      </c>
      <c r="D285">
        <v>1</v>
      </c>
      <c r="E285" t="s">
        <v>73</v>
      </c>
      <c r="F285">
        <f>IFERROR(TableauRecette[[#This Row],[Proportion]]/SUMIFS(TableauRecette[Proportion],TableauRecette[Recette],TableauRecette[[#This Row],[Recette]],TableauRecette[Conditionnement],TableauRecette[[#This Row],[Conditionnement]]),0)</f>
        <v>9.0909090909090912E-2</v>
      </c>
      <c r="G285">
        <f>IFERROR(_xlfn.XLOOKUP(TableauRecette[[#This Row],[Ingredients]],TableauIngredients[Ingredients],#REF!,0)*#REF!,0)</f>
        <v>0</v>
      </c>
      <c r="H285">
        <f>IFERROR(SUMIFS(TableauRecette[Proportion],TableauRecette[Recette],TableauRecette[[#This Row],[Recette]],TableauRecette[Conditionnement],TableauRecette[[#This Row],[Conditionnement]]),0)</f>
        <v>11</v>
      </c>
      <c r="I28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85">
        <f>_xlfn.XLOOKUP(TableauRecette[[#This Row],[ID]],TableauProduit[ID],TableauProduit[Total (kg) N1],0,0,1)*_xlfn.XLOOKUP(TableauRecette[[#This Row],[ID]],TableauProduit[ID],TableauProduit[Total (kg) N1],0,0,1)</f>
        <v>0</v>
      </c>
      <c r="M285" t="e">
        <f>_xlfn.XLOOKUP(TableauRecette[[#This Row],[ID]],TableauProduit[ID],TableauProduit[Total (kg) N1],0,0,1)*_xlfn.XLOOKUP(TableauRecette[[#This Row],[ID]],TableauProduit[ID],TableauProduit[Total (kg) N2],0,0,1)</f>
        <v>#REF!</v>
      </c>
      <c r="N285" t="e">
        <f>_xlfn.XLOOKUP(TableauRecette[[#This Row],[ID]],TableauProduit[ID],TableauProduit[Total (kg) N3],0,0,1)*#REF!</f>
        <v>#REF!</v>
      </c>
      <c r="O285" t="e">
        <f>_xlfn.XLOOKUP(TableauRecette[[#This Row],[ID]],TableauProduit[ID],TableauProduit[Total (kg) N4],0,0,1)*#REF!</f>
        <v>#REF!</v>
      </c>
      <c r="P285" t="e">
        <f>_xlfn.XLOOKUP(TableauRecette[[#This Row],[ID]],TableauProduit[ID],TableauProduit[Total (kg) N5],0,0,1)*#REF!</f>
        <v>#REF!</v>
      </c>
      <c r="Q285" t="e">
        <f>_xlfn.XLOOKUP(TableauRecette[[#This Row],[ID]],TableauProduit[ID],TableauProduit[Total (kg) N6],0,0,1)*#REF!</f>
        <v>#REF!</v>
      </c>
      <c r="R285" t="e">
        <f>_xlfn.XLOOKUP(TableauRecette[[#This Row],[ID]],TableauProduit[ID],TableauProduit[Total (kg) N7],0,0,1)*#REF!</f>
        <v>#REF!</v>
      </c>
      <c r="S285" t="e">
        <f>_xlfn.XLOOKUP(TableauRecette[[#This Row],[ID]],TableauProduit[ID],TableauProduit[Total (kg) N8],0,0,1)*#REF!</f>
        <v>#REF!</v>
      </c>
      <c r="T285" t="e">
        <f>_xlfn.XLOOKUP(TableauRecette[[#This Row],[ID]],TableauProduit[ID],TableauProduit[Total (kg) N9],0,0,1)*#REF!</f>
        <v>#REF!</v>
      </c>
    </row>
    <row r="286" spans="1:20" x14ac:dyDescent="0.2">
      <c r="A286" t="s">
        <v>104</v>
      </c>
      <c r="B286" t="str">
        <f>TableauRecette[[#This Row],[Recette]]&amp;TableauRecette[[#This Row],[Conditionnement]]</f>
        <v>Sans selEpice 100ml</v>
      </c>
      <c r="C286" t="s">
        <v>413</v>
      </c>
      <c r="D286">
        <v>2</v>
      </c>
      <c r="E286" t="s">
        <v>73</v>
      </c>
      <c r="F286">
        <f>IFERROR(TableauRecette[[#This Row],[Proportion]]/SUMIFS(TableauRecette[Proportion],TableauRecette[Recette],TableauRecette[[#This Row],[Recette]],TableauRecette[Conditionnement],TableauRecette[[#This Row],[Conditionnement]]),0)</f>
        <v>0.18181818181818182</v>
      </c>
      <c r="G286">
        <f>IFERROR(_xlfn.XLOOKUP(TableauRecette[[#This Row],[Ingredients]],TableauIngredients[Ingredients],#REF!,0)*#REF!,0)</f>
        <v>0</v>
      </c>
      <c r="H286">
        <f>IFERROR(SUMIFS(TableauRecette[Proportion],TableauRecette[Recette],TableauRecette[[#This Row],[Recette]],TableauRecette[Conditionnement],TableauRecette[[#This Row],[Conditionnement]]),0)</f>
        <v>11</v>
      </c>
      <c r="I28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286" t="s">
        <v>341</v>
      </c>
      <c r="L286">
        <f>_xlfn.XLOOKUP(TableauRecette[[#This Row],[ID]],TableauProduit[ID],TableauProduit[Total (kg) N1],0,0,1)*_xlfn.XLOOKUP(TableauRecette[[#This Row],[ID]],TableauProduit[ID],TableauProduit[Total (kg) N1],0,0,1)</f>
        <v>0</v>
      </c>
      <c r="M286" t="e">
        <f>_xlfn.XLOOKUP(TableauRecette[[#This Row],[ID]],TableauProduit[ID],TableauProduit[Total (kg) N1],0,0,1)*_xlfn.XLOOKUP(TableauRecette[[#This Row],[ID]],TableauProduit[ID],TableauProduit[Total (kg) N2],0,0,1)</f>
        <v>#REF!</v>
      </c>
      <c r="N286" t="e">
        <f>_xlfn.XLOOKUP(TableauRecette[[#This Row],[ID]],TableauProduit[ID],TableauProduit[Total (kg) N3],0,0,1)*#REF!</f>
        <v>#REF!</v>
      </c>
      <c r="O286" t="e">
        <f>_xlfn.XLOOKUP(TableauRecette[[#This Row],[ID]],TableauProduit[ID],TableauProduit[Total (kg) N4],0,0,1)*#REF!</f>
        <v>#REF!</v>
      </c>
      <c r="P286" t="e">
        <f>_xlfn.XLOOKUP(TableauRecette[[#This Row],[ID]],TableauProduit[ID],TableauProduit[Total (kg) N5],0,0,1)*#REF!</f>
        <v>#REF!</v>
      </c>
      <c r="Q286" t="e">
        <f>_xlfn.XLOOKUP(TableauRecette[[#This Row],[ID]],TableauProduit[ID],TableauProduit[Total (kg) N6],0,0,1)*#REF!</f>
        <v>#REF!</v>
      </c>
      <c r="R286" t="e">
        <f>_xlfn.XLOOKUP(TableauRecette[[#This Row],[ID]],TableauProduit[ID],TableauProduit[Total (kg) N7],0,0,1)*#REF!</f>
        <v>#REF!</v>
      </c>
      <c r="S286" t="e">
        <f>_xlfn.XLOOKUP(TableauRecette[[#This Row],[ID]],TableauProduit[ID],TableauProduit[Total (kg) N8],0,0,1)*#REF!</f>
        <v>#REF!</v>
      </c>
      <c r="T286" t="e">
        <f>_xlfn.XLOOKUP(TableauRecette[[#This Row],[ID]],TableauProduit[ID],TableauProduit[Total (kg) N9],0,0,1)*#REF!</f>
        <v>#REF!</v>
      </c>
    </row>
    <row r="287" spans="1:20" x14ac:dyDescent="0.2">
      <c r="A287" t="s">
        <v>104</v>
      </c>
      <c r="B287" t="str">
        <f>TableauRecette[[#This Row],[Recette]]&amp;TableauRecette[[#This Row],[Conditionnement]]</f>
        <v>Sans selEpice 100ml</v>
      </c>
      <c r="C287" t="s">
        <v>437</v>
      </c>
      <c r="D287">
        <v>2</v>
      </c>
      <c r="E287" t="s">
        <v>73</v>
      </c>
      <c r="F287">
        <f>IFERROR(TableauRecette[[#This Row],[Proportion]]/SUMIFS(TableauRecette[Proportion],TableauRecette[Recette],TableauRecette[[#This Row],[Recette]],TableauRecette[Conditionnement],TableauRecette[[#This Row],[Conditionnement]]),0)</f>
        <v>0.18181818181818182</v>
      </c>
      <c r="G287">
        <f>IFERROR(_xlfn.XLOOKUP(TableauRecette[[#This Row],[Ingredients]],TableauIngredients[Ingredients],#REF!,0)*#REF!,0)</f>
        <v>0</v>
      </c>
      <c r="H287">
        <f>IFERROR(SUMIFS(TableauRecette[Proportion],TableauRecette[Recette],TableauRecette[[#This Row],[Recette]],TableauRecette[Conditionnement],TableauRecette[[#This Row],[Conditionnement]]),0)</f>
        <v>11</v>
      </c>
      <c r="I28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87">
        <f>_xlfn.XLOOKUP(TableauRecette[[#This Row],[ID]],TableauProduit[ID],TableauProduit[Total (kg) N1],0,0,1)*_xlfn.XLOOKUP(TableauRecette[[#This Row],[ID]],TableauProduit[ID],TableauProduit[Total (kg) N1],0,0,1)</f>
        <v>0</v>
      </c>
      <c r="M287" t="e">
        <f>_xlfn.XLOOKUP(TableauRecette[[#This Row],[ID]],TableauProduit[ID],TableauProduit[Total (kg) N1],0,0,1)*_xlfn.XLOOKUP(TableauRecette[[#This Row],[ID]],TableauProduit[ID],TableauProduit[Total (kg) N2],0,0,1)</f>
        <v>#REF!</v>
      </c>
      <c r="N287" t="e">
        <f>_xlfn.XLOOKUP(TableauRecette[[#This Row],[ID]],TableauProduit[ID],TableauProduit[Total (kg) N3],0,0,1)*#REF!</f>
        <v>#REF!</v>
      </c>
      <c r="O287" t="e">
        <f>_xlfn.XLOOKUP(TableauRecette[[#This Row],[ID]],TableauProduit[ID],TableauProduit[Total (kg) N4],0,0,1)*#REF!</f>
        <v>#REF!</v>
      </c>
      <c r="P287" t="e">
        <f>_xlfn.XLOOKUP(TableauRecette[[#This Row],[ID]],TableauProduit[ID],TableauProduit[Total (kg) N5],0,0,1)*#REF!</f>
        <v>#REF!</v>
      </c>
      <c r="Q287" t="e">
        <f>_xlfn.XLOOKUP(TableauRecette[[#This Row],[ID]],TableauProduit[ID],TableauProduit[Total (kg) N6],0,0,1)*#REF!</f>
        <v>#REF!</v>
      </c>
      <c r="R287" t="e">
        <f>_xlfn.XLOOKUP(TableauRecette[[#This Row],[ID]],TableauProduit[ID],TableauProduit[Total (kg) N7],0,0,1)*#REF!</f>
        <v>#REF!</v>
      </c>
      <c r="S287" t="e">
        <f>_xlfn.XLOOKUP(TableauRecette[[#This Row],[ID]],TableauProduit[ID],TableauProduit[Total (kg) N8],0,0,1)*#REF!</f>
        <v>#REF!</v>
      </c>
      <c r="T287" t="e">
        <f>_xlfn.XLOOKUP(TableauRecette[[#This Row],[ID]],TableauProduit[ID],TableauProduit[Total (kg) N9],0,0,1)*#REF!</f>
        <v>#REF!</v>
      </c>
    </row>
    <row r="288" spans="1:20" x14ac:dyDescent="0.2">
      <c r="A288" t="s">
        <v>104</v>
      </c>
      <c r="B288" t="str">
        <f>TableauRecette[[#This Row],[Recette]]&amp;TableauRecette[[#This Row],[Conditionnement]]</f>
        <v>Sans selEpice 100ml</v>
      </c>
      <c r="C288" t="s">
        <v>438</v>
      </c>
      <c r="D288">
        <v>1</v>
      </c>
      <c r="E288" t="s">
        <v>73</v>
      </c>
      <c r="F288">
        <f>IFERROR(TableauRecette[[#This Row],[Proportion]]/SUMIFS(TableauRecette[Proportion],TableauRecette[Recette],TableauRecette[[#This Row],[Recette]],TableauRecette[Conditionnement],TableauRecette[[#This Row],[Conditionnement]]),0)</f>
        <v>9.0909090909090912E-2</v>
      </c>
      <c r="G288">
        <f>IFERROR(_xlfn.XLOOKUP(TableauRecette[[#This Row],[Ingredients]],TableauIngredients[Ingredients],#REF!,0)*#REF!,0)</f>
        <v>0</v>
      </c>
      <c r="H288">
        <f>IFERROR(SUMIFS(TableauRecette[Proportion],TableauRecette[Recette],TableauRecette[[#This Row],[Recette]],TableauRecette[Conditionnement],TableauRecette[[#This Row],[Conditionnement]]),0)</f>
        <v>11</v>
      </c>
      <c r="I288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88">
        <f>_xlfn.XLOOKUP(TableauRecette[[#This Row],[ID]],TableauProduit[ID],TableauProduit[Total (kg) N1],0,0,1)*_xlfn.XLOOKUP(TableauRecette[[#This Row],[ID]],TableauProduit[ID],TableauProduit[Total (kg) N1],0,0,1)</f>
        <v>0</v>
      </c>
      <c r="M288" t="e">
        <f>_xlfn.XLOOKUP(TableauRecette[[#This Row],[ID]],TableauProduit[ID],TableauProduit[Total (kg) N1],0,0,1)*_xlfn.XLOOKUP(TableauRecette[[#This Row],[ID]],TableauProduit[ID],TableauProduit[Total (kg) N2],0,0,1)</f>
        <v>#REF!</v>
      </c>
      <c r="N288" t="e">
        <f>_xlfn.XLOOKUP(TableauRecette[[#This Row],[ID]],TableauProduit[ID],TableauProduit[Total (kg) N3],0,0,1)*#REF!</f>
        <v>#REF!</v>
      </c>
      <c r="O288" t="e">
        <f>_xlfn.XLOOKUP(TableauRecette[[#This Row],[ID]],TableauProduit[ID],TableauProduit[Total (kg) N4],0,0,1)*#REF!</f>
        <v>#REF!</v>
      </c>
      <c r="P288" t="e">
        <f>_xlfn.XLOOKUP(TableauRecette[[#This Row],[ID]],TableauProduit[ID],TableauProduit[Total (kg) N5],0,0,1)*#REF!</f>
        <v>#REF!</v>
      </c>
      <c r="Q288" t="e">
        <f>_xlfn.XLOOKUP(TableauRecette[[#This Row],[ID]],TableauProduit[ID],TableauProduit[Total (kg) N6],0,0,1)*#REF!</f>
        <v>#REF!</v>
      </c>
      <c r="R288" t="e">
        <f>_xlfn.XLOOKUP(TableauRecette[[#This Row],[ID]],TableauProduit[ID],TableauProduit[Total (kg) N7],0,0,1)*#REF!</f>
        <v>#REF!</v>
      </c>
      <c r="S288" t="e">
        <f>_xlfn.XLOOKUP(TableauRecette[[#This Row],[ID]],TableauProduit[ID],TableauProduit[Total (kg) N8],0,0,1)*#REF!</f>
        <v>#REF!</v>
      </c>
      <c r="T288" t="e">
        <f>_xlfn.XLOOKUP(TableauRecette[[#This Row],[ID]],TableauProduit[ID],TableauProduit[Total (kg) N9],0,0,1)*#REF!</f>
        <v>#REF!</v>
      </c>
    </row>
    <row r="289" spans="1:20" x14ac:dyDescent="0.2">
      <c r="A289" t="s">
        <v>104</v>
      </c>
      <c r="B289" t="str">
        <f>TableauRecette[[#This Row],[Recette]]&amp;TableauRecette[[#This Row],[Conditionnement]]</f>
        <v>Sans selEpice 100ml</v>
      </c>
      <c r="C289" t="s">
        <v>385</v>
      </c>
      <c r="D289">
        <v>2</v>
      </c>
      <c r="E289" t="s">
        <v>73</v>
      </c>
      <c r="F289">
        <f>IFERROR(TableauRecette[[#This Row],[Proportion]]/SUMIFS(TableauRecette[Proportion],TableauRecette[Recette],TableauRecette[[#This Row],[Recette]],TableauRecette[Conditionnement],TableauRecette[[#This Row],[Conditionnement]]),0)</f>
        <v>0.18181818181818182</v>
      </c>
      <c r="G289">
        <f>IFERROR(_xlfn.XLOOKUP(TableauRecette[[#This Row],[Ingredients]],TableauIngredients[Ingredients],#REF!,0)*#REF!,0)</f>
        <v>0</v>
      </c>
      <c r="H289">
        <f>IFERROR(SUMIFS(TableauRecette[Proportion],TableauRecette[Recette],TableauRecette[[#This Row],[Recette]],TableauRecette[Conditionnement],TableauRecette[[#This Row],[Conditionnement]]),0)</f>
        <v>11</v>
      </c>
      <c r="I28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89">
        <f>_xlfn.XLOOKUP(TableauRecette[[#This Row],[ID]],TableauProduit[ID],TableauProduit[Total (kg) N1],0,0,1)*_xlfn.XLOOKUP(TableauRecette[[#This Row],[ID]],TableauProduit[ID],TableauProduit[Total (kg) N1],0,0,1)</f>
        <v>0</v>
      </c>
      <c r="M289" t="e">
        <f>_xlfn.XLOOKUP(TableauRecette[[#This Row],[ID]],TableauProduit[ID],TableauProduit[Total (kg) N1],0,0,1)*_xlfn.XLOOKUP(TableauRecette[[#This Row],[ID]],TableauProduit[ID],TableauProduit[Total (kg) N2],0,0,1)</f>
        <v>#REF!</v>
      </c>
      <c r="N289" t="e">
        <f>_xlfn.XLOOKUP(TableauRecette[[#This Row],[ID]],TableauProduit[ID],TableauProduit[Total (kg) N3],0,0,1)*#REF!</f>
        <v>#REF!</v>
      </c>
      <c r="O289" t="e">
        <f>_xlfn.XLOOKUP(TableauRecette[[#This Row],[ID]],TableauProduit[ID],TableauProduit[Total (kg) N4],0,0,1)*#REF!</f>
        <v>#REF!</v>
      </c>
      <c r="P289" t="e">
        <f>_xlfn.XLOOKUP(TableauRecette[[#This Row],[ID]],TableauProduit[ID],TableauProduit[Total (kg) N5],0,0,1)*#REF!</f>
        <v>#REF!</v>
      </c>
      <c r="Q289" t="e">
        <f>_xlfn.XLOOKUP(TableauRecette[[#This Row],[ID]],TableauProduit[ID],TableauProduit[Total (kg) N6],0,0,1)*#REF!</f>
        <v>#REF!</v>
      </c>
      <c r="R289" t="e">
        <f>_xlfn.XLOOKUP(TableauRecette[[#This Row],[ID]],TableauProduit[ID],TableauProduit[Total (kg) N7],0,0,1)*#REF!</f>
        <v>#REF!</v>
      </c>
      <c r="S289" t="e">
        <f>_xlfn.XLOOKUP(TableauRecette[[#This Row],[ID]],TableauProduit[ID],TableauProduit[Total (kg) N8],0,0,1)*#REF!</f>
        <v>#REF!</v>
      </c>
      <c r="T289" t="e">
        <f>_xlfn.XLOOKUP(TableauRecette[[#This Row],[ID]],TableauProduit[ID],TableauProduit[Total (kg) N9],0,0,1)*#REF!</f>
        <v>#REF!</v>
      </c>
    </row>
    <row r="290" spans="1:20" x14ac:dyDescent="0.2">
      <c r="A290" t="s">
        <v>104</v>
      </c>
      <c r="B290" t="str">
        <f>TableauRecette[[#This Row],[Recette]]&amp;TableauRecette[[#This Row],[Conditionnement]]</f>
        <v>Sans selEpice 100ml</v>
      </c>
      <c r="C290" t="s">
        <v>393</v>
      </c>
      <c r="D290">
        <v>2</v>
      </c>
      <c r="E290" t="s">
        <v>73</v>
      </c>
      <c r="F290">
        <f>IFERROR(TableauRecette[[#This Row],[Proportion]]/SUMIFS(TableauRecette[Proportion],TableauRecette[Recette],TableauRecette[[#This Row],[Recette]],TableauRecette[Conditionnement],TableauRecette[[#This Row],[Conditionnement]]),0)</f>
        <v>0.18181818181818182</v>
      </c>
      <c r="G290">
        <f>IFERROR(_xlfn.XLOOKUP(TableauRecette[[#This Row],[Ingredients]],TableauIngredients[Ingredients],#REF!,0)*#REF!,0)</f>
        <v>0</v>
      </c>
      <c r="H290">
        <f>IFERROR(SUMIFS(TableauRecette[Proportion],TableauRecette[Recette],TableauRecette[[#This Row],[Recette]],TableauRecette[Conditionnement],TableauRecette[[#This Row],[Conditionnement]]),0)</f>
        <v>11</v>
      </c>
      <c r="I290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90">
        <f>_xlfn.XLOOKUP(TableauRecette[[#This Row],[ID]],TableauProduit[ID],TableauProduit[Total (kg) N1],0,0,1)*_xlfn.XLOOKUP(TableauRecette[[#This Row],[ID]],TableauProduit[ID],TableauProduit[Total (kg) N1],0,0,1)</f>
        <v>0</v>
      </c>
      <c r="M290" t="e">
        <f>_xlfn.XLOOKUP(TableauRecette[[#This Row],[ID]],TableauProduit[ID],TableauProduit[Total (kg) N1],0,0,1)*_xlfn.XLOOKUP(TableauRecette[[#This Row],[ID]],TableauProduit[ID],TableauProduit[Total (kg) N2],0,0,1)</f>
        <v>#REF!</v>
      </c>
      <c r="N290" t="e">
        <f>_xlfn.XLOOKUP(TableauRecette[[#This Row],[ID]],TableauProduit[ID],TableauProduit[Total (kg) N3],0,0,1)*#REF!</f>
        <v>#REF!</v>
      </c>
      <c r="O290" t="e">
        <f>_xlfn.XLOOKUP(TableauRecette[[#This Row],[ID]],TableauProduit[ID],TableauProduit[Total (kg) N4],0,0,1)*#REF!</f>
        <v>#REF!</v>
      </c>
      <c r="P290" t="e">
        <f>_xlfn.XLOOKUP(TableauRecette[[#This Row],[ID]],TableauProduit[ID],TableauProduit[Total (kg) N5],0,0,1)*#REF!</f>
        <v>#REF!</v>
      </c>
      <c r="Q290" t="e">
        <f>_xlfn.XLOOKUP(TableauRecette[[#This Row],[ID]],TableauProduit[ID],TableauProduit[Total (kg) N6],0,0,1)*#REF!</f>
        <v>#REF!</v>
      </c>
      <c r="R290" t="e">
        <f>_xlfn.XLOOKUP(TableauRecette[[#This Row],[ID]],TableauProduit[ID],TableauProduit[Total (kg) N7],0,0,1)*#REF!</f>
        <v>#REF!</v>
      </c>
      <c r="S290" t="e">
        <f>_xlfn.XLOOKUP(TableauRecette[[#This Row],[ID]],TableauProduit[ID],TableauProduit[Total (kg) N8],0,0,1)*#REF!</f>
        <v>#REF!</v>
      </c>
      <c r="T290" t="e">
        <f>_xlfn.XLOOKUP(TableauRecette[[#This Row],[ID]],TableauProduit[ID],TableauProduit[Total (kg) N9],0,0,1)*#REF!</f>
        <v>#REF!</v>
      </c>
    </row>
    <row r="291" spans="1:20" x14ac:dyDescent="0.2">
      <c r="A291" t="s">
        <v>104</v>
      </c>
      <c r="B291" t="str">
        <f>TableauRecette[[#This Row],[Recette]]&amp;TableauRecette[[#This Row],[Conditionnement]]</f>
        <v>Sans selEpice 100ml</v>
      </c>
      <c r="C291" t="s">
        <v>346</v>
      </c>
      <c r="D291">
        <v>1</v>
      </c>
      <c r="E291" t="s">
        <v>73</v>
      </c>
      <c r="F291">
        <f>IFERROR(TableauRecette[[#This Row],[Proportion]]/SUMIFS(TableauRecette[Proportion],TableauRecette[Recette],TableauRecette[[#This Row],[Recette]],TableauRecette[Conditionnement],TableauRecette[[#This Row],[Conditionnement]]),0)</f>
        <v>9.0909090909090912E-2</v>
      </c>
      <c r="G291">
        <f>IFERROR(_xlfn.XLOOKUP(TableauRecette[[#This Row],[Ingredients]],TableauIngredients[Ingredients],#REF!,0)*#REF!,0)</f>
        <v>0</v>
      </c>
      <c r="H291">
        <f>IFERROR(SUMIFS(TableauRecette[Proportion],TableauRecette[Recette],TableauRecette[[#This Row],[Recette]],TableauRecette[Conditionnement],TableauRecette[[#This Row],[Conditionnement]]),0)</f>
        <v>11</v>
      </c>
      <c r="I29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291" t="s">
        <v>341</v>
      </c>
      <c r="L291">
        <f>_xlfn.XLOOKUP(TableauRecette[[#This Row],[ID]],TableauProduit[ID],TableauProduit[Total (kg) N1],0,0,1)*_xlfn.XLOOKUP(TableauRecette[[#This Row],[ID]],TableauProduit[ID],TableauProduit[Total (kg) N1],0,0,1)</f>
        <v>0</v>
      </c>
      <c r="M291" t="e">
        <f>_xlfn.XLOOKUP(TableauRecette[[#This Row],[ID]],TableauProduit[ID],TableauProduit[Total (kg) N1],0,0,1)*_xlfn.XLOOKUP(TableauRecette[[#This Row],[ID]],TableauProduit[ID],TableauProduit[Total (kg) N2],0,0,1)</f>
        <v>#REF!</v>
      </c>
      <c r="N291" t="e">
        <f>_xlfn.XLOOKUP(TableauRecette[[#This Row],[ID]],TableauProduit[ID],TableauProduit[Total (kg) N3],0,0,1)*#REF!</f>
        <v>#REF!</v>
      </c>
      <c r="O291" t="e">
        <f>_xlfn.XLOOKUP(TableauRecette[[#This Row],[ID]],TableauProduit[ID],TableauProduit[Total (kg) N4],0,0,1)*#REF!</f>
        <v>#REF!</v>
      </c>
      <c r="P291" t="e">
        <f>_xlfn.XLOOKUP(TableauRecette[[#This Row],[ID]],TableauProduit[ID],TableauProduit[Total (kg) N5],0,0,1)*#REF!</f>
        <v>#REF!</v>
      </c>
      <c r="Q291" t="e">
        <f>_xlfn.XLOOKUP(TableauRecette[[#This Row],[ID]],TableauProduit[ID],TableauProduit[Total (kg) N6],0,0,1)*#REF!</f>
        <v>#REF!</v>
      </c>
      <c r="R291" t="e">
        <f>_xlfn.XLOOKUP(TableauRecette[[#This Row],[ID]],TableauProduit[ID],TableauProduit[Total (kg) N7],0,0,1)*#REF!</f>
        <v>#REF!</v>
      </c>
      <c r="S291" t="e">
        <f>_xlfn.XLOOKUP(TableauRecette[[#This Row],[ID]],TableauProduit[ID],TableauProduit[Total (kg) N8],0,0,1)*#REF!</f>
        <v>#REF!</v>
      </c>
      <c r="T291" t="e">
        <f>_xlfn.XLOOKUP(TableauRecette[[#This Row],[ID]],TableauProduit[ID],TableauProduit[Total (kg) N9],0,0,1)*#REF!</f>
        <v>#REF!</v>
      </c>
    </row>
    <row r="292" spans="1:20" x14ac:dyDescent="0.2">
      <c r="A292" t="s">
        <v>105</v>
      </c>
      <c r="B292" t="str">
        <f>TableauRecette[[#This Row],[Recette]]&amp;TableauRecette[[#This Row],[Conditionnement]]</f>
        <v>Shichimi togarashiEpice 100ml</v>
      </c>
      <c r="C292" t="s">
        <v>439</v>
      </c>
      <c r="D292">
        <v>0</v>
      </c>
      <c r="E292" t="s">
        <v>73</v>
      </c>
      <c r="F292">
        <f>IFERROR(TableauRecette[[#This Row],[Proportion]]/SUMIFS(TableauRecette[Proportion],TableauRecette[Recette],TableauRecette[[#This Row],[Recette]],TableauRecette[Conditionnement],TableauRecette[[#This Row],[Conditionnement]]),0)</f>
        <v>0</v>
      </c>
      <c r="G292">
        <f>IFERROR(_xlfn.XLOOKUP(TableauRecette[[#This Row],[Ingredients]],TableauIngredients[Ingredients],#REF!,0)*#REF!,0)</f>
        <v>0</v>
      </c>
      <c r="H292">
        <f>IFERROR(SUMIFS(TableauRecette[Proportion],TableauRecette[Recette],TableauRecette[[#This Row],[Recette]],TableauRecette[Conditionnement],TableauRecette[[#This Row],[Conditionnement]]),0)</f>
        <v>20</v>
      </c>
      <c r="I29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92">
        <f>_xlfn.XLOOKUP(TableauRecette[[#This Row],[ID]],TableauProduit[ID],TableauProduit[Total (kg) N1],0,0,1)*_xlfn.XLOOKUP(TableauRecette[[#This Row],[ID]],TableauProduit[ID],TableauProduit[Total (kg) N1],0,0,1)</f>
        <v>0</v>
      </c>
      <c r="M292" t="e">
        <f>_xlfn.XLOOKUP(TableauRecette[[#This Row],[ID]],TableauProduit[ID],TableauProduit[Total (kg) N1],0,0,1)*_xlfn.XLOOKUP(TableauRecette[[#This Row],[ID]],TableauProduit[ID],TableauProduit[Total (kg) N2],0,0,1)</f>
        <v>#REF!</v>
      </c>
      <c r="N292" t="e">
        <f>_xlfn.XLOOKUP(TableauRecette[[#This Row],[ID]],TableauProduit[ID],TableauProduit[Total (kg) N3],0,0,1)*#REF!</f>
        <v>#REF!</v>
      </c>
      <c r="O292" t="e">
        <f>_xlfn.XLOOKUP(TableauRecette[[#This Row],[ID]],TableauProduit[ID],TableauProduit[Total (kg) N4],0,0,1)*#REF!</f>
        <v>#REF!</v>
      </c>
      <c r="P292" t="e">
        <f>_xlfn.XLOOKUP(TableauRecette[[#This Row],[ID]],TableauProduit[ID],TableauProduit[Total (kg) N5],0,0,1)*#REF!</f>
        <v>#REF!</v>
      </c>
      <c r="Q292" t="e">
        <f>_xlfn.XLOOKUP(TableauRecette[[#This Row],[ID]],TableauProduit[ID],TableauProduit[Total (kg) N6],0,0,1)*#REF!</f>
        <v>#REF!</v>
      </c>
      <c r="R292" t="e">
        <f>_xlfn.XLOOKUP(TableauRecette[[#This Row],[ID]],TableauProduit[ID],TableauProduit[Total (kg) N7],0,0,1)*#REF!</f>
        <v>#REF!</v>
      </c>
      <c r="S292" t="e">
        <f>_xlfn.XLOOKUP(TableauRecette[[#This Row],[ID]],TableauProduit[ID],TableauProduit[Total (kg) N8],0,0,1)*#REF!</f>
        <v>#REF!</v>
      </c>
      <c r="T292" t="e">
        <f>_xlfn.XLOOKUP(TableauRecette[[#This Row],[ID]],TableauProduit[ID],TableauProduit[Total (kg) N9],0,0,1)*#REF!</f>
        <v>#REF!</v>
      </c>
    </row>
    <row r="293" spans="1:20" x14ac:dyDescent="0.2">
      <c r="A293" t="s">
        <v>105</v>
      </c>
      <c r="B293" t="str">
        <f>TableauRecette[[#This Row],[Recette]]&amp;TableauRecette[[#This Row],[Conditionnement]]</f>
        <v>Shichimi togarashiEpice 100ml</v>
      </c>
      <c r="C293" t="s">
        <v>391</v>
      </c>
      <c r="D293">
        <v>6</v>
      </c>
      <c r="E293" t="s">
        <v>73</v>
      </c>
      <c r="F293">
        <f>IFERROR(TableauRecette[[#This Row],[Proportion]]/SUMIFS(TableauRecette[Proportion],TableauRecette[Recette],TableauRecette[[#This Row],[Recette]],TableauRecette[Conditionnement],TableauRecette[[#This Row],[Conditionnement]]),0)</f>
        <v>0.3</v>
      </c>
      <c r="G293">
        <f>IFERROR(_xlfn.XLOOKUP(TableauRecette[[#This Row],[Ingredients]],TableauIngredients[Ingredients],#REF!,0)*#REF!,0)</f>
        <v>0</v>
      </c>
      <c r="H293">
        <f>IFERROR(SUMIFS(TableauRecette[Proportion],TableauRecette[Recette],TableauRecette[[#This Row],[Recette]],TableauRecette[Conditionnement],TableauRecette[[#This Row],[Conditionnement]]),0)</f>
        <v>20</v>
      </c>
      <c r="I293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93">
        <f>_xlfn.XLOOKUP(TableauRecette[[#This Row],[ID]],TableauProduit[ID],TableauProduit[Total (kg) N1],0,0,1)*_xlfn.XLOOKUP(TableauRecette[[#This Row],[ID]],TableauProduit[ID],TableauProduit[Total (kg) N1],0,0,1)</f>
        <v>0</v>
      </c>
      <c r="M293" t="e">
        <f>_xlfn.XLOOKUP(TableauRecette[[#This Row],[ID]],TableauProduit[ID],TableauProduit[Total (kg) N1],0,0,1)*_xlfn.XLOOKUP(TableauRecette[[#This Row],[ID]],TableauProduit[ID],TableauProduit[Total (kg) N2],0,0,1)</f>
        <v>#REF!</v>
      </c>
      <c r="N293" t="e">
        <f>_xlfn.XLOOKUP(TableauRecette[[#This Row],[ID]],TableauProduit[ID],TableauProduit[Total (kg) N3],0,0,1)*#REF!</f>
        <v>#REF!</v>
      </c>
      <c r="O293" t="e">
        <f>_xlfn.XLOOKUP(TableauRecette[[#This Row],[ID]],TableauProduit[ID],TableauProduit[Total (kg) N4],0,0,1)*#REF!</f>
        <v>#REF!</v>
      </c>
      <c r="P293" t="e">
        <f>_xlfn.XLOOKUP(TableauRecette[[#This Row],[ID]],TableauProduit[ID],TableauProduit[Total (kg) N5],0,0,1)*#REF!</f>
        <v>#REF!</v>
      </c>
      <c r="Q293" t="e">
        <f>_xlfn.XLOOKUP(TableauRecette[[#This Row],[ID]],TableauProduit[ID],TableauProduit[Total (kg) N6],0,0,1)*#REF!</f>
        <v>#REF!</v>
      </c>
      <c r="R293" t="e">
        <f>_xlfn.XLOOKUP(TableauRecette[[#This Row],[ID]],TableauProduit[ID],TableauProduit[Total (kg) N7],0,0,1)*#REF!</f>
        <v>#REF!</v>
      </c>
      <c r="S293" t="e">
        <f>_xlfn.XLOOKUP(TableauRecette[[#This Row],[ID]],TableauProduit[ID],TableauProduit[Total (kg) N8],0,0,1)*#REF!</f>
        <v>#REF!</v>
      </c>
      <c r="T293" t="e">
        <f>_xlfn.XLOOKUP(TableauRecette[[#This Row],[ID]],TableauProduit[ID],TableauProduit[Total (kg) N9],0,0,1)*#REF!</f>
        <v>#REF!</v>
      </c>
    </row>
    <row r="294" spans="1:20" x14ac:dyDescent="0.2">
      <c r="A294" t="s">
        <v>105</v>
      </c>
      <c r="B294" t="str">
        <f>TableauRecette[[#This Row],[Recette]]&amp;TableauRecette[[#This Row],[Conditionnement]]</f>
        <v>Shichimi togarashiEpice 100ml</v>
      </c>
      <c r="C294" t="s">
        <v>440</v>
      </c>
      <c r="D294">
        <v>3</v>
      </c>
      <c r="E294" t="s">
        <v>73</v>
      </c>
      <c r="F294">
        <f>IFERROR(TableauRecette[[#This Row],[Proportion]]/SUMIFS(TableauRecette[Proportion],TableauRecette[Recette],TableauRecette[[#This Row],[Recette]],TableauRecette[Conditionnement],TableauRecette[[#This Row],[Conditionnement]]),0)</f>
        <v>0.15</v>
      </c>
      <c r="G294">
        <f>IFERROR(_xlfn.XLOOKUP(TableauRecette[[#This Row],[Ingredients]],TableauIngredients[Ingredients],#REF!,0)*#REF!,0)</f>
        <v>0</v>
      </c>
      <c r="H294">
        <f>IFERROR(SUMIFS(TableauRecette[Proportion],TableauRecette[Recette],TableauRecette[[#This Row],[Recette]],TableauRecette[Conditionnement],TableauRecette[[#This Row],[Conditionnement]]),0)</f>
        <v>20</v>
      </c>
      <c r="I294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94">
        <f>_xlfn.XLOOKUP(TableauRecette[[#This Row],[ID]],TableauProduit[ID],TableauProduit[Total (kg) N1],0,0,1)*_xlfn.XLOOKUP(TableauRecette[[#This Row],[ID]],TableauProduit[ID],TableauProduit[Total (kg) N1],0,0,1)</f>
        <v>0</v>
      </c>
      <c r="M294" t="e">
        <f>_xlfn.XLOOKUP(TableauRecette[[#This Row],[ID]],TableauProduit[ID],TableauProduit[Total (kg) N1],0,0,1)*_xlfn.XLOOKUP(TableauRecette[[#This Row],[ID]],TableauProduit[ID],TableauProduit[Total (kg) N2],0,0,1)</f>
        <v>#REF!</v>
      </c>
      <c r="N294" t="e">
        <f>_xlfn.XLOOKUP(TableauRecette[[#This Row],[ID]],TableauProduit[ID],TableauProduit[Total (kg) N3],0,0,1)*#REF!</f>
        <v>#REF!</v>
      </c>
      <c r="O294" t="e">
        <f>_xlfn.XLOOKUP(TableauRecette[[#This Row],[ID]],TableauProduit[ID],TableauProduit[Total (kg) N4],0,0,1)*#REF!</f>
        <v>#REF!</v>
      </c>
      <c r="P294" t="e">
        <f>_xlfn.XLOOKUP(TableauRecette[[#This Row],[ID]],TableauProduit[ID],TableauProduit[Total (kg) N5],0,0,1)*#REF!</f>
        <v>#REF!</v>
      </c>
      <c r="Q294" t="e">
        <f>_xlfn.XLOOKUP(TableauRecette[[#This Row],[ID]],TableauProduit[ID],TableauProduit[Total (kg) N6],0,0,1)*#REF!</f>
        <v>#REF!</v>
      </c>
      <c r="R294" t="e">
        <f>_xlfn.XLOOKUP(TableauRecette[[#This Row],[ID]],TableauProduit[ID],TableauProduit[Total (kg) N7],0,0,1)*#REF!</f>
        <v>#REF!</v>
      </c>
      <c r="S294" t="e">
        <f>_xlfn.XLOOKUP(TableauRecette[[#This Row],[ID]],TableauProduit[ID],TableauProduit[Total (kg) N8],0,0,1)*#REF!</f>
        <v>#REF!</v>
      </c>
      <c r="T294" t="e">
        <f>_xlfn.XLOOKUP(TableauRecette[[#This Row],[ID]],TableauProduit[ID],TableauProduit[Total (kg) N9],0,0,1)*#REF!</f>
        <v>#REF!</v>
      </c>
    </row>
    <row r="295" spans="1:20" x14ac:dyDescent="0.2">
      <c r="A295" t="s">
        <v>105</v>
      </c>
      <c r="B295" t="str">
        <f>TableauRecette[[#This Row],[Recette]]&amp;TableauRecette[[#This Row],[Conditionnement]]</f>
        <v>Shichimi togarashiEpice 100ml</v>
      </c>
      <c r="C295" t="s">
        <v>441</v>
      </c>
      <c r="D295">
        <v>1.5</v>
      </c>
      <c r="E295" t="s">
        <v>73</v>
      </c>
      <c r="F295">
        <f>IFERROR(TableauRecette[[#This Row],[Proportion]]/SUMIFS(TableauRecette[Proportion],TableauRecette[Recette],TableauRecette[[#This Row],[Recette]],TableauRecette[Conditionnement],TableauRecette[[#This Row],[Conditionnement]]),0)</f>
        <v>7.4999999999999997E-2</v>
      </c>
      <c r="G295">
        <f>IFERROR(_xlfn.XLOOKUP(TableauRecette[[#This Row],[Ingredients]],TableauIngredients[Ingredients],#REF!,0)*#REF!,0)</f>
        <v>0</v>
      </c>
      <c r="H295">
        <f>IFERROR(SUMIFS(TableauRecette[Proportion],TableauRecette[Recette],TableauRecette[[#This Row],[Recette]],TableauRecette[Conditionnement],TableauRecette[[#This Row],[Conditionnement]]),0)</f>
        <v>20</v>
      </c>
      <c r="I29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95">
        <f>_xlfn.XLOOKUP(TableauRecette[[#This Row],[ID]],TableauProduit[ID],TableauProduit[Total (kg) N1],0,0,1)*_xlfn.XLOOKUP(TableauRecette[[#This Row],[ID]],TableauProduit[ID],TableauProduit[Total (kg) N1],0,0,1)</f>
        <v>0</v>
      </c>
      <c r="M295" t="e">
        <f>_xlfn.XLOOKUP(TableauRecette[[#This Row],[ID]],TableauProduit[ID],TableauProduit[Total (kg) N1],0,0,1)*_xlfn.XLOOKUP(TableauRecette[[#This Row],[ID]],TableauProduit[ID],TableauProduit[Total (kg) N2],0,0,1)</f>
        <v>#REF!</v>
      </c>
      <c r="N295" t="e">
        <f>_xlfn.XLOOKUP(TableauRecette[[#This Row],[ID]],TableauProduit[ID],TableauProduit[Total (kg) N3],0,0,1)*#REF!</f>
        <v>#REF!</v>
      </c>
      <c r="O295" t="e">
        <f>_xlfn.XLOOKUP(TableauRecette[[#This Row],[ID]],TableauProduit[ID],TableauProduit[Total (kg) N4],0,0,1)*#REF!</f>
        <v>#REF!</v>
      </c>
      <c r="P295" t="e">
        <f>_xlfn.XLOOKUP(TableauRecette[[#This Row],[ID]],TableauProduit[ID],TableauProduit[Total (kg) N5],0,0,1)*#REF!</f>
        <v>#REF!</v>
      </c>
      <c r="Q295" t="e">
        <f>_xlfn.XLOOKUP(TableauRecette[[#This Row],[ID]],TableauProduit[ID],TableauProduit[Total (kg) N6],0,0,1)*#REF!</f>
        <v>#REF!</v>
      </c>
      <c r="R295" t="e">
        <f>_xlfn.XLOOKUP(TableauRecette[[#This Row],[ID]],TableauProduit[ID],TableauProduit[Total (kg) N7],0,0,1)*#REF!</f>
        <v>#REF!</v>
      </c>
      <c r="S295" t="e">
        <f>_xlfn.XLOOKUP(TableauRecette[[#This Row],[ID]],TableauProduit[ID],TableauProduit[Total (kg) N8],0,0,1)*#REF!</f>
        <v>#REF!</v>
      </c>
      <c r="T295" t="e">
        <f>_xlfn.XLOOKUP(TableauRecette[[#This Row],[ID]],TableauProduit[ID],TableauProduit[Total (kg) N9],0,0,1)*#REF!</f>
        <v>#REF!</v>
      </c>
    </row>
    <row r="296" spans="1:20" x14ac:dyDescent="0.2">
      <c r="A296" t="s">
        <v>105</v>
      </c>
      <c r="B296" t="str">
        <f>TableauRecette[[#This Row],[Recette]]&amp;TableauRecette[[#This Row],[Conditionnement]]</f>
        <v>Shichimi togarashiEpice 100ml</v>
      </c>
      <c r="C296" t="s">
        <v>423</v>
      </c>
      <c r="D296">
        <v>1.5</v>
      </c>
      <c r="E296" t="s">
        <v>73</v>
      </c>
      <c r="F296">
        <f>IFERROR(TableauRecette[[#This Row],[Proportion]]/SUMIFS(TableauRecette[Proportion],TableauRecette[Recette],TableauRecette[[#This Row],[Recette]],TableauRecette[Conditionnement],TableauRecette[[#This Row],[Conditionnement]]),0)</f>
        <v>7.4999999999999997E-2</v>
      </c>
      <c r="G296">
        <f>IFERROR(_xlfn.XLOOKUP(TableauRecette[[#This Row],[Ingredients]],TableauIngredients[Ingredients],#REF!,0)*#REF!,0)</f>
        <v>0</v>
      </c>
      <c r="H296">
        <f>IFERROR(SUMIFS(TableauRecette[Proportion],TableauRecette[Recette],TableauRecette[[#This Row],[Recette]],TableauRecette[Conditionnement],TableauRecette[[#This Row],[Conditionnement]]),0)</f>
        <v>20</v>
      </c>
      <c r="I29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96">
        <f>_xlfn.XLOOKUP(TableauRecette[[#This Row],[ID]],TableauProduit[ID],TableauProduit[Total (kg) N1],0,0,1)*_xlfn.XLOOKUP(TableauRecette[[#This Row],[ID]],TableauProduit[ID],TableauProduit[Total (kg) N1],0,0,1)</f>
        <v>0</v>
      </c>
      <c r="M296" t="e">
        <f>_xlfn.XLOOKUP(TableauRecette[[#This Row],[ID]],TableauProduit[ID],TableauProduit[Total (kg) N1],0,0,1)*_xlfn.XLOOKUP(TableauRecette[[#This Row],[ID]],TableauProduit[ID],TableauProduit[Total (kg) N2],0,0,1)</f>
        <v>#REF!</v>
      </c>
      <c r="N296" t="e">
        <f>_xlfn.XLOOKUP(TableauRecette[[#This Row],[ID]],TableauProduit[ID],TableauProduit[Total (kg) N3],0,0,1)*#REF!</f>
        <v>#REF!</v>
      </c>
      <c r="O296" t="e">
        <f>_xlfn.XLOOKUP(TableauRecette[[#This Row],[ID]],TableauProduit[ID],TableauProduit[Total (kg) N4],0,0,1)*#REF!</f>
        <v>#REF!</v>
      </c>
      <c r="P296" t="e">
        <f>_xlfn.XLOOKUP(TableauRecette[[#This Row],[ID]],TableauProduit[ID],TableauProduit[Total (kg) N5],0,0,1)*#REF!</f>
        <v>#REF!</v>
      </c>
      <c r="Q296" t="e">
        <f>_xlfn.XLOOKUP(TableauRecette[[#This Row],[ID]],TableauProduit[ID],TableauProduit[Total (kg) N6],0,0,1)*#REF!</f>
        <v>#REF!</v>
      </c>
      <c r="R296" t="e">
        <f>_xlfn.XLOOKUP(TableauRecette[[#This Row],[ID]],TableauProduit[ID],TableauProduit[Total (kg) N7],0,0,1)*#REF!</f>
        <v>#REF!</v>
      </c>
      <c r="S296" t="e">
        <f>_xlfn.XLOOKUP(TableauRecette[[#This Row],[ID]],TableauProduit[ID],TableauProduit[Total (kg) N8],0,0,1)*#REF!</f>
        <v>#REF!</v>
      </c>
      <c r="T296" t="e">
        <f>_xlfn.XLOOKUP(TableauRecette[[#This Row],[ID]],TableauProduit[ID],TableauProduit[Total (kg) N9],0,0,1)*#REF!</f>
        <v>#REF!</v>
      </c>
    </row>
    <row r="297" spans="1:20" x14ac:dyDescent="0.2">
      <c r="A297" t="s">
        <v>105</v>
      </c>
      <c r="B297" t="str">
        <f>TableauRecette[[#This Row],[Recette]]&amp;TableauRecette[[#This Row],[Conditionnement]]</f>
        <v>Shichimi togarashiEpice 100ml</v>
      </c>
      <c r="C297" t="s">
        <v>377</v>
      </c>
      <c r="D297">
        <v>3</v>
      </c>
      <c r="E297" t="s">
        <v>73</v>
      </c>
      <c r="F297">
        <f>IFERROR(TableauRecette[[#This Row],[Proportion]]/SUMIFS(TableauRecette[Proportion],TableauRecette[Recette],TableauRecette[[#This Row],[Recette]],TableauRecette[Conditionnement],TableauRecette[[#This Row],[Conditionnement]]),0)</f>
        <v>0.15</v>
      </c>
      <c r="G297">
        <f>IFERROR(_xlfn.XLOOKUP(TableauRecette[[#This Row],[Ingredients]],TableauIngredients[Ingredients],#REF!,0)*#REF!,0)</f>
        <v>0</v>
      </c>
      <c r="H297">
        <f>IFERROR(SUMIFS(TableauRecette[Proportion],TableauRecette[Recette],TableauRecette[[#This Row],[Recette]],TableauRecette[Conditionnement],TableauRecette[[#This Row],[Conditionnement]]),0)</f>
        <v>20</v>
      </c>
      <c r="I29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97">
        <f>_xlfn.XLOOKUP(TableauRecette[[#This Row],[ID]],TableauProduit[ID],TableauProduit[Total (kg) N1],0,0,1)*_xlfn.XLOOKUP(TableauRecette[[#This Row],[ID]],TableauProduit[ID],TableauProduit[Total (kg) N1],0,0,1)</f>
        <v>0</v>
      </c>
      <c r="M297" t="e">
        <f>_xlfn.XLOOKUP(TableauRecette[[#This Row],[ID]],TableauProduit[ID],TableauProduit[Total (kg) N1],0,0,1)*_xlfn.XLOOKUP(TableauRecette[[#This Row],[ID]],TableauProduit[ID],TableauProduit[Total (kg) N2],0,0,1)</f>
        <v>#REF!</v>
      </c>
      <c r="N297" t="e">
        <f>_xlfn.XLOOKUP(TableauRecette[[#This Row],[ID]],TableauProduit[ID],TableauProduit[Total (kg) N3],0,0,1)*#REF!</f>
        <v>#REF!</v>
      </c>
      <c r="O297" t="e">
        <f>_xlfn.XLOOKUP(TableauRecette[[#This Row],[ID]],TableauProduit[ID],TableauProduit[Total (kg) N4],0,0,1)*#REF!</f>
        <v>#REF!</v>
      </c>
      <c r="P297" t="e">
        <f>_xlfn.XLOOKUP(TableauRecette[[#This Row],[ID]],TableauProduit[ID],TableauProduit[Total (kg) N5],0,0,1)*#REF!</f>
        <v>#REF!</v>
      </c>
      <c r="Q297" t="e">
        <f>_xlfn.XLOOKUP(TableauRecette[[#This Row],[ID]],TableauProduit[ID],TableauProduit[Total (kg) N6],0,0,1)*#REF!</f>
        <v>#REF!</v>
      </c>
      <c r="R297" t="e">
        <f>_xlfn.XLOOKUP(TableauRecette[[#This Row],[ID]],TableauProduit[ID],TableauProduit[Total (kg) N7],0,0,1)*#REF!</f>
        <v>#REF!</v>
      </c>
      <c r="S297" t="e">
        <f>_xlfn.XLOOKUP(TableauRecette[[#This Row],[ID]],TableauProduit[ID],TableauProduit[Total (kg) N8],0,0,1)*#REF!</f>
        <v>#REF!</v>
      </c>
      <c r="T297" t="e">
        <f>_xlfn.XLOOKUP(TableauRecette[[#This Row],[ID]],TableauProduit[ID],TableauProduit[Total (kg) N9],0,0,1)*#REF!</f>
        <v>#REF!</v>
      </c>
    </row>
    <row r="298" spans="1:20" x14ac:dyDescent="0.2">
      <c r="A298" t="s">
        <v>105</v>
      </c>
      <c r="B298" t="str">
        <f>TableauRecette[[#This Row],[Recette]]&amp;TableauRecette[[#This Row],[Conditionnement]]</f>
        <v>Shichimi togarashiEpice 100ml</v>
      </c>
      <c r="C298" t="s">
        <v>407</v>
      </c>
      <c r="D298">
        <v>3</v>
      </c>
      <c r="E298" t="s">
        <v>73</v>
      </c>
      <c r="F298">
        <f>IFERROR(TableauRecette[[#This Row],[Proportion]]/SUMIFS(TableauRecette[Proportion],TableauRecette[Recette],TableauRecette[[#This Row],[Recette]],TableauRecette[Conditionnement],TableauRecette[[#This Row],[Conditionnement]]),0)</f>
        <v>0.15</v>
      </c>
      <c r="G298">
        <f>IFERROR(_xlfn.XLOOKUP(TableauRecette[[#This Row],[Ingredients]],TableauIngredients[Ingredients],#REF!,0)*#REF!,0)</f>
        <v>0</v>
      </c>
      <c r="H298">
        <f>IFERROR(SUMIFS(TableauRecette[Proportion],TableauRecette[Recette],TableauRecette[[#This Row],[Recette]],TableauRecette[Conditionnement],TableauRecette[[#This Row],[Conditionnement]]),0)</f>
        <v>20</v>
      </c>
      <c r="I298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298">
        <f>_xlfn.XLOOKUP(TableauRecette[[#This Row],[ID]],TableauProduit[ID],TableauProduit[Total (kg) N1],0,0,1)*_xlfn.XLOOKUP(TableauRecette[[#This Row],[ID]],TableauProduit[ID],TableauProduit[Total (kg) N1],0,0,1)</f>
        <v>0</v>
      </c>
      <c r="M298" t="e">
        <f>_xlfn.XLOOKUP(TableauRecette[[#This Row],[ID]],TableauProduit[ID],TableauProduit[Total (kg) N1],0,0,1)*_xlfn.XLOOKUP(TableauRecette[[#This Row],[ID]],TableauProduit[ID],TableauProduit[Total (kg) N2],0,0,1)</f>
        <v>#REF!</v>
      </c>
      <c r="N298" t="e">
        <f>_xlfn.XLOOKUP(TableauRecette[[#This Row],[ID]],TableauProduit[ID],TableauProduit[Total (kg) N3],0,0,1)*#REF!</f>
        <v>#REF!</v>
      </c>
      <c r="O298" t="e">
        <f>_xlfn.XLOOKUP(TableauRecette[[#This Row],[ID]],TableauProduit[ID],TableauProduit[Total (kg) N4],0,0,1)*#REF!</f>
        <v>#REF!</v>
      </c>
      <c r="P298" t="e">
        <f>_xlfn.XLOOKUP(TableauRecette[[#This Row],[ID]],TableauProduit[ID],TableauProduit[Total (kg) N5],0,0,1)*#REF!</f>
        <v>#REF!</v>
      </c>
      <c r="Q298" t="e">
        <f>_xlfn.XLOOKUP(TableauRecette[[#This Row],[ID]],TableauProduit[ID],TableauProduit[Total (kg) N6],0,0,1)*#REF!</f>
        <v>#REF!</v>
      </c>
      <c r="R298" t="e">
        <f>_xlfn.XLOOKUP(TableauRecette[[#This Row],[ID]],TableauProduit[ID],TableauProduit[Total (kg) N7],0,0,1)*#REF!</f>
        <v>#REF!</v>
      </c>
      <c r="S298" t="e">
        <f>_xlfn.XLOOKUP(TableauRecette[[#This Row],[ID]],TableauProduit[ID],TableauProduit[Total (kg) N8],0,0,1)*#REF!</f>
        <v>#REF!</v>
      </c>
      <c r="T298" t="e">
        <f>_xlfn.XLOOKUP(TableauRecette[[#This Row],[ID]],TableauProduit[ID],TableauProduit[Total (kg) N9],0,0,1)*#REF!</f>
        <v>#REF!</v>
      </c>
    </row>
    <row r="299" spans="1:20" x14ac:dyDescent="0.2">
      <c r="A299" t="s">
        <v>105</v>
      </c>
      <c r="B299" t="str">
        <f>TableauRecette[[#This Row],[Recette]]&amp;TableauRecette[[#This Row],[Conditionnement]]</f>
        <v>Shichimi togarashiEpice 100ml</v>
      </c>
      <c r="C299" t="s">
        <v>345</v>
      </c>
      <c r="D299">
        <v>2</v>
      </c>
      <c r="E299" t="s">
        <v>73</v>
      </c>
      <c r="F299">
        <f>IFERROR(TableauRecette[[#This Row],[Proportion]]/SUMIFS(TableauRecette[Proportion],TableauRecette[Recette],TableauRecette[[#This Row],[Recette]],TableauRecette[Conditionnement],TableauRecette[[#This Row],[Conditionnement]]),0)</f>
        <v>0.1</v>
      </c>
      <c r="G299">
        <f>IFERROR(_xlfn.XLOOKUP(TableauRecette[[#This Row],[Ingredients]],TableauIngredients[Ingredients],#REF!,0)*#REF!,0)</f>
        <v>0</v>
      </c>
      <c r="H299">
        <f>IFERROR(SUMIFS(TableauRecette[Proportion],TableauRecette[Recette],TableauRecette[[#This Row],[Recette]],TableauRecette[Conditionnement],TableauRecette[[#This Row],[Conditionnement]]),0)</f>
        <v>20</v>
      </c>
      <c r="I29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299" t="s">
        <v>341</v>
      </c>
      <c r="L299">
        <f>_xlfn.XLOOKUP(TableauRecette[[#This Row],[ID]],TableauProduit[ID],TableauProduit[Total (kg) N1],0,0,1)*_xlfn.XLOOKUP(TableauRecette[[#This Row],[ID]],TableauProduit[ID],TableauProduit[Total (kg) N1],0,0,1)</f>
        <v>0</v>
      </c>
      <c r="M299" t="e">
        <f>_xlfn.XLOOKUP(TableauRecette[[#This Row],[ID]],TableauProduit[ID],TableauProduit[Total (kg) N1],0,0,1)*_xlfn.XLOOKUP(TableauRecette[[#This Row],[ID]],TableauProduit[ID],TableauProduit[Total (kg) N2],0,0,1)</f>
        <v>#REF!</v>
      </c>
      <c r="N299" t="e">
        <f>_xlfn.XLOOKUP(TableauRecette[[#This Row],[ID]],TableauProduit[ID],TableauProduit[Total (kg) N3],0,0,1)*#REF!</f>
        <v>#REF!</v>
      </c>
      <c r="O299" t="e">
        <f>_xlfn.XLOOKUP(TableauRecette[[#This Row],[ID]],TableauProduit[ID],TableauProduit[Total (kg) N4],0,0,1)*#REF!</f>
        <v>#REF!</v>
      </c>
      <c r="P299" t="e">
        <f>_xlfn.XLOOKUP(TableauRecette[[#This Row],[ID]],TableauProduit[ID],TableauProduit[Total (kg) N5],0,0,1)*#REF!</f>
        <v>#REF!</v>
      </c>
      <c r="Q299" t="e">
        <f>_xlfn.XLOOKUP(TableauRecette[[#This Row],[ID]],TableauProduit[ID],TableauProduit[Total (kg) N6],0,0,1)*#REF!</f>
        <v>#REF!</v>
      </c>
      <c r="R299" t="e">
        <f>_xlfn.XLOOKUP(TableauRecette[[#This Row],[ID]],TableauProduit[ID],TableauProduit[Total (kg) N7],0,0,1)*#REF!</f>
        <v>#REF!</v>
      </c>
      <c r="S299" t="e">
        <f>_xlfn.XLOOKUP(TableauRecette[[#This Row],[ID]],TableauProduit[ID],TableauProduit[Total (kg) N8],0,0,1)*#REF!</f>
        <v>#REF!</v>
      </c>
      <c r="T299" t="e">
        <f>_xlfn.XLOOKUP(TableauRecette[[#This Row],[ID]],TableauProduit[ID],TableauProduit[Total (kg) N9],0,0,1)*#REF!</f>
        <v>#REF!</v>
      </c>
    </row>
    <row r="300" spans="1:20" x14ac:dyDescent="0.2">
      <c r="A300" t="s">
        <v>88</v>
      </c>
      <c r="B300" t="str">
        <f>TableauRecette[[#This Row],[Recette]]&amp;TableauRecette[[#This Row],[Conditionnement]]</f>
        <v>Sirop aux fleursSirop 500 ml</v>
      </c>
      <c r="C300" t="s">
        <v>442</v>
      </c>
      <c r="D300">
        <v>610.5</v>
      </c>
      <c r="E300" t="s">
        <v>81</v>
      </c>
      <c r="F300">
        <f>IFERROR(TableauRecette[[#This Row],[Proportion]]/SUMIFS(TableauRecette[Proportion],TableauRecette[Recette],TableauRecette[[#This Row],[Recette]],TableauRecette[Conditionnement],TableauRecette[[#This Row],[Conditionnement]]),0)</f>
        <v>0.35691318327974275</v>
      </c>
      <c r="G300">
        <f>IFERROR(_xlfn.XLOOKUP(TableauRecette[[#This Row],[Ingredients]],TableauIngredients[Ingredients],#REF!,0)*#REF!,0)</f>
        <v>0</v>
      </c>
      <c r="H300">
        <f>IFERROR(SUMIFS(TableauRecette[Proportion],TableauRecette[Recette],TableauRecette[[#This Row],[Recette]],TableauRecette[Conditionnement],TableauRecette[[#This Row],[Conditionnement]]),0)</f>
        <v>1710.5</v>
      </c>
      <c r="I300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00">
        <f>_xlfn.XLOOKUP(TableauRecette[[#This Row],[ID]],TableauProduit[ID],TableauProduit[Total (kg) N1],0,0,1)*_xlfn.XLOOKUP(TableauRecette[[#This Row],[ID]],TableauProduit[ID],TableauProduit[Total (kg) N1],0,0,1)</f>
        <v>0</v>
      </c>
      <c r="M300" t="e">
        <f>_xlfn.XLOOKUP(TableauRecette[[#This Row],[ID]],TableauProduit[ID],TableauProduit[Total (kg) N1],0,0,1)*_xlfn.XLOOKUP(TableauRecette[[#This Row],[ID]],TableauProduit[ID],TableauProduit[Total (kg) N2],0,0,1)</f>
        <v>#REF!</v>
      </c>
      <c r="N300" t="e">
        <f>_xlfn.XLOOKUP(TableauRecette[[#This Row],[ID]],TableauProduit[ID],TableauProduit[Total (kg) N3],0,0,1)*#REF!</f>
        <v>#REF!</v>
      </c>
      <c r="O300" t="e">
        <f>_xlfn.XLOOKUP(TableauRecette[[#This Row],[ID]],TableauProduit[ID],TableauProduit[Total (kg) N4],0,0,1)*#REF!</f>
        <v>#REF!</v>
      </c>
      <c r="P300" t="e">
        <f>_xlfn.XLOOKUP(TableauRecette[[#This Row],[ID]],TableauProduit[ID],TableauProduit[Total (kg) N5],0,0,1)*#REF!</f>
        <v>#REF!</v>
      </c>
      <c r="Q300" t="e">
        <f>_xlfn.XLOOKUP(TableauRecette[[#This Row],[ID]],TableauProduit[ID],TableauProduit[Total (kg) N6],0,0,1)*#REF!</f>
        <v>#REF!</v>
      </c>
      <c r="R300" t="e">
        <f>_xlfn.XLOOKUP(TableauRecette[[#This Row],[ID]],TableauProduit[ID],TableauProduit[Total (kg) N7],0,0,1)*#REF!</f>
        <v>#REF!</v>
      </c>
      <c r="S300" t="e">
        <f>_xlfn.XLOOKUP(TableauRecette[[#This Row],[ID]],TableauProduit[ID],TableauProduit[Total (kg) N8],0,0,1)*#REF!</f>
        <v>#REF!</v>
      </c>
      <c r="T300" t="e">
        <f>_xlfn.XLOOKUP(TableauRecette[[#This Row],[ID]],TableauProduit[ID],TableauProduit[Total (kg) N9],0,0,1)*#REF!</f>
        <v>#REF!</v>
      </c>
    </row>
    <row r="301" spans="1:20" x14ac:dyDescent="0.2">
      <c r="A301" t="s">
        <v>88</v>
      </c>
      <c r="B301" t="str">
        <f>TableauRecette[[#This Row],[Recette]]&amp;TableauRecette[[#This Row],[Conditionnement]]</f>
        <v>Sirop aux fleursSirop 500 ml</v>
      </c>
      <c r="C301" t="s">
        <v>427</v>
      </c>
      <c r="D301">
        <v>1000</v>
      </c>
      <c r="E301" t="s">
        <v>81</v>
      </c>
      <c r="F301">
        <f>IFERROR(TableauRecette[[#This Row],[Proportion]]/SUMIFS(TableauRecette[Proportion],TableauRecette[Recette],TableauRecette[[#This Row],[Recette]],TableauRecette[Conditionnement],TableauRecette[[#This Row],[Conditionnement]]),0)</f>
        <v>0.58462437883659746</v>
      </c>
      <c r="G301">
        <f>IFERROR(_xlfn.XLOOKUP(TableauRecette[[#This Row],[Ingredients]],TableauIngredients[Ingredients],#REF!,0)*#REF!,0)</f>
        <v>0</v>
      </c>
      <c r="H301">
        <f>IFERROR(SUMIFS(TableauRecette[Proportion],TableauRecette[Recette],TableauRecette[[#This Row],[Recette]],TableauRecette[Conditionnement],TableauRecette[[#This Row],[Conditionnement]]),0)</f>
        <v>1710.5</v>
      </c>
      <c r="I30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01">
        <f>_xlfn.XLOOKUP(TableauRecette[[#This Row],[ID]],TableauProduit[ID],TableauProduit[Total (kg) N1],0,0,1)*_xlfn.XLOOKUP(TableauRecette[[#This Row],[ID]],TableauProduit[ID],TableauProduit[Total (kg) N1],0,0,1)</f>
        <v>0</v>
      </c>
      <c r="M301" t="e">
        <f>_xlfn.XLOOKUP(TableauRecette[[#This Row],[ID]],TableauProduit[ID],TableauProduit[Total (kg) N1],0,0,1)*_xlfn.XLOOKUP(TableauRecette[[#This Row],[ID]],TableauProduit[ID],TableauProduit[Total (kg) N2],0,0,1)</f>
        <v>#REF!</v>
      </c>
      <c r="N301" t="e">
        <f>_xlfn.XLOOKUP(TableauRecette[[#This Row],[ID]],TableauProduit[ID],TableauProduit[Total (kg) N3],0,0,1)*#REF!</f>
        <v>#REF!</v>
      </c>
      <c r="O301" t="e">
        <f>_xlfn.XLOOKUP(TableauRecette[[#This Row],[ID]],TableauProduit[ID],TableauProduit[Total (kg) N4],0,0,1)*#REF!</f>
        <v>#REF!</v>
      </c>
      <c r="P301" t="e">
        <f>_xlfn.XLOOKUP(TableauRecette[[#This Row],[ID]],TableauProduit[ID],TableauProduit[Total (kg) N5],0,0,1)*#REF!</f>
        <v>#REF!</v>
      </c>
      <c r="Q301" t="e">
        <f>_xlfn.XLOOKUP(TableauRecette[[#This Row],[ID]],TableauProduit[ID],TableauProduit[Total (kg) N6],0,0,1)*#REF!</f>
        <v>#REF!</v>
      </c>
      <c r="R301" t="e">
        <f>_xlfn.XLOOKUP(TableauRecette[[#This Row],[ID]],TableauProduit[ID],TableauProduit[Total (kg) N7],0,0,1)*#REF!</f>
        <v>#REF!</v>
      </c>
      <c r="S301" t="e">
        <f>_xlfn.XLOOKUP(TableauRecette[[#This Row],[ID]],TableauProduit[ID],TableauProduit[Total (kg) N8],0,0,1)*#REF!</f>
        <v>#REF!</v>
      </c>
      <c r="T301" t="e">
        <f>_xlfn.XLOOKUP(TableauRecette[[#This Row],[ID]],TableauProduit[ID],TableauProduit[Total (kg) N9],0,0,1)*#REF!</f>
        <v>#REF!</v>
      </c>
    </row>
    <row r="302" spans="1:20" x14ac:dyDescent="0.2">
      <c r="A302" t="s">
        <v>88</v>
      </c>
      <c r="B302" t="str">
        <f>TableauRecette[[#This Row],[Recette]]&amp;TableauRecette[[#This Row],[Conditionnement]]</f>
        <v>Sirop aux fleursSirop 500 ml</v>
      </c>
      <c r="C302" t="s">
        <v>443</v>
      </c>
      <c r="D302">
        <v>40</v>
      </c>
      <c r="E302" t="s">
        <v>81</v>
      </c>
      <c r="F302">
        <f>IFERROR(TableauRecette[[#This Row],[Proportion]]/SUMIFS(TableauRecette[Proportion],TableauRecette[Recette],TableauRecette[[#This Row],[Recette]],TableauRecette[Conditionnement],TableauRecette[[#This Row],[Conditionnement]]),0)</f>
        <v>2.33849751534639E-2</v>
      </c>
      <c r="G302">
        <f>IFERROR(_xlfn.XLOOKUP(TableauRecette[[#This Row],[Ingredients]],TableauIngredients[Ingredients],#REF!,0)*#REF!,0)</f>
        <v>0</v>
      </c>
      <c r="H302">
        <f>IFERROR(SUMIFS(TableauRecette[Proportion],TableauRecette[Recette],TableauRecette[[#This Row],[Recette]],TableauRecette[Conditionnement],TableauRecette[[#This Row],[Conditionnement]]),0)</f>
        <v>1710.5</v>
      </c>
      <c r="I30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302" t="s">
        <v>341</v>
      </c>
      <c r="L302">
        <f>_xlfn.XLOOKUP(TableauRecette[[#This Row],[ID]],TableauProduit[ID],TableauProduit[Total (kg) N1],0,0,1)*_xlfn.XLOOKUP(TableauRecette[[#This Row],[ID]],TableauProduit[ID],TableauProduit[Total (kg) N1],0,0,1)</f>
        <v>0</v>
      </c>
      <c r="M302" t="e">
        <f>_xlfn.XLOOKUP(TableauRecette[[#This Row],[ID]],TableauProduit[ID],TableauProduit[Total (kg) N1],0,0,1)*_xlfn.XLOOKUP(TableauRecette[[#This Row],[ID]],TableauProduit[ID],TableauProduit[Total (kg) N2],0,0,1)</f>
        <v>#REF!</v>
      </c>
      <c r="N302" t="e">
        <f>_xlfn.XLOOKUP(TableauRecette[[#This Row],[ID]],TableauProduit[ID],TableauProduit[Total (kg) N3],0,0,1)*#REF!</f>
        <v>#REF!</v>
      </c>
      <c r="O302" t="e">
        <f>_xlfn.XLOOKUP(TableauRecette[[#This Row],[ID]],TableauProduit[ID],TableauProduit[Total (kg) N4],0,0,1)*#REF!</f>
        <v>#REF!</v>
      </c>
      <c r="P302" t="e">
        <f>_xlfn.XLOOKUP(TableauRecette[[#This Row],[ID]],TableauProduit[ID],TableauProduit[Total (kg) N5],0,0,1)*#REF!</f>
        <v>#REF!</v>
      </c>
      <c r="Q302" t="e">
        <f>_xlfn.XLOOKUP(TableauRecette[[#This Row],[ID]],TableauProduit[ID],TableauProduit[Total (kg) N6],0,0,1)*#REF!</f>
        <v>#REF!</v>
      </c>
      <c r="R302" t="e">
        <f>_xlfn.XLOOKUP(TableauRecette[[#This Row],[ID]],TableauProduit[ID],TableauProduit[Total (kg) N7],0,0,1)*#REF!</f>
        <v>#REF!</v>
      </c>
      <c r="S302" t="e">
        <f>_xlfn.XLOOKUP(TableauRecette[[#This Row],[ID]],TableauProduit[ID],TableauProduit[Total (kg) N8],0,0,1)*#REF!</f>
        <v>#REF!</v>
      </c>
      <c r="T302" t="e">
        <f>_xlfn.XLOOKUP(TableauRecette[[#This Row],[ID]],TableauProduit[ID],TableauProduit[Total (kg) N9],0,0,1)*#REF!</f>
        <v>#REF!</v>
      </c>
    </row>
    <row r="303" spans="1:20" x14ac:dyDescent="0.2">
      <c r="A303" t="s">
        <v>88</v>
      </c>
      <c r="B303" t="str">
        <f>TableauRecette[[#This Row],[Recette]]&amp;TableauRecette[[#This Row],[Conditionnement]]</f>
        <v>Sirop aux fleursSirop 500 ml</v>
      </c>
      <c r="C303" t="s">
        <v>444</v>
      </c>
      <c r="D303">
        <v>40</v>
      </c>
      <c r="E303" t="s">
        <v>81</v>
      </c>
      <c r="F303">
        <f>IFERROR(TableauRecette[[#This Row],[Proportion]]/SUMIFS(TableauRecette[Proportion],TableauRecette[Recette],TableauRecette[[#This Row],[Recette]],TableauRecette[Conditionnement],TableauRecette[[#This Row],[Conditionnement]]),0)</f>
        <v>2.33849751534639E-2</v>
      </c>
      <c r="G303">
        <f>IFERROR(_xlfn.XLOOKUP(TableauRecette[[#This Row],[Ingredients]],TableauIngredients[Ingredients],#REF!,0)*#REF!,0)</f>
        <v>0</v>
      </c>
      <c r="H303">
        <f>IFERROR(SUMIFS(TableauRecette[Proportion],TableauRecette[Recette],TableauRecette[[#This Row],[Recette]],TableauRecette[Conditionnement],TableauRecette[[#This Row],[Conditionnement]]),0)</f>
        <v>1710.5</v>
      </c>
      <c r="I303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303" t="s">
        <v>341</v>
      </c>
      <c r="L303">
        <f>_xlfn.XLOOKUP(TableauRecette[[#This Row],[ID]],TableauProduit[ID],TableauProduit[Total (kg) N1],0,0,1)*_xlfn.XLOOKUP(TableauRecette[[#This Row],[ID]],TableauProduit[ID],TableauProduit[Total (kg) N1],0,0,1)</f>
        <v>0</v>
      </c>
      <c r="M303" t="e">
        <f>_xlfn.XLOOKUP(TableauRecette[[#This Row],[ID]],TableauProduit[ID],TableauProduit[Total (kg) N1],0,0,1)*_xlfn.XLOOKUP(TableauRecette[[#This Row],[ID]],TableauProduit[ID],TableauProduit[Total (kg) N2],0,0,1)</f>
        <v>#REF!</v>
      </c>
      <c r="N303" t="e">
        <f>_xlfn.XLOOKUP(TableauRecette[[#This Row],[ID]],TableauProduit[ID],TableauProduit[Total (kg) N3],0,0,1)*#REF!</f>
        <v>#REF!</v>
      </c>
      <c r="O303" t="e">
        <f>_xlfn.XLOOKUP(TableauRecette[[#This Row],[ID]],TableauProduit[ID],TableauProduit[Total (kg) N4],0,0,1)*#REF!</f>
        <v>#REF!</v>
      </c>
      <c r="P303" t="e">
        <f>_xlfn.XLOOKUP(TableauRecette[[#This Row],[ID]],TableauProduit[ID],TableauProduit[Total (kg) N5],0,0,1)*#REF!</f>
        <v>#REF!</v>
      </c>
      <c r="Q303" t="e">
        <f>_xlfn.XLOOKUP(TableauRecette[[#This Row],[ID]],TableauProduit[ID],TableauProduit[Total (kg) N6],0,0,1)*#REF!</f>
        <v>#REF!</v>
      </c>
      <c r="R303" t="e">
        <f>_xlfn.XLOOKUP(TableauRecette[[#This Row],[ID]],TableauProduit[ID],TableauProduit[Total (kg) N7],0,0,1)*#REF!</f>
        <v>#REF!</v>
      </c>
      <c r="S303" t="e">
        <f>_xlfn.XLOOKUP(TableauRecette[[#This Row],[ID]],TableauProduit[ID],TableauProduit[Total (kg) N8],0,0,1)*#REF!</f>
        <v>#REF!</v>
      </c>
      <c r="T303" t="e">
        <f>_xlfn.XLOOKUP(TableauRecette[[#This Row],[ID]],TableauProduit[ID],TableauProduit[Total (kg) N9],0,0,1)*#REF!</f>
        <v>#REF!</v>
      </c>
    </row>
    <row r="304" spans="1:20" x14ac:dyDescent="0.2">
      <c r="A304" t="s">
        <v>88</v>
      </c>
      <c r="B304" t="str">
        <f>TableauRecette[[#This Row],[Recette]]&amp;TableauRecette[[#This Row],[Conditionnement]]</f>
        <v>Sirop aux fleursSirop 500 ml</v>
      </c>
      <c r="C304" t="s">
        <v>445</v>
      </c>
      <c r="D304">
        <v>20</v>
      </c>
      <c r="E304" t="s">
        <v>81</v>
      </c>
      <c r="F304">
        <f>IFERROR(TableauRecette[[#This Row],[Proportion]]/SUMIFS(TableauRecette[Proportion],TableauRecette[Recette],TableauRecette[[#This Row],[Recette]],TableauRecette[Conditionnement],TableauRecette[[#This Row],[Conditionnement]]),0)</f>
        <v>1.169248757673195E-2</v>
      </c>
      <c r="G304">
        <f>IFERROR(_xlfn.XLOOKUP(TableauRecette[[#This Row],[Ingredients]],TableauIngredients[Ingredients],#REF!,0)*#REF!,0)</f>
        <v>0</v>
      </c>
      <c r="H304">
        <f>IFERROR(SUMIFS(TableauRecette[Proportion],TableauRecette[Recette],TableauRecette[[#This Row],[Recette]],TableauRecette[Conditionnement],TableauRecette[[#This Row],[Conditionnement]]),0)</f>
        <v>1710.5</v>
      </c>
      <c r="I304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04">
        <f>_xlfn.XLOOKUP(TableauRecette[[#This Row],[ID]],TableauProduit[ID],TableauProduit[Total (kg) N1],0,0,1)*_xlfn.XLOOKUP(TableauRecette[[#This Row],[ID]],TableauProduit[ID],TableauProduit[Total (kg) N1],0,0,1)</f>
        <v>0</v>
      </c>
      <c r="M304" t="e">
        <f>_xlfn.XLOOKUP(TableauRecette[[#This Row],[ID]],TableauProduit[ID],TableauProduit[Total (kg) N1],0,0,1)*_xlfn.XLOOKUP(TableauRecette[[#This Row],[ID]],TableauProduit[ID],TableauProduit[Total (kg) N2],0,0,1)</f>
        <v>#REF!</v>
      </c>
      <c r="N304" t="e">
        <f>_xlfn.XLOOKUP(TableauRecette[[#This Row],[ID]],TableauProduit[ID],TableauProduit[Total (kg) N3],0,0,1)*#REF!</f>
        <v>#REF!</v>
      </c>
      <c r="O304" t="e">
        <f>_xlfn.XLOOKUP(TableauRecette[[#This Row],[ID]],TableauProduit[ID],TableauProduit[Total (kg) N4],0,0,1)*#REF!</f>
        <v>#REF!</v>
      </c>
      <c r="P304" t="e">
        <f>_xlfn.XLOOKUP(TableauRecette[[#This Row],[ID]],TableauProduit[ID],TableauProduit[Total (kg) N5],0,0,1)*#REF!</f>
        <v>#REF!</v>
      </c>
      <c r="Q304" t="e">
        <f>_xlfn.XLOOKUP(TableauRecette[[#This Row],[ID]],TableauProduit[ID],TableauProduit[Total (kg) N6],0,0,1)*#REF!</f>
        <v>#REF!</v>
      </c>
      <c r="R304" t="e">
        <f>_xlfn.XLOOKUP(TableauRecette[[#This Row],[ID]],TableauProduit[ID],TableauProduit[Total (kg) N7],0,0,1)*#REF!</f>
        <v>#REF!</v>
      </c>
      <c r="S304" t="e">
        <f>_xlfn.XLOOKUP(TableauRecette[[#This Row],[ID]],TableauProduit[ID],TableauProduit[Total (kg) N8],0,0,1)*#REF!</f>
        <v>#REF!</v>
      </c>
      <c r="T304" t="e">
        <f>_xlfn.XLOOKUP(TableauRecette[[#This Row],[ID]],TableauProduit[ID],TableauProduit[Total (kg) N9],0,0,1)*#REF!</f>
        <v>#REF!</v>
      </c>
    </row>
    <row r="305" spans="1:20" x14ac:dyDescent="0.2">
      <c r="A305" t="s">
        <v>89</v>
      </c>
      <c r="B305" t="str">
        <f>TableauRecette[[#This Row],[Recette]]&amp;TableauRecette[[#This Row],[Conditionnement]]</f>
        <v>Sirop de basilicSirop 500 ml</v>
      </c>
      <c r="C305" t="s">
        <v>442</v>
      </c>
      <c r="D305">
        <v>616</v>
      </c>
      <c r="E305" t="s">
        <v>81</v>
      </c>
      <c r="F305">
        <f>IFERROR(TableauRecette[[#This Row],[Proportion]]/SUMIFS(TableauRecette[Proportion],TableauRecette[Recette],TableauRecette[[#This Row],[Recette]],TableauRecette[Conditionnement],TableauRecette[[#This Row],[Conditionnement]]),0)</f>
        <v>0.35483870967741937</v>
      </c>
      <c r="G305">
        <f>IFERROR(_xlfn.XLOOKUP(TableauRecette[[#This Row],[Ingredients]],TableauIngredients[Ingredients],#REF!,0)*#REF!,0)</f>
        <v>0</v>
      </c>
      <c r="H305">
        <f>IFERROR(SUMIFS(TableauRecette[Proportion],TableauRecette[Recette],TableauRecette[[#This Row],[Recette]],TableauRecette[Conditionnement],TableauRecette[[#This Row],[Conditionnement]]),0)</f>
        <v>1736</v>
      </c>
      <c r="I30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05">
        <f>_xlfn.XLOOKUP(TableauRecette[[#This Row],[ID]],TableauProduit[ID],TableauProduit[Total (kg) N1],0,0,1)*_xlfn.XLOOKUP(TableauRecette[[#This Row],[ID]],TableauProduit[ID],TableauProduit[Total (kg) N1],0,0,1)</f>
        <v>0</v>
      </c>
      <c r="M305" t="e">
        <f>_xlfn.XLOOKUP(TableauRecette[[#This Row],[ID]],TableauProduit[ID],TableauProduit[Total (kg) N1],0,0,1)*_xlfn.XLOOKUP(TableauRecette[[#This Row],[ID]],TableauProduit[ID],TableauProduit[Total (kg) N2],0,0,1)</f>
        <v>#REF!</v>
      </c>
      <c r="N305" t="e">
        <f>_xlfn.XLOOKUP(TableauRecette[[#This Row],[ID]],TableauProduit[ID],TableauProduit[Total (kg) N3],0,0,1)*#REF!</f>
        <v>#REF!</v>
      </c>
      <c r="O305" t="e">
        <f>_xlfn.XLOOKUP(TableauRecette[[#This Row],[ID]],TableauProduit[ID],TableauProduit[Total (kg) N4],0,0,1)*#REF!</f>
        <v>#REF!</v>
      </c>
      <c r="P305" t="e">
        <f>_xlfn.XLOOKUP(TableauRecette[[#This Row],[ID]],TableauProduit[ID],TableauProduit[Total (kg) N5],0,0,1)*#REF!</f>
        <v>#REF!</v>
      </c>
      <c r="Q305" t="e">
        <f>_xlfn.XLOOKUP(TableauRecette[[#This Row],[ID]],TableauProduit[ID],TableauProduit[Total (kg) N6],0,0,1)*#REF!</f>
        <v>#REF!</v>
      </c>
      <c r="R305" t="e">
        <f>_xlfn.XLOOKUP(TableauRecette[[#This Row],[ID]],TableauProduit[ID],TableauProduit[Total (kg) N7],0,0,1)*#REF!</f>
        <v>#REF!</v>
      </c>
      <c r="S305" t="e">
        <f>_xlfn.XLOOKUP(TableauRecette[[#This Row],[ID]],TableauProduit[ID],TableauProduit[Total (kg) N8],0,0,1)*#REF!</f>
        <v>#REF!</v>
      </c>
      <c r="T305" t="e">
        <f>_xlfn.XLOOKUP(TableauRecette[[#This Row],[ID]],TableauProduit[ID],TableauProduit[Total (kg) N9],0,0,1)*#REF!</f>
        <v>#REF!</v>
      </c>
    </row>
    <row r="306" spans="1:20" x14ac:dyDescent="0.2">
      <c r="A306" t="s">
        <v>89</v>
      </c>
      <c r="B306" t="str">
        <f>TableauRecette[[#This Row],[Recette]]&amp;TableauRecette[[#This Row],[Conditionnement]]</f>
        <v>Sirop de basilicSirop 500 ml</v>
      </c>
      <c r="C306" t="s">
        <v>446</v>
      </c>
      <c r="D306">
        <v>100</v>
      </c>
      <c r="E306" t="s">
        <v>81</v>
      </c>
      <c r="F306">
        <f>IFERROR(TableauRecette[[#This Row],[Proportion]]/SUMIFS(TableauRecette[Proportion],TableauRecette[Recette],TableauRecette[[#This Row],[Recette]],TableauRecette[Conditionnement],TableauRecette[[#This Row],[Conditionnement]]),0)</f>
        <v>5.7603686635944701E-2</v>
      </c>
      <c r="G306">
        <f>IFERROR(_xlfn.XLOOKUP(TableauRecette[[#This Row],[Ingredients]],TableauIngredients[Ingredients],#REF!,0)*#REF!,0)</f>
        <v>0</v>
      </c>
      <c r="H306">
        <f>IFERROR(SUMIFS(TableauRecette[Proportion],TableauRecette[Recette],TableauRecette[[#This Row],[Recette]],TableauRecette[Conditionnement],TableauRecette[[#This Row],[Conditionnement]]),0)</f>
        <v>1736</v>
      </c>
      <c r="I30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06">
        <f>_xlfn.XLOOKUP(TableauRecette[[#This Row],[ID]],TableauProduit[ID],TableauProduit[Total (kg) N1],0,0,1)*_xlfn.XLOOKUP(TableauRecette[[#This Row],[ID]],TableauProduit[ID],TableauProduit[Total (kg) N1],0,0,1)</f>
        <v>0</v>
      </c>
      <c r="M306" t="e">
        <f>_xlfn.XLOOKUP(TableauRecette[[#This Row],[ID]],TableauProduit[ID],TableauProduit[Total (kg) N1],0,0,1)*_xlfn.XLOOKUP(TableauRecette[[#This Row],[ID]],TableauProduit[ID],TableauProduit[Total (kg) N2],0,0,1)</f>
        <v>#REF!</v>
      </c>
      <c r="N306" t="e">
        <f>_xlfn.XLOOKUP(TableauRecette[[#This Row],[ID]],TableauProduit[ID],TableauProduit[Total (kg) N3],0,0,1)*#REF!</f>
        <v>#REF!</v>
      </c>
      <c r="O306" t="e">
        <f>_xlfn.XLOOKUP(TableauRecette[[#This Row],[ID]],TableauProduit[ID],TableauProduit[Total (kg) N4],0,0,1)*#REF!</f>
        <v>#REF!</v>
      </c>
      <c r="P306" t="e">
        <f>_xlfn.XLOOKUP(TableauRecette[[#This Row],[ID]],TableauProduit[ID],TableauProduit[Total (kg) N5],0,0,1)*#REF!</f>
        <v>#REF!</v>
      </c>
      <c r="Q306" t="e">
        <f>_xlfn.XLOOKUP(TableauRecette[[#This Row],[ID]],TableauProduit[ID],TableauProduit[Total (kg) N6],0,0,1)*#REF!</f>
        <v>#REF!</v>
      </c>
      <c r="R306" t="e">
        <f>_xlfn.XLOOKUP(TableauRecette[[#This Row],[ID]],TableauProduit[ID],TableauProduit[Total (kg) N7],0,0,1)*#REF!</f>
        <v>#REF!</v>
      </c>
      <c r="S306" t="e">
        <f>_xlfn.XLOOKUP(TableauRecette[[#This Row],[ID]],TableauProduit[ID],TableauProduit[Total (kg) N8],0,0,1)*#REF!</f>
        <v>#REF!</v>
      </c>
      <c r="T306" t="e">
        <f>_xlfn.XLOOKUP(TableauRecette[[#This Row],[ID]],TableauProduit[ID],TableauProduit[Total (kg) N9],0,0,1)*#REF!</f>
        <v>#REF!</v>
      </c>
    </row>
    <row r="307" spans="1:20" x14ac:dyDescent="0.2">
      <c r="A307" t="s">
        <v>89</v>
      </c>
      <c r="B307" t="str">
        <f>TableauRecette[[#This Row],[Recette]]&amp;TableauRecette[[#This Row],[Conditionnement]]</f>
        <v>Sirop de basilicSirop 500 ml</v>
      </c>
      <c r="C307" t="s">
        <v>427</v>
      </c>
      <c r="D307">
        <v>1000</v>
      </c>
      <c r="E307" t="s">
        <v>81</v>
      </c>
      <c r="F307">
        <f>IFERROR(TableauRecette[[#This Row],[Proportion]]/SUMIFS(TableauRecette[Proportion],TableauRecette[Recette],TableauRecette[[#This Row],[Recette]],TableauRecette[Conditionnement],TableauRecette[[#This Row],[Conditionnement]]),0)</f>
        <v>0.57603686635944695</v>
      </c>
      <c r="G307">
        <f>IFERROR(_xlfn.XLOOKUP(TableauRecette[[#This Row],[Ingredients]],TableauIngredients[Ingredients],#REF!,0)*#REF!,0)</f>
        <v>0</v>
      </c>
      <c r="H307">
        <f>IFERROR(SUMIFS(TableauRecette[Proportion],TableauRecette[Recette],TableauRecette[[#This Row],[Recette]],TableauRecette[Conditionnement],TableauRecette[[#This Row],[Conditionnement]]),0)</f>
        <v>1736</v>
      </c>
      <c r="I30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07">
        <f>_xlfn.XLOOKUP(TableauRecette[[#This Row],[ID]],TableauProduit[ID],TableauProduit[Total (kg) N1],0,0,1)*_xlfn.XLOOKUP(TableauRecette[[#This Row],[ID]],TableauProduit[ID],TableauProduit[Total (kg) N1],0,0,1)</f>
        <v>0</v>
      </c>
      <c r="M307" t="e">
        <f>_xlfn.XLOOKUP(TableauRecette[[#This Row],[ID]],TableauProduit[ID],TableauProduit[Total (kg) N1],0,0,1)*_xlfn.XLOOKUP(TableauRecette[[#This Row],[ID]],TableauProduit[ID],TableauProduit[Total (kg) N2],0,0,1)</f>
        <v>#REF!</v>
      </c>
      <c r="N307" t="e">
        <f>_xlfn.XLOOKUP(TableauRecette[[#This Row],[ID]],TableauProduit[ID],TableauProduit[Total (kg) N3],0,0,1)*#REF!</f>
        <v>#REF!</v>
      </c>
      <c r="O307" t="e">
        <f>_xlfn.XLOOKUP(TableauRecette[[#This Row],[ID]],TableauProduit[ID],TableauProduit[Total (kg) N4],0,0,1)*#REF!</f>
        <v>#REF!</v>
      </c>
      <c r="P307" t="e">
        <f>_xlfn.XLOOKUP(TableauRecette[[#This Row],[ID]],TableauProduit[ID],TableauProduit[Total (kg) N5],0,0,1)*#REF!</f>
        <v>#REF!</v>
      </c>
      <c r="Q307" t="e">
        <f>_xlfn.XLOOKUP(TableauRecette[[#This Row],[ID]],TableauProduit[ID],TableauProduit[Total (kg) N6],0,0,1)*#REF!</f>
        <v>#REF!</v>
      </c>
      <c r="R307" t="e">
        <f>_xlfn.XLOOKUP(TableauRecette[[#This Row],[ID]],TableauProduit[ID],TableauProduit[Total (kg) N7],0,0,1)*#REF!</f>
        <v>#REF!</v>
      </c>
      <c r="S307" t="e">
        <f>_xlfn.XLOOKUP(TableauRecette[[#This Row],[ID]],TableauProduit[ID],TableauProduit[Total (kg) N8],0,0,1)*#REF!</f>
        <v>#REF!</v>
      </c>
      <c r="T307" t="e">
        <f>_xlfn.XLOOKUP(TableauRecette[[#This Row],[ID]],TableauProduit[ID],TableauProduit[Total (kg) N9],0,0,1)*#REF!</f>
        <v>#REF!</v>
      </c>
    </row>
    <row r="308" spans="1:20" x14ac:dyDescent="0.2">
      <c r="A308" t="s">
        <v>89</v>
      </c>
      <c r="B308" t="str">
        <f>TableauRecette[[#This Row],[Recette]]&amp;TableauRecette[[#This Row],[Conditionnement]]</f>
        <v>Sirop de basilicSirop 500 ml</v>
      </c>
      <c r="C308" t="s">
        <v>447</v>
      </c>
      <c r="D308">
        <v>20</v>
      </c>
      <c r="E308" t="s">
        <v>81</v>
      </c>
      <c r="F308">
        <f>IFERROR(TableauRecette[[#This Row],[Proportion]]/SUMIFS(TableauRecette[Proportion],TableauRecette[Recette],TableauRecette[[#This Row],[Recette]],TableauRecette[Conditionnement],TableauRecette[[#This Row],[Conditionnement]]),0)</f>
        <v>1.1520737327188941E-2</v>
      </c>
      <c r="G308">
        <f>IFERROR(_xlfn.XLOOKUP(TableauRecette[[#This Row],[Ingredients]],TableauIngredients[Ingredients],#REF!,0)*#REF!,0)</f>
        <v>0</v>
      </c>
      <c r="H308">
        <f>IFERROR(SUMIFS(TableauRecette[Proportion],TableauRecette[Recette],TableauRecette[[#This Row],[Recette]],TableauRecette[Conditionnement],TableauRecette[[#This Row],[Conditionnement]]),0)</f>
        <v>1736</v>
      </c>
      <c r="I308">
        <f>_xlfn.XLOOKUP(TableauRecette[[#This Row],[Ingredients]],TableauIngredients[Ingredients],TableauIngredients[Prix d''achat (kg)],0,0,1)*TableauRecette[[#This Row],[Proportion]]/TableauRecette[[#This Row],[Total Proportion]]</f>
        <v>0.13824884792626729</v>
      </c>
      <c r="L308">
        <f>_xlfn.XLOOKUP(TableauRecette[[#This Row],[ID]],TableauProduit[ID],TableauProduit[Total (kg) N1],0,0,1)*_xlfn.XLOOKUP(TableauRecette[[#This Row],[ID]],TableauProduit[ID],TableauProduit[Total (kg) N1],0,0,1)</f>
        <v>0</v>
      </c>
      <c r="M308" t="e">
        <f>_xlfn.XLOOKUP(TableauRecette[[#This Row],[ID]],TableauProduit[ID],TableauProduit[Total (kg) N1],0,0,1)*_xlfn.XLOOKUP(TableauRecette[[#This Row],[ID]],TableauProduit[ID],TableauProduit[Total (kg) N2],0,0,1)</f>
        <v>#REF!</v>
      </c>
      <c r="N308" t="e">
        <f>_xlfn.XLOOKUP(TableauRecette[[#This Row],[ID]],TableauProduit[ID],TableauProduit[Total (kg) N3],0,0,1)*#REF!</f>
        <v>#REF!</v>
      </c>
      <c r="O308" t="e">
        <f>_xlfn.XLOOKUP(TableauRecette[[#This Row],[ID]],TableauProduit[ID],TableauProduit[Total (kg) N4],0,0,1)*#REF!</f>
        <v>#REF!</v>
      </c>
      <c r="P308" t="e">
        <f>_xlfn.XLOOKUP(TableauRecette[[#This Row],[ID]],TableauProduit[ID],TableauProduit[Total (kg) N5],0,0,1)*#REF!</f>
        <v>#REF!</v>
      </c>
      <c r="Q308" t="e">
        <f>_xlfn.XLOOKUP(TableauRecette[[#This Row],[ID]],TableauProduit[ID],TableauProduit[Total (kg) N6],0,0,1)*#REF!</f>
        <v>#REF!</v>
      </c>
      <c r="R308" t="e">
        <f>_xlfn.XLOOKUP(TableauRecette[[#This Row],[ID]],TableauProduit[ID],TableauProduit[Total (kg) N7],0,0,1)*#REF!</f>
        <v>#REF!</v>
      </c>
      <c r="S308" t="e">
        <f>_xlfn.XLOOKUP(TableauRecette[[#This Row],[ID]],TableauProduit[ID],TableauProduit[Total (kg) N8],0,0,1)*#REF!</f>
        <v>#REF!</v>
      </c>
      <c r="T308" t="e">
        <f>_xlfn.XLOOKUP(TableauRecette[[#This Row],[ID]],TableauProduit[ID],TableauProduit[Total (kg) N9],0,0,1)*#REF!</f>
        <v>#REF!</v>
      </c>
    </row>
    <row r="309" spans="1:20" x14ac:dyDescent="0.2">
      <c r="A309" t="s">
        <v>80</v>
      </c>
      <c r="B309" t="str">
        <f>TableauRecette[[#This Row],[Recette]]&amp;TableauRecette[[#This Row],[Conditionnement]]</f>
        <v>Sirop de mentheSirop 500 ml</v>
      </c>
      <c r="C309" t="s">
        <v>431</v>
      </c>
      <c r="D309">
        <v>10</v>
      </c>
      <c r="E309" t="s">
        <v>81</v>
      </c>
      <c r="F309">
        <f>IFERROR(TableauRecette[[#This Row],[Proportion]]/SUMIFS(TableauRecette[Proportion],TableauRecette[Recette],TableauRecette[[#This Row],[Recette]],TableauRecette[Conditionnement],TableauRecette[[#This Row],[Conditionnement]]),0)</f>
        <v>5.812263876780006E-3</v>
      </c>
      <c r="G309">
        <f>IFERROR(_xlfn.XLOOKUP(TableauRecette[[#This Row],[Ingredients]],TableauIngredients[Ingredients],#REF!,0)*#REF!,0)</f>
        <v>0</v>
      </c>
      <c r="H309">
        <f>IFERROR(SUMIFS(TableauRecette[Proportion],TableauRecette[Recette],TableauRecette[[#This Row],[Recette]],TableauRecette[Conditionnement],TableauRecette[[#This Row],[Conditionnement]]),0)</f>
        <v>1720.5</v>
      </c>
      <c r="I309">
        <f>_xlfn.XLOOKUP(TableauRecette[[#This Row],[Ingredients]],TableauIngredients[Ingredients],TableauIngredients[Prix d''achat (kg)],0,0,1)*TableauRecette[[#This Row],[Proportion]]/TableauRecette[[#This Row],[Total Proportion]]</f>
        <v>4.0685847137460041E-2</v>
      </c>
      <c r="L309">
        <f>_xlfn.XLOOKUP(TableauRecette[[#This Row],[ID]],TableauProduit[ID],TableauProduit[Total (kg) N1],0,0,1)*_xlfn.XLOOKUP(TableauRecette[[#This Row],[ID]],TableauProduit[ID],TableauProduit[Total (kg) N1],0,0,1)</f>
        <v>40000</v>
      </c>
      <c r="M309" t="e">
        <f>_xlfn.XLOOKUP(TableauRecette[[#This Row],[ID]],TableauProduit[ID],TableauProduit[Total (kg) N1],0,0,1)*_xlfn.XLOOKUP(TableauRecette[[#This Row],[ID]],TableauProduit[ID],TableauProduit[Total (kg) N2],0,0,1)</f>
        <v>#REF!</v>
      </c>
      <c r="N309" t="e">
        <f>_xlfn.XLOOKUP(TableauRecette[[#This Row],[ID]],TableauProduit[ID],TableauProduit[Total (kg) N3],0,0,1)*#REF!</f>
        <v>#REF!</v>
      </c>
      <c r="O309" t="e">
        <f>_xlfn.XLOOKUP(TableauRecette[[#This Row],[ID]],TableauProduit[ID],TableauProduit[Total (kg) N4],0,0,1)*#REF!</f>
        <v>#REF!</v>
      </c>
      <c r="P309" t="e">
        <f>_xlfn.XLOOKUP(TableauRecette[[#This Row],[ID]],TableauProduit[ID],TableauProduit[Total (kg) N5],0,0,1)*#REF!</f>
        <v>#REF!</v>
      </c>
      <c r="Q309" t="e">
        <f>_xlfn.XLOOKUP(TableauRecette[[#This Row],[ID]],TableauProduit[ID],TableauProduit[Total (kg) N6],0,0,1)*#REF!</f>
        <v>#REF!</v>
      </c>
      <c r="R309" t="e">
        <f>_xlfn.XLOOKUP(TableauRecette[[#This Row],[ID]],TableauProduit[ID],TableauProduit[Total (kg) N7],0,0,1)*#REF!</f>
        <v>#REF!</v>
      </c>
      <c r="S309" t="e">
        <f>_xlfn.XLOOKUP(TableauRecette[[#This Row],[ID]],TableauProduit[ID],TableauProduit[Total (kg) N8],0,0,1)*#REF!</f>
        <v>#REF!</v>
      </c>
      <c r="T309" t="e">
        <f>_xlfn.XLOOKUP(TableauRecette[[#This Row],[ID]],TableauProduit[ID],TableauProduit[Total (kg) N9],0,0,1)*#REF!</f>
        <v>#REF!</v>
      </c>
    </row>
    <row r="310" spans="1:20" x14ac:dyDescent="0.2">
      <c r="A310" t="s">
        <v>80</v>
      </c>
      <c r="B310" t="str">
        <f>TableauRecette[[#This Row],[Recette]]&amp;TableauRecette[[#This Row],[Conditionnement]]</f>
        <v>Sirop de mentheSirop 500 ml</v>
      </c>
      <c r="C310" t="s">
        <v>442</v>
      </c>
      <c r="D310">
        <v>610.5</v>
      </c>
      <c r="E310" t="s">
        <v>81</v>
      </c>
      <c r="F310">
        <f>IFERROR(TableauRecette[[#This Row],[Proportion]]/SUMIFS(TableauRecette[Proportion],TableauRecette[Recette],TableauRecette[[#This Row],[Recette]],TableauRecette[Conditionnement],TableauRecette[[#This Row],[Conditionnement]]),0)</f>
        <v>0.35483870967741937</v>
      </c>
      <c r="G310">
        <f>IFERROR(_xlfn.XLOOKUP(TableauRecette[[#This Row],[Ingredients]],TableauIngredients[Ingredients],#REF!,0)*#REF!,0)</f>
        <v>0</v>
      </c>
      <c r="H310">
        <f>IFERROR(SUMIFS(TableauRecette[Proportion],TableauRecette[Recette],TableauRecette[[#This Row],[Recette]],TableauRecette[Conditionnement],TableauRecette[[#This Row],[Conditionnement]]),0)</f>
        <v>1720.5</v>
      </c>
      <c r="I310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10">
        <f>_xlfn.XLOOKUP(TableauRecette[[#This Row],[ID]],TableauProduit[ID],TableauProduit[Total (kg) N1],0,0,1)*_xlfn.XLOOKUP(TableauRecette[[#This Row],[ID]],TableauProduit[ID],TableauProduit[Total (kg) N1],0,0,1)</f>
        <v>40000</v>
      </c>
      <c r="M310" t="e">
        <f>_xlfn.XLOOKUP(TableauRecette[[#This Row],[ID]],TableauProduit[ID],TableauProduit[Total (kg) N1],0,0,1)*_xlfn.XLOOKUP(TableauRecette[[#This Row],[ID]],TableauProduit[ID],TableauProduit[Total (kg) N2],0,0,1)</f>
        <v>#REF!</v>
      </c>
      <c r="N310" t="e">
        <f>_xlfn.XLOOKUP(TableauRecette[[#This Row],[ID]],TableauProduit[ID],TableauProduit[Total (kg) N3],0,0,1)*#REF!</f>
        <v>#REF!</v>
      </c>
      <c r="O310" t="e">
        <f>_xlfn.XLOOKUP(TableauRecette[[#This Row],[ID]],TableauProduit[ID],TableauProduit[Total (kg) N4],0,0,1)*#REF!</f>
        <v>#REF!</v>
      </c>
      <c r="P310" t="e">
        <f>_xlfn.XLOOKUP(TableauRecette[[#This Row],[ID]],TableauProduit[ID],TableauProduit[Total (kg) N5],0,0,1)*#REF!</f>
        <v>#REF!</v>
      </c>
      <c r="Q310" t="e">
        <f>_xlfn.XLOOKUP(TableauRecette[[#This Row],[ID]],TableauProduit[ID],TableauProduit[Total (kg) N6],0,0,1)*#REF!</f>
        <v>#REF!</v>
      </c>
      <c r="R310" t="e">
        <f>_xlfn.XLOOKUP(TableauRecette[[#This Row],[ID]],TableauProduit[ID],TableauProduit[Total (kg) N7],0,0,1)*#REF!</f>
        <v>#REF!</v>
      </c>
      <c r="S310" t="e">
        <f>_xlfn.XLOOKUP(TableauRecette[[#This Row],[ID]],TableauProduit[ID],TableauProduit[Total (kg) N8],0,0,1)*#REF!</f>
        <v>#REF!</v>
      </c>
      <c r="T310" t="e">
        <f>_xlfn.XLOOKUP(TableauRecette[[#This Row],[ID]],TableauProduit[ID],TableauProduit[Total (kg) N9],0,0,1)*#REF!</f>
        <v>#REF!</v>
      </c>
    </row>
    <row r="311" spans="1:20" x14ac:dyDescent="0.2">
      <c r="A311" t="s">
        <v>80</v>
      </c>
      <c r="B311" t="str">
        <f>TableauRecette[[#This Row],[Recette]]&amp;TableauRecette[[#This Row],[Conditionnement]]</f>
        <v>Sirop de mentheSirop 500 ml</v>
      </c>
      <c r="C311" t="s">
        <v>448</v>
      </c>
      <c r="D311">
        <v>100</v>
      </c>
      <c r="E311" t="s">
        <v>81</v>
      </c>
      <c r="F311">
        <f>IFERROR(TableauRecette[[#This Row],[Proportion]]/SUMIFS(TableauRecette[Proportion],TableauRecette[Recette],TableauRecette[[#This Row],[Recette]],TableauRecette[Conditionnement],TableauRecette[[#This Row],[Conditionnement]]),0)</f>
        <v>5.8122638767800057E-2</v>
      </c>
      <c r="G311">
        <f>IFERROR(_xlfn.XLOOKUP(TableauRecette[[#This Row],[Ingredients]],TableauIngredients[Ingredients],#REF!,0)*#REF!,0)</f>
        <v>0</v>
      </c>
      <c r="H311">
        <f>IFERROR(SUMIFS(TableauRecette[Proportion],TableauRecette[Recette],TableauRecette[[#This Row],[Recette]],TableauRecette[Conditionnement],TableauRecette[[#This Row],[Conditionnement]]),0)</f>
        <v>1720.5</v>
      </c>
      <c r="I31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11">
        <f>_xlfn.XLOOKUP(TableauRecette[[#This Row],[ID]],TableauProduit[ID],TableauProduit[Total (kg) N1],0,0,1)*_xlfn.XLOOKUP(TableauRecette[[#This Row],[ID]],TableauProduit[ID],TableauProduit[Total (kg) N1],0,0,1)</f>
        <v>40000</v>
      </c>
      <c r="M311" t="e">
        <f>_xlfn.XLOOKUP(TableauRecette[[#This Row],[ID]],TableauProduit[ID],TableauProduit[Total (kg) N1],0,0,1)*_xlfn.XLOOKUP(TableauRecette[[#This Row],[ID]],TableauProduit[ID],TableauProduit[Total (kg) N2],0,0,1)</f>
        <v>#REF!</v>
      </c>
      <c r="N311" t="e">
        <f>_xlfn.XLOOKUP(TableauRecette[[#This Row],[ID]],TableauProduit[ID],TableauProduit[Total (kg) N3],0,0,1)*#REF!</f>
        <v>#REF!</v>
      </c>
      <c r="O311" t="e">
        <f>_xlfn.XLOOKUP(TableauRecette[[#This Row],[ID]],TableauProduit[ID],TableauProduit[Total (kg) N4],0,0,1)*#REF!</f>
        <v>#REF!</v>
      </c>
      <c r="P311" t="e">
        <f>_xlfn.XLOOKUP(TableauRecette[[#This Row],[ID]],TableauProduit[ID],TableauProduit[Total (kg) N5],0,0,1)*#REF!</f>
        <v>#REF!</v>
      </c>
      <c r="Q311" t="e">
        <f>_xlfn.XLOOKUP(TableauRecette[[#This Row],[ID]],TableauProduit[ID],TableauProduit[Total (kg) N6],0,0,1)*#REF!</f>
        <v>#REF!</v>
      </c>
      <c r="R311" t="e">
        <f>_xlfn.XLOOKUP(TableauRecette[[#This Row],[ID]],TableauProduit[ID],TableauProduit[Total (kg) N7],0,0,1)*#REF!</f>
        <v>#REF!</v>
      </c>
      <c r="S311" t="e">
        <f>_xlfn.XLOOKUP(TableauRecette[[#This Row],[ID]],TableauProduit[ID],TableauProduit[Total (kg) N8],0,0,1)*#REF!</f>
        <v>#REF!</v>
      </c>
      <c r="T311" t="e">
        <f>_xlfn.XLOOKUP(TableauRecette[[#This Row],[ID]],TableauProduit[ID],TableauProduit[Total (kg) N9],0,0,1)*#REF!</f>
        <v>#REF!</v>
      </c>
    </row>
    <row r="312" spans="1:20" x14ac:dyDescent="0.2">
      <c r="A312" t="s">
        <v>80</v>
      </c>
      <c r="B312" t="str">
        <f>TableauRecette[[#This Row],[Recette]]&amp;TableauRecette[[#This Row],[Conditionnement]]</f>
        <v>Sirop de mentheSirop 500 ml</v>
      </c>
      <c r="C312" t="s">
        <v>427</v>
      </c>
      <c r="D312">
        <v>1000</v>
      </c>
      <c r="E312" t="s">
        <v>81</v>
      </c>
      <c r="F312">
        <f>IFERROR(TableauRecette[[#This Row],[Proportion]]/SUMIFS(TableauRecette[Proportion],TableauRecette[Recette],TableauRecette[[#This Row],[Recette]],TableauRecette[Conditionnement],TableauRecette[[#This Row],[Conditionnement]]),0)</f>
        <v>0.58122638767800061</v>
      </c>
      <c r="G312">
        <f>IFERROR(_xlfn.XLOOKUP(TableauRecette[[#This Row],[Ingredients]],TableauIngredients[Ingredients],#REF!,0)*#REF!,0)</f>
        <v>0</v>
      </c>
      <c r="H312">
        <f>IFERROR(SUMIFS(TableauRecette[Proportion],TableauRecette[Recette],TableauRecette[[#This Row],[Recette]],TableauRecette[Conditionnement],TableauRecette[[#This Row],[Conditionnement]]),0)</f>
        <v>1720.5</v>
      </c>
      <c r="I31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12">
        <f>_xlfn.XLOOKUP(TableauRecette[[#This Row],[ID]],TableauProduit[ID],TableauProduit[Total (kg) N1],0,0,1)*_xlfn.XLOOKUP(TableauRecette[[#This Row],[ID]],TableauProduit[ID],TableauProduit[Total (kg) N1],0,0,1)</f>
        <v>40000</v>
      </c>
      <c r="M312" t="e">
        <f>_xlfn.XLOOKUP(TableauRecette[[#This Row],[ID]],TableauProduit[ID],TableauProduit[Total (kg) N1],0,0,1)*_xlfn.XLOOKUP(TableauRecette[[#This Row],[ID]],TableauProduit[ID],TableauProduit[Total (kg) N2],0,0,1)</f>
        <v>#REF!</v>
      </c>
      <c r="N312" t="e">
        <f>_xlfn.XLOOKUP(TableauRecette[[#This Row],[ID]],TableauProduit[ID],TableauProduit[Total (kg) N3],0,0,1)*#REF!</f>
        <v>#REF!</v>
      </c>
      <c r="O312" t="e">
        <f>_xlfn.XLOOKUP(TableauRecette[[#This Row],[ID]],TableauProduit[ID],TableauProduit[Total (kg) N4],0,0,1)*#REF!</f>
        <v>#REF!</v>
      </c>
      <c r="P312" t="e">
        <f>_xlfn.XLOOKUP(TableauRecette[[#This Row],[ID]],TableauProduit[ID],TableauProduit[Total (kg) N5],0,0,1)*#REF!</f>
        <v>#REF!</v>
      </c>
      <c r="Q312" t="e">
        <f>_xlfn.XLOOKUP(TableauRecette[[#This Row],[ID]],TableauProduit[ID],TableauProduit[Total (kg) N6],0,0,1)*#REF!</f>
        <v>#REF!</v>
      </c>
      <c r="R312" t="e">
        <f>_xlfn.XLOOKUP(TableauRecette[[#This Row],[ID]],TableauProduit[ID],TableauProduit[Total (kg) N7],0,0,1)*#REF!</f>
        <v>#REF!</v>
      </c>
      <c r="S312" t="e">
        <f>_xlfn.XLOOKUP(TableauRecette[[#This Row],[ID]],TableauProduit[ID],TableauProduit[Total (kg) N8],0,0,1)*#REF!</f>
        <v>#REF!</v>
      </c>
      <c r="T312" t="e">
        <f>_xlfn.XLOOKUP(TableauRecette[[#This Row],[ID]],TableauProduit[ID],TableauProduit[Total (kg) N9],0,0,1)*#REF!</f>
        <v>#REF!</v>
      </c>
    </row>
    <row r="313" spans="1:20" x14ac:dyDescent="0.2">
      <c r="A313" t="s">
        <v>90</v>
      </c>
      <c r="B313" t="str">
        <f>TableauRecette[[#This Row],[Recette]]&amp;TableauRecette[[#This Row],[Conditionnement]]</f>
        <v>Sirop de thymSirop 500 ml</v>
      </c>
      <c r="C313" t="s">
        <v>442</v>
      </c>
      <c r="D313">
        <v>610.5</v>
      </c>
      <c r="E313" t="s">
        <v>81</v>
      </c>
      <c r="F313">
        <f>IFERROR(TableauRecette[[#This Row],[Proportion]]/SUMIFS(TableauRecette[Proportion],TableauRecette[Recette],TableauRecette[[#This Row],[Recette]],TableauRecette[Conditionnement],TableauRecette[[#This Row],[Conditionnement]]),0)</f>
        <v>0.35483870967741937</v>
      </c>
      <c r="G313">
        <f>IFERROR(_xlfn.XLOOKUP(TableauRecette[[#This Row],[Ingredients]],TableauIngredients[Ingredients],#REF!,0)*#REF!,0)</f>
        <v>0</v>
      </c>
      <c r="H313">
        <f>IFERROR(SUMIFS(TableauRecette[Proportion],TableauRecette[Recette],TableauRecette[[#This Row],[Recette]],TableauRecette[Conditionnement],TableauRecette[[#This Row],[Conditionnement]]),0)</f>
        <v>1720.5</v>
      </c>
      <c r="I313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13">
        <f>_xlfn.XLOOKUP(TableauRecette[[#This Row],[ID]],TableauProduit[ID],TableauProduit[Total (kg) N1],0,0,1)*_xlfn.XLOOKUP(TableauRecette[[#This Row],[ID]],TableauProduit[ID],TableauProduit[Total (kg) N1],0,0,1)</f>
        <v>0</v>
      </c>
      <c r="M313" t="e">
        <f>_xlfn.XLOOKUP(TableauRecette[[#This Row],[ID]],TableauProduit[ID],TableauProduit[Total (kg) N1],0,0,1)*_xlfn.XLOOKUP(TableauRecette[[#This Row],[ID]],TableauProduit[ID],TableauProduit[Total (kg) N2],0,0,1)</f>
        <v>#REF!</v>
      </c>
      <c r="N313" t="e">
        <f>_xlfn.XLOOKUP(TableauRecette[[#This Row],[ID]],TableauProduit[ID],TableauProduit[Total (kg) N3],0,0,1)*#REF!</f>
        <v>#REF!</v>
      </c>
      <c r="O313" t="e">
        <f>_xlfn.XLOOKUP(TableauRecette[[#This Row],[ID]],TableauProduit[ID],TableauProduit[Total (kg) N4],0,0,1)*#REF!</f>
        <v>#REF!</v>
      </c>
      <c r="P313" t="e">
        <f>_xlfn.XLOOKUP(TableauRecette[[#This Row],[ID]],TableauProduit[ID],TableauProduit[Total (kg) N5],0,0,1)*#REF!</f>
        <v>#REF!</v>
      </c>
      <c r="Q313" t="e">
        <f>_xlfn.XLOOKUP(TableauRecette[[#This Row],[ID]],TableauProduit[ID],TableauProduit[Total (kg) N6],0,0,1)*#REF!</f>
        <v>#REF!</v>
      </c>
      <c r="R313" t="e">
        <f>_xlfn.XLOOKUP(TableauRecette[[#This Row],[ID]],TableauProduit[ID],TableauProduit[Total (kg) N7],0,0,1)*#REF!</f>
        <v>#REF!</v>
      </c>
      <c r="S313" t="e">
        <f>_xlfn.XLOOKUP(TableauRecette[[#This Row],[ID]],TableauProduit[ID],TableauProduit[Total (kg) N8],0,0,1)*#REF!</f>
        <v>#REF!</v>
      </c>
      <c r="T313" t="e">
        <f>_xlfn.XLOOKUP(TableauRecette[[#This Row],[ID]],TableauProduit[ID],TableauProduit[Total (kg) N9],0,0,1)*#REF!</f>
        <v>#REF!</v>
      </c>
    </row>
    <row r="314" spans="1:20" x14ac:dyDescent="0.2">
      <c r="A314" t="s">
        <v>90</v>
      </c>
      <c r="B314" t="str">
        <f>TableauRecette[[#This Row],[Recette]]&amp;TableauRecette[[#This Row],[Conditionnement]]</f>
        <v>Sirop de thymSirop 500 ml</v>
      </c>
      <c r="C314" t="s">
        <v>381</v>
      </c>
      <c r="D314">
        <v>100</v>
      </c>
      <c r="E314" t="s">
        <v>81</v>
      </c>
      <c r="F314">
        <f>IFERROR(TableauRecette[[#This Row],[Proportion]]/SUMIFS(TableauRecette[Proportion],TableauRecette[Recette],TableauRecette[[#This Row],[Recette]],TableauRecette[Conditionnement],TableauRecette[[#This Row],[Conditionnement]]),0)</f>
        <v>5.8122638767800057E-2</v>
      </c>
      <c r="G314">
        <f>IFERROR(_xlfn.XLOOKUP(TableauRecette[[#This Row],[Ingredients]],TableauIngredients[Ingredients],#REF!,0)*#REF!,0)</f>
        <v>0</v>
      </c>
      <c r="H314">
        <f>IFERROR(SUMIFS(TableauRecette[Proportion],TableauRecette[Recette],TableauRecette[[#This Row],[Recette]],TableauRecette[Conditionnement],TableauRecette[[#This Row],[Conditionnement]]),0)</f>
        <v>1720.5</v>
      </c>
      <c r="I314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14">
        <f>_xlfn.XLOOKUP(TableauRecette[[#This Row],[ID]],TableauProduit[ID],TableauProduit[Total (kg) N1],0,0,1)*_xlfn.XLOOKUP(TableauRecette[[#This Row],[ID]],TableauProduit[ID],TableauProduit[Total (kg) N1],0,0,1)</f>
        <v>0</v>
      </c>
      <c r="M314" t="e">
        <f>_xlfn.XLOOKUP(TableauRecette[[#This Row],[ID]],TableauProduit[ID],TableauProduit[Total (kg) N1],0,0,1)*_xlfn.XLOOKUP(TableauRecette[[#This Row],[ID]],TableauProduit[ID],TableauProduit[Total (kg) N2],0,0,1)</f>
        <v>#REF!</v>
      </c>
      <c r="N314" t="e">
        <f>_xlfn.XLOOKUP(TableauRecette[[#This Row],[ID]],TableauProduit[ID],TableauProduit[Total (kg) N3],0,0,1)*#REF!</f>
        <v>#REF!</v>
      </c>
      <c r="O314" t="e">
        <f>_xlfn.XLOOKUP(TableauRecette[[#This Row],[ID]],TableauProduit[ID],TableauProduit[Total (kg) N4],0,0,1)*#REF!</f>
        <v>#REF!</v>
      </c>
      <c r="P314" t="e">
        <f>_xlfn.XLOOKUP(TableauRecette[[#This Row],[ID]],TableauProduit[ID],TableauProduit[Total (kg) N5],0,0,1)*#REF!</f>
        <v>#REF!</v>
      </c>
      <c r="Q314" t="e">
        <f>_xlfn.XLOOKUP(TableauRecette[[#This Row],[ID]],TableauProduit[ID],TableauProduit[Total (kg) N6],0,0,1)*#REF!</f>
        <v>#REF!</v>
      </c>
      <c r="R314" t="e">
        <f>_xlfn.XLOOKUP(TableauRecette[[#This Row],[ID]],TableauProduit[ID],TableauProduit[Total (kg) N7],0,0,1)*#REF!</f>
        <v>#REF!</v>
      </c>
      <c r="S314" t="e">
        <f>_xlfn.XLOOKUP(TableauRecette[[#This Row],[ID]],TableauProduit[ID],TableauProduit[Total (kg) N8],0,0,1)*#REF!</f>
        <v>#REF!</v>
      </c>
      <c r="T314" t="e">
        <f>_xlfn.XLOOKUP(TableauRecette[[#This Row],[ID]],TableauProduit[ID],TableauProduit[Total (kg) N9],0,0,1)*#REF!</f>
        <v>#REF!</v>
      </c>
    </row>
    <row r="315" spans="1:20" x14ac:dyDescent="0.2">
      <c r="A315" t="s">
        <v>90</v>
      </c>
      <c r="B315" t="str">
        <f>TableauRecette[[#This Row],[Recette]]&amp;TableauRecette[[#This Row],[Conditionnement]]</f>
        <v>Sirop de thymSirop 500 ml</v>
      </c>
      <c r="C315" t="s">
        <v>431</v>
      </c>
      <c r="D315">
        <v>10</v>
      </c>
      <c r="E315" t="s">
        <v>81</v>
      </c>
      <c r="F315">
        <f>IFERROR(TableauRecette[[#This Row],[Proportion]]/SUMIFS(TableauRecette[Proportion],TableauRecette[Recette],TableauRecette[[#This Row],[Recette]],TableauRecette[Conditionnement],TableauRecette[[#This Row],[Conditionnement]]),0)</f>
        <v>5.812263876780006E-3</v>
      </c>
      <c r="G315">
        <f>IFERROR(_xlfn.XLOOKUP(TableauRecette[[#This Row],[Ingredients]],TableauIngredients[Ingredients],#REF!,0)*#REF!,0)</f>
        <v>0</v>
      </c>
      <c r="H315">
        <f>IFERROR(SUMIFS(TableauRecette[Proportion],TableauRecette[Recette],TableauRecette[[#This Row],[Recette]],TableauRecette[Conditionnement],TableauRecette[[#This Row],[Conditionnement]]),0)</f>
        <v>1720.5</v>
      </c>
      <c r="I315">
        <f>_xlfn.XLOOKUP(TableauRecette[[#This Row],[Ingredients]],TableauIngredients[Ingredients],TableauIngredients[Prix d''achat (kg)],0,0,1)*TableauRecette[[#This Row],[Proportion]]/TableauRecette[[#This Row],[Total Proportion]]</f>
        <v>4.0685847137460041E-2</v>
      </c>
      <c r="L315">
        <f>_xlfn.XLOOKUP(TableauRecette[[#This Row],[ID]],TableauProduit[ID],TableauProduit[Total (kg) N1],0,0,1)*_xlfn.XLOOKUP(TableauRecette[[#This Row],[ID]],TableauProduit[ID],TableauProduit[Total (kg) N1],0,0,1)</f>
        <v>0</v>
      </c>
      <c r="M315" t="e">
        <f>_xlfn.XLOOKUP(TableauRecette[[#This Row],[ID]],TableauProduit[ID],TableauProduit[Total (kg) N1],0,0,1)*_xlfn.XLOOKUP(TableauRecette[[#This Row],[ID]],TableauProduit[ID],TableauProduit[Total (kg) N2],0,0,1)</f>
        <v>#REF!</v>
      </c>
      <c r="N315" t="e">
        <f>_xlfn.XLOOKUP(TableauRecette[[#This Row],[ID]],TableauProduit[ID],TableauProduit[Total (kg) N3],0,0,1)*#REF!</f>
        <v>#REF!</v>
      </c>
      <c r="O315" t="e">
        <f>_xlfn.XLOOKUP(TableauRecette[[#This Row],[ID]],TableauProduit[ID],TableauProduit[Total (kg) N4],0,0,1)*#REF!</f>
        <v>#REF!</v>
      </c>
      <c r="P315" t="e">
        <f>_xlfn.XLOOKUP(TableauRecette[[#This Row],[ID]],TableauProduit[ID],TableauProduit[Total (kg) N5],0,0,1)*#REF!</f>
        <v>#REF!</v>
      </c>
      <c r="Q315" t="e">
        <f>_xlfn.XLOOKUP(TableauRecette[[#This Row],[ID]],TableauProduit[ID],TableauProduit[Total (kg) N6],0,0,1)*#REF!</f>
        <v>#REF!</v>
      </c>
      <c r="R315" t="e">
        <f>_xlfn.XLOOKUP(TableauRecette[[#This Row],[ID]],TableauProduit[ID],TableauProduit[Total (kg) N7],0,0,1)*#REF!</f>
        <v>#REF!</v>
      </c>
      <c r="S315" t="e">
        <f>_xlfn.XLOOKUP(TableauRecette[[#This Row],[ID]],TableauProduit[ID],TableauProduit[Total (kg) N8],0,0,1)*#REF!</f>
        <v>#REF!</v>
      </c>
      <c r="T315" t="e">
        <f>_xlfn.XLOOKUP(TableauRecette[[#This Row],[ID]],TableauProduit[ID],TableauProduit[Total (kg) N9],0,0,1)*#REF!</f>
        <v>#REF!</v>
      </c>
    </row>
    <row r="316" spans="1:20" x14ac:dyDescent="0.2">
      <c r="A316" t="s">
        <v>90</v>
      </c>
      <c r="B316" t="str">
        <f>TableauRecette[[#This Row],[Recette]]&amp;TableauRecette[[#This Row],[Conditionnement]]</f>
        <v>Sirop de thymSirop 500 ml</v>
      </c>
      <c r="C316" t="s">
        <v>427</v>
      </c>
      <c r="D316">
        <v>1000</v>
      </c>
      <c r="E316" t="s">
        <v>81</v>
      </c>
      <c r="F316">
        <f>IFERROR(TableauRecette[[#This Row],[Proportion]]/SUMIFS(TableauRecette[Proportion],TableauRecette[Recette],TableauRecette[[#This Row],[Recette]],TableauRecette[Conditionnement],TableauRecette[[#This Row],[Conditionnement]]),0)</f>
        <v>0.58122638767800061</v>
      </c>
      <c r="G316">
        <f>IFERROR(_xlfn.XLOOKUP(TableauRecette[[#This Row],[Ingredients]],TableauIngredients[Ingredients],#REF!,0)*#REF!,0)</f>
        <v>0</v>
      </c>
      <c r="H316">
        <f>IFERROR(SUMIFS(TableauRecette[Proportion],TableauRecette[Recette],TableauRecette[[#This Row],[Recette]],TableauRecette[Conditionnement],TableauRecette[[#This Row],[Conditionnement]]),0)</f>
        <v>1720.5</v>
      </c>
      <c r="I31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16">
        <f>_xlfn.XLOOKUP(TableauRecette[[#This Row],[ID]],TableauProduit[ID],TableauProduit[Total (kg) N1],0,0,1)*_xlfn.XLOOKUP(TableauRecette[[#This Row],[ID]],TableauProduit[ID],TableauProduit[Total (kg) N1],0,0,1)</f>
        <v>0</v>
      </c>
      <c r="M316" t="e">
        <f>_xlfn.XLOOKUP(TableauRecette[[#This Row],[ID]],TableauProduit[ID],TableauProduit[Total (kg) N1],0,0,1)*_xlfn.XLOOKUP(TableauRecette[[#This Row],[ID]],TableauProduit[ID],TableauProduit[Total (kg) N2],0,0,1)</f>
        <v>#REF!</v>
      </c>
      <c r="N316" t="e">
        <f>_xlfn.XLOOKUP(TableauRecette[[#This Row],[ID]],TableauProduit[ID],TableauProduit[Total (kg) N3],0,0,1)*#REF!</f>
        <v>#REF!</v>
      </c>
      <c r="O316" t="e">
        <f>_xlfn.XLOOKUP(TableauRecette[[#This Row],[ID]],TableauProduit[ID],TableauProduit[Total (kg) N4],0,0,1)*#REF!</f>
        <v>#REF!</v>
      </c>
      <c r="P316" t="e">
        <f>_xlfn.XLOOKUP(TableauRecette[[#This Row],[ID]],TableauProduit[ID],TableauProduit[Total (kg) N5],0,0,1)*#REF!</f>
        <v>#REF!</v>
      </c>
      <c r="Q316" t="e">
        <f>_xlfn.XLOOKUP(TableauRecette[[#This Row],[ID]],TableauProduit[ID],TableauProduit[Total (kg) N6],0,0,1)*#REF!</f>
        <v>#REF!</v>
      </c>
      <c r="R316" t="e">
        <f>_xlfn.XLOOKUP(TableauRecette[[#This Row],[ID]],TableauProduit[ID],TableauProduit[Total (kg) N7],0,0,1)*#REF!</f>
        <v>#REF!</v>
      </c>
      <c r="S316" t="e">
        <f>_xlfn.XLOOKUP(TableauRecette[[#This Row],[ID]],TableauProduit[ID],TableauProduit[Total (kg) N8],0,0,1)*#REF!</f>
        <v>#REF!</v>
      </c>
      <c r="T316" t="e">
        <f>_xlfn.XLOOKUP(TableauRecette[[#This Row],[ID]],TableauProduit[ID],TableauProduit[Total (kg) N9],0,0,1)*#REF!</f>
        <v>#REF!</v>
      </c>
    </row>
    <row r="317" spans="1:20" x14ac:dyDescent="0.2">
      <c r="A317" t="s">
        <v>126</v>
      </c>
      <c r="B317" t="str">
        <f>TableauRecette[[#This Row],[Recette]]&amp;TableauRecette[[#This Row],[Conditionnement]]</f>
        <v>SrirachaPiment liquide 250ml</v>
      </c>
      <c r="C317" t="s">
        <v>449</v>
      </c>
      <c r="D317">
        <v>9</v>
      </c>
      <c r="E317" t="s">
        <v>107</v>
      </c>
      <c r="F317">
        <f>IFERROR(TableauRecette[[#This Row],[Proportion]]/SUMIFS(TableauRecette[Proportion],TableauRecette[Recette],TableauRecette[[#This Row],[Recette]],TableauRecette[Conditionnement],TableauRecette[[#This Row],[Conditionnement]]),0)</f>
        <v>0.11392405063291139</v>
      </c>
      <c r="G317">
        <f>IFERROR(_xlfn.XLOOKUP(TableauRecette[[#This Row],[Ingredients]],TableauIngredients[Ingredients],#REF!,0)*#REF!,0)</f>
        <v>0</v>
      </c>
      <c r="H317">
        <f>IFERROR(SUMIFS(TableauRecette[Proportion],TableauRecette[Recette],TableauRecette[[#This Row],[Recette]],TableauRecette[Conditionnement],TableauRecette[[#This Row],[Conditionnement]]),0)</f>
        <v>79</v>
      </c>
      <c r="I31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17">
        <f>_xlfn.XLOOKUP(TableauRecette[[#This Row],[ID]],TableauProduit[ID],TableauProduit[Total (kg) N1],0,0,1)*_xlfn.XLOOKUP(TableauRecette[[#This Row],[ID]],TableauProduit[ID],TableauProduit[Total (kg) N1],0,0,1)</f>
        <v>0</v>
      </c>
      <c r="M317" t="e">
        <f>_xlfn.XLOOKUP(TableauRecette[[#This Row],[ID]],TableauProduit[ID],TableauProduit[Total (kg) N1],0,0,1)*_xlfn.XLOOKUP(TableauRecette[[#This Row],[ID]],TableauProduit[ID],TableauProduit[Total (kg) N2],0,0,1)</f>
        <v>#REF!</v>
      </c>
      <c r="N317" t="e">
        <f>_xlfn.XLOOKUP(TableauRecette[[#This Row],[ID]],TableauProduit[ID],TableauProduit[Total (kg) N3],0,0,1)*#REF!</f>
        <v>#REF!</v>
      </c>
      <c r="O317" t="e">
        <f>_xlfn.XLOOKUP(TableauRecette[[#This Row],[ID]],TableauProduit[ID],TableauProduit[Total (kg) N4],0,0,1)*#REF!</f>
        <v>#REF!</v>
      </c>
      <c r="P317" t="e">
        <f>_xlfn.XLOOKUP(TableauRecette[[#This Row],[ID]],TableauProduit[ID],TableauProduit[Total (kg) N5],0,0,1)*#REF!</f>
        <v>#REF!</v>
      </c>
      <c r="Q317" t="e">
        <f>_xlfn.XLOOKUP(TableauRecette[[#This Row],[ID]],TableauProduit[ID],TableauProduit[Total (kg) N6],0,0,1)*#REF!</f>
        <v>#REF!</v>
      </c>
      <c r="R317" t="e">
        <f>_xlfn.XLOOKUP(TableauRecette[[#This Row],[ID]],TableauProduit[ID],TableauProduit[Total (kg) N7],0,0,1)*#REF!</f>
        <v>#REF!</v>
      </c>
      <c r="S317" t="e">
        <f>_xlfn.XLOOKUP(TableauRecette[[#This Row],[ID]],TableauProduit[ID],TableauProduit[Total (kg) N8],0,0,1)*#REF!</f>
        <v>#REF!</v>
      </c>
      <c r="T317" t="e">
        <f>_xlfn.XLOOKUP(TableauRecette[[#This Row],[ID]],TableauProduit[ID],TableauProduit[Total (kg) N9],0,0,1)*#REF!</f>
        <v>#REF!</v>
      </c>
    </row>
    <row r="318" spans="1:20" x14ac:dyDescent="0.2">
      <c r="A318" t="s">
        <v>126</v>
      </c>
      <c r="B318" t="str">
        <f>TableauRecette[[#This Row],[Recette]]&amp;TableauRecette[[#This Row],[Conditionnement]]</f>
        <v>SrirachaPiment liquide 250ml</v>
      </c>
      <c r="C318" t="s">
        <v>450</v>
      </c>
      <c r="D318">
        <v>3</v>
      </c>
      <c r="E318" t="s">
        <v>107</v>
      </c>
      <c r="F318">
        <f>IFERROR(TableauRecette[[#This Row],[Proportion]]/SUMIFS(TableauRecette[Proportion],TableauRecette[Recette],TableauRecette[[#This Row],[Recette]],TableauRecette[Conditionnement],TableauRecette[[#This Row],[Conditionnement]]),0)</f>
        <v>3.7974683544303799E-2</v>
      </c>
      <c r="G318">
        <f>IFERROR(_xlfn.XLOOKUP(TableauRecette[[#This Row],[Ingredients]],TableauIngredients[Ingredients],#REF!,0)*#REF!,0)</f>
        <v>0</v>
      </c>
      <c r="H318">
        <f>IFERROR(SUMIFS(TableauRecette[Proportion],TableauRecette[Recette],TableauRecette[[#This Row],[Recette]],TableauRecette[Conditionnement],TableauRecette[[#This Row],[Conditionnement]]),0)</f>
        <v>79</v>
      </c>
      <c r="I318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18">
        <f>_xlfn.XLOOKUP(TableauRecette[[#This Row],[ID]],TableauProduit[ID],TableauProduit[Total (kg) N1],0,0,1)*_xlfn.XLOOKUP(TableauRecette[[#This Row],[ID]],TableauProduit[ID],TableauProduit[Total (kg) N1],0,0,1)</f>
        <v>0</v>
      </c>
      <c r="M318" t="e">
        <f>_xlfn.XLOOKUP(TableauRecette[[#This Row],[ID]],TableauProduit[ID],TableauProduit[Total (kg) N1],0,0,1)*_xlfn.XLOOKUP(TableauRecette[[#This Row],[ID]],TableauProduit[ID],TableauProduit[Total (kg) N2],0,0,1)</f>
        <v>#REF!</v>
      </c>
      <c r="N318" t="e">
        <f>_xlfn.XLOOKUP(TableauRecette[[#This Row],[ID]],TableauProduit[ID],TableauProduit[Total (kg) N3],0,0,1)*#REF!</f>
        <v>#REF!</v>
      </c>
      <c r="O318" t="e">
        <f>_xlfn.XLOOKUP(TableauRecette[[#This Row],[ID]],TableauProduit[ID],TableauProduit[Total (kg) N4],0,0,1)*#REF!</f>
        <v>#REF!</v>
      </c>
      <c r="P318" t="e">
        <f>_xlfn.XLOOKUP(TableauRecette[[#This Row],[ID]],TableauProduit[ID],TableauProduit[Total (kg) N5],0,0,1)*#REF!</f>
        <v>#REF!</v>
      </c>
      <c r="Q318" t="e">
        <f>_xlfn.XLOOKUP(TableauRecette[[#This Row],[ID]],TableauProduit[ID],TableauProduit[Total (kg) N6],0,0,1)*#REF!</f>
        <v>#REF!</v>
      </c>
      <c r="R318" t="e">
        <f>_xlfn.XLOOKUP(TableauRecette[[#This Row],[ID]],TableauProduit[ID],TableauProduit[Total (kg) N7],0,0,1)*#REF!</f>
        <v>#REF!</v>
      </c>
      <c r="S318" t="e">
        <f>_xlfn.XLOOKUP(TableauRecette[[#This Row],[ID]],TableauProduit[ID],TableauProduit[Total (kg) N8],0,0,1)*#REF!</f>
        <v>#REF!</v>
      </c>
      <c r="T318" t="e">
        <f>_xlfn.XLOOKUP(TableauRecette[[#This Row],[ID]],TableauProduit[ID],TableauProduit[Total (kg) N9],0,0,1)*#REF!</f>
        <v>#REF!</v>
      </c>
    </row>
    <row r="319" spans="1:20" x14ac:dyDescent="0.2">
      <c r="A319" t="s">
        <v>126</v>
      </c>
      <c r="B319" t="str">
        <f>TableauRecette[[#This Row],[Recette]]&amp;TableauRecette[[#This Row],[Conditionnement]]</f>
        <v>SrirachaPiment liquide 250ml</v>
      </c>
      <c r="C319" t="s">
        <v>426</v>
      </c>
      <c r="D319">
        <v>8</v>
      </c>
      <c r="E319" t="s">
        <v>107</v>
      </c>
      <c r="F319">
        <f>IFERROR(TableauRecette[[#This Row],[Proportion]]/SUMIFS(TableauRecette[Proportion],TableauRecette[Recette],TableauRecette[[#This Row],[Recette]],TableauRecette[Conditionnement],TableauRecette[[#This Row],[Conditionnement]]),0)</f>
        <v>0.10126582278481013</v>
      </c>
      <c r="G319">
        <f>IFERROR(_xlfn.XLOOKUP(TableauRecette[[#This Row],[Ingredients]],TableauIngredients[Ingredients],#REF!,0)*#REF!,0)</f>
        <v>0</v>
      </c>
      <c r="H319">
        <f>IFERROR(SUMIFS(TableauRecette[Proportion],TableauRecette[Recette],TableauRecette[[#This Row],[Recette]],TableauRecette[Conditionnement],TableauRecette[[#This Row],[Conditionnement]]),0)</f>
        <v>79</v>
      </c>
      <c r="I31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19">
        <f>_xlfn.XLOOKUP(TableauRecette[[#This Row],[ID]],TableauProduit[ID],TableauProduit[Total (kg) N1],0,0,1)*_xlfn.XLOOKUP(TableauRecette[[#This Row],[ID]],TableauProduit[ID],TableauProduit[Total (kg) N1],0,0,1)</f>
        <v>0</v>
      </c>
      <c r="M319" t="e">
        <f>_xlfn.XLOOKUP(TableauRecette[[#This Row],[ID]],TableauProduit[ID],TableauProduit[Total (kg) N1],0,0,1)*_xlfn.XLOOKUP(TableauRecette[[#This Row],[ID]],TableauProduit[ID],TableauProduit[Total (kg) N2],0,0,1)</f>
        <v>#REF!</v>
      </c>
      <c r="N319" t="e">
        <f>_xlfn.XLOOKUP(TableauRecette[[#This Row],[ID]],TableauProduit[ID],TableauProduit[Total (kg) N3],0,0,1)*#REF!</f>
        <v>#REF!</v>
      </c>
      <c r="O319" t="e">
        <f>_xlfn.XLOOKUP(TableauRecette[[#This Row],[ID]],TableauProduit[ID],TableauProduit[Total (kg) N4],0,0,1)*#REF!</f>
        <v>#REF!</v>
      </c>
      <c r="P319" t="e">
        <f>_xlfn.XLOOKUP(TableauRecette[[#This Row],[ID]],TableauProduit[ID],TableauProduit[Total (kg) N5],0,0,1)*#REF!</f>
        <v>#REF!</v>
      </c>
      <c r="Q319" t="e">
        <f>_xlfn.XLOOKUP(TableauRecette[[#This Row],[ID]],TableauProduit[ID],TableauProduit[Total (kg) N6],0,0,1)*#REF!</f>
        <v>#REF!</v>
      </c>
      <c r="R319" t="e">
        <f>_xlfn.XLOOKUP(TableauRecette[[#This Row],[ID]],TableauProduit[ID],TableauProduit[Total (kg) N7],0,0,1)*#REF!</f>
        <v>#REF!</v>
      </c>
      <c r="S319" t="e">
        <f>_xlfn.XLOOKUP(TableauRecette[[#This Row],[ID]],TableauProduit[ID],TableauProduit[Total (kg) N8],0,0,1)*#REF!</f>
        <v>#REF!</v>
      </c>
      <c r="T319" t="e">
        <f>_xlfn.XLOOKUP(TableauRecette[[#This Row],[ID]],TableauProduit[ID],TableauProduit[Total (kg) N9],0,0,1)*#REF!</f>
        <v>#REF!</v>
      </c>
    </row>
    <row r="320" spans="1:20" x14ac:dyDescent="0.2">
      <c r="A320" t="s">
        <v>126</v>
      </c>
      <c r="B320" t="str">
        <f>TableauRecette[[#This Row],[Recette]]&amp;TableauRecette[[#This Row],[Conditionnement]]</f>
        <v>SrirachaPiment liquide 250ml</v>
      </c>
      <c r="C320" t="s">
        <v>451</v>
      </c>
      <c r="D320">
        <v>7</v>
      </c>
      <c r="E320" t="s">
        <v>107</v>
      </c>
      <c r="F320">
        <f>IFERROR(TableauRecette[[#This Row],[Proportion]]/SUMIFS(TableauRecette[Proportion],TableauRecette[Recette],TableauRecette[[#This Row],[Recette]],TableauRecette[Conditionnement],TableauRecette[[#This Row],[Conditionnement]]),0)</f>
        <v>8.8607594936708861E-2</v>
      </c>
      <c r="G320">
        <f>IFERROR(_xlfn.XLOOKUP(TableauRecette[[#This Row],[Ingredients]],TableauIngredients[Ingredients],#REF!,0)*#REF!,0)</f>
        <v>0</v>
      </c>
      <c r="H320">
        <f>IFERROR(SUMIFS(TableauRecette[Proportion],TableauRecette[Recette],TableauRecette[[#This Row],[Recette]],TableauRecette[Conditionnement],TableauRecette[[#This Row],[Conditionnement]]),0)</f>
        <v>79</v>
      </c>
      <c r="I320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20">
        <f>_xlfn.XLOOKUP(TableauRecette[[#This Row],[ID]],TableauProduit[ID],TableauProduit[Total (kg) N1],0,0,1)*_xlfn.XLOOKUP(TableauRecette[[#This Row],[ID]],TableauProduit[ID],TableauProduit[Total (kg) N1],0,0,1)</f>
        <v>0</v>
      </c>
      <c r="M320" t="e">
        <f>_xlfn.XLOOKUP(TableauRecette[[#This Row],[ID]],TableauProduit[ID],TableauProduit[Total (kg) N1],0,0,1)*_xlfn.XLOOKUP(TableauRecette[[#This Row],[ID]],TableauProduit[ID],TableauProduit[Total (kg) N2],0,0,1)</f>
        <v>#REF!</v>
      </c>
      <c r="N320" t="e">
        <f>_xlfn.XLOOKUP(TableauRecette[[#This Row],[ID]],TableauProduit[ID],TableauProduit[Total (kg) N3],0,0,1)*#REF!</f>
        <v>#REF!</v>
      </c>
      <c r="O320" t="e">
        <f>_xlfn.XLOOKUP(TableauRecette[[#This Row],[ID]],TableauProduit[ID],TableauProduit[Total (kg) N4],0,0,1)*#REF!</f>
        <v>#REF!</v>
      </c>
      <c r="P320" t="e">
        <f>_xlfn.XLOOKUP(TableauRecette[[#This Row],[ID]],TableauProduit[ID],TableauProduit[Total (kg) N5],0,0,1)*#REF!</f>
        <v>#REF!</v>
      </c>
      <c r="Q320" t="e">
        <f>_xlfn.XLOOKUP(TableauRecette[[#This Row],[ID]],TableauProduit[ID],TableauProduit[Total (kg) N6],0,0,1)*#REF!</f>
        <v>#REF!</v>
      </c>
      <c r="R320" t="e">
        <f>_xlfn.XLOOKUP(TableauRecette[[#This Row],[ID]],TableauProduit[ID],TableauProduit[Total (kg) N7],0,0,1)*#REF!</f>
        <v>#REF!</v>
      </c>
      <c r="S320" t="e">
        <f>_xlfn.XLOOKUP(TableauRecette[[#This Row],[ID]],TableauProduit[ID],TableauProduit[Total (kg) N8],0,0,1)*#REF!</f>
        <v>#REF!</v>
      </c>
      <c r="T320" t="e">
        <f>_xlfn.XLOOKUP(TableauRecette[[#This Row],[ID]],TableauProduit[ID],TableauProduit[Total (kg) N9],0,0,1)*#REF!</f>
        <v>#REF!</v>
      </c>
    </row>
    <row r="321" spans="1:20" x14ac:dyDescent="0.2">
      <c r="A321" t="s">
        <v>126</v>
      </c>
      <c r="B321" t="str">
        <f>TableauRecette[[#This Row],[Recette]]&amp;TableauRecette[[#This Row],[Conditionnement]]</f>
        <v>SrirachaPiment liquide 250ml</v>
      </c>
      <c r="C321" t="s">
        <v>452</v>
      </c>
      <c r="D321">
        <v>15</v>
      </c>
      <c r="E321" t="s">
        <v>107</v>
      </c>
      <c r="F321">
        <f>IFERROR(TableauRecette[[#This Row],[Proportion]]/SUMIFS(TableauRecette[Proportion],TableauRecette[Recette],TableauRecette[[#This Row],[Recette]],TableauRecette[Conditionnement],TableauRecette[[#This Row],[Conditionnement]]),0)</f>
        <v>0.189873417721519</v>
      </c>
      <c r="G321">
        <f>IFERROR(_xlfn.XLOOKUP(TableauRecette[[#This Row],[Ingredients]],TableauIngredients[Ingredients],#REF!,0)*#REF!,0)</f>
        <v>0</v>
      </c>
      <c r="H321">
        <f>IFERROR(SUMIFS(TableauRecette[Proportion],TableauRecette[Recette],TableauRecette[[#This Row],[Recette]],TableauRecette[Conditionnement],TableauRecette[[#This Row],[Conditionnement]]),0)</f>
        <v>79</v>
      </c>
      <c r="I32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21">
        <f>_xlfn.XLOOKUP(TableauRecette[[#This Row],[ID]],TableauProduit[ID],TableauProduit[Total (kg) N1],0,0,1)*_xlfn.XLOOKUP(TableauRecette[[#This Row],[ID]],TableauProduit[ID],TableauProduit[Total (kg) N1],0,0,1)</f>
        <v>0</v>
      </c>
      <c r="M321" t="e">
        <f>_xlfn.XLOOKUP(TableauRecette[[#This Row],[ID]],TableauProduit[ID],TableauProduit[Total (kg) N1],0,0,1)*_xlfn.XLOOKUP(TableauRecette[[#This Row],[ID]],TableauProduit[ID],TableauProduit[Total (kg) N2],0,0,1)</f>
        <v>#REF!</v>
      </c>
      <c r="N321" t="e">
        <f>_xlfn.XLOOKUP(TableauRecette[[#This Row],[ID]],TableauProduit[ID],TableauProduit[Total (kg) N3],0,0,1)*#REF!</f>
        <v>#REF!</v>
      </c>
      <c r="O321" t="e">
        <f>_xlfn.XLOOKUP(TableauRecette[[#This Row],[ID]],TableauProduit[ID],TableauProduit[Total (kg) N4],0,0,1)*#REF!</f>
        <v>#REF!</v>
      </c>
      <c r="P321" t="e">
        <f>_xlfn.XLOOKUP(TableauRecette[[#This Row],[ID]],TableauProduit[ID],TableauProduit[Total (kg) N5],0,0,1)*#REF!</f>
        <v>#REF!</v>
      </c>
      <c r="Q321" t="e">
        <f>_xlfn.XLOOKUP(TableauRecette[[#This Row],[ID]],TableauProduit[ID],TableauProduit[Total (kg) N6],0,0,1)*#REF!</f>
        <v>#REF!</v>
      </c>
      <c r="R321" t="e">
        <f>_xlfn.XLOOKUP(TableauRecette[[#This Row],[ID]],TableauProduit[ID],TableauProduit[Total (kg) N7],0,0,1)*#REF!</f>
        <v>#REF!</v>
      </c>
      <c r="S321" t="e">
        <f>_xlfn.XLOOKUP(TableauRecette[[#This Row],[ID]],TableauProduit[ID],TableauProduit[Total (kg) N8],0,0,1)*#REF!</f>
        <v>#REF!</v>
      </c>
      <c r="T321" t="e">
        <f>_xlfn.XLOOKUP(TableauRecette[[#This Row],[ID]],TableauProduit[ID],TableauProduit[Total (kg) N9],0,0,1)*#REF!</f>
        <v>#REF!</v>
      </c>
    </row>
    <row r="322" spans="1:20" x14ac:dyDescent="0.2">
      <c r="A322" t="s">
        <v>126</v>
      </c>
      <c r="B322" t="str">
        <f>TableauRecette[[#This Row],[Recette]]&amp;TableauRecette[[#This Row],[Conditionnement]]</f>
        <v>SrirachaPiment liquide 250ml</v>
      </c>
      <c r="C322" t="s">
        <v>410</v>
      </c>
      <c r="D322">
        <v>10</v>
      </c>
      <c r="E322" t="s">
        <v>107</v>
      </c>
      <c r="F322">
        <f>IFERROR(TableauRecette[[#This Row],[Proportion]]/SUMIFS(TableauRecette[Proportion],TableauRecette[Recette],TableauRecette[[#This Row],[Recette]],TableauRecette[Conditionnement],TableauRecette[[#This Row],[Conditionnement]]),0)</f>
        <v>0.12658227848101267</v>
      </c>
      <c r="G322">
        <f>IFERROR(_xlfn.XLOOKUP(TableauRecette[[#This Row],[Ingredients]],TableauIngredients[Ingredients],#REF!,0)*#REF!,0)</f>
        <v>0</v>
      </c>
      <c r="H322">
        <f>IFERROR(SUMIFS(TableauRecette[Proportion],TableauRecette[Recette],TableauRecette[[#This Row],[Recette]],TableauRecette[Conditionnement],TableauRecette[[#This Row],[Conditionnement]]),0)</f>
        <v>79</v>
      </c>
      <c r="I322">
        <f>_xlfn.XLOOKUP(TableauRecette[[#This Row],[Ingredients]],TableauIngredients[Ingredients],TableauIngredients[Prix d''achat (kg)],0,0,1)*TableauRecette[[#This Row],[Proportion]]/TableauRecette[[#This Row],[Total Proportion]]</f>
        <v>1.0126582278481013</v>
      </c>
      <c r="L322">
        <f>_xlfn.XLOOKUP(TableauRecette[[#This Row],[ID]],TableauProduit[ID],TableauProduit[Total (kg) N1],0,0,1)*_xlfn.XLOOKUP(TableauRecette[[#This Row],[ID]],TableauProduit[ID],TableauProduit[Total (kg) N1],0,0,1)</f>
        <v>0</v>
      </c>
      <c r="M322" t="e">
        <f>_xlfn.XLOOKUP(TableauRecette[[#This Row],[ID]],TableauProduit[ID],TableauProduit[Total (kg) N1],0,0,1)*_xlfn.XLOOKUP(TableauRecette[[#This Row],[ID]],TableauProduit[ID],TableauProduit[Total (kg) N2],0,0,1)</f>
        <v>#REF!</v>
      </c>
      <c r="N322" t="e">
        <f>_xlfn.XLOOKUP(TableauRecette[[#This Row],[ID]],TableauProduit[ID],TableauProduit[Total (kg) N3],0,0,1)*#REF!</f>
        <v>#REF!</v>
      </c>
      <c r="O322" t="e">
        <f>_xlfn.XLOOKUP(TableauRecette[[#This Row],[ID]],TableauProduit[ID],TableauProduit[Total (kg) N4],0,0,1)*#REF!</f>
        <v>#REF!</v>
      </c>
      <c r="P322" t="e">
        <f>_xlfn.XLOOKUP(TableauRecette[[#This Row],[ID]],TableauProduit[ID],TableauProduit[Total (kg) N5],0,0,1)*#REF!</f>
        <v>#REF!</v>
      </c>
      <c r="Q322" t="e">
        <f>_xlfn.XLOOKUP(TableauRecette[[#This Row],[ID]],TableauProduit[ID],TableauProduit[Total (kg) N6],0,0,1)*#REF!</f>
        <v>#REF!</v>
      </c>
      <c r="R322" t="e">
        <f>_xlfn.XLOOKUP(TableauRecette[[#This Row],[ID]],TableauProduit[ID],TableauProduit[Total (kg) N7],0,0,1)*#REF!</f>
        <v>#REF!</v>
      </c>
      <c r="S322" t="e">
        <f>_xlfn.XLOOKUP(TableauRecette[[#This Row],[ID]],TableauProduit[ID],TableauProduit[Total (kg) N8],0,0,1)*#REF!</f>
        <v>#REF!</v>
      </c>
      <c r="T322" t="e">
        <f>_xlfn.XLOOKUP(TableauRecette[[#This Row],[ID]],TableauProduit[ID],TableauProduit[Total (kg) N9],0,0,1)*#REF!</f>
        <v>#REF!</v>
      </c>
    </row>
    <row r="323" spans="1:20" x14ac:dyDescent="0.2">
      <c r="A323" t="s">
        <v>126</v>
      </c>
      <c r="B323" t="str">
        <f>TableauRecette[[#This Row],[Recette]]&amp;TableauRecette[[#This Row],[Conditionnement]]</f>
        <v>SrirachaPiment liquide 250ml</v>
      </c>
      <c r="C323" t="s">
        <v>425</v>
      </c>
      <c r="D323">
        <v>15</v>
      </c>
      <c r="E323" t="s">
        <v>107</v>
      </c>
      <c r="F323">
        <f>IFERROR(TableauRecette[[#This Row],[Proportion]]/SUMIFS(TableauRecette[Proportion],TableauRecette[Recette],TableauRecette[[#This Row],[Recette]],TableauRecette[Conditionnement],TableauRecette[[#This Row],[Conditionnement]]),0)</f>
        <v>0.189873417721519</v>
      </c>
      <c r="G323">
        <f>IFERROR(_xlfn.XLOOKUP(TableauRecette[[#This Row],[Ingredients]],TableauIngredients[Ingredients],#REF!,0)*#REF!,0)</f>
        <v>0</v>
      </c>
      <c r="H323">
        <f>IFERROR(SUMIFS(TableauRecette[Proportion],TableauRecette[Recette],TableauRecette[[#This Row],[Recette]],TableauRecette[Conditionnement],TableauRecette[[#This Row],[Conditionnement]]),0)</f>
        <v>79</v>
      </c>
      <c r="I323">
        <f>_xlfn.XLOOKUP(TableauRecette[[#This Row],[Ingredients]],TableauIngredients[Ingredients],TableauIngredients[Prix d''achat (kg)],0,0,1)*TableauRecette[[#This Row],[Proportion]]/TableauRecette[[#This Row],[Total Proportion]]</f>
        <v>0.72949367088607597</v>
      </c>
      <c r="L323">
        <f>_xlfn.XLOOKUP(TableauRecette[[#This Row],[ID]],TableauProduit[ID],TableauProduit[Total (kg) N1],0,0,1)*_xlfn.XLOOKUP(TableauRecette[[#This Row],[ID]],TableauProduit[ID],TableauProduit[Total (kg) N1],0,0,1)</f>
        <v>0</v>
      </c>
      <c r="M323" t="e">
        <f>_xlfn.XLOOKUP(TableauRecette[[#This Row],[ID]],TableauProduit[ID],TableauProduit[Total (kg) N1],0,0,1)*_xlfn.XLOOKUP(TableauRecette[[#This Row],[ID]],TableauProduit[ID],TableauProduit[Total (kg) N2],0,0,1)</f>
        <v>#REF!</v>
      </c>
      <c r="N323" t="e">
        <f>_xlfn.XLOOKUP(TableauRecette[[#This Row],[ID]],TableauProduit[ID],TableauProduit[Total (kg) N3],0,0,1)*#REF!</f>
        <v>#REF!</v>
      </c>
      <c r="O323" t="e">
        <f>_xlfn.XLOOKUP(TableauRecette[[#This Row],[ID]],TableauProduit[ID],TableauProduit[Total (kg) N4],0,0,1)*#REF!</f>
        <v>#REF!</v>
      </c>
      <c r="P323" t="e">
        <f>_xlfn.XLOOKUP(TableauRecette[[#This Row],[ID]],TableauProduit[ID],TableauProduit[Total (kg) N5],0,0,1)*#REF!</f>
        <v>#REF!</v>
      </c>
      <c r="Q323" t="e">
        <f>_xlfn.XLOOKUP(TableauRecette[[#This Row],[ID]],TableauProduit[ID],TableauProduit[Total (kg) N6],0,0,1)*#REF!</f>
        <v>#REF!</v>
      </c>
      <c r="R323" t="e">
        <f>_xlfn.XLOOKUP(TableauRecette[[#This Row],[ID]],TableauProduit[ID],TableauProduit[Total (kg) N7],0,0,1)*#REF!</f>
        <v>#REF!</v>
      </c>
      <c r="S323" t="e">
        <f>_xlfn.XLOOKUP(TableauRecette[[#This Row],[ID]],TableauProduit[ID],TableauProduit[Total (kg) N8],0,0,1)*#REF!</f>
        <v>#REF!</v>
      </c>
      <c r="T323" t="e">
        <f>_xlfn.XLOOKUP(TableauRecette[[#This Row],[ID]],TableauProduit[ID],TableauProduit[Total (kg) N9],0,0,1)*#REF!</f>
        <v>#REF!</v>
      </c>
    </row>
    <row r="324" spans="1:20" x14ac:dyDescent="0.2">
      <c r="A324" t="s">
        <v>126</v>
      </c>
      <c r="B324" t="str">
        <f>TableauRecette[[#This Row],[Recette]]&amp;TableauRecette[[#This Row],[Conditionnement]]</f>
        <v>SrirachaPiment liquide 250ml</v>
      </c>
      <c r="C324" t="s">
        <v>453</v>
      </c>
      <c r="D324">
        <v>5</v>
      </c>
      <c r="E324" t="s">
        <v>107</v>
      </c>
      <c r="F324">
        <f>IFERROR(TableauRecette[[#This Row],[Proportion]]/SUMIFS(TableauRecette[Proportion],TableauRecette[Recette],TableauRecette[[#This Row],[Recette]],TableauRecette[Conditionnement],TableauRecette[[#This Row],[Conditionnement]]),0)</f>
        <v>6.3291139240506333E-2</v>
      </c>
      <c r="G324">
        <f>IFERROR(_xlfn.XLOOKUP(TableauRecette[[#This Row],[Ingredients]],TableauIngredients[Ingredients],#REF!,0)*#REF!,0)</f>
        <v>0</v>
      </c>
      <c r="H324">
        <f>IFERROR(SUMIFS(TableauRecette[Proportion],TableauRecette[Recette],TableauRecette[[#This Row],[Recette]],TableauRecette[Conditionnement],TableauRecette[[#This Row],[Conditionnement]]),0)</f>
        <v>79</v>
      </c>
      <c r="I324">
        <f>_xlfn.XLOOKUP(TableauRecette[[#This Row],[Ingredients]],TableauIngredients[Ingredients],TableauIngredients[Prix d''achat (kg)],0,0,1)*TableauRecette[[#This Row],[Proportion]]/TableauRecette[[#This Row],[Total Proportion]]</f>
        <v>3.5727848101265822</v>
      </c>
      <c r="L324">
        <f>_xlfn.XLOOKUP(TableauRecette[[#This Row],[ID]],TableauProduit[ID],TableauProduit[Total (kg) N1],0,0,1)*_xlfn.XLOOKUP(TableauRecette[[#This Row],[ID]],TableauProduit[ID],TableauProduit[Total (kg) N1],0,0,1)</f>
        <v>0</v>
      </c>
      <c r="M324" t="e">
        <f>_xlfn.XLOOKUP(TableauRecette[[#This Row],[ID]],TableauProduit[ID],TableauProduit[Total (kg) N1],0,0,1)*_xlfn.XLOOKUP(TableauRecette[[#This Row],[ID]],TableauProduit[ID],TableauProduit[Total (kg) N2],0,0,1)</f>
        <v>#REF!</v>
      </c>
      <c r="N324" t="e">
        <f>_xlfn.XLOOKUP(TableauRecette[[#This Row],[ID]],TableauProduit[ID],TableauProduit[Total (kg) N3],0,0,1)*#REF!</f>
        <v>#REF!</v>
      </c>
      <c r="O324" t="e">
        <f>_xlfn.XLOOKUP(TableauRecette[[#This Row],[ID]],TableauProduit[ID],TableauProduit[Total (kg) N4],0,0,1)*#REF!</f>
        <v>#REF!</v>
      </c>
      <c r="P324" t="e">
        <f>_xlfn.XLOOKUP(TableauRecette[[#This Row],[ID]],TableauProduit[ID],TableauProduit[Total (kg) N5],0,0,1)*#REF!</f>
        <v>#REF!</v>
      </c>
      <c r="Q324" t="e">
        <f>_xlfn.XLOOKUP(TableauRecette[[#This Row],[ID]],TableauProduit[ID],TableauProduit[Total (kg) N6],0,0,1)*#REF!</f>
        <v>#REF!</v>
      </c>
      <c r="R324" t="e">
        <f>_xlfn.XLOOKUP(TableauRecette[[#This Row],[ID]],TableauProduit[ID],TableauProduit[Total (kg) N7],0,0,1)*#REF!</f>
        <v>#REF!</v>
      </c>
      <c r="S324" t="e">
        <f>_xlfn.XLOOKUP(TableauRecette[[#This Row],[ID]],TableauProduit[ID],TableauProduit[Total (kg) N8],0,0,1)*#REF!</f>
        <v>#REF!</v>
      </c>
      <c r="T324" t="e">
        <f>_xlfn.XLOOKUP(TableauRecette[[#This Row],[ID]],TableauProduit[ID],TableauProduit[Total (kg) N9],0,0,1)*#REF!</f>
        <v>#REF!</v>
      </c>
    </row>
    <row r="325" spans="1:20" x14ac:dyDescent="0.2">
      <c r="A325" t="s">
        <v>126</v>
      </c>
      <c r="B325" t="str">
        <f>TableauRecette[[#This Row],[Recette]]&amp;TableauRecette[[#This Row],[Conditionnement]]</f>
        <v>SrirachaPiment liquide 250ml</v>
      </c>
      <c r="C325" t="s">
        <v>454</v>
      </c>
      <c r="D325">
        <v>7</v>
      </c>
      <c r="E325" t="s">
        <v>107</v>
      </c>
      <c r="F325">
        <f>IFERROR(TableauRecette[[#This Row],[Proportion]]/SUMIFS(TableauRecette[Proportion],TableauRecette[Recette],TableauRecette[[#This Row],[Recette]],TableauRecette[Conditionnement],TableauRecette[[#This Row],[Conditionnement]]),0)</f>
        <v>8.8607594936708861E-2</v>
      </c>
      <c r="G325">
        <f>IFERROR(_xlfn.XLOOKUP(TableauRecette[[#This Row],[Ingredients]],TableauIngredients[Ingredients],#REF!,0)*#REF!,0)</f>
        <v>0</v>
      </c>
      <c r="H325">
        <f>IFERROR(SUMIFS(TableauRecette[Proportion],TableauRecette[Recette],TableauRecette[[#This Row],[Recette]],TableauRecette[Conditionnement],TableauRecette[[#This Row],[Conditionnement]]),0)</f>
        <v>79</v>
      </c>
      <c r="I325">
        <f>_xlfn.XLOOKUP(TableauRecette[[#This Row],[Ingredients]],TableauIngredients[Ingredients],TableauIngredients[Prix d''achat (kg)],0,0,1)*TableauRecette[[#This Row],[Proportion]]/TableauRecette[[#This Row],[Total Proportion]]</f>
        <v>1.7721518987341771</v>
      </c>
      <c r="L325">
        <f>_xlfn.XLOOKUP(TableauRecette[[#This Row],[ID]],TableauProduit[ID],TableauProduit[Total (kg) N1],0,0,1)*_xlfn.XLOOKUP(TableauRecette[[#This Row],[ID]],TableauProduit[ID],TableauProduit[Total (kg) N1],0,0,1)</f>
        <v>0</v>
      </c>
      <c r="M325" t="e">
        <f>_xlfn.XLOOKUP(TableauRecette[[#This Row],[ID]],TableauProduit[ID],TableauProduit[Total (kg) N1],0,0,1)*_xlfn.XLOOKUP(TableauRecette[[#This Row],[ID]],TableauProduit[ID],TableauProduit[Total (kg) N2],0,0,1)</f>
        <v>#REF!</v>
      </c>
      <c r="N325" t="e">
        <f>_xlfn.XLOOKUP(TableauRecette[[#This Row],[ID]],TableauProduit[ID],TableauProduit[Total (kg) N3],0,0,1)*#REF!</f>
        <v>#REF!</v>
      </c>
      <c r="O325" t="e">
        <f>_xlfn.XLOOKUP(TableauRecette[[#This Row],[ID]],TableauProduit[ID],TableauProduit[Total (kg) N4],0,0,1)*#REF!</f>
        <v>#REF!</v>
      </c>
      <c r="P325" t="e">
        <f>_xlfn.XLOOKUP(TableauRecette[[#This Row],[ID]],TableauProduit[ID],TableauProduit[Total (kg) N5],0,0,1)*#REF!</f>
        <v>#REF!</v>
      </c>
      <c r="Q325" t="e">
        <f>_xlfn.XLOOKUP(TableauRecette[[#This Row],[ID]],TableauProduit[ID],TableauProduit[Total (kg) N6],0,0,1)*#REF!</f>
        <v>#REF!</v>
      </c>
      <c r="R325" t="e">
        <f>_xlfn.XLOOKUP(TableauRecette[[#This Row],[ID]],TableauProduit[ID],TableauProduit[Total (kg) N7],0,0,1)*#REF!</f>
        <v>#REF!</v>
      </c>
      <c r="S325" t="e">
        <f>_xlfn.XLOOKUP(TableauRecette[[#This Row],[ID]],TableauProduit[ID],TableauProduit[Total (kg) N8],0,0,1)*#REF!</f>
        <v>#REF!</v>
      </c>
      <c r="T325" t="e">
        <f>_xlfn.XLOOKUP(TableauRecette[[#This Row],[ID]],TableauProduit[ID],TableauProduit[Total (kg) N9],0,0,1)*#REF!</f>
        <v>#REF!</v>
      </c>
    </row>
    <row r="326" spans="1:20" x14ac:dyDescent="0.2">
      <c r="A326" t="s">
        <v>119</v>
      </c>
      <c r="B326" t="str">
        <f>TableauRecette[[#This Row],[Recette]]&amp;TableauRecette[[#This Row],[Conditionnement]]</f>
        <v>Steak de MontréalEpice 100ml</v>
      </c>
      <c r="C326" t="s">
        <v>87</v>
      </c>
      <c r="D326">
        <v>1</v>
      </c>
      <c r="E326" t="s">
        <v>73</v>
      </c>
      <c r="F326">
        <f>IFERROR(TableauRecette[[#This Row],[Proportion]]/SUMIFS(TableauRecette[Proportion],TableauRecette[Recette],TableauRecette[[#This Row],[Recette]],TableauRecette[Conditionnement],TableauRecette[[#This Row],[Conditionnement]]),0)</f>
        <v>4.9180327868852465E-2</v>
      </c>
      <c r="G326">
        <f>IFERROR(_xlfn.XLOOKUP(TableauRecette[[#This Row],[Ingredients]],TableauIngredients[Ingredients],#REF!,0)*#REF!,0)</f>
        <v>0</v>
      </c>
      <c r="H326">
        <f>IFERROR(SUMIFS(TableauRecette[Proportion],TableauRecette[Recette],TableauRecette[[#This Row],[Recette]],TableauRecette[Conditionnement],TableauRecette[[#This Row],[Conditionnement]]),0)</f>
        <v>20.333333333333332</v>
      </c>
      <c r="I32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26">
        <f>_xlfn.XLOOKUP(TableauRecette[[#This Row],[ID]],TableauProduit[ID],TableauProduit[Total (kg) N1],0,0,1)*_xlfn.XLOOKUP(TableauRecette[[#This Row],[ID]],TableauProduit[ID],TableauProduit[Total (kg) N1],0,0,1)</f>
        <v>0</v>
      </c>
      <c r="M326" t="e">
        <f>_xlfn.XLOOKUP(TableauRecette[[#This Row],[ID]],TableauProduit[ID],TableauProduit[Total (kg) N1],0,0,1)*_xlfn.XLOOKUP(TableauRecette[[#This Row],[ID]],TableauProduit[ID],TableauProduit[Total (kg) N2],0,0,1)</f>
        <v>#REF!</v>
      </c>
      <c r="N326" t="e">
        <f>_xlfn.XLOOKUP(TableauRecette[[#This Row],[ID]],TableauProduit[ID],TableauProduit[Total (kg) N3],0,0,1)*#REF!</f>
        <v>#REF!</v>
      </c>
      <c r="O326" t="e">
        <f>_xlfn.XLOOKUP(TableauRecette[[#This Row],[ID]],TableauProduit[ID],TableauProduit[Total (kg) N4],0,0,1)*#REF!</f>
        <v>#REF!</v>
      </c>
      <c r="P326" t="e">
        <f>_xlfn.XLOOKUP(TableauRecette[[#This Row],[ID]],TableauProduit[ID],TableauProduit[Total (kg) N5],0,0,1)*#REF!</f>
        <v>#REF!</v>
      </c>
      <c r="Q326" t="e">
        <f>_xlfn.XLOOKUP(TableauRecette[[#This Row],[ID]],TableauProduit[ID],TableauProduit[Total (kg) N6],0,0,1)*#REF!</f>
        <v>#REF!</v>
      </c>
      <c r="R326" t="e">
        <f>_xlfn.XLOOKUP(TableauRecette[[#This Row],[ID]],TableauProduit[ID],TableauProduit[Total (kg) N7],0,0,1)*#REF!</f>
        <v>#REF!</v>
      </c>
      <c r="S326" t="e">
        <f>_xlfn.XLOOKUP(TableauRecette[[#This Row],[ID]],TableauProduit[ID],TableauProduit[Total (kg) N8],0,0,1)*#REF!</f>
        <v>#REF!</v>
      </c>
      <c r="T326" t="e">
        <f>_xlfn.XLOOKUP(TableauRecette[[#This Row],[ID]],TableauProduit[ID],TableauProduit[Total (kg) N9],0,0,1)*#REF!</f>
        <v>#REF!</v>
      </c>
    </row>
    <row r="327" spans="1:20" x14ac:dyDescent="0.2">
      <c r="A327" t="s">
        <v>119</v>
      </c>
      <c r="B327" t="str">
        <f>TableauRecette[[#This Row],[Recette]]&amp;TableauRecette[[#This Row],[Conditionnement]]</f>
        <v>Steak de MontréalEpice 100ml</v>
      </c>
      <c r="C327" t="s">
        <v>348</v>
      </c>
      <c r="D327">
        <v>4</v>
      </c>
      <c r="E327" t="s">
        <v>73</v>
      </c>
      <c r="F327">
        <f>IFERROR(TableauRecette[[#This Row],[Proportion]]/SUMIFS(TableauRecette[Proportion],TableauRecette[Recette],TableauRecette[[#This Row],[Recette]],TableauRecette[Conditionnement],TableauRecette[[#This Row],[Conditionnement]]),0)</f>
        <v>0.19672131147540986</v>
      </c>
      <c r="G327">
        <f>IFERROR(_xlfn.XLOOKUP(TableauRecette[[#This Row],[Ingredients]],TableauIngredients[Ingredients],#REF!,0)*#REF!,0)</f>
        <v>0</v>
      </c>
      <c r="H327">
        <f>IFERROR(SUMIFS(TableauRecette[Proportion],TableauRecette[Recette],TableauRecette[[#This Row],[Recette]],TableauRecette[Conditionnement],TableauRecette[[#This Row],[Conditionnement]]),0)</f>
        <v>20.333333333333332</v>
      </c>
      <c r="I327">
        <f>_xlfn.XLOOKUP(TableauRecette[[#This Row],[Ingredients]],TableauIngredients[Ingredients],TableauIngredients[Prix d''achat (kg)],0,0,1)*TableauRecette[[#This Row],[Proportion]]/TableauRecette[[#This Row],[Total Proportion]]</f>
        <v>7.2491803278688529</v>
      </c>
      <c r="L327">
        <f>_xlfn.XLOOKUP(TableauRecette[[#This Row],[ID]],TableauProduit[ID],TableauProduit[Total (kg) N1],0,0,1)*_xlfn.XLOOKUP(TableauRecette[[#This Row],[ID]],TableauProduit[ID],TableauProduit[Total (kg) N1],0,0,1)</f>
        <v>0</v>
      </c>
      <c r="M327" t="e">
        <f>_xlfn.XLOOKUP(TableauRecette[[#This Row],[ID]],TableauProduit[ID],TableauProduit[Total (kg) N1],0,0,1)*_xlfn.XLOOKUP(TableauRecette[[#This Row],[ID]],TableauProduit[ID],TableauProduit[Total (kg) N2],0,0,1)</f>
        <v>#REF!</v>
      </c>
      <c r="N327" t="e">
        <f>_xlfn.XLOOKUP(TableauRecette[[#This Row],[ID]],TableauProduit[ID],TableauProduit[Total (kg) N3],0,0,1)*#REF!</f>
        <v>#REF!</v>
      </c>
      <c r="O327" t="e">
        <f>_xlfn.XLOOKUP(TableauRecette[[#This Row],[ID]],TableauProduit[ID],TableauProduit[Total (kg) N4],0,0,1)*#REF!</f>
        <v>#REF!</v>
      </c>
      <c r="P327" t="e">
        <f>_xlfn.XLOOKUP(TableauRecette[[#This Row],[ID]],TableauProduit[ID],TableauProduit[Total (kg) N5],0,0,1)*#REF!</f>
        <v>#REF!</v>
      </c>
      <c r="Q327" t="e">
        <f>_xlfn.XLOOKUP(TableauRecette[[#This Row],[ID]],TableauProduit[ID],TableauProduit[Total (kg) N6],0,0,1)*#REF!</f>
        <v>#REF!</v>
      </c>
      <c r="R327" t="e">
        <f>_xlfn.XLOOKUP(TableauRecette[[#This Row],[ID]],TableauProduit[ID],TableauProduit[Total (kg) N7],0,0,1)*#REF!</f>
        <v>#REF!</v>
      </c>
      <c r="S327" t="e">
        <f>_xlfn.XLOOKUP(TableauRecette[[#This Row],[ID]],TableauProduit[ID],TableauProduit[Total (kg) N8],0,0,1)*#REF!</f>
        <v>#REF!</v>
      </c>
      <c r="T327" t="e">
        <f>_xlfn.XLOOKUP(TableauRecette[[#This Row],[ID]],TableauProduit[ID],TableauProduit[Total (kg) N9],0,0,1)*#REF!</f>
        <v>#REF!</v>
      </c>
    </row>
    <row r="328" spans="1:20" x14ac:dyDescent="0.2">
      <c r="A328" t="s">
        <v>119</v>
      </c>
      <c r="B328" t="str">
        <f>TableauRecette[[#This Row],[Recette]]&amp;TableauRecette[[#This Row],[Conditionnement]]</f>
        <v>Steak de MontréalEpice 100ml</v>
      </c>
      <c r="C328" t="s">
        <v>385</v>
      </c>
      <c r="D328">
        <v>2</v>
      </c>
      <c r="E328" t="s">
        <v>73</v>
      </c>
      <c r="F328">
        <f>IFERROR(TableauRecette[[#This Row],[Proportion]]/SUMIFS(TableauRecette[Proportion],TableauRecette[Recette],TableauRecette[[#This Row],[Recette]],TableauRecette[Conditionnement],TableauRecette[[#This Row],[Conditionnement]]),0)</f>
        <v>9.836065573770493E-2</v>
      </c>
      <c r="G328">
        <f>IFERROR(_xlfn.XLOOKUP(TableauRecette[[#This Row],[Ingredients]],TableauIngredients[Ingredients],#REF!,0)*#REF!,0)</f>
        <v>0</v>
      </c>
      <c r="H328">
        <f>IFERROR(SUMIFS(TableauRecette[Proportion],TableauRecette[Recette],TableauRecette[[#This Row],[Recette]],TableauRecette[Conditionnement],TableauRecette[[#This Row],[Conditionnement]]),0)</f>
        <v>20.333333333333332</v>
      </c>
      <c r="I328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28">
        <f>_xlfn.XLOOKUP(TableauRecette[[#This Row],[ID]],TableauProduit[ID],TableauProduit[Total (kg) N1],0,0,1)*_xlfn.XLOOKUP(TableauRecette[[#This Row],[ID]],TableauProduit[ID],TableauProduit[Total (kg) N1],0,0,1)</f>
        <v>0</v>
      </c>
      <c r="M328" t="e">
        <f>_xlfn.XLOOKUP(TableauRecette[[#This Row],[ID]],TableauProduit[ID],TableauProduit[Total (kg) N1],0,0,1)*_xlfn.XLOOKUP(TableauRecette[[#This Row],[ID]],TableauProduit[ID],TableauProduit[Total (kg) N2],0,0,1)</f>
        <v>#REF!</v>
      </c>
      <c r="N328" t="e">
        <f>_xlfn.XLOOKUP(TableauRecette[[#This Row],[ID]],TableauProduit[ID],TableauProduit[Total (kg) N3],0,0,1)*#REF!</f>
        <v>#REF!</v>
      </c>
      <c r="O328" t="e">
        <f>_xlfn.XLOOKUP(TableauRecette[[#This Row],[ID]],TableauProduit[ID],TableauProduit[Total (kg) N4],0,0,1)*#REF!</f>
        <v>#REF!</v>
      </c>
      <c r="P328" t="e">
        <f>_xlfn.XLOOKUP(TableauRecette[[#This Row],[ID]],TableauProduit[ID],TableauProduit[Total (kg) N5],0,0,1)*#REF!</f>
        <v>#REF!</v>
      </c>
      <c r="Q328" t="e">
        <f>_xlfn.XLOOKUP(TableauRecette[[#This Row],[ID]],TableauProduit[ID],TableauProduit[Total (kg) N6],0,0,1)*#REF!</f>
        <v>#REF!</v>
      </c>
      <c r="R328" t="e">
        <f>_xlfn.XLOOKUP(TableauRecette[[#This Row],[ID]],TableauProduit[ID],TableauProduit[Total (kg) N7],0,0,1)*#REF!</f>
        <v>#REF!</v>
      </c>
      <c r="S328" t="e">
        <f>_xlfn.XLOOKUP(TableauRecette[[#This Row],[ID]],TableauProduit[ID],TableauProduit[Total (kg) N8],0,0,1)*#REF!</f>
        <v>#REF!</v>
      </c>
      <c r="T328" t="e">
        <f>_xlfn.XLOOKUP(TableauRecette[[#This Row],[ID]],TableauProduit[ID],TableauProduit[Total (kg) N9],0,0,1)*#REF!</f>
        <v>#REF!</v>
      </c>
    </row>
    <row r="329" spans="1:20" x14ac:dyDescent="0.2">
      <c r="A329" t="s">
        <v>119</v>
      </c>
      <c r="B329" t="str">
        <f>TableauRecette[[#This Row],[Recette]]&amp;TableauRecette[[#This Row],[Conditionnement]]</f>
        <v>Steak de MontréalEpice 100ml</v>
      </c>
      <c r="C329" t="s">
        <v>455</v>
      </c>
      <c r="D329">
        <v>2</v>
      </c>
      <c r="E329" t="s">
        <v>73</v>
      </c>
      <c r="F329">
        <f>IFERROR(TableauRecette[[#This Row],[Proportion]]/SUMIFS(TableauRecette[Proportion],TableauRecette[Recette],TableauRecette[[#This Row],[Recette]],TableauRecette[Conditionnement],TableauRecette[[#This Row],[Conditionnement]]),0)</f>
        <v>9.836065573770493E-2</v>
      </c>
      <c r="G329">
        <f>IFERROR(_xlfn.XLOOKUP(TableauRecette[[#This Row],[Ingredients]],TableauIngredients[Ingredients],#REF!,0)*#REF!,0)</f>
        <v>0</v>
      </c>
      <c r="H329">
        <f>IFERROR(SUMIFS(TableauRecette[Proportion],TableauRecette[Recette],TableauRecette[[#This Row],[Recette]],TableauRecette[Conditionnement],TableauRecette[[#This Row],[Conditionnement]]),0)</f>
        <v>20.333333333333332</v>
      </c>
      <c r="I32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329" t="s">
        <v>341</v>
      </c>
      <c r="L329">
        <f>_xlfn.XLOOKUP(TableauRecette[[#This Row],[ID]],TableauProduit[ID],TableauProduit[Total (kg) N1],0,0,1)*_xlfn.XLOOKUP(TableauRecette[[#This Row],[ID]],TableauProduit[ID],TableauProduit[Total (kg) N1],0,0,1)</f>
        <v>0</v>
      </c>
      <c r="M329" t="e">
        <f>_xlfn.XLOOKUP(TableauRecette[[#This Row],[ID]],TableauProduit[ID],TableauProduit[Total (kg) N1],0,0,1)*_xlfn.XLOOKUP(TableauRecette[[#This Row],[ID]],TableauProduit[ID],TableauProduit[Total (kg) N2],0,0,1)</f>
        <v>#REF!</v>
      </c>
      <c r="N329" t="e">
        <f>_xlfn.XLOOKUP(TableauRecette[[#This Row],[ID]],TableauProduit[ID],TableauProduit[Total (kg) N3],0,0,1)*#REF!</f>
        <v>#REF!</v>
      </c>
      <c r="O329" t="e">
        <f>_xlfn.XLOOKUP(TableauRecette[[#This Row],[ID]],TableauProduit[ID],TableauProduit[Total (kg) N4],0,0,1)*#REF!</f>
        <v>#REF!</v>
      </c>
      <c r="P329" t="e">
        <f>_xlfn.XLOOKUP(TableauRecette[[#This Row],[ID]],TableauProduit[ID],TableauProduit[Total (kg) N5],0,0,1)*#REF!</f>
        <v>#REF!</v>
      </c>
      <c r="Q329" t="e">
        <f>_xlfn.XLOOKUP(TableauRecette[[#This Row],[ID]],TableauProduit[ID],TableauProduit[Total (kg) N6],0,0,1)*#REF!</f>
        <v>#REF!</v>
      </c>
      <c r="R329" t="e">
        <f>_xlfn.XLOOKUP(TableauRecette[[#This Row],[ID]],TableauProduit[ID],TableauProduit[Total (kg) N7],0,0,1)*#REF!</f>
        <v>#REF!</v>
      </c>
      <c r="S329" t="e">
        <f>_xlfn.XLOOKUP(TableauRecette[[#This Row],[ID]],TableauProduit[ID],TableauProduit[Total (kg) N8],0,0,1)*#REF!</f>
        <v>#REF!</v>
      </c>
      <c r="T329" t="e">
        <f>_xlfn.XLOOKUP(TableauRecette[[#This Row],[ID]],TableauProduit[ID],TableauProduit[Total (kg) N9],0,0,1)*#REF!</f>
        <v>#REF!</v>
      </c>
    </row>
    <row r="330" spans="1:20" x14ac:dyDescent="0.2">
      <c r="A330" t="s">
        <v>119</v>
      </c>
      <c r="B330" t="str">
        <f>TableauRecette[[#This Row],[Recette]]&amp;TableauRecette[[#This Row],[Conditionnement]]</f>
        <v>Steak de MontréalEpice 100ml</v>
      </c>
      <c r="C330" t="s">
        <v>351</v>
      </c>
      <c r="D330">
        <v>2</v>
      </c>
      <c r="E330" t="s">
        <v>73</v>
      </c>
      <c r="F330">
        <f>IFERROR(TableauRecette[[#This Row],[Proportion]]/SUMIFS(TableauRecette[Proportion],TableauRecette[Recette],TableauRecette[[#This Row],[Recette]],TableauRecette[Conditionnement],TableauRecette[[#This Row],[Conditionnement]]),0)</f>
        <v>9.836065573770493E-2</v>
      </c>
      <c r="G330">
        <f>IFERROR(_xlfn.XLOOKUP(TableauRecette[[#This Row],[Ingredients]],TableauIngredients[Ingredients],#REF!,0)*#REF!,0)</f>
        <v>0</v>
      </c>
      <c r="H330">
        <f>IFERROR(SUMIFS(TableauRecette[Proportion],TableauRecette[Recette],TableauRecette[[#This Row],[Recette]],TableauRecette[Conditionnement],TableauRecette[[#This Row],[Conditionnement]]),0)</f>
        <v>20.333333333333332</v>
      </c>
      <c r="I330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30">
        <f>_xlfn.XLOOKUP(TableauRecette[[#This Row],[ID]],TableauProduit[ID],TableauProduit[Total (kg) N1],0,0,1)*_xlfn.XLOOKUP(TableauRecette[[#This Row],[ID]],TableauProduit[ID],TableauProduit[Total (kg) N1],0,0,1)</f>
        <v>0</v>
      </c>
      <c r="M330" t="e">
        <f>_xlfn.XLOOKUP(TableauRecette[[#This Row],[ID]],TableauProduit[ID],TableauProduit[Total (kg) N1],0,0,1)*_xlfn.XLOOKUP(TableauRecette[[#This Row],[ID]],TableauProduit[ID],TableauProduit[Total (kg) N2],0,0,1)</f>
        <v>#REF!</v>
      </c>
      <c r="N330" t="e">
        <f>_xlfn.XLOOKUP(TableauRecette[[#This Row],[ID]],TableauProduit[ID],TableauProduit[Total (kg) N3],0,0,1)*#REF!</f>
        <v>#REF!</v>
      </c>
      <c r="O330" t="e">
        <f>_xlfn.XLOOKUP(TableauRecette[[#This Row],[ID]],TableauProduit[ID],TableauProduit[Total (kg) N4],0,0,1)*#REF!</f>
        <v>#REF!</v>
      </c>
      <c r="P330" t="e">
        <f>_xlfn.XLOOKUP(TableauRecette[[#This Row],[ID]],TableauProduit[ID],TableauProduit[Total (kg) N5],0,0,1)*#REF!</f>
        <v>#REF!</v>
      </c>
      <c r="Q330" t="e">
        <f>_xlfn.XLOOKUP(TableauRecette[[#This Row],[ID]],TableauProduit[ID],TableauProduit[Total (kg) N6],0,0,1)*#REF!</f>
        <v>#REF!</v>
      </c>
      <c r="R330" t="e">
        <f>_xlfn.XLOOKUP(TableauRecette[[#This Row],[ID]],TableauProduit[ID],TableauProduit[Total (kg) N7],0,0,1)*#REF!</f>
        <v>#REF!</v>
      </c>
      <c r="S330" t="e">
        <f>_xlfn.XLOOKUP(TableauRecette[[#This Row],[ID]],TableauProduit[ID],TableauProduit[Total (kg) N8],0,0,1)*#REF!</f>
        <v>#REF!</v>
      </c>
      <c r="T330" t="e">
        <f>_xlfn.XLOOKUP(TableauRecette[[#This Row],[ID]],TableauProduit[ID],TableauProduit[Total (kg) N9],0,0,1)*#REF!</f>
        <v>#REF!</v>
      </c>
    </row>
    <row r="331" spans="1:20" x14ac:dyDescent="0.2">
      <c r="A331" t="s">
        <v>119</v>
      </c>
      <c r="B331" t="str">
        <f>TableauRecette[[#This Row],[Recette]]&amp;TableauRecette[[#This Row],[Conditionnement]]</f>
        <v>Steak de MontréalEpice 100ml</v>
      </c>
      <c r="C331" t="s">
        <v>411</v>
      </c>
      <c r="D331">
        <v>1</v>
      </c>
      <c r="E331" t="s">
        <v>73</v>
      </c>
      <c r="F331">
        <f>IFERROR(TableauRecette[[#This Row],[Proportion]]/SUMIFS(TableauRecette[Proportion],TableauRecette[Recette],TableauRecette[[#This Row],[Recette]],TableauRecette[Conditionnement],TableauRecette[[#This Row],[Conditionnement]]),0)</f>
        <v>4.9180327868852465E-2</v>
      </c>
      <c r="G331">
        <f>IFERROR(_xlfn.XLOOKUP(TableauRecette[[#This Row],[Ingredients]],TableauIngredients[Ingredients],#REF!,0)*#REF!,0)</f>
        <v>0</v>
      </c>
      <c r="H331">
        <f>IFERROR(SUMIFS(TableauRecette[Proportion],TableauRecette[Recette],TableauRecette[[#This Row],[Recette]],TableauRecette[Conditionnement],TableauRecette[[#This Row],[Conditionnement]]),0)</f>
        <v>20.333333333333332</v>
      </c>
      <c r="I33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31">
        <f>_xlfn.XLOOKUP(TableauRecette[[#This Row],[ID]],TableauProduit[ID],TableauProduit[Total (kg) N1],0,0,1)*_xlfn.XLOOKUP(TableauRecette[[#This Row],[ID]],TableauProduit[ID],TableauProduit[Total (kg) N1],0,0,1)</f>
        <v>0</v>
      </c>
      <c r="M331" t="e">
        <f>_xlfn.XLOOKUP(TableauRecette[[#This Row],[ID]],TableauProduit[ID],TableauProduit[Total (kg) N1],0,0,1)*_xlfn.XLOOKUP(TableauRecette[[#This Row],[ID]],TableauProduit[ID],TableauProduit[Total (kg) N2],0,0,1)</f>
        <v>#REF!</v>
      </c>
      <c r="N331" t="e">
        <f>_xlfn.XLOOKUP(TableauRecette[[#This Row],[ID]],TableauProduit[ID],TableauProduit[Total (kg) N3],0,0,1)*#REF!</f>
        <v>#REF!</v>
      </c>
      <c r="O331" t="e">
        <f>_xlfn.XLOOKUP(TableauRecette[[#This Row],[ID]],TableauProduit[ID],TableauProduit[Total (kg) N4],0,0,1)*#REF!</f>
        <v>#REF!</v>
      </c>
      <c r="P331" t="e">
        <f>_xlfn.XLOOKUP(TableauRecette[[#This Row],[ID]],TableauProduit[ID],TableauProduit[Total (kg) N5],0,0,1)*#REF!</f>
        <v>#REF!</v>
      </c>
      <c r="Q331" t="e">
        <f>_xlfn.XLOOKUP(TableauRecette[[#This Row],[ID]],TableauProduit[ID],TableauProduit[Total (kg) N6],0,0,1)*#REF!</f>
        <v>#REF!</v>
      </c>
      <c r="R331" t="e">
        <f>_xlfn.XLOOKUP(TableauRecette[[#This Row],[ID]],TableauProduit[ID],TableauProduit[Total (kg) N7],0,0,1)*#REF!</f>
        <v>#REF!</v>
      </c>
      <c r="S331" t="e">
        <f>_xlfn.XLOOKUP(TableauRecette[[#This Row],[ID]],TableauProduit[ID],TableauProduit[Total (kg) N8],0,0,1)*#REF!</f>
        <v>#REF!</v>
      </c>
      <c r="T331" t="e">
        <f>_xlfn.XLOOKUP(TableauRecette[[#This Row],[ID]],TableauProduit[ID],TableauProduit[Total (kg) N9],0,0,1)*#REF!</f>
        <v>#REF!</v>
      </c>
    </row>
    <row r="332" spans="1:20" x14ac:dyDescent="0.2">
      <c r="A332" t="s">
        <v>119</v>
      </c>
      <c r="B332" t="str">
        <f>TableauRecette[[#This Row],[Recette]]&amp;TableauRecette[[#This Row],[Conditionnement]]</f>
        <v>Steak de MontréalEpice 100ml</v>
      </c>
      <c r="C332" t="s">
        <v>368</v>
      </c>
      <c r="D332">
        <v>1</v>
      </c>
      <c r="E332" t="s">
        <v>73</v>
      </c>
      <c r="F332">
        <f>IFERROR(TableauRecette[[#This Row],[Proportion]]/SUMIFS(TableauRecette[Proportion],TableauRecette[Recette],TableauRecette[[#This Row],[Recette]],TableauRecette[Conditionnement],TableauRecette[[#This Row],[Conditionnement]]),0)</f>
        <v>4.9180327868852465E-2</v>
      </c>
      <c r="G332">
        <f>IFERROR(_xlfn.XLOOKUP(TableauRecette[[#This Row],[Ingredients]],TableauIngredients[Ingredients],#REF!,0)*#REF!,0)</f>
        <v>0</v>
      </c>
      <c r="H332">
        <f>IFERROR(SUMIFS(TableauRecette[Proportion],TableauRecette[Recette],TableauRecette[[#This Row],[Recette]],TableauRecette[Conditionnement],TableauRecette[[#This Row],[Conditionnement]]),0)</f>
        <v>20.333333333333332</v>
      </c>
      <c r="I33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32">
        <f>_xlfn.XLOOKUP(TableauRecette[[#This Row],[ID]],TableauProduit[ID],TableauProduit[Total (kg) N1],0,0,1)*_xlfn.XLOOKUP(TableauRecette[[#This Row],[ID]],TableauProduit[ID],TableauProduit[Total (kg) N1],0,0,1)</f>
        <v>0</v>
      </c>
      <c r="M332" t="e">
        <f>_xlfn.XLOOKUP(TableauRecette[[#This Row],[ID]],TableauProduit[ID],TableauProduit[Total (kg) N1],0,0,1)*_xlfn.XLOOKUP(TableauRecette[[#This Row],[ID]],TableauProduit[ID],TableauProduit[Total (kg) N2],0,0,1)</f>
        <v>#REF!</v>
      </c>
      <c r="N332" t="e">
        <f>_xlfn.XLOOKUP(TableauRecette[[#This Row],[ID]],TableauProduit[ID],TableauProduit[Total (kg) N3],0,0,1)*#REF!</f>
        <v>#REF!</v>
      </c>
      <c r="O332" t="e">
        <f>_xlfn.XLOOKUP(TableauRecette[[#This Row],[ID]],TableauProduit[ID],TableauProduit[Total (kg) N4],0,0,1)*#REF!</f>
        <v>#REF!</v>
      </c>
      <c r="P332" t="e">
        <f>_xlfn.XLOOKUP(TableauRecette[[#This Row],[ID]],TableauProduit[ID],TableauProduit[Total (kg) N5],0,0,1)*#REF!</f>
        <v>#REF!</v>
      </c>
      <c r="Q332" t="e">
        <f>_xlfn.XLOOKUP(TableauRecette[[#This Row],[ID]],TableauProduit[ID],TableauProduit[Total (kg) N6],0,0,1)*#REF!</f>
        <v>#REF!</v>
      </c>
      <c r="R332" t="e">
        <f>_xlfn.XLOOKUP(TableauRecette[[#This Row],[ID]],TableauProduit[ID],TableauProduit[Total (kg) N7],0,0,1)*#REF!</f>
        <v>#REF!</v>
      </c>
      <c r="S332" t="e">
        <f>_xlfn.XLOOKUP(TableauRecette[[#This Row],[ID]],TableauProduit[ID],TableauProduit[Total (kg) N8],0,0,1)*#REF!</f>
        <v>#REF!</v>
      </c>
      <c r="T332" t="e">
        <f>_xlfn.XLOOKUP(TableauRecette[[#This Row],[ID]],TableauProduit[ID],TableauProduit[Total (kg) N9],0,0,1)*#REF!</f>
        <v>#REF!</v>
      </c>
    </row>
    <row r="333" spans="1:20" x14ac:dyDescent="0.2">
      <c r="A333" t="s">
        <v>119</v>
      </c>
      <c r="B333" t="str">
        <f>TableauRecette[[#This Row],[Recette]]&amp;TableauRecette[[#This Row],[Conditionnement]]</f>
        <v>Steak de MontréalEpice 100ml</v>
      </c>
      <c r="C333" t="s">
        <v>343</v>
      </c>
      <c r="D333">
        <v>1</v>
      </c>
      <c r="E333" t="s">
        <v>73</v>
      </c>
      <c r="F333">
        <f>IFERROR(TableauRecette[[#This Row],[Proportion]]/SUMIFS(TableauRecette[Proportion],TableauRecette[Recette],TableauRecette[[#This Row],[Recette]],TableauRecette[Conditionnement],TableauRecette[[#This Row],[Conditionnement]]),0)</f>
        <v>4.9180327868852465E-2</v>
      </c>
      <c r="G333">
        <f>IFERROR(_xlfn.XLOOKUP(TableauRecette[[#This Row],[Ingredients]],TableauIngredients[Ingredients],#REF!,0)*#REF!,0)</f>
        <v>0</v>
      </c>
      <c r="H333">
        <f>IFERROR(SUMIFS(TableauRecette[Proportion],TableauRecette[Recette],TableauRecette[[#This Row],[Recette]],TableauRecette[Conditionnement],TableauRecette[[#This Row],[Conditionnement]]),0)</f>
        <v>20.333333333333332</v>
      </c>
      <c r="I333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33">
        <f>_xlfn.XLOOKUP(TableauRecette[[#This Row],[ID]],TableauProduit[ID],TableauProduit[Total (kg) N1],0,0,1)*_xlfn.XLOOKUP(TableauRecette[[#This Row],[ID]],TableauProduit[ID],TableauProduit[Total (kg) N1],0,0,1)</f>
        <v>0</v>
      </c>
      <c r="M333" t="e">
        <f>_xlfn.XLOOKUP(TableauRecette[[#This Row],[ID]],TableauProduit[ID],TableauProduit[Total (kg) N1],0,0,1)*_xlfn.XLOOKUP(TableauRecette[[#This Row],[ID]],TableauProduit[ID],TableauProduit[Total (kg) N2],0,0,1)</f>
        <v>#REF!</v>
      </c>
      <c r="N333" t="e">
        <f>_xlfn.XLOOKUP(TableauRecette[[#This Row],[ID]],TableauProduit[ID],TableauProduit[Total (kg) N3],0,0,1)*#REF!</f>
        <v>#REF!</v>
      </c>
      <c r="O333" t="e">
        <f>_xlfn.XLOOKUP(TableauRecette[[#This Row],[ID]],TableauProduit[ID],TableauProduit[Total (kg) N4],0,0,1)*#REF!</f>
        <v>#REF!</v>
      </c>
      <c r="P333" t="e">
        <f>_xlfn.XLOOKUP(TableauRecette[[#This Row],[ID]],TableauProduit[ID],TableauProduit[Total (kg) N5],0,0,1)*#REF!</f>
        <v>#REF!</v>
      </c>
      <c r="Q333" t="e">
        <f>_xlfn.XLOOKUP(TableauRecette[[#This Row],[ID]],TableauProduit[ID],TableauProduit[Total (kg) N6],0,0,1)*#REF!</f>
        <v>#REF!</v>
      </c>
      <c r="R333" t="e">
        <f>_xlfn.XLOOKUP(TableauRecette[[#This Row],[ID]],TableauProduit[ID],TableauProduit[Total (kg) N7],0,0,1)*#REF!</f>
        <v>#REF!</v>
      </c>
      <c r="S333" t="e">
        <f>_xlfn.XLOOKUP(TableauRecette[[#This Row],[ID]],TableauProduit[ID],TableauProduit[Total (kg) N8],0,0,1)*#REF!</f>
        <v>#REF!</v>
      </c>
      <c r="T333" t="e">
        <f>_xlfn.XLOOKUP(TableauRecette[[#This Row],[ID]],TableauProduit[ID],TableauProduit[Total (kg) N9],0,0,1)*#REF!</f>
        <v>#REF!</v>
      </c>
    </row>
    <row r="334" spans="1:20" x14ac:dyDescent="0.2">
      <c r="A334" t="s">
        <v>119</v>
      </c>
      <c r="B334" t="str">
        <f>TableauRecette[[#This Row],[Recette]]&amp;TableauRecette[[#This Row],[Conditionnement]]</f>
        <v>Steak de MontréalEpice 100ml</v>
      </c>
      <c r="C334" t="s">
        <v>392</v>
      </c>
      <c r="D334">
        <v>1</v>
      </c>
      <c r="E334" t="s">
        <v>73</v>
      </c>
      <c r="F334">
        <f>IFERROR(TableauRecette[[#This Row],[Proportion]]/SUMIFS(TableauRecette[Proportion],TableauRecette[Recette],TableauRecette[[#This Row],[Recette]],TableauRecette[Conditionnement],TableauRecette[[#This Row],[Conditionnement]]),0)</f>
        <v>4.9180327868852465E-2</v>
      </c>
      <c r="G334">
        <f>IFERROR(_xlfn.XLOOKUP(TableauRecette[[#This Row],[Ingredients]],TableauIngredients[Ingredients],#REF!,0)*#REF!,0)</f>
        <v>0</v>
      </c>
      <c r="H334">
        <f>IFERROR(SUMIFS(TableauRecette[Proportion],TableauRecette[Recette],TableauRecette[[#This Row],[Recette]],TableauRecette[Conditionnement],TableauRecette[[#This Row],[Conditionnement]]),0)</f>
        <v>20.333333333333332</v>
      </c>
      <c r="I334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34">
        <f>_xlfn.XLOOKUP(TableauRecette[[#This Row],[ID]],TableauProduit[ID],TableauProduit[Total (kg) N1],0,0,1)*_xlfn.XLOOKUP(TableauRecette[[#This Row],[ID]],TableauProduit[ID],TableauProduit[Total (kg) N1],0,0,1)</f>
        <v>0</v>
      </c>
      <c r="M334" t="e">
        <f>_xlfn.XLOOKUP(TableauRecette[[#This Row],[ID]],TableauProduit[ID],TableauProduit[Total (kg) N1],0,0,1)*_xlfn.XLOOKUP(TableauRecette[[#This Row],[ID]],TableauProduit[ID],TableauProduit[Total (kg) N2],0,0,1)</f>
        <v>#REF!</v>
      </c>
      <c r="N334" t="e">
        <f>_xlfn.XLOOKUP(TableauRecette[[#This Row],[ID]],TableauProduit[ID],TableauProduit[Total (kg) N3],0,0,1)*#REF!</f>
        <v>#REF!</v>
      </c>
      <c r="O334" t="e">
        <f>_xlfn.XLOOKUP(TableauRecette[[#This Row],[ID]],TableauProduit[ID],TableauProduit[Total (kg) N4],0,0,1)*#REF!</f>
        <v>#REF!</v>
      </c>
      <c r="P334" t="e">
        <f>_xlfn.XLOOKUP(TableauRecette[[#This Row],[ID]],TableauProduit[ID],TableauProduit[Total (kg) N5],0,0,1)*#REF!</f>
        <v>#REF!</v>
      </c>
      <c r="Q334" t="e">
        <f>_xlfn.XLOOKUP(TableauRecette[[#This Row],[ID]],TableauProduit[ID],TableauProduit[Total (kg) N6],0,0,1)*#REF!</f>
        <v>#REF!</v>
      </c>
      <c r="R334" t="e">
        <f>_xlfn.XLOOKUP(TableauRecette[[#This Row],[ID]],TableauProduit[ID],TableauProduit[Total (kg) N7],0,0,1)*#REF!</f>
        <v>#REF!</v>
      </c>
      <c r="S334" t="e">
        <f>_xlfn.XLOOKUP(TableauRecette[[#This Row],[ID]],TableauProduit[ID],TableauProduit[Total (kg) N8],0,0,1)*#REF!</f>
        <v>#REF!</v>
      </c>
      <c r="T334" t="e">
        <f>_xlfn.XLOOKUP(TableauRecette[[#This Row],[ID]],TableauProduit[ID],TableauProduit[Total (kg) N9],0,0,1)*#REF!</f>
        <v>#REF!</v>
      </c>
    </row>
    <row r="335" spans="1:20" x14ac:dyDescent="0.2">
      <c r="A335" t="s">
        <v>119</v>
      </c>
      <c r="B335" t="str">
        <f>TableauRecette[[#This Row],[Recette]]&amp;TableauRecette[[#This Row],[Conditionnement]]</f>
        <v>Steak de MontréalEpice 100ml</v>
      </c>
      <c r="C335" t="s">
        <v>413</v>
      </c>
      <c r="D335">
        <v>1</v>
      </c>
      <c r="E335" t="s">
        <v>73</v>
      </c>
      <c r="F335">
        <f>IFERROR(TableauRecette[[#This Row],[Proportion]]/SUMIFS(TableauRecette[Proportion],TableauRecette[Recette],TableauRecette[[#This Row],[Recette]],TableauRecette[Conditionnement],TableauRecette[[#This Row],[Conditionnement]]),0)</f>
        <v>4.9180327868852465E-2</v>
      </c>
      <c r="G335">
        <f>IFERROR(_xlfn.XLOOKUP(TableauRecette[[#This Row],[Ingredients]],TableauIngredients[Ingredients],#REF!,0)*#REF!,0)</f>
        <v>0</v>
      </c>
      <c r="H335">
        <f>IFERROR(SUMIFS(TableauRecette[Proportion],TableauRecette[Recette],TableauRecette[[#This Row],[Recette]],TableauRecette[Conditionnement],TableauRecette[[#This Row],[Conditionnement]]),0)</f>
        <v>20.333333333333332</v>
      </c>
      <c r="I33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335" t="s">
        <v>341</v>
      </c>
      <c r="L335">
        <f>_xlfn.XLOOKUP(TableauRecette[[#This Row],[ID]],TableauProduit[ID],TableauProduit[Total (kg) N1],0,0,1)*_xlfn.XLOOKUP(TableauRecette[[#This Row],[ID]],TableauProduit[ID],TableauProduit[Total (kg) N1],0,0,1)</f>
        <v>0</v>
      </c>
      <c r="M335" t="e">
        <f>_xlfn.XLOOKUP(TableauRecette[[#This Row],[ID]],TableauProduit[ID],TableauProduit[Total (kg) N1],0,0,1)*_xlfn.XLOOKUP(TableauRecette[[#This Row],[ID]],TableauProduit[ID],TableauProduit[Total (kg) N2],0,0,1)</f>
        <v>#REF!</v>
      </c>
      <c r="N335" t="e">
        <f>_xlfn.XLOOKUP(TableauRecette[[#This Row],[ID]],TableauProduit[ID],TableauProduit[Total (kg) N3],0,0,1)*#REF!</f>
        <v>#REF!</v>
      </c>
      <c r="O335" t="e">
        <f>_xlfn.XLOOKUP(TableauRecette[[#This Row],[ID]],TableauProduit[ID],TableauProduit[Total (kg) N4],0,0,1)*#REF!</f>
        <v>#REF!</v>
      </c>
      <c r="P335" t="e">
        <f>_xlfn.XLOOKUP(TableauRecette[[#This Row],[ID]],TableauProduit[ID],TableauProduit[Total (kg) N5],0,0,1)*#REF!</f>
        <v>#REF!</v>
      </c>
      <c r="Q335" t="e">
        <f>_xlfn.XLOOKUP(TableauRecette[[#This Row],[ID]],TableauProduit[ID],TableauProduit[Total (kg) N6],0,0,1)*#REF!</f>
        <v>#REF!</v>
      </c>
      <c r="R335" t="e">
        <f>_xlfn.XLOOKUP(TableauRecette[[#This Row],[ID]],TableauProduit[ID],TableauProduit[Total (kg) N7],0,0,1)*#REF!</f>
        <v>#REF!</v>
      </c>
      <c r="S335" t="e">
        <f>_xlfn.XLOOKUP(TableauRecette[[#This Row],[ID]],TableauProduit[ID],TableauProduit[Total (kg) N8],0,0,1)*#REF!</f>
        <v>#REF!</v>
      </c>
      <c r="T335" t="e">
        <f>_xlfn.XLOOKUP(TableauRecette[[#This Row],[ID]],TableauProduit[ID],TableauProduit[Total (kg) N9],0,0,1)*#REF!</f>
        <v>#REF!</v>
      </c>
    </row>
    <row r="336" spans="1:20" x14ac:dyDescent="0.2">
      <c r="A336" t="s">
        <v>119</v>
      </c>
      <c r="B336" t="str">
        <f>TableauRecette[[#This Row],[Recette]]&amp;TableauRecette[[#This Row],[Conditionnement]]</f>
        <v>Steak de MontréalEpice 100ml</v>
      </c>
      <c r="C336" t="s">
        <v>456</v>
      </c>
      <c r="D336">
        <v>1</v>
      </c>
      <c r="E336" t="s">
        <v>73</v>
      </c>
      <c r="F336">
        <f>IFERROR(TableauRecette[[#This Row],[Proportion]]/SUMIFS(TableauRecette[Proportion],TableauRecette[Recette],TableauRecette[[#This Row],[Recette]],TableauRecette[Conditionnement],TableauRecette[[#This Row],[Conditionnement]]),0)</f>
        <v>4.9180327868852465E-2</v>
      </c>
      <c r="G336">
        <f>IFERROR(_xlfn.XLOOKUP(TableauRecette[[#This Row],[Ingredients]],TableauIngredients[Ingredients],#REF!,0)*#REF!,0)</f>
        <v>0</v>
      </c>
      <c r="H336">
        <f>IFERROR(SUMIFS(TableauRecette[Proportion],TableauRecette[Recette],TableauRecette[[#This Row],[Recette]],TableauRecette[Conditionnement],TableauRecette[[#This Row],[Conditionnement]]),0)</f>
        <v>20.333333333333332</v>
      </c>
      <c r="I33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36">
        <f>_xlfn.XLOOKUP(TableauRecette[[#This Row],[ID]],TableauProduit[ID],TableauProduit[Total (kg) N1],0,0,1)*_xlfn.XLOOKUP(TableauRecette[[#This Row],[ID]],TableauProduit[ID],TableauProduit[Total (kg) N1],0,0,1)</f>
        <v>0</v>
      </c>
      <c r="M336" t="e">
        <f>_xlfn.XLOOKUP(TableauRecette[[#This Row],[ID]],TableauProduit[ID],TableauProduit[Total (kg) N1],0,0,1)*_xlfn.XLOOKUP(TableauRecette[[#This Row],[ID]],TableauProduit[ID],TableauProduit[Total (kg) N2],0,0,1)</f>
        <v>#REF!</v>
      </c>
      <c r="N336" t="e">
        <f>_xlfn.XLOOKUP(TableauRecette[[#This Row],[ID]],TableauProduit[ID],TableauProduit[Total (kg) N3],0,0,1)*#REF!</f>
        <v>#REF!</v>
      </c>
      <c r="O336" t="e">
        <f>_xlfn.XLOOKUP(TableauRecette[[#This Row],[ID]],TableauProduit[ID],TableauProduit[Total (kg) N4],0,0,1)*#REF!</f>
        <v>#REF!</v>
      </c>
      <c r="P336" t="e">
        <f>_xlfn.XLOOKUP(TableauRecette[[#This Row],[ID]],TableauProduit[ID],TableauProduit[Total (kg) N5],0,0,1)*#REF!</f>
        <v>#REF!</v>
      </c>
      <c r="Q336" t="e">
        <f>_xlfn.XLOOKUP(TableauRecette[[#This Row],[ID]],TableauProduit[ID],TableauProduit[Total (kg) N6],0,0,1)*#REF!</f>
        <v>#REF!</v>
      </c>
      <c r="R336" t="e">
        <f>_xlfn.XLOOKUP(TableauRecette[[#This Row],[ID]],TableauProduit[ID],TableauProduit[Total (kg) N7],0,0,1)*#REF!</f>
        <v>#REF!</v>
      </c>
      <c r="S336" t="e">
        <f>_xlfn.XLOOKUP(TableauRecette[[#This Row],[ID]],TableauProduit[ID],TableauProduit[Total (kg) N8],0,0,1)*#REF!</f>
        <v>#REF!</v>
      </c>
      <c r="T336" t="e">
        <f>_xlfn.XLOOKUP(TableauRecette[[#This Row],[ID]],TableauProduit[ID],TableauProduit[Total (kg) N9],0,0,1)*#REF!</f>
        <v>#REF!</v>
      </c>
    </row>
    <row r="337" spans="1:20" x14ac:dyDescent="0.2">
      <c r="A337" t="s">
        <v>119</v>
      </c>
      <c r="B337" t="str">
        <f>TableauRecette[[#This Row],[Recette]]&amp;TableauRecette[[#This Row],[Conditionnement]]</f>
        <v>Steak de MontréalEpice 100ml</v>
      </c>
      <c r="C337" t="s">
        <v>381</v>
      </c>
      <c r="D337">
        <v>1</v>
      </c>
      <c r="E337" t="s">
        <v>73</v>
      </c>
      <c r="F337">
        <f>IFERROR(TableauRecette[[#This Row],[Proportion]]/SUMIFS(TableauRecette[Proportion],TableauRecette[Recette],TableauRecette[[#This Row],[Recette]],TableauRecette[Conditionnement],TableauRecette[[#This Row],[Conditionnement]]),0)</f>
        <v>4.9180327868852465E-2</v>
      </c>
      <c r="G337">
        <f>IFERROR(_xlfn.XLOOKUP(TableauRecette[[#This Row],[Ingredients]],TableauIngredients[Ingredients],#REF!,0)*#REF!,0)</f>
        <v>0</v>
      </c>
      <c r="H337">
        <f>IFERROR(SUMIFS(TableauRecette[Proportion],TableauRecette[Recette],TableauRecette[[#This Row],[Recette]],TableauRecette[Conditionnement],TableauRecette[[#This Row],[Conditionnement]]),0)</f>
        <v>20.333333333333332</v>
      </c>
      <c r="I33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37">
        <f>_xlfn.XLOOKUP(TableauRecette[[#This Row],[ID]],TableauProduit[ID],TableauProduit[Total (kg) N1],0,0,1)*_xlfn.XLOOKUP(TableauRecette[[#This Row],[ID]],TableauProduit[ID],TableauProduit[Total (kg) N1],0,0,1)</f>
        <v>0</v>
      </c>
      <c r="M337" t="e">
        <f>_xlfn.XLOOKUP(TableauRecette[[#This Row],[ID]],TableauProduit[ID],TableauProduit[Total (kg) N1],0,0,1)*_xlfn.XLOOKUP(TableauRecette[[#This Row],[ID]],TableauProduit[ID],TableauProduit[Total (kg) N2],0,0,1)</f>
        <v>#REF!</v>
      </c>
      <c r="N337" t="e">
        <f>_xlfn.XLOOKUP(TableauRecette[[#This Row],[ID]],TableauProduit[ID],TableauProduit[Total (kg) N3],0,0,1)*#REF!</f>
        <v>#REF!</v>
      </c>
      <c r="O337" t="e">
        <f>_xlfn.XLOOKUP(TableauRecette[[#This Row],[ID]],TableauProduit[ID],TableauProduit[Total (kg) N4],0,0,1)*#REF!</f>
        <v>#REF!</v>
      </c>
      <c r="P337" t="e">
        <f>_xlfn.XLOOKUP(TableauRecette[[#This Row],[ID]],TableauProduit[ID],TableauProduit[Total (kg) N5],0,0,1)*#REF!</f>
        <v>#REF!</v>
      </c>
      <c r="Q337" t="e">
        <f>_xlfn.XLOOKUP(TableauRecette[[#This Row],[ID]],TableauProduit[ID],TableauProduit[Total (kg) N6],0,0,1)*#REF!</f>
        <v>#REF!</v>
      </c>
      <c r="R337" t="e">
        <f>_xlfn.XLOOKUP(TableauRecette[[#This Row],[ID]],TableauProduit[ID],TableauProduit[Total (kg) N7],0,0,1)*#REF!</f>
        <v>#REF!</v>
      </c>
      <c r="S337" t="e">
        <f>_xlfn.XLOOKUP(TableauRecette[[#This Row],[ID]],TableauProduit[ID],TableauProduit[Total (kg) N8],0,0,1)*#REF!</f>
        <v>#REF!</v>
      </c>
      <c r="T337" t="e">
        <f>_xlfn.XLOOKUP(TableauRecette[[#This Row],[ID]],TableauProduit[ID],TableauProduit[Total (kg) N9],0,0,1)*#REF!</f>
        <v>#REF!</v>
      </c>
    </row>
    <row r="338" spans="1:20" x14ac:dyDescent="0.2">
      <c r="A338" t="s">
        <v>119</v>
      </c>
      <c r="B338" t="str">
        <f>TableauRecette[[#This Row],[Recette]]&amp;TableauRecette[[#This Row],[Conditionnement]]</f>
        <v>Steak de MontréalEpice 100ml</v>
      </c>
      <c r="C338" t="s">
        <v>398</v>
      </c>
      <c r="D338">
        <f>1/3</f>
        <v>0.33333333333333331</v>
      </c>
      <c r="E338" t="s">
        <v>73</v>
      </c>
      <c r="F338">
        <f>IFERROR(TableauRecette[[#This Row],[Proportion]]/SUMIFS(TableauRecette[Proportion],TableauRecette[Recette],TableauRecette[[#This Row],[Recette]],TableauRecette[Conditionnement],TableauRecette[[#This Row],[Conditionnement]]),0)</f>
        <v>1.6393442622950821E-2</v>
      </c>
      <c r="G338">
        <f>IFERROR(_xlfn.XLOOKUP(TableauRecette[[#This Row],[Ingredients]],TableauIngredients[Ingredients],#REF!,0)*#REF!,0)</f>
        <v>0</v>
      </c>
      <c r="H338">
        <f>IFERROR(SUMIFS(TableauRecette[Proportion],TableauRecette[Recette],TableauRecette[[#This Row],[Recette]],TableauRecette[Conditionnement],TableauRecette[[#This Row],[Conditionnement]]),0)</f>
        <v>20.333333333333332</v>
      </c>
      <c r="I338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338" t="s">
        <v>341</v>
      </c>
      <c r="L338">
        <f>_xlfn.XLOOKUP(TableauRecette[[#This Row],[ID]],TableauProduit[ID],TableauProduit[Total (kg) N1],0,0,1)*_xlfn.XLOOKUP(TableauRecette[[#This Row],[ID]],TableauProduit[ID],TableauProduit[Total (kg) N1],0,0,1)</f>
        <v>0</v>
      </c>
      <c r="M338" t="e">
        <f>_xlfn.XLOOKUP(TableauRecette[[#This Row],[ID]],TableauProduit[ID],TableauProduit[Total (kg) N1],0,0,1)*_xlfn.XLOOKUP(TableauRecette[[#This Row],[ID]],TableauProduit[ID],TableauProduit[Total (kg) N2],0,0,1)</f>
        <v>#REF!</v>
      </c>
      <c r="N338" t="e">
        <f>_xlfn.XLOOKUP(TableauRecette[[#This Row],[ID]],TableauProduit[ID],TableauProduit[Total (kg) N3],0,0,1)*#REF!</f>
        <v>#REF!</v>
      </c>
      <c r="O338" t="e">
        <f>_xlfn.XLOOKUP(TableauRecette[[#This Row],[ID]],TableauProduit[ID],TableauProduit[Total (kg) N4],0,0,1)*#REF!</f>
        <v>#REF!</v>
      </c>
      <c r="P338" t="e">
        <f>_xlfn.XLOOKUP(TableauRecette[[#This Row],[ID]],TableauProduit[ID],TableauProduit[Total (kg) N5],0,0,1)*#REF!</f>
        <v>#REF!</v>
      </c>
      <c r="Q338" t="e">
        <f>_xlfn.XLOOKUP(TableauRecette[[#This Row],[ID]],TableauProduit[ID],TableauProduit[Total (kg) N6],0,0,1)*#REF!</f>
        <v>#REF!</v>
      </c>
      <c r="R338" t="e">
        <f>_xlfn.XLOOKUP(TableauRecette[[#This Row],[ID]],TableauProduit[ID],TableauProduit[Total (kg) N7],0,0,1)*#REF!</f>
        <v>#REF!</v>
      </c>
      <c r="S338" t="e">
        <f>_xlfn.XLOOKUP(TableauRecette[[#This Row],[ID]],TableauProduit[ID],TableauProduit[Total (kg) N8],0,0,1)*#REF!</f>
        <v>#REF!</v>
      </c>
      <c r="T338" t="e">
        <f>_xlfn.XLOOKUP(TableauRecette[[#This Row],[ID]],TableauProduit[ID],TableauProduit[Total (kg) N9],0,0,1)*#REF!</f>
        <v>#REF!</v>
      </c>
    </row>
    <row r="339" spans="1:20" x14ac:dyDescent="0.2">
      <c r="A339" t="s">
        <v>119</v>
      </c>
      <c r="B339" t="str">
        <f>TableauRecette[[#This Row],[Recette]]&amp;TableauRecette[[#This Row],[Conditionnement]]</f>
        <v>Steak de MontréalEpice 100ml</v>
      </c>
      <c r="C339" t="s">
        <v>346</v>
      </c>
      <c r="D339">
        <v>2</v>
      </c>
      <c r="E339" t="s">
        <v>73</v>
      </c>
      <c r="F339">
        <f>IFERROR(TableauRecette[[#This Row],[Proportion]]/SUMIFS(TableauRecette[Proportion],TableauRecette[Recette],TableauRecette[[#This Row],[Recette]],TableauRecette[Conditionnement],TableauRecette[[#This Row],[Conditionnement]]),0)</f>
        <v>9.836065573770493E-2</v>
      </c>
      <c r="G339">
        <f>IFERROR(_xlfn.XLOOKUP(TableauRecette[[#This Row],[Ingredients]],TableauIngredients[Ingredients],#REF!,0)*#REF!,0)</f>
        <v>0</v>
      </c>
      <c r="H339">
        <f>IFERROR(SUMIFS(TableauRecette[Proportion],TableauRecette[Recette],TableauRecette[[#This Row],[Recette]],TableauRecette[Conditionnement],TableauRecette[[#This Row],[Conditionnement]]),0)</f>
        <v>20.333333333333332</v>
      </c>
      <c r="I33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339" t="s">
        <v>341</v>
      </c>
      <c r="L339">
        <f>_xlfn.XLOOKUP(TableauRecette[[#This Row],[ID]],TableauProduit[ID],TableauProduit[Total (kg) N1],0,0,1)*_xlfn.XLOOKUP(TableauRecette[[#This Row],[ID]],TableauProduit[ID],TableauProduit[Total (kg) N1],0,0,1)</f>
        <v>0</v>
      </c>
      <c r="M339" t="e">
        <f>_xlfn.XLOOKUP(TableauRecette[[#This Row],[ID]],TableauProduit[ID],TableauProduit[Total (kg) N1],0,0,1)*_xlfn.XLOOKUP(TableauRecette[[#This Row],[ID]],TableauProduit[ID],TableauProduit[Total (kg) N2],0,0,1)</f>
        <v>#REF!</v>
      </c>
      <c r="N339" t="e">
        <f>_xlfn.XLOOKUP(TableauRecette[[#This Row],[ID]],TableauProduit[ID],TableauProduit[Total (kg) N3],0,0,1)*#REF!</f>
        <v>#REF!</v>
      </c>
      <c r="O339" t="e">
        <f>_xlfn.XLOOKUP(TableauRecette[[#This Row],[ID]],TableauProduit[ID],TableauProduit[Total (kg) N4],0,0,1)*#REF!</f>
        <v>#REF!</v>
      </c>
      <c r="P339" t="e">
        <f>_xlfn.XLOOKUP(TableauRecette[[#This Row],[ID]],TableauProduit[ID],TableauProduit[Total (kg) N5],0,0,1)*#REF!</f>
        <v>#REF!</v>
      </c>
      <c r="Q339" t="e">
        <f>_xlfn.XLOOKUP(TableauRecette[[#This Row],[ID]],TableauProduit[ID],TableauProduit[Total (kg) N6],0,0,1)*#REF!</f>
        <v>#REF!</v>
      </c>
      <c r="R339" t="e">
        <f>_xlfn.XLOOKUP(TableauRecette[[#This Row],[ID]],TableauProduit[ID],TableauProduit[Total (kg) N7],0,0,1)*#REF!</f>
        <v>#REF!</v>
      </c>
      <c r="S339" t="e">
        <f>_xlfn.XLOOKUP(TableauRecette[[#This Row],[ID]],TableauProduit[ID],TableauProduit[Total (kg) N8],0,0,1)*#REF!</f>
        <v>#REF!</v>
      </c>
      <c r="T339" t="e">
        <f>_xlfn.XLOOKUP(TableauRecette[[#This Row],[ID]],TableauProduit[ID],TableauProduit[Total (kg) N9],0,0,1)*#REF!</f>
        <v>#REF!</v>
      </c>
    </row>
    <row r="340" spans="1:20" x14ac:dyDescent="0.2">
      <c r="A340" t="s">
        <v>91</v>
      </c>
      <c r="B340" t="str">
        <f>TableauRecette[[#This Row],[Recette]]&amp;TableauRecette[[#This Row],[Conditionnement]]</f>
        <v>Sucre à l'hibiscusEpice 200ml</v>
      </c>
      <c r="C340" t="s">
        <v>457</v>
      </c>
      <c r="D340">
        <v>94</v>
      </c>
      <c r="E340" t="s">
        <v>67</v>
      </c>
      <c r="F340">
        <f>IFERROR(TableauRecette[[#This Row],[Proportion]]/SUMIFS(TableauRecette[Proportion],TableauRecette[Recette],TableauRecette[[#This Row],[Recette]],TableauRecette[Conditionnement],TableauRecette[[#This Row],[Conditionnement]]),0)</f>
        <v>0.94</v>
      </c>
      <c r="G340">
        <f>IFERROR(_xlfn.XLOOKUP(TableauRecette[[#This Row],[Ingredients]],TableauIngredients[Ingredients],#REF!,0)*#REF!,0)</f>
        <v>0</v>
      </c>
      <c r="H340">
        <f>IFERROR(SUMIFS(TableauRecette[Proportion],TableauRecette[Recette],TableauRecette[[#This Row],[Recette]],TableauRecette[Conditionnement],TableauRecette[[#This Row],[Conditionnement]]),0)</f>
        <v>100</v>
      </c>
      <c r="I340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40">
        <f>_xlfn.XLOOKUP(TableauRecette[[#This Row],[ID]],TableauProduit[ID],TableauProduit[Total (kg) N1],0,0,1)*_xlfn.XLOOKUP(TableauRecette[[#This Row],[ID]],TableauProduit[ID],TableauProduit[Total (kg) N1],0,0,1)</f>
        <v>0</v>
      </c>
      <c r="M340" t="e">
        <f>_xlfn.XLOOKUP(TableauRecette[[#This Row],[ID]],TableauProduit[ID],TableauProduit[Total (kg) N1],0,0,1)*_xlfn.XLOOKUP(TableauRecette[[#This Row],[ID]],TableauProduit[ID],TableauProduit[Total (kg) N2],0,0,1)</f>
        <v>#REF!</v>
      </c>
      <c r="N340" t="e">
        <f>_xlfn.XLOOKUP(TableauRecette[[#This Row],[ID]],TableauProduit[ID],TableauProduit[Total (kg) N3],0,0,1)*#REF!</f>
        <v>#REF!</v>
      </c>
      <c r="O340" t="e">
        <f>_xlfn.XLOOKUP(TableauRecette[[#This Row],[ID]],TableauProduit[ID],TableauProduit[Total (kg) N4],0,0,1)*#REF!</f>
        <v>#REF!</v>
      </c>
      <c r="P340" t="e">
        <f>_xlfn.XLOOKUP(TableauRecette[[#This Row],[ID]],TableauProduit[ID],TableauProduit[Total (kg) N5],0,0,1)*#REF!</f>
        <v>#REF!</v>
      </c>
      <c r="Q340" t="e">
        <f>_xlfn.XLOOKUP(TableauRecette[[#This Row],[ID]],TableauProduit[ID],TableauProduit[Total (kg) N6],0,0,1)*#REF!</f>
        <v>#REF!</v>
      </c>
      <c r="R340" t="e">
        <f>_xlfn.XLOOKUP(TableauRecette[[#This Row],[ID]],TableauProduit[ID],TableauProduit[Total (kg) N7],0,0,1)*#REF!</f>
        <v>#REF!</v>
      </c>
      <c r="S340" t="e">
        <f>_xlfn.XLOOKUP(TableauRecette[[#This Row],[ID]],TableauProduit[ID],TableauProduit[Total (kg) N8],0,0,1)*#REF!</f>
        <v>#REF!</v>
      </c>
      <c r="T340" t="e">
        <f>_xlfn.XLOOKUP(TableauRecette[[#This Row],[ID]],TableauProduit[ID],TableauProduit[Total (kg) N9],0,0,1)*#REF!</f>
        <v>#REF!</v>
      </c>
    </row>
    <row r="341" spans="1:20" x14ac:dyDescent="0.2">
      <c r="A341" t="s">
        <v>91</v>
      </c>
      <c r="B341" t="str">
        <f>TableauRecette[[#This Row],[Recette]]&amp;TableauRecette[[#This Row],[Conditionnement]]</f>
        <v>Sucre à l'hibiscusEpice 200ml</v>
      </c>
      <c r="C341" t="s">
        <v>442</v>
      </c>
      <c r="D341">
        <v>6</v>
      </c>
      <c r="E341" t="s">
        <v>67</v>
      </c>
      <c r="F341">
        <f>IFERROR(TableauRecette[[#This Row],[Proportion]]/SUMIFS(TableauRecette[Proportion],TableauRecette[Recette],TableauRecette[[#This Row],[Recette]],TableauRecette[Conditionnement],TableauRecette[[#This Row],[Conditionnement]]),0)</f>
        <v>0.06</v>
      </c>
      <c r="G341">
        <f>IFERROR(_xlfn.XLOOKUP(TableauRecette[[#This Row],[Ingredients]],TableauIngredients[Ingredients],#REF!,0)*#REF!,0)</f>
        <v>0</v>
      </c>
      <c r="H341">
        <f>IFERROR(SUMIFS(TableauRecette[Proportion],TableauRecette[Recette],TableauRecette[[#This Row],[Recette]],TableauRecette[Conditionnement],TableauRecette[[#This Row],[Conditionnement]]),0)</f>
        <v>100</v>
      </c>
      <c r="I34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41">
        <f>_xlfn.XLOOKUP(TableauRecette[[#This Row],[ID]],TableauProduit[ID],TableauProduit[Total (kg) N1],0,0,1)*_xlfn.XLOOKUP(TableauRecette[[#This Row],[ID]],TableauProduit[ID],TableauProduit[Total (kg) N1],0,0,1)</f>
        <v>0</v>
      </c>
      <c r="M341" t="e">
        <f>_xlfn.XLOOKUP(TableauRecette[[#This Row],[ID]],TableauProduit[ID],TableauProduit[Total (kg) N1],0,0,1)*_xlfn.XLOOKUP(TableauRecette[[#This Row],[ID]],TableauProduit[ID],TableauProduit[Total (kg) N2],0,0,1)</f>
        <v>#REF!</v>
      </c>
      <c r="N341" t="e">
        <f>_xlfn.XLOOKUP(TableauRecette[[#This Row],[ID]],TableauProduit[ID],TableauProduit[Total (kg) N3],0,0,1)*#REF!</f>
        <v>#REF!</v>
      </c>
      <c r="O341" t="e">
        <f>_xlfn.XLOOKUP(TableauRecette[[#This Row],[ID]],TableauProduit[ID],TableauProduit[Total (kg) N4],0,0,1)*#REF!</f>
        <v>#REF!</v>
      </c>
      <c r="P341" t="e">
        <f>_xlfn.XLOOKUP(TableauRecette[[#This Row],[ID]],TableauProduit[ID],TableauProduit[Total (kg) N5],0,0,1)*#REF!</f>
        <v>#REF!</v>
      </c>
      <c r="Q341" t="e">
        <f>_xlfn.XLOOKUP(TableauRecette[[#This Row],[ID]],TableauProduit[ID],TableauProduit[Total (kg) N6],0,0,1)*#REF!</f>
        <v>#REF!</v>
      </c>
      <c r="R341" t="e">
        <f>_xlfn.XLOOKUP(TableauRecette[[#This Row],[ID]],TableauProduit[ID],TableauProduit[Total (kg) N7],0,0,1)*#REF!</f>
        <v>#REF!</v>
      </c>
      <c r="S341" t="e">
        <f>_xlfn.XLOOKUP(TableauRecette[[#This Row],[ID]],TableauProduit[ID],TableauProduit[Total (kg) N8],0,0,1)*#REF!</f>
        <v>#REF!</v>
      </c>
      <c r="T341" t="e">
        <f>_xlfn.XLOOKUP(TableauRecette[[#This Row],[ID]],TableauProduit[ID],TableauProduit[Total (kg) N9],0,0,1)*#REF!</f>
        <v>#REF!</v>
      </c>
    </row>
    <row r="342" spans="1:20" x14ac:dyDescent="0.2">
      <c r="A342" t="s">
        <v>82</v>
      </c>
      <c r="B342" t="str">
        <f>TableauRecette[[#This Row],[Recette]]&amp;TableauRecette[[#This Row],[Conditionnement]]</f>
        <v>Sucre aux fleursEpice 100ml</v>
      </c>
      <c r="C342" t="s">
        <v>442</v>
      </c>
      <c r="D342">
        <v>220</v>
      </c>
      <c r="E342" t="s">
        <v>73</v>
      </c>
      <c r="F342">
        <f>IFERROR(TableauRecette[[#This Row],[Proportion]]/SUMIFS(TableauRecette[Proportion],TableauRecette[Recette],TableauRecette[[#This Row],[Recette]],TableauRecette[Conditionnement],TableauRecette[[#This Row],[Conditionnement]]),0)</f>
        <v>0.94420600858369097</v>
      </c>
      <c r="G342">
        <f>IFERROR(_xlfn.XLOOKUP(TableauRecette[[#This Row],[Ingredients]],TableauIngredients[Ingredients],#REF!,0)*#REF!,0)</f>
        <v>0</v>
      </c>
      <c r="H342">
        <f>IFERROR(SUMIFS(TableauRecette[Proportion],TableauRecette[Recette],TableauRecette[[#This Row],[Recette]],TableauRecette[Conditionnement],TableauRecette[[#This Row],[Conditionnement]]),0)</f>
        <v>233</v>
      </c>
      <c r="I34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42">
        <f>_xlfn.XLOOKUP(TableauRecette[[#This Row],[ID]],TableauProduit[ID],TableauProduit[Total (kg) N1],0,0,1)*_xlfn.XLOOKUP(TableauRecette[[#This Row],[ID]],TableauProduit[ID],TableauProduit[Total (kg) N1],0,0,1)</f>
        <v>1139.0625</v>
      </c>
      <c r="M342" t="e">
        <f>_xlfn.XLOOKUP(TableauRecette[[#This Row],[ID]],TableauProduit[ID],TableauProduit[Total (kg) N1],0,0,1)*_xlfn.XLOOKUP(TableauRecette[[#This Row],[ID]],TableauProduit[ID],TableauProduit[Total (kg) N2],0,0,1)</f>
        <v>#REF!</v>
      </c>
      <c r="N342" t="e">
        <f>_xlfn.XLOOKUP(TableauRecette[[#This Row],[ID]],TableauProduit[ID],TableauProduit[Total (kg) N3],0,0,1)*#REF!</f>
        <v>#REF!</v>
      </c>
      <c r="O342" t="e">
        <f>_xlfn.XLOOKUP(TableauRecette[[#This Row],[ID]],TableauProduit[ID],TableauProduit[Total (kg) N4],0,0,1)*#REF!</f>
        <v>#REF!</v>
      </c>
      <c r="P342" t="e">
        <f>_xlfn.XLOOKUP(TableauRecette[[#This Row],[ID]],TableauProduit[ID],TableauProduit[Total (kg) N5],0,0,1)*#REF!</f>
        <v>#REF!</v>
      </c>
      <c r="Q342" t="e">
        <f>_xlfn.XLOOKUP(TableauRecette[[#This Row],[ID]],TableauProduit[ID],TableauProduit[Total (kg) N6],0,0,1)*#REF!</f>
        <v>#REF!</v>
      </c>
      <c r="R342" t="e">
        <f>_xlfn.XLOOKUP(TableauRecette[[#This Row],[ID]],TableauProduit[ID],TableauProduit[Total (kg) N7],0,0,1)*#REF!</f>
        <v>#REF!</v>
      </c>
      <c r="S342" t="e">
        <f>_xlfn.XLOOKUP(TableauRecette[[#This Row],[ID]],TableauProduit[ID],TableauProduit[Total (kg) N8],0,0,1)*#REF!</f>
        <v>#REF!</v>
      </c>
      <c r="T342" t="e">
        <f>_xlfn.XLOOKUP(TableauRecette[[#This Row],[ID]],TableauProduit[ID],TableauProduit[Total (kg) N9],0,0,1)*#REF!</f>
        <v>#REF!</v>
      </c>
    </row>
    <row r="343" spans="1:20" x14ac:dyDescent="0.2">
      <c r="A343" t="s">
        <v>82</v>
      </c>
      <c r="B343" t="str">
        <f>TableauRecette[[#This Row],[Recette]]&amp;TableauRecette[[#This Row],[Conditionnement]]</f>
        <v>Sucre aux fleursEpice 100ml</v>
      </c>
      <c r="C343" t="s">
        <v>443</v>
      </c>
      <c r="D343">
        <v>1</v>
      </c>
      <c r="E343" t="s">
        <v>73</v>
      </c>
      <c r="F343">
        <f>IFERROR(TableauRecette[[#This Row],[Proportion]]/SUMIFS(TableauRecette[Proportion],TableauRecette[Recette],TableauRecette[[#This Row],[Recette]],TableauRecette[Conditionnement],TableauRecette[[#This Row],[Conditionnement]]),0)</f>
        <v>4.2918454935622317E-3</v>
      </c>
      <c r="G343">
        <f>IFERROR(_xlfn.XLOOKUP(TableauRecette[[#This Row],[Ingredients]],TableauIngredients[Ingredients],#REF!,0)*#REF!,0)</f>
        <v>0</v>
      </c>
      <c r="H343">
        <f>IFERROR(SUMIFS(TableauRecette[Proportion],TableauRecette[Recette],TableauRecette[[#This Row],[Recette]],TableauRecette[Conditionnement],TableauRecette[[#This Row],[Conditionnement]]),0)</f>
        <v>233</v>
      </c>
      <c r="I343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343" t="s">
        <v>341</v>
      </c>
      <c r="L343">
        <f>_xlfn.XLOOKUP(TableauRecette[[#This Row],[ID]],TableauProduit[ID],TableauProduit[Total (kg) N1],0,0,1)*_xlfn.XLOOKUP(TableauRecette[[#This Row],[ID]],TableauProduit[ID],TableauProduit[Total (kg) N1],0,0,1)</f>
        <v>1139.0625</v>
      </c>
      <c r="M343" t="e">
        <f>_xlfn.XLOOKUP(TableauRecette[[#This Row],[ID]],TableauProduit[ID],TableauProduit[Total (kg) N1],0,0,1)*_xlfn.XLOOKUP(TableauRecette[[#This Row],[ID]],TableauProduit[ID],TableauProduit[Total (kg) N2],0,0,1)</f>
        <v>#REF!</v>
      </c>
      <c r="N343" t="e">
        <f>_xlfn.XLOOKUP(TableauRecette[[#This Row],[ID]],TableauProduit[ID],TableauProduit[Total (kg) N3],0,0,1)*#REF!</f>
        <v>#REF!</v>
      </c>
      <c r="O343" t="e">
        <f>_xlfn.XLOOKUP(TableauRecette[[#This Row],[ID]],TableauProduit[ID],TableauProduit[Total (kg) N4],0,0,1)*#REF!</f>
        <v>#REF!</v>
      </c>
      <c r="P343" t="e">
        <f>_xlfn.XLOOKUP(TableauRecette[[#This Row],[ID]],TableauProduit[ID],TableauProduit[Total (kg) N5],0,0,1)*#REF!</f>
        <v>#REF!</v>
      </c>
      <c r="Q343" t="e">
        <f>_xlfn.XLOOKUP(TableauRecette[[#This Row],[ID]],TableauProduit[ID],TableauProduit[Total (kg) N6],0,0,1)*#REF!</f>
        <v>#REF!</v>
      </c>
      <c r="R343" t="e">
        <f>_xlfn.XLOOKUP(TableauRecette[[#This Row],[ID]],TableauProduit[ID],TableauProduit[Total (kg) N7],0,0,1)*#REF!</f>
        <v>#REF!</v>
      </c>
      <c r="S343" t="e">
        <f>_xlfn.XLOOKUP(TableauRecette[[#This Row],[ID]],TableauProduit[ID],TableauProduit[Total (kg) N8],0,0,1)*#REF!</f>
        <v>#REF!</v>
      </c>
      <c r="T343" t="e">
        <f>_xlfn.XLOOKUP(TableauRecette[[#This Row],[ID]],TableauProduit[ID],TableauProduit[Total (kg) N9],0,0,1)*#REF!</f>
        <v>#REF!</v>
      </c>
    </row>
    <row r="344" spans="1:20" x14ac:dyDescent="0.2">
      <c r="A344" t="s">
        <v>82</v>
      </c>
      <c r="B344" t="str">
        <f>TableauRecette[[#This Row],[Recette]]&amp;TableauRecette[[#This Row],[Conditionnement]]</f>
        <v>Sucre aux fleursEpice 100ml</v>
      </c>
      <c r="C344" t="s">
        <v>444</v>
      </c>
      <c r="D344">
        <v>1</v>
      </c>
      <c r="E344" t="s">
        <v>73</v>
      </c>
      <c r="F344">
        <f>IFERROR(TableauRecette[[#This Row],[Proportion]]/SUMIFS(TableauRecette[Proportion],TableauRecette[Recette],TableauRecette[[#This Row],[Recette]],TableauRecette[Conditionnement],TableauRecette[[#This Row],[Conditionnement]]),0)</f>
        <v>4.2918454935622317E-3</v>
      </c>
      <c r="G344">
        <f>IFERROR(_xlfn.XLOOKUP(TableauRecette[[#This Row],[Ingredients]],TableauIngredients[Ingredients],#REF!,0)*#REF!,0)</f>
        <v>0</v>
      </c>
      <c r="H344">
        <f>IFERROR(SUMIFS(TableauRecette[Proportion],TableauRecette[Recette],TableauRecette[[#This Row],[Recette]],TableauRecette[Conditionnement],TableauRecette[[#This Row],[Conditionnement]]),0)</f>
        <v>233</v>
      </c>
      <c r="I344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344" t="s">
        <v>341</v>
      </c>
      <c r="L344">
        <f>_xlfn.XLOOKUP(TableauRecette[[#This Row],[ID]],TableauProduit[ID],TableauProduit[Total (kg) N1],0,0,1)*_xlfn.XLOOKUP(TableauRecette[[#This Row],[ID]],TableauProduit[ID],TableauProduit[Total (kg) N1],0,0,1)</f>
        <v>1139.0625</v>
      </c>
      <c r="M344" t="e">
        <f>_xlfn.XLOOKUP(TableauRecette[[#This Row],[ID]],TableauProduit[ID],TableauProduit[Total (kg) N1],0,0,1)*_xlfn.XLOOKUP(TableauRecette[[#This Row],[ID]],TableauProduit[ID],TableauProduit[Total (kg) N2],0,0,1)</f>
        <v>#REF!</v>
      </c>
      <c r="N344" t="e">
        <f>_xlfn.XLOOKUP(TableauRecette[[#This Row],[ID]],TableauProduit[ID],TableauProduit[Total (kg) N3],0,0,1)*#REF!</f>
        <v>#REF!</v>
      </c>
      <c r="O344" t="e">
        <f>_xlfn.XLOOKUP(TableauRecette[[#This Row],[ID]],TableauProduit[ID],TableauProduit[Total (kg) N4],0,0,1)*#REF!</f>
        <v>#REF!</v>
      </c>
      <c r="P344" t="e">
        <f>_xlfn.XLOOKUP(TableauRecette[[#This Row],[ID]],TableauProduit[ID],TableauProduit[Total (kg) N5],0,0,1)*#REF!</f>
        <v>#REF!</v>
      </c>
      <c r="Q344" t="e">
        <f>_xlfn.XLOOKUP(TableauRecette[[#This Row],[ID]],TableauProduit[ID],TableauProduit[Total (kg) N6],0,0,1)*#REF!</f>
        <v>#REF!</v>
      </c>
      <c r="R344" t="e">
        <f>_xlfn.XLOOKUP(TableauRecette[[#This Row],[ID]],TableauProduit[ID],TableauProduit[Total (kg) N7],0,0,1)*#REF!</f>
        <v>#REF!</v>
      </c>
      <c r="S344" t="e">
        <f>_xlfn.XLOOKUP(TableauRecette[[#This Row],[ID]],TableauProduit[ID],TableauProduit[Total (kg) N8],0,0,1)*#REF!</f>
        <v>#REF!</v>
      </c>
      <c r="T344" t="e">
        <f>_xlfn.XLOOKUP(TableauRecette[[#This Row],[ID]],TableauProduit[ID],TableauProduit[Total (kg) N9],0,0,1)*#REF!</f>
        <v>#REF!</v>
      </c>
    </row>
    <row r="345" spans="1:20" x14ac:dyDescent="0.2">
      <c r="A345" t="s">
        <v>82</v>
      </c>
      <c r="B345" t="str">
        <f>TableauRecette[[#This Row],[Recette]]&amp;TableauRecette[[#This Row],[Conditionnement]]</f>
        <v>Sucre aux fleursEpice 100ml</v>
      </c>
      <c r="C345" t="s">
        <v>458</v>
      </c>
      <c r="D345">
        <v>1</v>
      </c>
      <c r="E345" t="s">
        <v>73</v>
      </c>
      <c r="F345">
        <f>IFERROR(TableauRecette[[#This Row],[Proportion]]/SUMIFS(TableauRecette[Proportion],TableauRecette[Recette],TableauRecette[[#This Row],[Recette]],TableauRecette[Conditionnement],TableauRecette[[#This Row],[Conditionnement]]),0)</f>
        <v>4.2918454935622317E-3</v>
      </c>
      <c r="G345">
        <f>IFERROR(_xlfn.XLOOKUP(TableauRecette[[#This Row],[Ingredients]],TableauIngredients[Ingredients],#REF!,0)*#REF!,0)</f>
        <v>0</v>
      </c>
      <c r="H345">
        <f>IFERROR(SUMIFS(TableauRecette[Proportion],TableauRecette[Recette],TableauRecette[[#This Row],[Recette]],TableauRecette[Conditionnement],TableauRecette[[#This Row],[Conditionnement]]),0)</f>
        <v>233</v>
      </c>
      <c r="I34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345" t="s">
        <v>341</v>
      </c>
      <c r="L345">
        <f>_xlfn.XLOOKUP(TableauRecette[[#This Row],[ID]],TableauProduit[ID],TableauProduit[Total (kg) N1],0,0,1)*_xlfn.XLOOKUP(TableauRecette[[#This Row],[ID]],TableauProduit[ID],TableauProduit[Total (kg) N1],0,0,1)</f>
        <v>1139.0625</v>
      </c>
      <c r="M345" t="e">
        <f>_xlfn.XLOOKUP(TableauRecette[[#This Row],[ID]],TableauProduit[ID],TableauProduit[Total (kg) N1],0,0,1)*_xlfn.XLOOKUP(TableauRecette[[#This Row],[ID]],TableauProduit[ID],TableauProduit[Total (kg) N2],0,0,1)</f>
        <v>#REF!</v>
      </c>
      <c r="N345" t="e">
        <f>_xlfn.XLOOKUP(TableauRecette[[#This Row],[ID]],TableauProduit[ID],TableauProduit[Total (kg) N3],0,0,1)*#REF!</f>
        <v>#REF!</v>
      </c>
      <c r="O345" t="e">
        <f>_xlfn.XLOOKUP(TableauRecette[[#This Row],[ID]],TableauProduit[ID],TableauProduit[Total (kg) N4],0,0,1)*#REF!</f>
        <v>#REF!</v>
      </c>
      <c r="P345" t="e">
        <f>_xlfn.XLOOKUP(TableauRecette[[#This Row],[ID]],TableauProduit[ID],TableauProduit[Total (kg) N5],0,0,1)*#REF!</f>
        <v>#REF!</v>
      </c>
      <c r="Q345" t="e">
        <f>_xlfn.XLOOKUP(TableauRecette[[#This Row],[ID]],TableauProduit[ID],TableauProduit[Total (kg) N6],0,0,1)*#REF!</f>
        <v>#REF!</v>
      </c>
      <c r="R345" t="e">
        <f>_xlfn.XLOOKUP(TableauRecette[[#This Row],[ID]],TableauProduit[ID],TableauProduit[Total (kg) N7],0,0,1)*#REF!</f>
        <v>#REF!</v>
      </c>
      <c r="S345" t="e">
        <f>_xlfn.XLOOKUP(TableauRecette[[#This Row],[ID]],TableauProduit[ID],TableauProduit[Total (kg) N8],0,0,1)*#REF!</f>
        <v>#REF!</v>
      </c>
      <c r="T345" t="e">
        <f>_xlfn.XLOOKUP(TableauRecette[[#This Row],[ID]],TableauProduit[ID],TableauProduit[Total (kg) N9],0,0,1)*#REF!</f>
        <v>#REF!</v>
      </c>
    </row>
    <row r="346" spans="1:20" x14ac:dyDescent="0.2">
      <c r="A346" t="s">
        <v>82</v>
      </c>
      <c r="B346" t="str">
        <f>TableauRecette[[#This Row],[Recette]]&amp;TableauRecette[[#This Row],[Conditionnement]]</f>
        <v>Sucre aux fleursEpice 100ml</v>
      </c>
      <c r="C346" t="s">
        <v>459</v>
      </c>
      <c r="D346">
        <v>1</v>
      </c>
      <c r="E346" t="s">
        <v>73</v>
      </c>
      <c r="F346">
        <f>IFERROR(TableauRecette[[#This Row],[Proportion]]/SUMIFS(TableauRecette[Proportion],TableauRecette[Recette],TableauRecette[[#This Row],[Recette]],TableauRecette[Conditionnement],TableauRecette[[#This Row],[Conditionnement]]),0)</f>
        <v>4.2918454935622317E-3</v>
      </c>
      <c r="G346">
        <f>IFERROR(_xlfn.XLOOKUP(TableauRecette[[#This Row],[Ingredients]],TableauIngredients[Ingredients],#REF!,0)*#REF!,0)</f>
        <v>0</v>
      </c>
      <c r="H346">
        <f>IFERROR(SUMIFS(TableauRecette[Proportion],TableauRecette[Recette],TableauRecette[[#This Row],[Recette]],TableauRecette[Conditionnement],TableauRecette[[#This Row],[Conditionnement]]),0)</f>
        <v>233</v>
      </c>
      <c r="I34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346" t="s">
        <v>341</v>
      </c>
      <c r="L346">
        <f>_xlfn.XLOOKUP(TableauRecette[[#This Row],[ID]],TableauProduit[ID],TableauProduit[Total (kg) N1],0,0,1)*_xlfn.XLOOKUP(TableauRecette[[#This Row],[ID]],TableauProduit[ID],TableauProduit[Total (kg) N1],0,0,1)</f>
        <v>1139.0625</v>
      </c>
      <c r="M346" t="e">
        <f>_xlfn.XLOOKUP(TableauRecette[[#This Row],[ID]],TableauProduit[ID],TableauProduit[Total (kg) N1],0,0,1)*_xlfn.XLOOKUP(TableauRecette[[#This Row],[ID]],TableauProduit[ID],TableauProduit[Total (kg) N2],0,0,1)</f>
        <v>#REF!</v>
      </c>
      <c r="N346" t="e">
        <f>_xlfn.XLOOKUP(TableauRecette[[#This Row],[ID]],TableauProduit[ID],TableauProduit[Total (kg) N3],0,0,1)*#REF!</f>
        <v>#REF!</v>
      </c>
      <c r="O346" t="e">
        <f>_xlfn.XLOOKUP(TableauRecette[[#This Row],[ID]],TableauProduit[ID],TableauProduit[Total (kg) N4],0,0,1)*#REF!</f>
        <v>#REF!</v>
      </c>
      <c r="P346" t="e">
        <f>_xlfn.XLOOKUP(TableauRecette[[#This Row],[ID]],TableauProduit[ID],TableauProduit[Total (kg) N5],0,0,1)*#REF!</f>
        <v>#REF!</v>
      </c>
      <c r="Q346" t="e">
        <f>_xlfn.XLOOKUP(TableauRecette[[#This Row],[ID]],TableauProduit[ID],TableauProduit[Total (kg) N6],0,0,1)*#REF!</f>
        <v>#REF!</v>
      </c>
      <c r="R346" t="e">
        <f>_xlfn.XLOOKUP(TableauRecette[[#This Row],[ID]],TableauProduit[ID],TableauProduit[Total (kg) N7],0,0,1)*#REF!</f>
        <v>#REF!</v>
      </c>
      <c r="S346" t="e">
        <f>_xlfn.XLOOKUP(TableauRecette[[#This Row],[ID]],TableauProduit[ID],TableauProduit[Total (kg) N8],0,0,1)*#REF!</f>
        <v>#REF!</v>
      </c>
      <c r="T346" t="e">
        <f>_xlfn.XLOOKUP(TableauRecette[[#This Row],[ID]],TableauProduit[ID],TableauProduit[Total (kg) N9],0,0,1)*#REF!</f>
        <v>#REF!</v>
      </c>
    </row>
    <row r="347" spans="1:20" x14ac:dyDescent="0.2">
      <c r="A347" t="s">
        <v>82</v>
      </c>
      <c r="B347" t="str">
        <f>TableauRecette[[#This Row],[Recette]]&amp;TableauRecette[[#This Row],[Conditionnement]]</f>
        <v>Sucre aux fleursEpice 100ml</v>
      </c>
      <c r="C347" t="s">
        <v>460</v>
      </c>
      <c r="D347">
        <v>1</v>
      </c>
      <c r="E347" t="s">
        <v>73</v>
      </c>
      <c r="F347">
        <f>IFERROR(TableauRecette[[#This Row],[Proportion]]/SUMIFS(TableauRecette[Proportion],TableauRecette[Recette],TableauRecette[[#This Row],[Recette]],TableauRecette[Conditionnement],TableauRecette[[#This Row],[Conditionnement]]),0)</f>
        <v>4.2918454935622317E-3</v>
      </c>
      <c r="G347">
        <f>IFERROR(_xlfn.XLOOKUP(TableauRecette[[#This Row],[Ingredients]],TableauIngredients[Ingredients],#REF!,0)*#REF!,0)</f>
        <v>0</v>
      </c>
      <c r="H347">
        <f>IFERROR(SUMIFS(TableauRecette[Proportion],TableauRecette[Recette],TableauRecette[[#This Row],[Recette]],TableauRecette[Conditionnement],TableauRecette[[#This Row],[Conditionnement]]),0)</f>
        <v>233</v>
      </c>
      <c r="I34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347" t="s">
        <v>341</v>
      </c>
      <c r="L347">
        <f>_xlfn.XLOOKUP(TableauRecette[[#This Row],[ID]],TableauProduit[ID],TableauProduit[Total (kg) N1],0,0,1)*_xlfn.XLOOKUP(TableauRecette[[#This Row],[ID]],TableauProduit[ID],TableauProduit[Total (kg) N1],0,0,1)</f>
        <v>1139.0625</v>
      </c>
      <c r="M347" t="e">
        <f>_xlfn.XLOOKUP(TableauRecette[[#This Row],[ID]],TableauProduit[ID],TableauProduit[Total (kg) N1],0,0,1)*_xlfn.XLOOKUP(TableauRecette[[#This Row],[ID]],TableauProduit[ID],TableauProduit[Total (kg) N2],0,0,1)</f>
        <v>#REF!</v>
      </c>
      <c r="N347" t="e">
        <f>_xlfn.XLOOKUP(TableauRecette[[#This Row],[ID]],TableauProduit[ID],TableauProduit[Total (kg) N3],0,0,1)*#REF!</f>
        <v>#REF!</v>
      </c>
      <c r="O347" t="e">
        <f>_xlfn.XLOOKUP(TableauRecette[[#This Row],[ID]],TableauProduit[ID],TableauProduit[Total (kg) N4],0,0,1)*#REF!</f>
        <v>#REF!</v>
      </c>
      <c r="P347" t="e">
        <f>_xlfn.XLOOKUP(TableauRecette[[#This Row],[ID]],TableauProduit[ID],TableauProduit[Total (kg) N5],0,0,1)*#REF!</f>
        <v>#REF!</v>
      </c>
      <c r="Q347" t="e">
        <f>_xlfn.XLOOKUP(TableauRecette[[#This Row],[ID]],TableauProduit[ID],TableauProduit[Total (kg) N6],0,0,1)*#REF!</f>
        <v>#REF!</v>
      </c>
      <c r="R347" t="e">
        <f>_xlfn.XLOOKUP(TableauRecette[[#This Row],[ID]],TableauProduit[ID],TableauProduit[Total (kg) N7],0,0,1)*#REF!</f>
        <v>#REF!</v>
      </c>
      <c r="S347" t="e">
        <f>_xlfn.XLOOKUP(TableauRecette[[#This Row],[ID]],TableauProduit[ID],TableauProduit[Total (kg) N8],0,0,1)*#REF!</f>
        <v>#REF!</v>
      </c>
      <c r="T347" t="e">
        <f>_xlfn.XLOOKUP(TableauRecette[[#This Row],[ID]],TableauProduit[ID],TableauProduit[Total (kg) N9],0,0,1)*#REF!</f>
        <v>#REF!</v>
      </c>
    </row>
    <row r="348" spans="1:20" x14ac:dyDescent="0.2">
      <c r="A348" t="s">
        <v>82</v>
      </c>
      <c r="B348" t="str">
        <f>TableauRecette[[#This Row],[Recette]]&amp;TableauRecette[[#This Row],[Conditionnement]]</f>
        <v>Sucre aux fleursEpice 100ml</v>
      </c>
      <c r="C348" t="s">
        <v>461</v>
      </c>
      <c r="D348">
        <v>1</v>
      </c>
      <c r="E348" t="s">
        <v>73</v>
      </c>
      <c r="F348">
        <f>IFERROR(TableauRecette[[#This Row],[Proportion]]/SUMIFS(TableauRecette[Proportion],TableauRecette[Recette],TableauRecette[[#This Row],[Recette]],TableauRecette[Conditionnement],TableauRecette[[#This Row],[Conditionnement]]),0)</f>
        <v>4.2918454935622317E-3</v>
      </c>
      <c r="G348">
        <f>IFERROR(_xlfn.XLOOKUP(TableauRecette[[#This Row],[Ingredients]],TableauIngredients[Ingredients],#REF!,0)*#REF!,0)</f>
        <v>0</v>
      </c>
      <c r="H348">
        <f>IFERROR(SUMIFS(TableauRecette[Proportion],TableauRecette[Recette],TableauRecette[[#This Row],[Recette]],TableauRecette[Conditionnement],TableauRecette[[#This Row],[Conditionnement]]),0)</f>
        <v>233</v>
      </c>
      <c r="I348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348" t="s">
        <v>341</v>
      </c>
      <c r="L348">
        <f>_xlfn.XLOOKUP(TableauRecette[[#This Row],[ID]],TableauProduit[ID],TableauProduit[Total (kg) N1],0,0,1)*_xlfn.XLOOKUP(TableauRecette[[#This Row],[ID]],TableauProduit[ID],TableauProduit[Total (kg) N1],0,0,1)</f>
        <v>1139.0625</v>
      </c>
      <c r="M348" t="e">
        <f>_xlfn.XLOOKUP(TableauRecette[[#This Row],[ID]],TableauProduit[ID],TableauProduit[Total (kg) N1],0,0,1)*_xlfn.XLOOKUP(TableauRecette[[#This Row],[ID]],TableauProduit[ID],TableauProduit[Total (kg) N2],0,0,1)</f>
        <v>#REF!</v>
      </c>
      <c r="N348" t="e">
        <f>_xlfn.XLOOKUP(TableauRecette[[#This Row],[ID]],TableauProduit[ID],TableauProduit[Total (kg) N3],0,0,1)*#REF!</f>
        <v>#REF!</v>
      </c>
      <c r="O348" t="e">
        <f>_xlfn.XLOOKUP(TableauRecette[[#This Row],[ID]],TableauProduit[ID],TableauProduit[Total (kg) N4],0,0,1)*#REF!</f>
        <v>#REF!</v>
      </c>
      <c r="P348" t="e">
        <f>_xlfn.XLOOKUP(TableauRecette[[#This Row],[ID]],TableauProduit[ID],TableauProduit[Total (kg) N5],0,0,1)*#REF!</f>
        <v>#REF!</v>
      </c>
      <c r="Q348" t="e">
        <f>_xlfn.XLOOKUP(TableauRecette[[#This Row],[ID]],TableauProduit[ID],TableauProduit[Total (kg) N6],0,0,1)*#REF!</f>
        <v>#REF!</v>
      </c>
      <c r="R348" t="e">
        <f>_xlfn.XLOOKUP(TableauRecette[[#This Row],[ID]],TableauProduit[ID],TableauProduit[Total (kg) N7],0,0,1)*#REF!</f>
        <v>#REF!</v>
      </c>
      <c r="S348" t="e">
        <f>_xlfn.XLOOKUP(TableauRecette[[#This Row],[ID]],TableauProduit[ID],TableauProduit[Total (kg) N8],0,0,1)*#REF!</f>
        <v>#REF!</v>
      </c>
      <c r="T348" t="e">
        <f>_xlfn.XLOOKUP(TableauRecette[[#This Row],[ID]],TableauProduit[ID],TableauProduit[Total (kg) N9],0,0,1)*#REF!</f>
        <v>#REF!</v>
      </c>
    </row>
    <row r="349" spans="1:20" x14ac:dyDescent="0.2">
      <c r="A349" t="s">
        <v>82</v>
      </c>
      <c r="B349" t="str">
        <f>TableauRecette[[#This Row],[Recette]]&amp;TableauRecette[[#This Row],[Conditionnement]]</f>
        <v>Sucre aux fleursEpice 100ml</v>
      </c>
      <c r="C349" t="s">
        <v>462</v>
      </c>
      <c r="D349">
        <v>1</v>
      </c>
      <c r="E349" t="s">
        <v>73</v>
      </c>
      <c r="F349">
        <f>IFERROR(TableauRecette[[#This Row],[Proportion]]/SUMIFS(TableauRecette[Proportion],TableauRecette[Recette],TableauRecette[[#This Row],[Recette]],TableauRecette[Conditionnement],TableauRecette[[#This Row],[Conditionnement]]),0)</f>
        <v>4.2918454935622317E-3</v>
      </c>
      <c r="G349">
        <f>IFERROR(_xlfn.XLOOKUP(TableauRecette[[#This Row],[Ingredients]],TableauIngredients[Ingredients],#REF!,0)*#REF!,0)</f>
        <v>0</v>
      </c>
      <c r="H349">
        <f>IFERROR(SUMIFS(TableauRecette[Proportion],TableauRecette[Recette],TableauRecette[[#This Row],[Recette]],TableauRecette[Conditionnement],TableauRecette[[#This Row],[Conditionnement]]),0)</f>
        <v>233</v>
      </c>
      <c r="I34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349" t="s">
        <v>341</v>
      </c>
      <c r="L349">
        <f>_xlfn.XLOOKUP(TableauRecette[[#This Row],[ID]],TableauProduit[ID],TableauProduit[Total (kg) N1],0,0,1)*_xlfn.XLOOKUP(TableauRecette[[#This Row],[ID]],TableauProduit[ID],TableauProduit[Total (kg) N1],0,0,1)</f>
        <v>1139.0625</v>
      </c>
      <c r="M349" t="e">
        <f>_xlfn.XLOOKUP(TableauRecette[[#This Row],[ID]],TableauProduit[ID],TableauProduit[Total (kg) N1],0,0,1)*_xlfn.XLOOKUP(TableauRecette[[#This Row],[ID]],TableauProduit[ID],TableauProduit[Total (kg) N2],0,0,1)</f>
        <v>#REF!</v>
      </c>
      <c r="N349" t="e">
        <f>_xlfn.XLOOKUP(TableauRecette[[#This Row],[ID]],TableauProduit[ID],TableauProduit[Total (kg) N3],0,0,1)*#REF!</f>
        <v>#REF!</v>
      </c>
      <c r="O349" t="e">
        <f>_xlfn.XLOOKUP(TableauRecette[[#This Row],[ID]],TableauProduit[ID],TableauProduit[Total (kg) N4],0,0,1)*#REF!</f>
        <v>#REF!</v>
      </c>
      <c r="P349" t="e">
        <f>_xlfn.XLOOKUP(TableauRecette[[#This Row],[ID]],TableauProduit[ID],TableauProduit[Total (kg) N5],0,0,1)*#REF!</f>
        <v>#REF!</v>
      </c>
      <c r="Q349" t="e">
        <f>_xlfn.XLOOKUP(TableauRecette[[#This Row],[ID]],TableauProduit[ID],TableauProduit[Total (kg) N6],0,0,1)*#REF!</f>
        <v>#REF!</v>
      </c>
      <c r="R349" t="e">
        <f>_xlfn.XLOOKUP(TableauRecette[[#This Row],[ID]],TableauProduit[ID],TableauProduit[Total (kg) N7],0,0,1)*#REF!</f>
        <v>#REF!</v>
      </c>
      <c r="S349" t="e">
        <f>_xlfn.XLOOKUP(TableauRecette[[#This Row],[ID]],TableauProduit[ID],TableauProduit[Total (kg) N8],0,0,1)*#REF!</f>
        <v>#REF!</v>
      </c>
      <c r="T349" t="e">
        <f>_xlfn.XLOOKUP(TableauRecette[[#This Row],[ID]],TableauProduit[ID],TableauProduit[Total (kg) N9],0,0,1)*#REF!</f>
        <v>#REF!</v>
      </c>
    </row>
    <row r="350" spans="1:20" x14ac:dyDescent="0.2">
      <c r="A350" t="s">
        <v>82</v>
      </c>
      <c r="B350" t="str">
        <f>TableauRecette[[#This Row],[Recette]]&amp;TableauRecette[[#This Row],[Conditionnement]]</f>
        <v>Sucre aux fleursEpice 100ml</v>
      </c>
      <c r="C350" t="s">
        <v>463</v>
      </c>
      <c r="D350">
        <v>1</v>
      </c>
      <c r="E350" t="s">
        <v>73</v>
      </c>
      <c r="F350">
        <f>IFERROR(TableauRecette[[#This Row],[Proportion]]/SUMIFS(TableauRecette[Proportion],TableauRecette[Recette],TableauRecette[[#This Row],[Recette]],TableauRecette[Conditionnement],TableauRecette[[#This Row],[Conditionnement]]),0)</f>
        <v>4.2918454935622317E-3</v>
      </c>
      <c r="G350">
        <f>IFERROR(_xlfn.XLOOKUP(TableauRecette[[#This Row],[Ingredients]],TableauIngredients[Ingredients],#REF!,0)*#REF!,0)</f>
        <v>0</v>
      </c>
      <c r="H350">
        <f>IFERROR(SUMIFS(TableauRecette[Proportion],TableauRecette[Recette],TableauRecette[[#This Row],[Recette]],TableauRecette[Conditionnement],TableauRecette[[#This Row],[Conditionnement]]),0)</f>
        <v>233</v>
      </c>
      <c r="I350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350" t="s">
        <v>341</v>
      </c>
      <c r="L350">
        <f>_xlfn.XLOOKUP(TableauRecette[[#This Row],[ID]],TableauProduit[ID],TableauProduit[Total (kg) N1],0,0,1)*_xlfn.XLOOKUP(TableauRecette[[#This Row],[ID]],TableauProduit[ID],TableauProduit[Total (kg) N1],0,0,1)</f>
        <v>1139.0625</v>
      </c>
      <c r="M350" t="e">
        <f>_xlfn.XLOOKUP(TableauRecette[[#This Row],[ID]],TableauProduit[ID],TableauProduit[Total (kg) N1],0,0,1)*_xlfn.XLOOKUP(TableauRecette[[#This Row],[ID]],TableauProduit[ID],TableauProduit[Total (kg) N2],0,0,1)</f>
        <v>#REF!</v>
      </c>
      <c r="N350" t="e">
        <f>_xlfn.XLOOKUP(TableauRecette[[#This Row],[ID]],TableauProduit[ID],TableauProduit[Total (kg) N3],0,0,1)*#REF!</f>
        <v>#REF!</v>
      </c>
      <c r="O350" t="e">
        <f>_xlfn.XLOOKUP(TableauRecette[[#This Row],[ID]],TableauProduit[ID],TableauProduit[Total (kg) N4],0,0,1)*#REF!</f>
        <v>#REF!</v>
      </c>
      <c r="P350" t="e">
        <f>_xlfn.XLOOKUP(TableauRecette[[#This Row],[ID]],TableauProduit[ID],TableauProduit[Total (kg) N5],0,0,1)*#REF!</f>
        <v>#REF!</v>
      </c>
      <c r="Q350" t="e">
        <f>_xlfn.XLOOKUP(TableauRecette[[#This Row],[ID]],TableauProduit[ID],TableauProduit[Total (kg) N6],0,0,1)*#REF!</f>
        <v>#REF!</v>
      </c>
      <c r="R350" t="e">
        <f>_xlfn.XLOOKUP(TableauRecette[[#This Row],[ID]],TableauProduit[ID],TableauProduit[Total (kg) N7],0,0,1)*#REF!</f>
        <v>#REF!</v>
      </c>
      <c r="S350" t="e">
        <f>_xlfn.XLOOKUP(TableauRecette[[#This Row],[ID]],TableauProduit[ID],TableauProduit[Total (kg) N8],0,0,1)*#REF!</f>
        <v>#REF!</v>
      </c>
      <c r="T350" t="e">
        <f>_xlfn.XLOOKUP(TableauRecette[[#This Row],[ID]],TableauProduit[ID],TableauProduit[Total (kg) N9],0,0,1)*#REF!</f>
        <v>#REF!</v>
      </c>
    </row>
    <row r="351" spans="1:20" x14ac:dyDescent="0.2">
      <c r="A351" t="s">
        <v>82</v>
      </c>
      <c r="B351" t="str">
        <f>TableauRecette[[#This Row],[Recette]]&amp;TableauRecette[[#This Row],[Conditionnement]]</f>
        <v>Sucre aux fleursEpice 100ml</v>
      </c>
      <c r="C351" t="s">
        <v>464</v>
      </c>
      <c r="D351">
        <v>1</v>
      </c>
      <c r="E351" t="s">
        <v>73</v>
      </c>
      <c r="F351">
        <f>IFERROR(TableauRecette[[#This Row],[Proportion]]/SUMIFS(TableauRecette[Proportion],TableauRecette[Recette],TableauRecette[[#This Row],[Recette]],TableauRecette[Conditionnement],TableauRecette[[#This Row],[Conditionnement]]),0)</f>
        <v>4.2918454935622317E-3</v>
      </c>
      <c r="G351">
        <f>IFERROR(_xlfn.XLOOKUP(TableauRecette[[#This Row],[Ingredients]],TableauIngredients[Ingredients],#REF!,0)*#REF!,0)</f>
        <v>0</v>
      </c>
      <c r="H351">
        <f>IFERROR(SUMIFS(TableauRecette[Proportion],TableauRecette[Recette],TableauRecette[[#This Row],[Recette]],TableauRecette[Conditionnement],TableauRecette[[#This Row],[Conditionnement]]),0)</f>
        <v>233</v>
      </c>
      <c r="I35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351" t="s">
        <v>341</v>
      </c>
      <c r="L351">
        <f>_xlfn.XLOOKUP(TableauRecette[[#This Row],[ID]],TableauProduit[ID],TableauProduit[Total (kg) N1],0,0,1)*_xlfn.XLOOKUP(TableauRecette[[#This Row],[ID]],TableauProduit[ID],TableauProduit[Total (kg) N1],0,0,1)</f>
        <v>1139.0625</v>
      </c>
      <c r="M351" t="e">
        <f>_xlfn.XLOOKUP(TableauRecette[[#This Row],[ID]],TableauProduit[ID],TableauProduit[Total (kg) N1],0,0,1)*_xlfn.XLOOKUP(TableauRecette[[#This Row],[ID]],TableauProduit[ID],TableauProduit[Total (kg) N2],0,0,1)</f>
        <v>#REF!</v>
      </c>
      <c r="N351" t="e">
        <f>_xlfn.XLOOKUP(TableauRecette[[#This Row],[ID]],TableauProduit[ID],TableauProduit[Total (kg) N3],0,0,1)*#REF!</f>
        <v>#REF!</v>
      </c>
      <c r="O351" t="e">
        <f>_xlfn.XLOOKUP(TableauRecette[[#This Row],[ID]],TableauProduit[ID],TableauProduit[Total (kg) N4],0,0,1)*#REF!</f>
        <v>#REF!</v>
      </c>
      <c r="P351" t="e">
        <f>_xlfn.XLOOKUP(TableauRecette[[#This Row],[ID]],TableauProduit[ID],TableauProduit[Total (kg) N5],0,0,1)*#REF!</f>
        <v>#REF!</v>
      </c>
      <c r="Q351" t="e">
        <f>_xlfn.XLOOKUP(TableauRecette[[#This Row],[ID]],TableauProduit[ID],TableauProduit[Total (kg) N6],0,0,1)*#REF!</f>
        <v>#REF!</v>
      </c>
      <c r="R351" t="e">
        <f>_xlfn.XLOOKUP(TableauRecette[[#This Row],[ID]],TableauProduit[ID],TableauProduit[Total (kg) N7],0,0,1)*#REF!</f>
        <v>#REF!</v>
      </c>
      <c r="S351" t="e">
        <f>_xlfn.XLOOKUP(TableauRecette[[#This Row],[ID]],TableauProduit[ID],TableauProduit[Total (kg) N8],0,0,1)*#REF!</f>
        <v>#REF!</v>
      </c>
      <c r="T351" t="e">
        <f>_xlfn.XLOOKUP(TableauRecette[[#This Row],[ID]],TableauProduit[ID],TableauProduit[Total (kg) N9],0,0,1)*#REF!</f>
        <v>#REF!</v>
      </c>
    </row>
    <row r="352" spans="1:20" x14ac:dyDescent="0.2">
      <c r="A352" t="s">
        <v>82</v>
      </c>
      <c r="B352" t="str">
        <f>TableauRecette[[#This Row],[Recette]]&amp;TableauRecette[[#This Row],[Conditionnement]]</f>
        <v>Sucre aux fleursEpice 100ml</v>
      </c>
      <c r="C352" t="s">
        <v>465</v>
      </c>
      <c r="D352">
        <v>1</v>
      </c>
      <c r="E352" t="s">
        <v>73</v>
      </c>
      <c r="F352">
        <f>IFERROR(TableauRecette[[#This Row],[Proportion]]/SUMIFS(TableauRecette[Proportion],TableauRecette[Recette],TableauRecette[[#This Row],[Recette]],TableauRecette[Conditionnement],TableauRecette[[#This Row],[Conditionnement]]),0)</f>
        <v>4.2918454935622317E-3</v>
      </c>
      <c r="G352">
        <f>IFERROR(_xlfn.XLOOKUP(TableauRecette[[#This Row],[Ingredients]],TableauIngredients[Ingredients],#REF!,0)*#REF!,0)</f>
        <v>0</v>
      </c>
      <c r="H352">
        <f>IFERROR(SUMIFS(TableauRecette[Proportion],TableauRecette[Recette],TableauRecette[[#This Row],[Recette]],TableauRecette[Conditionnement],TableauRecette[[#This Row],[Conditionnement]]),0)</f>
        <v>233</v>
      </c>
      <c r="I35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352" t="s">
        <v>341</v>
      </c>
      <c r="L352">
        <f>_xlfn.XLOOKUP(TableauRecette[[#This Row],[ID]],TableauProduit[ID],TableauProduit[Total (kg) N1],0,0,1)*_xlfn.XLOOKUP(TableauRecette[[#This Row],[ID]],TableauProduit[ID],TableauProduit[Total (kg) N1],0,0,1)</f>
        <v>1139.0625</v>
      </c>
      <c r="M352" t="e">
        <f>_xlfn.XLOOKUP(TableauRecette[[#This Row],[ID]],TableauProduit[ID],TableauProduit[Total (kg) N1],0,0,1)*_xlfn.XLOOKUP(TableauRecette[[#This Row],[ID]],TableauProduit[ID],TableauProduit[Total (kg) N2],0,0,1)</f>
        <v>#REF!</v>
      </c>
      <c r="N352" t="e">
        <f>_xlfn.XLOOKUP(TableauRecette[[#This Row],[ID]],TableauProduit[ID],TableauProduit[Total (kg) N3],0,0,1)*#REF!</f>
        <v>#REF!</v>
      </c>
      <c r="O352" t="e">
        <f>_xlfn.XLOOKUP(TableauRecette[[#This Row],[ID]],TableauProduit[ID],TableauProduit[Total (kg) N4],0,0,1)*#REF!</f>
        <v>#REF!</v>
      </c>
      <c r="P352" t="e">
        <f>_xlfn.XLOOKUP(TableauRecette[[#This Row],[ID]],TableauProduit[ID],TableauProduit[Total (kg) N5],0,0,1)*#REF!</f>
        <v>#REF!</v>
      </c>
      <c r="Q352" t="e">
        <f>_xlfn.XLOOKUP(TableauRecette[[#This Row],[ID]],TableauProduit[ID],TableauProduit[Total (kg) N6],0,0,1)*#REF!</f>
        <v>#REF!</v>
      </c>
      <c r="R352" t="e">
        <f>_xlfn.XLOOKUP(TableauRecette[[#This Row],[ID]],TableauProduit[ID],TableauProduit[Total (kg) N7],0,0,1)*#REF!</f>
        <v>#REF!</v>
      </c>
      <c r="S352" t="e">
        <f>_xlfn.XLOOKUP(TableauRecette[[#This Row],[ID]],TableauProduit[ID],TableauProduit[Total (kg) N8],0,0,1)*#REF!</f>
        <v>#REF!</v>
      </c>
      <c r="T352" t="e">
        <f>_xlfn.XLOOKUP(TableauRecette[[#This Row],[ID]],TableauProduit[ID],TableauProduit[Total (kg) N9],0,0,1)*#REF!</f>
        <v>#REF!</v>
      </c>
    </row>
    <row r="353" spans="1:20" x14ac:dyDescent="0.2">
      <c r="A353" t="s">
        <v>82</v>
      </c>
      <c r="B353" t="str">
        <f>TableauRecette[[#This Row],[Recette]]&amp;TableauRecette[[#This Row],[Conditionnement]]</f>
        <v>Sucre aux fleursEpice 100ml</v>
      </c>
      <c r="C353" t="s">
        <v>466</v>
      </c>
      <c r="D353">
        <v>1</v>
      </c>
      <c r="E353" t="s">
        <v>73</v>
      </c>
      <c r="F353">
        <f>IFERROR(TableauRecette[[#This Row],[Proportion]]/SUMIFS(TableauRecette[Proportion],TableauRecette[Recette],TableauRecette[[#This Row],[Recette]],TableauRecette[Conditionnement],TableauRecette[[#This Row],[Conditionnement]]),0)</f>
        <v>4.2918454935622317E-3</v>
      </c>
      <c r="G353">
        <f>IFERROR(_xlfn.XLOOKUP(TableauRecette[[#This Row],[Ingredients]],TableauIngredients[Ingredients],#REF!,0)*#REF!,0)</f>
        <v>0</v>
      </c>
      <c r="H353">
        <f>IFERROR(SUMIFS(TableauRecette[Proportion],TableauRecette[Recette],TableauRecette[[#This Row],[Recette]],TableauRecette[Conditionnement],TableauRecette[[#This Row],[Conditionnement]]),0)</f>
        <v>233</v>
      </c>
      <c r="I353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353" t="s">
        <v>341</v>
      </c>
      <c r="L353">
        <f>_xlfn.XLOOKUP(TableauRecette[[#This Row],[ID]],TableauProduit[ID],TableauProduit[Total (kg) N1],0,0,1)*_xlfn.XLOOKUP(TableauRecette[[#This Row],[ID]],TableauProduit[ID],TableauProduit[Total (kg) N1],0,0,1)</f>
        <v>1139.0625</v>
      </c>
      <c r="M353" t="e">
        <f>_xlfn.XLOOKUP(TableauRecette[[#This Row],[ID]],TableauProduit[ID],TableauProduit[Total (kg) N1],0,0,1)*_xlfn.XLOOKUP(TableauRecette[[#This Row],[ID]],TableauProduit[ID],TableauProduit[Total (kg) N2],0,0,1)</f>
        <v>#REF!</v>
      </c>
      <c r="N353" t="e">
        <f>_xlfn.XLOOKUP(TableauRecette[[#This Row],[ID]],TableauProduit[ID],TableauProduit[Total (kg) N3],0,0,1)*#REF!</f>
        <v>#REF!</v>
      </c>
      <c r="O353" t="e">
        <f>_xlfn.XLOOKUP(TableauRecette[[#This Row],[ID]],TableauProduit[ID],TableauProduit[Total (kg) N4],0,0,1)*#REF!</f>
        <v>#REF!</v>
      </c>
      <c r="P353" t="e">
        <f>_xlfn.XLOOKUP(TableauRecette[[#This Row],[ID]],TableauProduit[ID],TableauProduit[Total (kg) N5],0,0,1)*#REF!</f>
        <v>#REF!</v>
      </c>
      <c r="Q353" t="e">
        <f>_xlfn.XLOOKUP(TableauRecette[[#This Row],[ID]],TableauProduit[ID],TableauProduit[Total (kg) N6],0,0,1)*#REF!</f>
        <v>#REF!</v>
      </c>
      <c r="R353" t="e">
        <f>_xlfn.XLOOKUP(TableauRecette[[#This Row],[ID]],TableauProduit[ID],TableauProduit[Total (kg) N7],0,0,1)*#REF!</f>
        <v>#REF!</v>
      </c>
      <c r="S353" t="e">
        <f>_xlfn.XLOOKUP(TableauRecette[[#This Row],[ID]],TableauProduit[ID],TableauProduit[Total (kg) N8],0,0,1)*#REF!</f>
        <v>#REF!</v>
      </c>
      <c r="T353" t="e">
        <f>_xlfn.XLOOKUP(TableauRecette[[#This Row],[ID]],TableauProduit[ID],TableauProduit[Total (kg) N9],0,0,1)*#REF!</f>
        <v>#REF!</v>
      </c>
    </row>
    <row r="354" spans="1:20" x14ac:dyDescent="0.2">
      <c r="A354" t="s">
        <v>82</v>
      </c>
      <c r="B354" t="str">
        <f>TableauRecette[[#This Row],[Recette]]&amp;TableauRecette[[#This Row],[Conditionnement]]</f>
        <v>Sucre aux fleursEpice 100ml</v>
      </c>
      <c r="C354" t="s">
        <v>467</v>
      </c>
      <c r="D354">
        <v>1</v>
      </c>
      <c r="E354" t="s">
        <v>73</v>
      </c>
      <c r="F354">
        <f>IFERROR(TableauRecette[[#This Row],[Proportion]]/SUMIFS(TableauRecette[Proportion],TableauRecette[Recette],TableauRecette[[#This Row],[Recette]],TableauRecette[Conditionnement],TableauRecette[[#This Row],[Conditionnement]]),0)</f>
        <v>4.2918454935622317E-3</v>
      </c>
      <c r="G354">
        <f>IFERROR(_xlfn.XLOOKUP(TableauRecette[[#This Row],[Ingredients]],TableauIngredients[Ingredients],#REF!,0)*#REF!,0)</f>
        <v>0</v>
      </c>
      <c r="H354">
        <f>IFERROR(SUMIFS(TableauRecette[Proportion],TableauRecette[Recette],TableauRecette[[#This Row],[Recette]],TableauRecette[Conditionnement],TableauRecette[[#This Row],[Conditionnement]]),0)</f>
        <v>233</v>
      </c>
      <c r="I354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354" t="s">
        <v>341</v>
      </c>
      <c r="L354">
        <f>_xlfn.XLOOKUP(TableauRecette[[#This Row],[ID]],TableauProduit[ID],TableauProduit[Total (kg) N1],0,0,1)*_xlfn.XLOOKUP(TableauRecette[[#This Row],[ID]],TableauProduit[ID],TableauProduit[Total (kg) N1],0,0,1)</f>
        <v>1139.0625</v>
      </c>
      <c r="M354" t="e">
        <f>_xlfn.XLOOKUP(TableauRecette[[#This Row],[ID]],TableauProduit[ID],TableauProduit[Total (kg) N1],0,0,1)*_xlfn.XLOOKUP(TableauRecette[[#This Row],[ID]],TableauProduit[ID],TableauProduit[Total (kg) N2],0,0,1)</f>
        <v>#REF!</v>
      </c>
      <c r="N354" t="e">
        <f>_xlfn.XLOOKUP(TableauRecette[[#This Row],[ID]],TableauProduit[ID],TableauProduit[Total (kg) N3],0,0,1)*#REF!</f>
        <v>#REF!</v>
      </c>
      <c r="O354" t="e">
        <f>_xlfn.XLOOKUP(TableauRecette[[#This Row],[ID]],TableauProduit[ID],TableauProduit[Total (kg) N4],0,0,1)*#REF!</f>
        <v>#REF!</v>
      </c>
      <c r="P354" t="e">
        <f>_xlfn.XLOOKUP(TableauRecette[[#This Row],[ID]],TableauProduit[ID],TableauProduit[Total (kg) N5],0,0,1)*#REF!</f>
        <v>#REF!</v>
      </c>
      <c r="Q354" t="e">
        <f>_xlfn.XLOOKUP(TableauRecette[[#This Row],[ID]],TableauProduit[ID],TableauProduit[Total (kg) N6],0,0,1)*#REF!</f>
        <v>#REF!</v>
      </c>
      <c r="R354" t="e">
        <f>_xlfn.XLOOKUP(TableauRecette[[#This Row],[ID]],TableauProduit[ID],TableauProduit[Total (kg) N7],0,0,1)*#REF!</f>
        <v>#REF!</v>
      </c>
      <c r="S354" t="e">
        <f>_xlfn.XLOOKUP(TableauRecette[[#This Row],[ID]],TableauProduit[ID],TableauProduit[Total (kg) N8],0,0,1)*#REF!</f>
        <v>#REF!</v>
      </c>
      <c r="T354" t="e">
        <f>_xlfn.XLOOKUP(TableauRecette[[#This Row],[ID]],TableauProduit[ID],TableauProduit[Total (kg) N9],0,0,1)*#REF!</f>
        <v>#REF!</v>
      </c>
    </row>
    <row r="355" spans="1:20" x14ac:dyDescent="0.2">
      <c r="A355" t="s">
        <v>82</v>
      </c>
      <c r="B355" t="str">
        <f>TableauRecette[[#This Row],[Recette]]&amp;TableauRecette[[#This Row],[Conditionnement]]</f>
        <v>Sucre aux fleursEpice 100ml</v>
      </c>
      <c r="C355" t="s">
        <v>468</v>
      </c>
      <c r="D355">
        <v>1</v>
      </c>
      <c r="E355" t="s">
        <v>73</v>
      </c>
      <c r="F355">
        <f>IFERROR(TableauRecette[[#This Row],[Proportion]]/SUMIFS(TableauRecette[Proportion],TableauRecette[Recette],TableauRecette[[#This Row],[Recette]],TableauRecette[Conditionnement],TableauRecette[[#This Row],[Conditionnement]]),0)</f>
        <v>4.2918454935622317E-3</v>
      </c>
      <c r="G355">
        <f>IFERROR(_xlfn.XLOOKUP(TableauRecette[[#This Row],[Ingredients]],TableauIngredients[Ingredients],#REF!,0)*#REF!,0)</f>
        <v>0</v>
      </c>
      <c r="H355">
        <f>IFERROR(SUMIFS(TableauRecette[Proportion],TableauRecette[Recette],TableauRecette[[#This Row],[Recette]],TableauRecette[Conditionnement],TableauRecette[[#This Row],[Conditionnement]]),0)</f>
        <v>233</v>
      </c>
      <c r="I35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355" t="s">
        <v>341</v>
      </c>
      <c r="L355">
        <f>_xlfn.XLOOKUP(TableauRecette[[#This Row],[ID]],TableauProduit[ID],TableauProduit[Total (kg) N1],0,0,1)*_xlfn.XLOOKUP(TableauRecette[[#This Row],[ID]],TableauProduit[ID],TableauProduit[Total (kg) N1],0,0,1)</f>
        <v>1139.0625</v>
      </c>
      <c r="M355" t="e">
        <f>_xlfn.XLOOKUP(TableauRecette[[#This Row],[ID]],TableauProduit[ID],TableauProduit[Total (kg) N1],0,0,1)*_xlfn.XLOOKUP(TableauRecette[[#This Row],[ID]],TableauProduit[ID],TableauProduit[Total (kg) N2],0,0,1)</f>
        <v>#REF!</v>
      </c>
      <c r="N355" t="e">
        <f>_xlfn.XLOOKUP(TableauRecette[[#This Row],[ID]],TableauProduit[ID],TableauProduit[Total (kg) N3],0,0,1)*#REF!</f>
        <v>#REF!</v>
      </c>
      <c r="O355" t="e">
        <f>_xlfn.XLOOKUP(TableauRecette[[#This Row],[ID]],TableauProduit[ID],TableauProduit[Total (kg) N4],0,0,1)*#REF!</f>
        <v>#REF!</v>
      </c>
      <c r="P355" t="e">
        <f>_xlfn.XLOOKUP(TableauRecette[[#This Row],[ID]],TableauProduit[ID],TableauProduit[Total (kg) N5],0,0,1)*#REF!</f>
        <v>#REF!</v>
      </c>
      <c r="Q355" t="e">
        <f>_xlfn.XLOOKUP(TableauRecette[[#This Row],[ID]],TableauProduit[ID],TableauProduit[Total (kg) N6],0,0,1)*#REF!</f>
        <v>#REF!</v>
      </c>
      <c r="R355" t="e">
        <f>_xlfn.XLOOKUP(TableauRecette[[#This Row],[ID]],TableauProduit[ID],TableauProduit[Total (kg) N7],0,0,1)*#REF!</f>
        <v>#REF!</v>
      </c>
      <c r="S355" t="e">
        <f>_xlfn.XLOOKUP(TableauRecette[[#This Row],[ID]],TableauProduit[ID],TableauProduit[Total (kg) N8],0,0,1)*#REF!</f>
        <v>#REF!</v>
      </c>
      <c r="T355" t="e">
        <f>_xlfn.XLOOKUP(TableauRecette[[#This Row],[ID]],TableauProduit[ID],TableauProduit[Total (kg) N9],0,0,1)*#REF!</f>
        <v>#REF!</v>
      </c>
    </row>
    <row r="356" spans="1:20" x14ac:dyDescent="0.2">
      <c r="A356" t="s">
        <v>142</v>
      </c>
      <c r="B356" t="str">
        <f>TableauRecette[[#This Row],[Recette]]&amp;TableauRecette[[#This Row],[Conditionnement]]</f>
        <v>Sucre de roseEpice 100ml</v>
      </c>
      <c r="C356" t="s">
        <v>469</v>
      </c>
      <c r="D356">
        <v>6</v>
      </c>
      <c r="E356" t="s">
        <v>73</v>
      </c>
      <c r="F356">
        <f>IFERROR(TableauRecette[[#This Row],[Proportion]]/SUMIFS(TableauRecette[Proportion],TableauRecette[Recette],TableauRecette[[#This Row],[Recette]],TableauRecette[Conditionnement],TableauRecette[[#This Row],[Conditionnement]]),0)</f>
        <v>0.06</v>
      </c>
      <c r="G356">
        <f>IFERROR(_xlfn.XLOOKUP(TableauRecette[[#This Row],[Ingredients]],TableauIngredients[Ingredients],#REF!,0)*#REF!,0)</f>
        <v>0</v>
      </c>
      <c r="H356">
        <f>IFERROR(SUMIFS(TableauRecette[Proportion],TableauRecette[Recette],TableauRecette[[#This Row],[Recette]],TableauRecette[Conditionnement],TableauRecette[[#This Row],[Conditionnement]]),0)</f>
        <v>100</v>
      </c>
      <c r="I35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56">
        <f>_xlfn.XLOOKUP(TableauRecette[[#This Row],[ID]],TableauProduit[ID],TableauProduit[Total (kg) N1],0,0,1)*_xlfn.XLOOKUP(TableauRecette[[#This Row],[ID]],TableauProduit[ID],TableauProduit[Total (kg) N1],0,0,1)</f>
        <v>0</v>
      </c>
      <c r="M356" t="e">
        <f>_xlfn.XLOOKUP(TableauRecette[[#This Row],[ID]],TableauProduit[ID],TableauProduit[Total (kg) N1],0,0,1)*_xlfn.XLOOKUP(TableauRecette[[#This Row],[ID]],TableauProduit[ID],TableauProduit[Total (kg) N2],0,0,1)</f>
        <v>#REF!</v>
      </c>
      <c r="N356" t="e">
        <f>_xlfn.XLOOKUP(TableauRecette[[#This Row],[ID]],TableauProduit[ID],TableauProduit[Total (kg) N3],0,0,1)*#REF!</f>
        <v>#REF!</v>
      </c>
      <c r="O356" t="e">
        <f>_xlfn.XLOOKUP(TableauRecette[[#This Row],[ID]],TableauProduit[ID],TableauProduit[Total (kg) N4],0,0,1)*#REF!</f>
        <v>#REF!</v>
      </c>
      <c r="P356" t="e">
        <f>_xlfn.XLOOKUP(TableauRecette[[#This Row],[ID]],TableauProduit[ID],TableauProduit[Total (kg) N5],0,0,1)*#REF!</f>
        <v>#REF!</v>
      </c>
      <c r="Q356" t="e">
        <f>_xlfn.XLOOKUP(TableauRecette[[#This Row],[ID]],TableauProduit[ID],TableauProduit[Total (kg) N6],0,0,1)*#REF!</f>
        <v>#REF!</v>
      </c>
      <c r="R356" t="e">
        <f>_xlfn.XLOOKUP(TableauRecette[[#This Row],[ID]],TableauProduit[ID],TableauProduit[Total (kg) N7],0,0,1)*#REF!</f>
        <v>#REF!</v>
      </c>
      <c r="S356" t="e">
        <f>_xlfn.XLOOKUP(TableauRecette[[#This Row],[ID]],TableauProduit[ID],TableauProduit[Total (kg) N8],0,0,1)*#REF!</f>
        <v>#REF!</v>
      </c>
      <c r="T356" t="e">
        <f>_xlfn.XLOOKUP(TableauRecette[[#This Row],[ID]],TableauProduit[ID],TableauProduit[Total (kg) N9],0,0,1)*#REF!</f>
        <v>#REF!</v>
      </c>
    </row>
    <row r="357" spans="1:20" x14ac:dyDescent="0.2">
      <c r="A357" t="s">
        <v>142</v>
      </c>
      <c r="B357" t="str">
        <f>TableauRecette[[#This Row],[Recette]]&amp;TableauRecette[[#This Row],[Conditionnement]]</f>
        <v>Sucre de roseEpice 100ml</v>
      </c>
      <c r="C357" t="s">
        <v>442</v>
      </c>
      <c r="D357">
        <v>94</v>
      </c>
      <c r="E357" t="s">
        <v>73</v>
      </c>
      <c r="F357">
        <f>IFERROR(TableauRecette[[#This Row],[Proportion]]/SUMIFS(TableauRecette[Proportion],TableauRecette[Recette],TableauRecette[[#This Row],[Recette]],TableauRecette[Conditionnement],TableauRecette[[#This Row],[Conditionnement]]),0)</f>
        <v>0.94</v>
      </c>
      <c r="G357">
        <f>IFERROR(_xlfn.XLOOKUP(TableauRecette[[#This Row],[Ingredients]],TableauIngredients[Ingredients],#REF!,0)*#REF!,0)</f>
        <v>0</v>
      </c>
      <c r="H357">
        <f>IFERROR(SUMIFS(TableauRecette[Proportion],TableauRecette[Recette],TableauRecette[[#This Row],[Recette]],TableauRecette[Conditionnement],TableauRecette[[#This Row],[Conditionnement]]),0)</f>
        <v>100</v>
      </c>
      <c r="I35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57">
        <f>_xlfn.XLOOKUP(TableauRecette[[#This Row],[ID]],TableauProduit[ID],TableauProduit[Total (kg) N1],0,0,1)*_xlfn.XLOOKUP(TableauRecette[[#This Row],[ID]],TableauProduit[ID],TableauProduit[Total (kg) N1],0,0,1)</f>
        <v>0</v>
      </c>
      <c r="M357" t="e">
        <f>_xlfn.XLOOKUP(TableauRecette[[#This Row],[ID]],TableauProduit[ID],TableauProduit[Total (kg) N1],0,0,1)*_xlfn.XLOOKUP(TableauRecette[[#This Row],[ID]],TableauProduit[ID],TableauProduit[Total (kg) N2],0,0,1)</f>
        <v>#REF!</v>
      </c>
      <c r="N357" t="e">
        <f>_xlfn.XLOOKUP(TableauRecette[[#This Row],[ID]],TableauProduit[ID],TableauProduit[Total (kg) N3],0,0,1)*#REF!</f>
        <v>#REF!</v>
      </c>
      <c r="O357" t="e">
        <f>_xlfn.XLOOKUP(TableauRecette[[#This Row],[ID]],TableauProduit[ID],TableauProduit[Total (kg) N4],0,0,1)*#REF!</f>
        <v>#REF!</v>
      </c>
      <c r="P357" t="e">
        <f>_xlfn.XLOOKUP(TableauRecette[[#This Row],[ID]],TableauProduit[ID],TableauProduit[Total (kg) N5],0,0,1)*#REF!</f>
        <v>#REF!</v>
      </c>
      <c r="Q357" t="e">
        <f>_xlfn.XLOOKUP(TableauRecette[[#This Row],[ID]],TableauProduit[ID],TableauProduit[Total (kg) N6],0,0,1)*#REF!</f>
        <v>#REF!</v>
      </c>
      <c r="R357" t="e">
        <f>_xlfn.XLOOKUP(TableauRecette[[#This Row],[ID]],TableauProduit[ID],TableauProduit[Total (kg) N7],0,0,1)*#REF!</f>
        <v>#REF!</v>
      </c>
      <c r="S357" t="e">
        <f>_xlfn.XLOOKUP(TableauRecette[[#This Row],[ID]],TableauProduit[ID],TableauProduit[Total (kg) N8],0,0,1)*#REF!</f>
        <v>#REF!</v>
      </c>
      <c r="T357" t="e">
        <f>_xlfn.XLOOKUP(TableauRecette[[#This Row],[ID]],TableauProduit[ID],TableauProduit[Total (kg) N9],0,0,1)*#REF!</f>
        <v>#REF!</v>
      </c>
    </row>
    <row r="358" spans="1:20" x14ac:dyDescent="0.2">
      <c r="A358" t="s">
        <v>118</v>
      </c>
      <c r="B358" t="str">
        <f>TableauRecette[[#This Row],[Recette]]&amp;TableauRecette[[#This Row],[Conditionnement]]</f>
        <v>Suya ghanéenEpice 100ml</v>
      </c>
      <c r="C358" t="s">
        <v>372</v>
      </c>
      <c r="D358">
        <v>5</v>
      </c>
      <c r="E358" t="s">
        <v>73</v>
      </c>
      <c r="F358">
        <f>IFERROR(TableauRecette[[#This Row],[Proportion]]/SUMIFS(TableauRecette[Proportion],TableauRecette[Recette],TableauRecette[[#This Row],[Recette]],TableauRecette[Conditionnement],TableauRecette[[#This Row],[Conditionnement]]),0)</f>
        <v>5.0505050505050504E-2</v>
      </c>
      <c r="G358">
        <f>IFERROR(_xlfn.XLOOKUP(TableauRecette[[#This Row],[Ingredients]],TableauIngredients[Ingredients],#REF!,0)*#REF!,0)</f>
        <v>0</v>
      </c>
      <c r="H358">
        <f>IFERROR(SUMIFS(TableauRecette[Proportion],TableauRecette[Recette],TableauRecette[[#This Row],[Recette]],TableauRecette[Conditionnement],TableauRecette[[#This Row],[Conditionnement]]),0)</f>
        <v>99</v>
      </c>
      <c r="I358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58">
        <f>_xlfn.XLOOKUP(TableauRecette[[#This Row],[ID]],TableauProduit[ID],TableauProduit[Total (kg) N1],0,0,1)*_xlfn.XLOOKUP(TableauRecette[[#This Row],[ID]],TableauProduit[ID],TableauProduit[Total (kg) N1],0,0,1)</f>
        <v>0</v>
      </c>
      <c r="M358" t="e">
        <f>_xlfn.XLOOKUP(TableauRecette[[#This Row],[ID]],TableauProduit[ID],TableauProduit[Total (kg) N1],0,0,1)*_xlfn.XLOOKUP(TableauRecette[[#This Row],[ID]],TableauProduit[ID],TableauProduit[Total (kg) N2],0,0,1)</f>
        <v>#REF!</v>
      </c>
      <c r="N358" t="e">
        <f>_xlfn.XLOOKUP(TableauRecette[[#This Row],[ID]],TableauProduit[ID],TableauProduit[Total (kg) N3],0,0,1)*#REF!</f>
        <v>#REF!</v>
      </c>
      <c r="O358" t="e">
        <f>_xlfn.XLOOKUP(TableauRecette[[#This Row],[ID]],TableauProduit[ID],TableauProduit[Total (kg) N4],0,0,1)*#REF!</f>
        <v>#REF!</v>
      </c>
      <c r="P358" t="e">
        <f>_xlfn.XLOOKUP(TableauRecette[[#This Row],[ID]],TableauProduit[ID],TableauProduit[Total (kg) N5],0,0,1)*#REF!</f>
        <v>#REF!</v>
      </c>
      <c r="Q358" t="e">
        <f>_xlfn.XLOOKUP(TableauRecette[[#This Row],[ID]],TableauProduit[ID],TableauProduit[Total (kg) N6],0,0,1)*#REF!</f>
        <v>#REF!</v>
      </c>
      <c r="R358" t="e">
        <f>_xlfn.XLOOKUP(TableauRecette[[#This Row],[ID]],TableauProduit[ID],TableauProduit[Total (kg) N7],0,0,1)*#REF!</f>
        <v>#REF!</v>
      </c>
      <c r="S358" t="e">
        <f>_xlfn.XLOOKUP(TableauRecette[[#This Row],[ID]],TableauProduit[ID],TableauProduit[Total (kg) N8],0,0,1)*#REF!</f>
        <v>#REF!</v>
      </c>
      <c r="T358" t="e">
        <f>_xlfn.XLOOKUP(TableauRecette[[#This Row],[ID]],TableauProduit[ID],TableauProduit[Total (kg) N9],0,0,1)*#REF!</f>
        <v>#REF!</v>
      </c>
    </row>
    <row r="359" spans="1:20" x14ac:dyDescent="0.2">
      <c r="A359" t="s">
        <v>118</v>
      </c>
      <c r="B359" t="str">
        <f>TableauRecette[[#This Row],[Recette]]&amp;TableauRecette[[#This Row],[Conditionnement]]</f>
        <v>Suya ghanéenEpice 100ml</v>
      </c>
      <c r="C359" t="s">
        <v>345</v>
      </c>
      <c r="D359">
        <v>25</v>
      </c>
      <c r="E359" t="s">
        <v>73</v>
      </c>
      <c r="F359">
        <f>IFERROR(TableauRecette[[#This Row],[Proportion]]/SUMIFS(TableauRecette[Proportion],TableauRecette[Recette],TableauRecette[[#This Row],[Recette]],TableauRecette[Conditionnement],TableauRecette[[#This Row],[Conditionnement]]),0)</f>
        <v>0.25252525252525254</v>
      </c>
      <c r="G359">
        <f>IFERROR(_xlfn.XLOOKUP(TableauRecette[[#This Row],[Ingredients]],TableauIngredients[Ingredients],#REF!,0)*#REF!,0)</f>
        <v>0</v>
      </c>
      <c r="H359">
        <f>IFERROR(SUMIFS(TableauRecette[Proportion],TableauRecette[Recette],TableauRecette[[#This Row],[Recette]],TableauRecette[Conditionnement],TableauRecette[[#This Row],[Conditionnement]]),0)</f>
        <v>99</v>
      </c>
      <c r="I35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359" t="s">
        <v>341</v>
      </c>
      <c r="L359">
        <f>_xlfn.XLOOKUP(TableauRecette[[#This Row],[ID]],TableauProduit[ID],TableauProduit[Total (kg) N1],0,0,1)*_xlfn.XLOOKUP(TableauRecette[[#This Row],[ID]],TableauProduit[ID],TableauProduit[Total (kg) N1],0,0,1)</f>
        <v>0</v>
      </c>
      <c r="M359" t="e">
        <f>_xlfn.XLOOKUP(TableauRecette[[#This Row],[ID]],TableauProduit[ID],TableauProduit[Total (kg) N1],0,0,1)*_xlfn.XLOOKUP(TableauRecette[[#This Row],[ID]],TableauProduit[ID],TableauProduit[Total (kg) N2],0,0,1)</f>
        <v>#REF!</v>
      </c>
      <c r="N359" t="e">
        <f>_xlfn.XLOOKUP(TableauRecette[[#This Row],[ID]],TableauProduit[ID],TableauProduit[Total (kg) N3],0,0,1)*#REF!</f>
        <v>#REF!</v>
      </c>
      <c r="O359" t="e">
        <f>_xlfn.XLOOKUP(TableauRecette[[#This Row],[ID]],TableauProduit[ID],TableauProduit[Total (kg) N4],0,0,1)*#REF!</f>
        <v>#REF!</v>
      </c>
      <c r="P359" t="e">
        <f>_xlfn.XLOOKUP(TableauRecette[[#This Row],[ID]],TableauProduit[ID],TableauProduit[Total (kg) N5],0,0,1)*#REF!</f>
        <v>#REF!</v>
      </c>
      <c r="Q359" t="e">
        <f>_xlfn.XLOOKUP(TableauRecette[[#This Row],[ID]],TableauProduit[ID],TableauProduit[Total (kg) N6],0,0,1)*#REF!</f>
        <v>#REF!</v>
      </c>
      <c r="R359" t="e">
        <f>_xlfn.XLOOKUP(TableauRecette[[#This Row],[ID]],TableauProduit[ID],TableauProduit[Total (kg) N7],0,0,1)*#REF!</f>
        <v>#REF!</v>
      </c>
      <c r="S359" t="e">
        <f>_xlfn.XLOOKUP(TableauRecette[[#This Row],[ID]],TableauProduit[ID],TableauProduit[Total (kg) N8],0,0,1)*#REF!</f>
        <v>#REF!</v>
      </c>
      <c r="T359" t="e">
        <f>_xlfn.XLOOKUP(TableauRecette[[#This Row],[ID]],TableauProduit[ID],TableauProduit[Total (kg) N9],0,0,1)*#REF!</f>
        <v>#REF!</v>
      </c>
    </row>
    <row r="360" spans="1:20" x14ac:dyDescent="0.2">
      <c r="A360" t="s">
        <v>118</v>
      </c>
      <c r="B360" t="str">
        <f>TableauRecette[[#This Row],[Recette]]&amp;TableauRecette[[#This Row],[Conditionnement]]</f>
        <v>Suya ghanéenEpice 100ml</v>
      </c>
      <c r="C360" t="s">
        <v>470</v>
      </c>
      <c r="D360">
        <v>30</v>
      </c>
      <c r="E360" t="s">
        <v>73</v>
      </c>
      <c r="F360">
        <f>IFERROR(TableauRecette[[#This Row],[Proportion]]/SUMIFS(TableauRecette[Proportion],TableauRecette[Recette],TableauRecette[[#This Row],[Recette]],TableauRecette[Conditionnement],TableauRecette[[#This Row],[Conditionnement]]),0)</f>
        <v>0.30303030303030304</v>
      </c>
      <c r="G360">
        <f>IFERROR(_xlfn.XLOOKUP(TableauRecette[[#This Row],[Ingredients]],TableauIngredients[Ingredients],#REF!,0)*#REF!,0)</f>
        <v>0</v>
      </c>
      <c r="H360">
        <f>IFERROR(SUMIFS(TableauRecette[Proportion],TableauRecette[Recette],TableauRecette[[#This Row],[Recette]],TableauRecette[Conditionnement],TableauRecette[[#This Row],[Conditionnement]]),0)</f>
        <v>99</v>
      </c>
      <c r="I360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60">
        <f>_xlfn.XLOOKUP(TableauRecette[[#This Row],[ID]],TableauProduit[ID],TableauProduit[Total (kg) N1],0,0,1)*_xlfn.XLOOKUP(TableauRecette[[#This Row],[ID]],TableauProduit[ID],TableauProduit[Total (kg) N1],0,0,1)</f>
        <v>0</v>
      </c>
      <c r="M360" t="e">
        <f>_xlfn.XLOOKUP(TableauRecette[[#This Row],[ID]],TableauProduit[ID],TableauProduit[Total (kg) N1],0,0,1)*_xlfn.XLOOKUP(TableauRecette[[#This Row],[ID]],TableauProduit[ID],TableauProduit[Total (kg) N2],0,0,1)</f>
        <v>#REF!</v>
      </c>
      <c r="N360" t="e">
        <f>_xlfn.XLOOKUP(TableauRecette[[#This Row],[ID]],TableauProduit[ID],TableauProduit[Total (kg) N3],0,0,1)*#REF!</f>
        <v>#REF!</v>
      </c>
      <c r="O360" t="e">
        <f>_xlfn.XLOOKUP(TableauRecette[[#This Row],[ID]],TableauProduit[ID],TableauProduit[Total (kg) N4],0,0,1)*#REF!</f>
        <v>#REF!</v>
      </c>
      <c r="P360" t="e">
        <f>_xlfn.XLOOKUP(TableauRecette[[#This Row],[ID]],TableauProduit[ID],TableauProduit[Total (kg) N5],0,0,1)*#REF!</f>
        <v>#REF!</v>
      </c>
      <c r="Q360" t="e">
        <f>_xlfn.XLOOKUP(TableauRecette[[#This Row],[ID]],TableauProduit[ID],TableauProduit[Total (kg) N6],0,0,1)*#REF!</f>
        <v>#REF!</v>
      </c>
      <c r="R360" t="e">
        <f>_xlfn.XLOOKUP(TableauRecette[[#This Row],[ID]],TableauProduit[ID],TableauProduit[Total (kg) N7],0,0,1)*#REF!</f>
        <v>#REF!</v>
      </c>
      <c r="S360" t="e">
        <f>_xlfn.XLOOKUP(TableauRecette[[#This Row],[ID]],TableauProduit[ID],TableauProduit[Total (kg) N8],0,0,1)*#REF!</f>
        <v>#REF!</v>
      </c>
      <c r="T360" t="e">
        <f>_xlfn.XLOOKUP(TableauRecette[[#This Row],[ID]],TableauProduit[ID],TableauProduit[Total (kg) N9],0,0,1)*#REF!</f>
        <v>#REF!</v>
      </c>
    </row>
    <row r="361" spans="1:20" x14ac:dyDescent="0.2">
      <c r="A361" t="s">
        <v>118</v>
      </c>
      <c r="B361" t="str">
        <f>TableauRecette[[#This Row],[Recette]]&amp;TableauRecette[[#This Row],[Conditionnement]]</f>
        <v>Suya ghanéenEpice 100ml</v>
      </c>
      <c r="C361" t="s">
        <v>471</v>
      </c>
      <c r="D361">
        <v>10</v>
      </c>
      <c r="E361" t="s">
        <v>73</v>
      </c>
      <c r="F361">
        <f>IFERROR(TableauRecette[[#This Row],[Proportion]]/SUMIFS(TableauRecette[Proportion],TableauRecette[Recette],TableauRecette[[#This Row],[Recette]],TableauRecette[Conditionnement],TableauRecette[[#This Row],[Conditionnement]]),0)</f>
        <v>0.10101010101010101</v>
      </c>
      <c r="G361">
        <f>IFERROR(_xlfn.XLOOKUP(TableauRecette[[#This Row],[Ingredients]],TableauIngredients[Ingredients],#REF!,0)*#REF!,0)</f>
        <v>0</v>
      </c>
      <c r="H361">
        <f>IFERROR(SUMIFS(TableauRecette[Proportion],TableauRecette[Recette],TableauRecette[[#This Row],[Recette]],TableauRecette[Conditionnement],TableauRecette[[#This Row],[Conditionnement]]),0)</f>
        <v>99</v>
      </c>
      <c r="I36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61">
        <f>_xlfn.XLOOKUP(TableauRecette[[#This Row],[ID]],TableauProduit[ID],TableauProduit[Total (kg) N1],0,0,1)*_xlfn.XLOOKUP(TableauRecette[[#This Row],[ID]],TableauProduit[ID],TableauProduit[Total (kg) N1],0,0,1)</f>
        <v>0</v>
      </c>
      <c r="M361" t="e">
        <f>_xlfn.XLOOKUP(TableauRecette[[#This Row],[ID]],TableauProduit[ID],TableauProduit[Total (kg) N1],0,0,1)*_xlfn.XLOOKUP(TableauRecette[[#This Row],[ID]],TableauProduit[ID],TableauProduit[Total (kg) N2],0,0,1)</f>
        <v>#REF!</v>
      </c>
      <c r="N361" t="e">
        <f>_xlfn.XLOOKUP(TableauRecette[[#This Row],[ID]],TableauProduit[ID],TableauProduit[Total (kg) N3],0,0,1)*#REF!</f>
        <v>#REF!</v>
      </c>
      <c r="O361" t="e">
        <f>_xlfn.XLOOKUP(TableauRecette[[#This Row],[ID]],TableauProduit[ID],TableauProduit[Total (kg) N4],0,0,1)*#REF!</f>
        <v>#REF!</v>
      </c>
      <c r="P361" t="e">
        <f>_xlfn.XLOOKUP(TableauRecette[[#This Row],[ID]],TableauProduit[ID],TableauProduit[Total (kg) N5],0,0,1)*#REF!</f>
        <v>#REF!</v>
      </c>
      <c r="Q361" t="e">
        <f>_xlfn.XLOOKUP(TableauRecette[[#This Row],[ID]],TableauProduit[ID],TableauProduit[Total (kg) N6],0,0,1)*#REF!</f>
        <v>#REF!</v>
      </c>
      <c r="R361" t="e">
        <f>_xlfn.XLOOKUP(TableauRecette[[#This Row],[ID]],TableauProduit[ID],TableauProduit[Total (kg) N7],0,0,1)*#REF!</f>
        <v>#REF!</v>
      </c>
      <c r="S361" t="e">
        <f>_xlfn.XLOOKUP(TableauRecette[[#This Row],[ID]],TableauProduit[ID],TableauProduit[Total (kg) N8],0,0,1)*#REF!</f>
        <v>#REF!</v>
      </c>
      <c r="T361" t="e">
        <f>_xlfn.XLOOKUP(TableauRecette[[#This Row],[ID]],TableauProduit[ID],TableauProduit[Total (kg) N9],0,0,1)*#REF!</f>
        <v>#REF!</v>
      </c>
    </row>
    <row r="362" spans="1:20" x14ac:dyDescent="0.2">
      <c r="A362" t="s">
        <v>118</v>
      </c>
      <c r="B362" t="str">
        <f>TableauRecette[[#This Row],[Recette]]&amp;TableauRecette[[#This Row],[Conditionnement]]</f>
        <v>Suya ghanéenEpice 100ml</v>
      </c>
      <c r="C362" t="s">
        <v>385</v>
      </c>
      <c r="D362">
        <v>7</v>
      </c>
      <c r="E362" t="s">
        <v>73</v>
      </c>
      <c r="F362">
        <f>IFERROR(TableauRecette[[#This Row],[Proportion]]/SUMIFS(TableauRecette[Proportion],TableauRecette[Recette],TableauRecette[[#This Row],[Recette]],TableauRecette[Conditionnement],TableauRecette[[#This Row],[Conditionnement]]),0)</f>
        <v>7.0707070707070704E-2</v>
      </c>
      <c r="G362">
        <f>IFERROR(_xlfn.XLOOKUP(TableauRecette[[#This Row],[Ingredients]],TableauIngredients[Ingredients],#REF!,0)*#REF!,0)</f>
        <v>0</v>
      </c>
      <c r="H362">
        <f>IFERROR(SUMIFS(TableauRecette[Proportion],TableauRecette[Recette],TableauRecette[[#This Row],[Recette]],TableauRecette[Conditionnement],TableauRecette[[#This Row],[Conditionnement]]),0)</f>
        <v>99</v>
      </c>
      <c r="I36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62">
        <f>_xlfn.XLOOKUP(TableauRecette[[#This Row],[ID]],TableauProduit[ID],TableauProduit[Total (kg) N1],0,0,1)*_xlfn.XLOOKUP(TableauRecette[[#This Row],[ID]],TableauProduit[ID],TableauProduit[Total (kg) N1],0,0,1)</f>
        <v>0</v>
      </c>
      <c r="M362" t="e">
        <f>_xlfn.XLOOKUP(TableauRecette[[#This Row],[ID]],TableauProduit[ID],TableauProduit[Total (kg) N1],0,0,1)*_xlfn.XLOOKUP(TableauRecette[[#This Row],[ID]],TableauProduit[ID],TableauProduit[Total (kg) N2],0,0,1)</f>
        <v>#REF!</v>
      </c>
      <c r="N362" t="e">
        <f>_xlfn.XLOOKUP(TableauRecette[[#This Row],[ID]],TableauProduit[ID],TableauProduit[Total (kg) N3],0,0,1)*#REF!</f>
        <v>#REF!</v>
      </c>
      <c r="O362" t="e">
        <f>_xlfn.XLOOKUP(TableauRecette[[#This Row],[ID]],TableauProduit[ID],TableauProduit[Total (kg) N4],0,0,1)*#REF!</f>
        <v>#REF!</v>
      </c>
      <c r="P362" t="e">
        <f>_xlfn.XLOOKUP(TableauRecette[[#This Row],[ID]],TableauProduit[ID],TableauProduit[Total (kg) N5],0,0,1)*#REF!</f>
        <v>#REF!</v>
      </c>
      <c r="Q362" t="e">
        <f>_xlfn.XLOOKUP(TableauRecette[[#This Row],[ID]],TableauProduit[ID],TableauProduit[Total (kg) N6],0,0,1)*#REF!</f>
        <v>#REF!</v>
      </c>
      <c r="R362" t="e">
        <f>_xlfn.XLOOKUP(TableauRecette[[#This Row],[ID]],TableauProduit[ID],TableauProduit[Total (kg) N7],0,0,1)*#REF!</f>
        <v>#REF!</v>
      </c>
      <c r="S362" t="e">
        <f>_xlfn.XLOOKUP(TableauRecette[[#This Row],[ID]],TableauProduit[ID],TableauProduit[Total (kg) N8],0,0,1)*#REF!</f>
        <v>#REF!</v>
      </c>
      <c r="T362" t="e">
        <f>_xlfn.XLOOKUP(TableauRecette[[#This Row],[ID]],TableauProduit[ID],TableauProduit[Total (kg) N9],0,0,1)*#REF!</f>
        <v>#REF!</v>
      </c>
    </row>
    <row r="363" spans="1:20" x14ac:dyDescent="0.2">
      <c r="A363" t="s">
        <v>118</v>
      </c>
      <c r="B363" t="str">
        <f>TableauRecette[[#This Row],[Recette]]&amp;TableauRecette[[#This Row],[Conditionnement]]</f>
        <v>Suya ghanéenEpice 100ml</v>
      </c>
      <c r="C363" t="s">
        <v>364</v>
      </c>
      <c r="D363">
        <v>5</v>
      </c>
      <c r="E363" t="s">
        <v>73</v>
      </c>
      <c r="F363">
        <f>IFERROR(TableauRecette[[#This Row],[Proportion]]/SUMIFS(TableauRecette[Proportion],TableauRecette[Recette],TableauRecette[[#This Row],[Recette]],TableauRecette[Conditionnement],TableauRecette[[#This Row],[Conditionnement]]),0)</f>
        <v>5.0505050505050504E-2</v>
      </c>
      <c r="G363">
        <f>IFERROR(_xlfn.XLOOKUP(TableauRecette[[#This Row],[Ingredients]],TableauIngredients[Ingredients],#REF!,0)*#REF!,0)</f>
        <v>0</v>
      </c>
      <c r="H363">
        <f>IFERROR(SUMIFS(TableauRecette[Proportion],TableauRecette[Recette],TableauRecette[[#This Row],[Recette]],TableauRecette[Conditionnement],TableauRecette[[#This Row],[Conditionnement]]),0)</f>
        <v>99</v>
      </c>
      <c r="I363">
        <f>_xlfn.XLOOKUP(TableauRecette[[#This Row],[Ingredients]],TableauIngredients[Ingredients],TableauIngredients[Prix d''achat (kg)],0,0,1)*TableauRecette[[#This Row],[Proportion]]/TableauRecette[[#This Row],[Total Proportion]]</f>
        <v>7.0707070707070704E-2</v>
      </c>
      <c r="L363">
        <f>_xlfn.XLOOKUP(TableauRecette[[#This Row],[ID]],TableauProduit[ID],TableauProduit[Total (kg) N1],0,0,1)*_xlfn.XLOOKUP(TableauRecette[[#This Row],[ID]],TableauProduit[ID],TableauProduit[Total (kg) N1],0,0,1)</f>
        <v>0</v>
      </c>
      <c r="M363" t="e">
        <f>_xlfn.XLOOKUP(TableauRecette[[#This Row],[ID]],TableauProduit[ID],TableauProduit[Total (kg) N1],0,0,1)*_xlfn.XLOOKUP(TableauRecette[[#This Row],[ID]],TableauProduit[ID],TableauProduit[Total (kg) N2],0,0,1)</f>
        <v>#REF!</v>
      </c>
      <c r="N363" t="e">
        <f>_xlfn.XLOOKUP(TableauRecette[[#This Row],[ID]],TableauProduit[ID],TableauProduit[Total (kg) N3],0,0,1)*#REF!</f>
        <v>#REF!</v>
      </c>
      <c r="O363" t="e">
        <f>_xlfn.XLOOKUP(TableauRecette[[#This Row],[ID]],TableauProduit[ID],TableauProduit[Total (kg) N4],0,0,1)*#REF!</f>
        <v>#REF!</v>
      </c>
      <c r="P363" t="e">
        <f>_xlfn.XLOOKUP(TableauRecette[[#This Row],[ID]],TableauProduit[ID],TableauProduit[Total (kg) N5],0,0,1)*#REF!</f>
        <v>#REF!</v>
      </c>
      <c r="Q363" t="e">
        <f>_xlfn.XLOOKUP(TableauRecette[[#This Row],[ID]],TableauProduit[ID],TableauProduit[Total (kg) N6],0,0,1)*#REF!</f>
        <v>#REF!</v>
      </c>
      <c r="R363" t="e">
        <f>_xlfn.XLOOKUP(TableauRecette[[#This Row],[ID]],TableauProduit[ID],TableauProduit[Total (kg) N7],0,0,1)*#REF!</f>
        <v>#REF!</v>
      </c>
      <c r="S363" t="e">
        <f>_xlfn.XLOOKUP(TableauRecette[[#This Row],[ID]],TableauProduit[ID],TableauProduit[Total (kg) N8],0,0,1)*#REF!</f>
        <v>#REF!</v>
      </c>
      <c r="T363" t="e">
        <f>_xlfn.XLOOKUP(TableauRecette[[#This Row],[ID]],TableauProduit[ID],TableauProduit[Total (kg) N9],0,0,1)*#REF!</f>
        <v>#REF!</v>
      </c>
    </row>
    <row r="364" spans="1:20" x14ac:dyDescent="0.2">
      <c r="A364" t="s">
        <v>118</v>
      </c>
      <c r="B364" t="str">
        <f>TableauRecette[[#This Row],[Recette]]&amp;TableauRecette[[#This Row],[Conditionnement]]</f>
        <v>Suya ghanéenEpice 100ml</v>
      </c>
      <c r="C364" t="s">
        <v>348</v>
      </c>
      <c r="D364">
        <v>3</v>
      </c>
      <c r="E364" t="s">
        <v>73</v>
      </c>
      <c r="F364">
        <f>IFERROR(TableauRecette[[#This Row],[Proportion]]/SUMIFS(TableauRecette[Proportion],TableauRecette[Recette],TableauRecette[[#This Row],[Recette]],TableauRecette[Conditionnement],TableauRecette[[#This Row],[Conditionnement]]),0)</f>
        <v>3.0303030303030304E-2</v>
      </c>
      <c r="G364">
        <f>IFERROR(_xlfn.XLOOKUP(TableauRecette[[#This Row],[Ingredients]],TableauIngredients[Ingredients],#REF!,0)*#REF!,0)</f>
        <v>0</v>
      </c>
      <c r="H364">
        <f>IFERROR(SUMIFS(TableauRecette[Proportion],TableauRecette[Recette],TableauRecette[[#This Row],[Recette]],TableauRecette[Conditionnement],TableauRecette[[#This Row],[Conditionnement]]),0)</f>
        <v>99</v>
      </c>
      <c r="I364">
        <f>_xlfn.XLOOKUP(TableauRecette[[#This Row],[Ingredients]],TableauIngredients[Ingredients],TableauIngredients[Prix d''achat (kg)],0,0,1)*TableauRecette[[#This Row],[Proportion]]/TableauRecette[[#This Row],[Total Proportion]]</f>
        <v>1.1166666666666667</v>
      </c>
      <c r="L364">
        <f>_xlfn.XLOOKUP(TableauRecette[[#This Row],[ID]],TableauProduit[ID],TableauProduit[Total (kg) N1],0,0,1)*_xlfn.XLOOKUP(TableauRecette[[#This Row],[ID]],TableauProduit[ID],TableauProduit[Total (kg) N1],0,0,1)</f>
        <v>0</v>
      </c>
      <c r="M364" t="e">
        <f>_xlfn.XLOOKUP(TableauRecette[[#This Row],[ID]],TableauProduit[ID],TableauProduit[Total (kg) N1],0,0,1)*_xlfn.XLOOKUP(TableauRecette[[#This Row],[ID]],TableauProduit[ID],TableauProduit[Total (kg) N2],0,0,1)</f>
        <v>#REF!</v>
      </c>
      <c r="N364" t="e">
        <f>_xlfn.XLOOKUP(TableauRecette[[#This Row],[ID]],TableauProduit[ID],TableauProduit[Total (kg) N3],0,0,1)*#REF!</f>
        <v>#REF!</v>
      </c>
      <c r="O364" t="e">
        <f>_xlfn.XLOOKUP(TableauRecette[[#This Row],[ID]],TableauProduit[ID],TableauProduit[Total (kg) N4],0,0,1)*#REF!</f>
        <v>#REF!</v>
      </c>
      <c r="P364" t="e">
        <f>_xlfn.XLOOKUP(TableauRecette[[#This Row],[ID]],TableauProduit[ID],TableauProduit[Total (kg) N5],0,0,1)*#REF!</f>
        <v>#REF!</v>
      </c>
      <c r="Q364" t="e">
        <f>_xlfn.XLOOKUP(TableauRecette[[#This Row],[ID]],TableauProduit[ID],TableauProduit[Total (kg) N6],0,0,1)*#REF!</f>
        <v>#REF!</v>
      </c>
      <c r="R364" t="e">
        <f>_xlfn.XLOOKUP(TableauRecette[[#This Row],[ID]],TableauProduit[ID],TableauProduit[Total (kg) N7],0,0,1)*#REF!</f>
        <v>#REF!</v>
      </c>
      <c r="S364" t="e">
        <f>_xlfn.XLOOKUP(TableauRecette[[#This Row],[ID]],TableauProduit[ID],TableauProduit[Total (kg) N8],0,0,1)*#REF!</f>
        <v>#REF!</v>
      </c>
      <c r="T364" t="e">
        <f>_xlfn.XLOOKUP(TableauRecette[[#This Row],[ID]],TableauProduit[ID],TableauProduit[Total (kg) N9],0,0,1)*#REF!</f>
        <v>#REF!</v>
      </c>
    </row>
    <row r="365" spans="1:20" x14ac:dyDescent="0.2">
      <c r="A365" t="s">
        <v>118</v>
      </c>
      <c r="B365" t="str">
        <f>TableauRecette[[#This Row],[Recette]]&amp;TableauRecette[[#This Row],[Conditionnement]]</f>
        <v>Suya ghanéenEpice 100ml</v>
      </c>
      <c r="C365" t="s">
        <v>391</v>
      </c>
      <c r="D365">
        <v>4</v>
      </c>
      <c r="E365" t="s">
        <v>73</v>
      </c>
      <c r="F365">
        <f>IFERROR(TableauRecette[[#This Row],[Proportion]]/SUMIFS(TableauRecette[Proportion],TableauRecette[Recette],TableauRecette[[#This Row],[Recette]],TableauRecette[Conditionnement],TableauRecette[[#This Row],[Conditionnement]]),0)</f>
        <v>4.0404040404040407E-2</v>
      </c>
      <c r="G365">
        <f>IFERROR(_xlfn.XLOOKUP(TableauRecette[[#This Row],[Ingredients]],TableauIngredients[Ingredients],#REF!,0)*#REF!,0)</f>
        <v>0</v>
      </c>
      <c r="H365">
        <f>IFERROR(SUMIFS(TableauRecette[Proportion],TableauRecette[Recette],TableauRecette[[#This Row],[Recette]],TableauRecette[Conditionnement],TableauRecette[[#This Row],[Conditionnement]]),0)</f>
        <v>99</v>
      </c>
      <c r="I36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65">
        <f>_xlfn.XLOOKUP(TableauRecette[[#This Row],[ID]],TableauProduit[ID],TableauProduit[Total (kg) N1],0,0,1)*_xlfn.XLOOKUP(TableauRecette[[#This Row],[ID]],TableauProduit[ID],TableauProduit[Total (kg) N1],0,0,1)</f>
        <v>0</v>
      </c>
      <c r="M365" t="e">
        <f>_xlfn.XLOOKUP(TableauRecette[[#This Row],[ID]],TableauProduit[ID],TableauProduit[Total (kg) N1],0,0,1)*_xlfn.XLOOKUP(TableauRecette[[#This Row],[ID]],TableauProduit[ID],TableauProduit[Total (kg) N2],0,0,1)</f>
        <v>#REF!</v>
      </c>
      <c r="N365" t="e">
        <f>_xlfn.XLOOKUP(TableauRecette[[#This Row],[ID]],TableauProduit[ID],TableauProduit[Total (kg) N3],0,0,1)*#REF!</f>
        <v>#REF!</v>
      </c>
      <c r="O365" t="e">
        <f>_xlfn.XLOOKUP(TableauRecette[[#This Row],[ID]],TableauProduit[ID],TableauProduit[Total (kg) N4],0,0,1)*#REF!</f>
        <v>#REF!</v>
      </c>
      <c r="P365" t="e">
        <f>_xlfn.XLOOKUP(TableauRecette[[#This Row],[ID]],TableauProduit[ID],TableauProduit[Total (kg) N5],0,0,1)*#REF!</f>
        <v>#REF!</v>
      </c>
      <c r="Q365" t="e">
        <f>_xlfn.XLOOKUP(TableauRecette[[#This Row],[ID]],TableauProduit[ID],TableauProduit[Total (kg) N6],0,0,1)*#REF!</f>
        <v>#REF!</v>
      </c>
      <c r="R365" t="e">
        <f>_xlfn.XLOOKUP(TableauRecette[[#This Row],[ID]],TableauProduit[ID],TableauProduit[Total (kg) N7],0,0,1)*#REF!</f>
        <v>#REF!</v>
      </c>
      <c r="S365" t="e">
        <f>_xlfn.XLOOKUP(TableauRecette[[#This Row],[ID]],TableauProduit[ID],TableauProduit[Total (kg) N8],0,0,1)*#REF!</f>
        <v>#REF!</v>
      </c>
      <c r="T365" t="e">
        <f>_xlfn.XLOOKUP(TableauRecette[[#This Row],[ID]],TableauProduit[ID],TableauProduit[Total (kg) N9],0,0,1)*#REF!</f>
        <v>#REF!</v>
      </c>
    </row>
    <row r="366" spans="1:20" x14ac:dyDescent="0.2">
      <c r="A366" t="s">
        <v>118</v>
      </c>
      <c r="B366" t="str">
        <f>TableauRecette[[#This Row],[Recette]]&amp;TableauRecette[[#This Row],[Conditionnement]]</f>
        <v>Suya ghanéenEpice 100ml</v>
      </c>
      <c r="C366" t="s">
        <v>346</v>
      </c>
      <c r="D366">
        <v>10</v>
      </c>
      <c r="E366" t="s">
        <v>73</v>
      </c>
      <c r="F366">
        <f>IFERROR(TableauRecette[[#This Row],[Proportion]]/SUMIFS(TableauRecette[Proportion],TableauRecette[Recette],TableauRecette[[#This Row],[Recette]],TableauRecette[Conditionnement],TableauRecette[[#This Row],[Conditionnement]]),0)</f>
        <v>0.10101010101010101</v>
      </c>
      <c r="G366">
        <f>IFERROR(_xlfn.XLOOKUP(TableauRecette[[#This Row],[Ingredients]],TableauIngredients[Ingredients],#REF!,0)*#REF!,0)</f>
        <v>0</v>
      </c>
      <c r="H366">
        <f>IFERROR(SUMIFS(TableauRecette[Proportion],TableauRecette[Recette],TableauRecette[[#This Row],[Recette]],TableauRecette[Conditionnement],TableauRecette[[#This Row],[Conditionnement]]),0)</f>
        <v>99</v>
      </c>
      <c r="I36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366" t="s">
        <v>341</v>
      </c>
      <c r="L366">
        <f>_xlfn.XLOOKUP(TableauRecette[[#This Row],[ID]],TableauProduit[ID],TableauProduit[Total (kg) N1],0,0,1)*_xlfn.XLOOKUP(TableauRecette[[#This Row],[ID]],TableauProduit[ID],TableauProduit[Total (kg) N1],0,0,1)</f>
        <v>0</v>
      </c>
      <c r="M366" t="e">
        <f>_xlfn.XLOOKUP(TableauRecette[[#This Row],[ID]],TableauProduit[ID],TableauProduit[Total (kg) N1],0,0,1)*_xlfn.XLOOKUP(TableauRecette[[#This Row],[ID]],TableauProduit[ID],TableauProduit[Total (kg) N2],0,0,1)</f>
        <v>#REF!</v>
      </c>
      <c r="N366" t="e">
        <f>_xlfn.XLOOKUP(TableauRecette[[#This Row],[ID]],TableauProduit[ID],TableauProduit[Total (kg) N3],0,0,1)*#REF!</f>
        <v>#REF!</v>
      </c>
      <c r="O366" t="e">
        <f>_xlfn.XLOOKUP(TableauRecette[[#This Row],[ID]],TableauProduit[ID],TableauProduit[Total (kg) N4],0,0,1)*#REF!</f>
        <v>#REF!</v>
      </c>
      <c r="P366" t="e">
        <f>_xlfn.XLOOKUP(TableauRecette[[#This Row],[ID]],TableauProduit[ID],TableauProduit[Total (kg) N5],0,0,1)*#REF!</f>
        <v>#REF!</v>
      </c>
      <c r="Q366" t="e">
        <f>_xlfn.XLOOKUP(TableauRecette[[#This Row],[ID]],TableauProduit[ID],TableauProduit[Total (kg) N6],0,0,1)*#REF!</f>
        <v>#REF!</v>
      </c>
      <c r="R366" t="e">
        <f>_xlfn.XLOOKUP(TableauRecette[[#This Row],[ID]],TableauProduit[ID],TableauProduit[Total (kg) N7],0,0,1)*#REF!</f>
        <v>#REF!</v>
      </c>
      <c r="S366" t="e">
        <f>_xlfn.XLOOKUP(TableauRecette[[#This Row],[ID]],TableauProduit[ID],TableauProduit[Total (kg) N8],0,0,1)*#REF!</f>
        <v>#REF!</v>
      </c>
      <c r="T366" t="e">
        <f>_xlfn.XLOOKUP(TableauRecette[[#This Row],[ID]],TableauProduit[ID],TableauProduit[Total (kg) N9],0,0,1)*#REF!</f>
        <v>#REF!</v>
      </c>
    </row>
    <row r="367" spans="1:20" x14ac:dyDescent="0.2">
      <c r="A367" t="s">
        <v>99</v>
      </c>
      <c r="B367" t="str">
        <f>TableauRecette[[#This Row],[Recette]]&amp;TableauRecette[[#This Row],[Conditionnement]]</f>
        <v>Tabasco cayenne jaunePiment liquide 100ml</v>
      </c>
      <c r="C367" t="s">
        <v>408</v>
      </c>
      <c r="D367">
        <v>6</v>
      </c>
      <c r="E367" t="s">
        <v>97</v>
      </c>
      <c r="F367">
        <f>IFERROR(TableauRecette[[#This Row],[Proportion]]/SUMIFS(TableauRecette[Proportion],TableauRecette[Recette],TableauRecette[[#This Row],[Recette]],TableauRecette[Conditionnement],TableauRecette[[#This Row],[Conditionnement]]),0)</f>
        <v>4.4776119402985072E-2</v>
      </c>
      <c r="G367">
        <f>IFERROR(_xlfn.XLOOKUP(TableauRecette[[#This Row],[Ingredients]],TableauIngredients[Ingredients],#REF!,0)*#REF!,0)</f>
        <v>0</v>
      </c>
      <c r="H367">
        <f>IFERROR(SUMIFS(TableauRecette[Proportion],TableauRecette[Recette],TableauRecette[[#This Row],[Recette]],TableauRecette[Conditionnement],TableauRecette[[#This Row],[Conditionnement]]),0)</f>
        <v>134</v>
      </c>
      <c r="I36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67">
        <f>_xlfn.XLOOKUP(TableauRecette[[#This Row],[ID]],TableauProduit[ID],TableauProduit[Total (kg) N1],0,0,1)*_xlfn.XLOOKUP(TableauRecette[[#This Row],[ID]],TableauProduit[ID],TableauProduit[Total (kg) N1],0,0,1)</f>
        <v>0</v>
      </c>
      <c r="M367" t="e">
        <f>_xlfn.XLOOKUP(TableauRecette[[#This Row],[ID]],TableauProduit[ID],TableauProduit[Total (kg) N1],0,0,1)*_xlfn.XLOOKUP(TableauRecette[[#This Row],[ID]],TableauProduit[ID],TableauProduit[Total (kg) N2],0,0,1)</f>
        <v>#REF!</v>
      </c>
      <c r="N367" t="e">
        <f>_xlfn.XLOOKUP(TableauRecette[[#This Row],[ID]],TableauProduit[ID],TableauProduit[Total (kg) N3],0,0,1)*#REF!</f>
        <v>#REF!</v>
      </c>
      <c r="O367" t="e">
        <f>_xlfn.XLOOKUP(TableauRecette[[#This Row],[ID]],TableauProduit[ID],TableauProduit[Total (kg) N4],0,0,1)*#REF!</f>
        <v>#REF!</v>
      </c>
      <c r="P367" t="e">
        <f>_xlfn.XLOOKUP(TableauRecette[[#This Row],[ID]],TableauProduit[ID],TableauProduit[Total (kg) N5],0,0,1)*#REF!</f>
        <v>#REF!</v>
      </c>
      <c r="Q367" t="e">
        <f>_xlfn.XLOOKUP(TableauRecette[[#This Row],[ID]],TableauProduit[ID],TableauProduit[Total (kg) N6],0,0,1)*#REF!</f>
        <v>#REF!</v>
      </c>
      <c r="R367" t="e">
        <f>_xlfn.XLOOKUP(TableauRecette[[#This Row],[ID]],TableauProduit[ID],TableauProduit[Total (kg) N7],0,0,1)*#REF!</f>
        <v>#REF!</v>
      </c>
      <c r="S367" t="e">
        <f>_xlfn.XLOOKUP(TableauRecette[[#This Row],[ID]],TableauProduit[ID],TableauProduit[Total (kg) N8],0,0,1)*#REF!</f>
        <v>#REF!</v>
      </c>
      <c r="T367" t="e">
        <f>_xlfn.XLOOKUP(TableauRecette[[#This Row],[ID]],TableauProduit[ID],TableauProduit[Total (kg) N9],0,0,1)*#REF!</f>
        <v>#REF!</v>
      </c>
    </row>
    <row r="368" spans="1:20" x14ac:dyDescent="0.2">
      <c r="A368" t="s">
        <v>99</v>
      </c>
      <c r="B368" t="str">
        <f>TableauRecette[[#This Row],[Recette]]&amp;TableauRecette[[#This Row],[Conditionnement]]</f>
        <v>Tabasco cayenne jaunePiment liquide 100ml</v>
      </c>
      <c r="C368" t="s">
        <v>391</v>
      </c>
      <c r="D368">
        <v>100</v>
      </c>
      <c r="E368" t="s">
        <v>97</v>
      </c>
      <c r="F368">
        <f>IFERROR(TableauRecette[[#This Row],[Proportion]]/SUMIFS(TableauRecette[Proportion],TableauRecette[Recette],TableauRecette[[#This Row],[Recette]],TableauRecette[Conditionnement],TableauRecette[[#This Row],[Conditionnement]]),0)</f>
        <v>0.74626865671641796</v>
      </c>
      <c r="G368">
        <f>IFERROR(_xlfn.XLOOKUP(TableauRecette[[#This Row],[Ingredients]],TableauIngredients[Ingredients],#REF!,0)*#REF!,0)</f>
        <v>0</v>
      </c>
      <c r="H368">
        <f>IFERROR(SUMIFS(TableauRecette[Proportion],TableauRecette[Recette],TableauRecette[[#This Row],[Recette]],TableauRecette[Conditionnement],TableauRecette[[#This Row],[Conditionnement]]),0)</f>
        <v>134</v>
      </c>
      <c r="I368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68">
        <f>_xlfn.XLOOKUP(TableauRecette[[#This Row],[ID]],TableauProduit[ID],TableauProduit[Total (kg) N1],0,0,1)*_xlfn.XLOOKUP(TableauRecette[[#This Row],[ID]],TableauProduit[ID],TableauProduit[Total (kg) N1],0,0,1)</f>
        <v>0</v>
      </c>
      <c r="M368" t="e">
        <f>_xlfn.XLOOKUP(TableauRecette[[#This Row],[ID]],TableauProduit[ID],TableauProduit[Total (kg) N1],0,0,1)*_xlfn.XLOOKUP(TableauRecette[[#This Row],[ID]],TableauProduit[ID],TableauProduit[Total (kg) N2],0,0,1)</f>
        <v>#REF!</v>
      </c>
      <c r="N368" t="e">
        <f>_xlfn.XLOOKUP(TableauRecette[[#This Row],[ID]],TableauProduit[ID],TableauProduit[Total (kg) N3],0,0,1)*#REF!</f>
        <v>#REF!</v>
      </c>
      <c r="O368" t="e">
        <f>_xlfn.XLOOKUP(TableauRecette[[#This Row],[ID]],TableauProduit[ID],TableauProduit[Total (kg) N4],0,0,1)*#REF!</f>
        <v>#REF!</v>
      </c>
      <c r="P368" t="e">
        <f>_xlfn.XLOOKUP(TableauRecette[[#This Row],[ID]],TableauProduit[ID],TableauProduit[Total (kg) N5],0,0,1)*#REF!</f>
        <v>#REF!</v>
      </c>
      <c r="Q368" t="e">
        <f>_xlfn.XLOOKUP(TableauRecette[[#This Row],[ID]],TableauProduit[ID],TableauProduit[Total (kg) N6],0,0,1)*#REF!</f>
        <v>#REF!</v>
      </c>
      <c r="R368" t="e">
        <f>_xlfn.XLOOKUP(TableauRecette[[#This Row],[ID]],TableauProduit[ID],TableauProduit[Total (kg) N7],0,0,1)*#REF!</f>
        <v>#REF!</v>
      </c>
      <c r="S368" t="e">
        <f>_xlfn.XLOOKUP(TableauRecette[[#This Row],[ID]],TableauProduit[ID],TableauProduit[Total (kg) N8],0,0,1)*#REF!</f>
        <v>#REF!</v>
      </c>
      <c r="T368" t="e">
        <f>_xlfn.XLOOKUP(TableauRecette[[#This Row],[ID]],TableauProduit[ID],TableauProduit[Total (kg) N9],0,0,1)*#REF!</f>
        <v>#REF!</v>
      </c>
    </row>
    <row r="369" spans="1:20" x14ac:dyDescent="0.2">
      <c r="A369" t="s">
        <v>99</v>
      </c>
      <c r="B369" t="str">
        <f>TableauRecette[[#This Row],[Recette]]&amp;TableauRecette[[#This Row],[Conditionnement]]</f>
        <v>Tabasco cayenne jaunePiment liquide 100ml</v>
      </c>
      <c r="C369" t="s">
        <v>364</v>
      </c>
      <c r="D369">
        <v>10</v>
      </c>
      <c r="E369" t="s">
        <v>97</v>
      </c>
      <c r="F369">
        <f>IFERROR(TableauRecette[[#This Row],[Proportion]]/SUMIFS(TableauRecette[Proportion],TableauRecette[Recette],TableauRecette[[#This Row],[Recette]],TableauRecette[Conditionnement],TableauRecette[[#This Row],[Conditionnement]]),0)</f>
        <v>7.4626865671641784E-2</v>
      </c>
      <c r="G369">
        <f>IFERROR(_xlfn.XLOOKUP(TableauRecette[[#This Row],[Ingredients]],TableauIngredients[Ingredients],#REF!,0)*#REF!,0)</f>
        <v>0</v>
      </c>
      <c r="H369">
        <f>IFERROR(SUMIFS(TableauRecette[Proportion],TableauRecette[Recette],TableauRecette[[#This Row],[Recette]],TableauRecette[Conditionnement],TableauRecette[[#This Row],[Conditionnement]]),0)</f>
        <v>134</v>
      </c>
      <c r="I369">
        <f>_xlfn.XLOOKUP(TableauRecette[[#This Row],[Ingredients]],TableauIngredients[Ingredients],TableauIngredients[Prix d''achat (kg)],0,0,1)*TableauRecette[[#This Row],[Proportion]]/TableauRecette[[#This Row],[Total Proportion]]</f>
        <v>0.1044776119402985</v>
      </c>
      <c r="L369">
        <f>_xlfn.XLOOKUP(TableauRecette[[#This Row],[ID]],TableauProduit[ID],TableauProduit[Total (kg) N1],0,0,1)*_xlfn.XLOOKUP(TableauRecette[[#This Row],[ID]],TableauProduit[ID],TableauProduit[Total (kg) N1],0,0,1)</f>
        <v>0</v>
      </c>
      <c r="M369" t="e">
        <f>_xlfn.XLOOKUP(TableauRecette[[#This Row],[ID]],TableauProduit[ID],TableauProduit[Total (kg) N1],0,0,1)*_xlfn.XLOOKUP(TableauRecette[[#This Row],[ID]],TableauProduit[ID],TableauProduit[Total (kg) N2],0,0,1)</f>
        <v>#REF!</v>
      </c>
      <c r="N369" t="e">
        <f>_xlfn.XLOOKUP(TableauRecette[[#This Row],[ID]],TableauProduit[ID],TableauProduit[Total (kg) N3],0,0,1)*#REF!</f>
        <v>#REF!</v>
      </c>
      <c r="O369" t="e">
        <f>_xlfn.XLOOKUP(TableauRecette[[#This Row],[ID]],TableauProduit[ID],TableauProduit[Total (kg) N4],0,0,1)*#REF!</f>
        <v>#REF!</v>
      </c>
      <c r="P369" t="e">
        <f>_xlfn.XLOOKUP(TableauRecette[[#This Row],[ID]],TableauProduit[ID],TableauProduit[Total (kg) N5],0,0,1)*#REF!</f>
        <v>#REF!</v>
      </c>
      <c r="Q369" t="e">
        <f>_xlfn.XLOOKUP(TableauRecette[[#This Row],[ID]],TableauProduit[ID],TableauProduit[Total (kg) N6],0,0,1)*#REF!</f>
        <v>#REF!</v>
      </c>
      <c r="R369" t="e">
        <f>_xlfn.XLOOKUP(TableauRecette[[#This Row],[ID]],TableauProduit[ID],TableauProduit[Total (kg) N7],0,0,1)*#REF!</f>
        <v>#REF!</v>
      </c>
      <c r="S369" t="e">
        <f>_xlfn.XLOOKUP(TableauRecette[[#This Row],[ID]],TableauProduit[ID],TableauProduit[Total (kg) N8],0,0,1)*#REF!</f>
        <v>#REF!</v>
      </c>
      <c r="T369" t="e">
        <f>_xlfn.XLOOKUP(TableauRecette[[#This Row],[ID]],TableauProduit[ID],TableauProduit[Total (kg) N9],0,0,1)*#REF!</f>
        <v>#REF!</v>
      </c>
    </row>
    <row r="370" spans="1:20" x14ac:dyDescent="0.2">
      <c r="A370" t="s">
        <v>99</v>
      </c>
      <c r="B370" t="str">
        <f>TableauRecette[[#This Row],[Recette]]&amp;TableauRecette[[#This Row],[Conditionnement]]</f>
        <v>Tabasco cayenne jaunePiment liquide 100ml</v>
      </c>
      <c r="C370" t="s">
        <v>425</v>
      </c>
      <c r="D370">
        <v>6</v>
      </c>
      <c r="E370" t="s">
        <v>97</v>
      </c>
      <c r="F370">
        <f>IFERROR(TableauRecette[[#This Row],[Proportion]]/SUMIFS(TableauRecette[Proportion],TableauRecette[Recette],TableauRecette[[#This Row],[Recette]],TableauRecette[Conditionnement],TableauRecette[[#This Row],[Conditionnement]]),0)</f>
        <v>4.4776119402985072E-2</v>
      </c>
      <c r="G370">
        <f>IFERROR(_xlfn.XLOOKUP(TableauRecette[[#This Row],[Ingredients]],TableauIngredients[Ingredients],#REF!,0)*#REF!,0)</f>
        <v>0</v>
      </c>
      <c r="H370">
        <f>IFERROR(SUMIFS(TableauRecette[Proportion],TableauRecette[Recette],TableauRecette[[#This Row],[Recette]],TableauRecette[Conditionnement],TableauRecette[[#This Row],[Conditionnement]]),0)</f>
        <v>134</v>
      </c>
      <c r="I370">
        <f>_xlfn.XLOOKUP(TableauRecette[[#This Row],[Ingredients]],TableauIngredients[Ingredients],TableauIngredients[Prix d''achat (kg)],0,0,1)*TableauRecette[[#This Row],[Proportion]]/TableauRecette[[#This Row],[Total Proportion]]</f>
        <v>0.17202985074626864</v>
      </c>
      <c r="L370">
        <f>_xlfn.XLOOKUP(TableauRecette[[#This Row],[ID]],TableauProduit[ID],TableauProduit[Total (kg) N1],0,0,1)*_xlfn.XLOOKUP(TableauRecette[[#This Row],[ID]],TableauProduit[ID],TableauProduit[Total (kg) N1],0,0,1)</f>
        <v>0</v>
      </c>
      <c r="M370" t="e">
        <f>_xlfn.XLOOKUP(TableauRecette[[#This Row],[ID]],TableauProduit[ID],TableauProduit[Total (kg) N1],0,0,1)*_xlfn.XLOOKUP(TableauRecette[[#This Row],[ID]],TableauProduit[ID],TableauProduit[Total (kg) N2],0,0,1)</f>
        <v>#REF!</v>
      </c>
      <c r="N370" t="e">
        <f>_xlfn.XLOOKUP(TableauRecette[[#This Row],[ID]],TableauProduit[ID],TableauProduit[Total (kg) N3],0,0,1)*#REF!</f>
        <v>#REF!</v>
      </c>
      <c r="O370" t="e">
        <f>_xlfn.XLOOKUP(TableauRecette[[#This Row],[ID]],TableauProduit[ID],TableauProduit[Total (kg) N4],0,0,1)*#REF!</f>
        <v>#REF!</v>
      </c>
      <c r="P370" t="e">
        <f>_xlfn.XLOOKUP(TableauRecette[[#This Row],[ID]],TableauProduit[ID],TableauProduit[Total (kg) N5],0,0,1)*#REF!</f>
        <v>#REF!</v>
      </c>
      <c r="Q370" t="e">
        <f>_xlfn.XLOOKUP(TableauRecette[[#This Row],[ID]],TableauProduit[ID],TableauProduit[Total (kg) N6],0,0,1)*#REF!</f>
        <v>#REF!</v>
      </c>
      <c r="R370" t="e">
        <f>_xlfn.XLOOKUP(TableauRecette[[#This Row],[ID]],TableauProduit[ID],TableauProduit[Total (kg) N7],0,0,1)*#REF!</f>
        <v>#REF!</v>
      </c>
      <c r="S370" t="e">
        <f>_xlfn.XLOOKUP(TableauRecette[[#This Row],[ID]],TableauProduit[ID],TableauProduit[Total (kg) N8],0,0,1)*#REF!</f>
        <v>#REF!</v>
      </c>
      <c r="T370" t="e">
        <f>_xlfn.XLOOKUP(TableauRecette[[#This Row],[ID]],TableauProduit[ID],TableauProduit[Total (kg) N9],0,0,1)*#REF!</f>
        <v>#REF!</v>
      </c>
    </row>
    <row r="371" spans="1:20" x14ac:dyDescent="0.2">
      <c r="A371" t="s">
        <v>99</v>
      </c>
      <c r="B371" t="str">
        <f>TableauRecette[[#This Row],[Recette]]&amp;TableauRecette[[#This Row],[Conditionnement]]</f>
        <v>Tabasco cayenne jaunePiment liquide 100ml</v>
      </c>
      <c r="C371" t="s">
        <v>424</v>
      </c>
      <c r="D371">
        <v>12</v>
      </c>
      <c r="E371" t="s">
        <v>97</v>
      </c>
      <c r="F371">
        <f>IFERROR(TableauRecette[[#This Row],[Proportion]]/SUMIFS(TableauRecette[Proportion],TableauRecette[Recette],TableauRecette[[#This Row],[Recette]],TableauRecette[Conditionnement],TableauRecette[[#This Row],[Conditionnement]]),0)</f>
        <v>8.9552238805970144E-2</v>
      </c>
      <c r="G371">
        <f>IFERROR(_xlfn.XLOOKUP(TableauRecette[[#This Row],[Ingredients]],TableauIngredients[Ingredients],#REF!,0)*#REF!,0)</f>
        <v>0</v>
      </c>
      <c r="H371">
        <f>IFERROR(SUMIFS(TableauRecette[Proportion],TableauRecette[Recette],TableauRecette[[#This Row],[Recette]],TableauRecette[Conditionnement],TableauRecette[[#This Row],[Conditionnement]]),0)</f>
        <v>134</v>
      </c>
      <c r="I37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71">
        <f>_xlfn.XLOOKUP(TableauRecette[[#This Row],[ID]],TableauProduit[ID],TableauProduit[Total (kg) N1],0,0,1)*_xlfn.XLOOKUP(TableauRecette[[#This Row],[ID]],TableauProduit[ID],TableauProduit[Total (kg) N1],0,0,1)</f>
        <v>0</v>
      </c>
      <c r="M371" t="e">
        <f>_xlfn.XLOOKUP(TableauRecette[[#This Row],[ID]],TableauProduit[ID],TableauProduit[Total (kg) N1],0,0,1)*_xlfn.XLOOKUP(TableauRecette[[#This Row],[ID]],TableauProduit[ID],TableauProduit[Total (kg) N2],0,0,1)</f>
        <v>#REF!</v>
      </c>
      <c r="N371" t="e">
        <f>_xlfn.XLOOKUP(TableauRecette[[#This Row],[ID]],TableauProduit[ID],TableauProduit[Total (kg) N3],0,0,1)*#REF!</f>
        <v>#REF!</v>
      </c>
      <c r="O371" t="e">
        <f>_xlfn.XLOOKUP(TableauRecette[[#This Row],[ID]],TableauProduit[ID],TableauProduit[Total (kg) N4],0,0,1)*#REF!</f>
        <v>#REF!</v>
      </c>
      <c r="P371" t="e">
        <f>_xlfn.XLOOKUP(TableauRecette[[#This Row],[ID]],TableauProduit[ID],TableauProduit[Total (kg) N5],0,0,1)*#REF!</f>
        <v>#REF!</v>
      </c>
      <c r="Q371" t="e">
        <f>_xlfn.XLOOKUP(TableauRecette[[#This Row],[ID]],TableauProduit[ID],TableauProduit[Total (kg) N6],0,0,1)*#REF!</f>
        <v>#REF!</v>
      </c>
      <c r="R371" t="e">
        <f>_xlfn.XLOOKUP(TableauRecette[[#This Row],[ID]],TableauProduit[ID],TableauProduit[Total (kg) N7],0,0,1)*#REF!</f>
        <v>#REF!</v>
      </c>
      <c r="S371" t="e">
        <f>_xlfn.XLOOKUP(TableauRecette[[#This Row],[ID]],TableauProduit[ID],TableauProduit[Total (kg) N8],0,0,1)*#REF!</f>
        <v>#REF!</v>
      </c>
      <c r="T371" t="e">
        <f>_xlfn.XLOOKUP(TableauRecette[[#This Row],[ID]],TableauProduit[ID],TableauProduit[Total (kg) N9],0,0,1)*#REF!</f>
        <v>#REF!</v>
      </c>
    </row>
    <row r="372" spans="1:20" x14ac:dyDescent="0.2">
      <c r="A372" t="s">
        <v>98</v>
      </c>
      <c r="B372" t="str">
        <f>TableauRecette[[#This Row],[Recette]]&amp;TableauRecette[[#This Row],[Conditionnement]]</f>
        <v>Tabasco jalapenoPiment liquide 100ml</v>
      </c>
      <c r="C372" t="s">
        <v>472</v>
      </c>
      <c r="D372">
        <v>100</v>
      </c>
      <c r="E372" t="s">
        <v>97</v>
      </c>
      <c r="F372">
        <f>IFERROR(TableauRecette[[#This Row],[Proportion]]/SUMIFS(TableauRecette[Proportion],TableauRecette[Recette],TableauRecette[[#This Row],[Recette]],TableauRecette[Conditionnement],TableauRecette[[#This Row],[Conditionnement]]),0)</f>
        <v>0.70921985815602839</v>
      </c>
      <c r="G372">
        <f>IFERROR(_xlfn.XLOOKUP(TableauRecette[[#This Row],[Ingredients]],TableauIngredients[Ingredients],#REF!,0)*#REF!,0)</f>
        <v>0</v>
      </c>
      <c r="H372">
        <f>IFERROR(SUMIFS(TableauRecette[Proportion],TableauRecette[Recette],TableauRecette[[#This Row],[Recette]],TableauRecette[Conditionnement],TableauRecette[[#This Row],[Conditionnement]]),0)</f>
        <v>141</v>
      </c>
      <c r="I37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72">
        <f>_xlfn.XLOOKUP(TableauRecette[[#This Row],[ID]],TableauProduit[ID],TableauProduit[Total (kg) N1],0,0,1)*_xlfn.XLOOKUP(TableauRecette[[#This Row],[ID]],TableauProduit[ID],TableauProduit[Total (kg) N1],0,0,1)</f>
        <v>0</v>
      </c>
      <c r="M372" t="e">
        <f>_xlfn.XLOOKUP(TableauRecette[[#This Row],[ID]],TableauProduit[ID],TableauProduit[Total (kg) N1],0,0,1)*_xlfn.XLOOKUP(TableauRecette[[#This Row],[ID]],TableauProduit[ID],TableauProduit[Total (kg) N2],0,0,1)</f>
        <v>#REF!</v>
      </c>
      <c r="N372" t="e">
        <f>_xlfn.XLOOKUP(TableauRecette[[#This Row],[ID]],TableauProduit[ID],TableauProduit[Total (kg) N3],0,0,1)*#REF!</f>
        <v>#REF!</v>
      </c>
      <c r="O372" t="e">
        <f>_xlfn.XLOOKUP(TableauRecette[[#This Row],[ID]],TableauProduit[ID],TableauProduit[Total (kg) N4],0,0,1)*#REF!</f>
        <v>#REF!</v>
      </c>
      <c r="P372" t="e">
        <f>_xlfn.XLOOKUP(TableauRecette[[#This Row],[ID]],TableauProduit[ID],TableauProduit[Total (kg) N5],0,0,1)*#REF!</f>
        <v>#REF!</v>
      </c>
      <c r="Q372" t="e">
        <f>_xlfn.XLOOKUP(TableauRecette[[#This Row],[ID]],TableauProduit[ID],TableauProduit[Total (kg) N6],0,0,1)*#REF!</f>
        <v>#REF!</v>
      </c>
      <c r="R372" t="e">
        <f>_xlfn.XLOOKUP(TableauRecette[[#This Row],[ID]],TableauProduit[ID],TableauProduit[Total (kg) N7],0,0,1)*#REF!</f>
        <v>#REF!</v>
      </c>
      <c r="S372" t="e">
        <f>_xlfn.XLOOKUP(TableauRecette[[#This Row],[ID]],TableauProduit[ID],TableauProduit[Total (kg) N8],0,0,1)*#REF!</f>
        <v>#REF!</v>
      </c>
      <c r="T372" t="e">
        <f>_xlfn.XLOOKUP(TableauRecette[[#This Row],[ID]],TableauProduit[ID],TableauProduit[Total (kg) N9],0,0,1)*#REF!</f>
        <v>#REF!</v>
      </c>
    </row>
    <row r="373" spans="1:20" x14ac:dyDescent="0.2">
      <c r="A373" t="s">
        <v>98</v>
      </c>
      <c r="B373" t="str">
        <f>TableauRecette[[#This Row],[Recette]]&amp;TableauRecette[[#This Row],[Conditionnement]]</f>
        <v>Tabasco jalapenoPiment liquide 100ml</v>
      </c>
      <c r="C373" t="s">
        <v>364</v>
      </c>
      <c r="D373">
        <v>10</v>
      </c>
      <c r="E373" t="s">
        <v>97</v>
      </c>
      <c r="F373">
        <f>IFERROR(TableauRecette[[#This Row],[Proportion]]/SUMIFS(TableauRecette[Proportion],TableauRecette[Recette],TableauRecette[[#This Row],[Recette]],TableauRecette[Conditionnement],TableauRecette[[#This Row],[Conditionnement]]),0)</f>
        <v>7.0921985815602842E-2</v>
      </c>
      <c r="G373">
        <f>IFERROR(_xlfn.XLOOKUP(TableauRecette[[#This Row],[Ingredients]],TableauIngredients[Ingredients],#REF!,0)*#REF!,0)</f>
        <v>0</v>
      </c>
      <c r="H373">
        <f>IFERROR(SUMIFS(TableauRecette[Proportion],TableauRecette[Recette],TableauRecette[[#This Row],[Recette]],TableauRecette[Conditionnement],TableauRecette[[#This Row],[Conditionnement]]),0)</f>
        <v>141</v>
      </c>
      <c r="I373">
        <f>_xlfn.XLOOKUP(TableauRecette[[#This Row],[Ingredients]],TableauIngredients[Ingredients],TableauIngredients[Prix d''achat (kg)],0,0,1)*TableauRecette[[#This Row],[Proportion]]/TableauRecette[[#This Row],[Total Proportion]]</f>
        <v>9.9290780141843976E-2</v>
      </c>
      <c r="L373">
        <f>_xlfn.XLOOKUP(TableauRecette[[#This Row],[ID]],TableauProduit[ID],TableauProduit[Total (kg) N1],0,0,1)*_xlfn.XLOOKUP(TableauRecette[[#This Row],[ID]],TableauProduit[ID],TableauProduit[Total (kg) N1],0,0,1)</f>
        <v>0</v>
      </c>
      <c r="M373" t="e">
        <f>_xlfn.XLOOKUP(TableauRecette[[#This Row],[ID]],TableauProduit[ID],TableauProduit[Total (kg) N1],0,0,1)*_xlfn.XLOOKUP(TableauRecette[[#This Row],[ID]],TableauProduit[ID],TableauProduit[Total (kg) N2],0,0,1)</f>
        <v>#REF!</v>
      </c>
      <c r="N373" t="e">
        <f>_xlfn.XLOOKUP(TableauRecette[[#This Row],[ID]],TableauProduit[ID],TableauProduit[Total (kg) N3],0,0,1)*#REF!</f>
        <v>#REF!</v>
      </c>
      <c r="O373" t="e">
        <f>_xlfn.XLOOKUP(TableauRecette[[#This Row],[ID]],TableauProduit[ID],TableauProduit[Total (kg) N4],0,0,1)*#REF!</f>
        <v>#REF!</v>
      </c>
      <c r="P373" t="e">
        <f>_xlfn.XLOOKUP(TableauRecette[[#This Row],[ID]],TableauProduit[ID],TableauProduit[Total (kg) N5],0,0,1)*#REF!</f>
        <v>#REF!</v>
      </c>
      <c r="Q373" t="e">
        <f>_xlfn.XLOOKUP(TableauRecette[[#This Row],[ID]],TableauProduit[ID],TableauProduit[Total (kg) N6],0,0,1)*#REF!</f>
        <v>#REF!</v>
      </c>
      <c r="R373" t="e">
        <f>_xlfn.XLOOKUP(TableauRecette[[#This Row],[ID]],TableauProduit[ID],TableauProduit[Total (kg) N7],0,0,1)*#REF!</f>
        <v>#REF!</v>
      </c>
      <c r="S373" t="e">
        <f>_xlfn.XLOOKUP(TableauRecette[[#This Row],[ID]],TableauProduit[ID],TableauProduit[Total (kg) N8],0,0,1)*#REF!</f>
        <v>#REF!</v>
      </c>
      <c r="T373" t="e">
        <f>_xlfn.XLOOKUP(TableauRecette[[#This Row],[ID]],TableauProduit[ID],TableauProduit[Total (kg) N9],0,0,1)*#REF!</f>
        <v>#REF!</v>
      </c>
    </row>
    <row r="374" spans="1:20" x14ac:dyDescent="0.2">
      <c r="A374" t="s">
        <v>98</v>
      </c>
      <c r="B374" t="str">
        <f>TableauRecette[[#This Row],[Recette]]&amp;TableauRecette[[#This Row],[Conditionnement]]</f>
        <v>Tabasco jalapenoPiment liquide 100ml</v>
      </c>
      <c r="C374" t="s">
        <v>425</v>
      </c>
      <c r="D374">
        <v>6</v>
      </c>
      <c r="E374" t="s">
        <v>97</v>
      </c>
      <c r="F374">
        <f>IFERROR(TableauRecette[[#This Row],[Proportion]]/SUMIFS(TableauRecette[Proportion],TableauRecette[Recette],TableauRecette[[#This Row],[Recette]],TableauRecette[Conditionnement],TableauRecette[[#This Row],[Conditionnement]]),0)</f>
        <v>4.2553191489361701E-2</v>
      </c>
      <c r="G374">
        <f>IFERROR(_xlfn.XLOOKUP(TableauRecette[[#This Row],[Ingredients]],TableauIngredients[Ingredients],#REF!,0)*#REF!,0)</f>
        <v>0</v>
      </c>
      <c r="H374">
        <f>IFERROR(SUMIFS(TableauRecette[Proportion],TableauRecette[Recette],TableauRecette[[#This Row],[Recette]],TableauRecette[Conditionnement],TableauRecette[[#This Row],[Conditionnement]]),0)</f>
        <v>141</v>
      </c>
      <c r="I374">
        <f>_xlfn.XLOOKUP(TableauRecette[[#This Row],[Ingredients]],TableauIngredients[Ingredients],TableauIngredients[Prix d''achat (kg)],0,0,1)*TableauRecette[[#This Row],[Proportion]]/TableauRecette[[#This Row],[Total Proportion]]</f>
        <v>0.16348936170212766</v>
      </c>
      <c r="L374">
        <f>_xlfn.XLOOKUP(TableauRecette[[#This Row],[ID]],TableauProduit[ID],TableauProduit[Total (kg) N1],0,0,1)*_xlfn.XLOOKUP(TableauRecette[[#This Row],[ID]],TableauProduit[ID],TableauProduit[Total (kg) N1],0,0,1)</f>
        <v>0</v>
      </c>
      <c r="M374" t="e">
        <f>_xlfn.XLOOKUP(TableauRecette[[#This Row],[ID]],TableauProduit[ID],TableauProduit[Total (kg) N1],0,0,1)*_xlfn.XLOOKUP(TableauRecette[[#This Row],[ID]],TableauProduit[ID],TableauProduit[Total (kg) N2],0,0,1)</f>
        <v>#REF!</v>
      </c>
      <c r="N374" t="e">
        <f>_xlfn.XLOOKUP(TableauRecette[[#This Row],[ID]],TableauProduit[ID],TableauProduit[Total (kg) N3],0,0,1)*#REF!</f>
        <v>#REF!</v>
      </c>
      <c r="O374" t="e">
        <f>_xlfn.XLOOKUP(TableauRecette[[#This Row],[ID]],TableauProduit[ID],TableauProduit[Total (kg) N4],0,0,1)*#REF!</f>
        <v>#REF!</v>
      </c>
      <c r="P374" t="e">
        <f>_xlfn.XLOOKUP(TableauRecette[[#This Row],[ID]],TableauProduit[ID],TableauProduit[Total (kg) N5],0,0,1)*#REF!</f>
        <v>#REF!</v>
      </c>
      <c r="Q374" t="e">
        <f>_xlfn.XLOOKUP(TableauRecette[[#This Row],[ID]],TableauProduit[ID],TableauProduit[Total (kg) N6],0,0,1)*#REF!</f>
        <v>#REF!</v>
      </c>
      <c r="R374" t="e">
        <f>_xlfn.XLOOKUP(TableauRecette[[#This Row],[ID]],TableauProduit[ID],TableauProduit[Total (kg) N7],0,0,1)*#REF!</f>
        <v>#REF!</v>
      </c>
      <c r="S374" t="e">
        <f>_xlfn.XLOOKUP(TableauRecette[[#This Row],[ID]],TableauProduit[ID],TableauProduit[Total (kg) N8],0,0,1)*#REF!</f>
        <v>#REF!</v>
      </c>
      <c r="T374" t="e">
        <f>_xlfn.XLOOKUP(TableauRecette[[#This Row],[ID]],TableauProduit[ID],TableauProduit[Total (kg) N9],0,0,1)*#REF!</f>
        <v>#REF!</v>
      </c>
    </row>
    <row r="375" spans="1:20" x14ac:dyDescent="0.2">
      <c r="A375" t="s">
        <v>98</v>
      </c>
      <c r="B375" t="str">
        <f>TableauRecette[[#This Row],[Recette]]&amp;TableauRecette[[#This Row],[Conditionnement]]</f>
        <v>Tabasco jalapenoPiment liquide 100ml</v>
      </c>
      <c r="C375" t="s">
        <v>446</v>
      </c>
      <c r="D375">
        <v>13</v>
      </c>
      <c r="E375" t="s">
        <v>97</v>
      </c>
      <c r="F375">
        <f>IFERROR(TableauRecette[[#This Row],[Proportion]]/SUMIFS(TableauRecette[Proportion],TableauRecette[Recette],TableauRecette[[#This Row],[Recette]],TableauRecette[Conditionnement],TableauRecette[[#This Row],[Conditionnement]]),0)</f>
        <v>9.2198581560283682E-2</v>
      </c>
      <c r="G375">
        <f>IFERROR(_xlfn.XLOOKUP(TableauRecette[[#This Row],[Ingredients]],TableauIngredients[Ingredients],#REF!,0)*#REF!,0)</f>
        <v>0</v>
      </c>
      <c r="H375">
        <f>IFERROR(SUMIFS(TableauRecette[Proportion],TableauRecette[Recette],TableauRecette[[#This Row],[Recette]],TableauRecette[Conditionnement],TableauRecette[[#This Row],[Conditionnement]]),0)</f>
        <v>141</v>
      </c>
      <c r="I37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75">
        <f>_xlfn.XLOOKUP(TableauRecette[[#This Row],[ID]],TableauProduit[ID],TableauProduit[Total (kg) N1],0,0,1)*_xlfn.XLOOKUP(TableauRecette[[#This Row],[ID]],TableauProduit[ID],TableauProduit[Total (kg) N1],0,0,1)</f>
        <v>0</v>
      </c>
      <c r="M375" t="e">
        <f>_xlfn.XLOOKUP(TableauRecette[[#This Row],[ID]],TableauProduit[ID],TableauProduit[Total (kg) N1],0,0,1)*_xlfn.XLOOKUP(TableauRecette[[#This Row],[ID]],TableauProduit[ID],TableauProduit[Total (kg) N2],0,0,1)</f>
        <v>#REF!</v>
      </c>
      <c r="N375" t="e">
        <f>_xlfn.XLOOKUP(TableauRecette[[#This Row],[ID]],TableauProduit[ID],TableauProduit[Total (kg) N3],0,0,1)*#REF!</f>
        <v>#REF!</v>
      </c>
      <c r="O375" t="e">
        <f>_xlfn.XLOOKUP(TableauRecette[[#This Row],[ID]],TableauProduit[ID],TableauProduit[Total (kg) N4],0,0,1)*#REF!</f>
        <v>#REF!</v>
      </c>
      <c r="P375" t="e">
        <f>_xlfn.XLOOKUP(TableauRecette[[#This Row],[ID]],TableauProduit[ID],TableauProduit[Total (kg) N5],0,0,1)*#REF!</f>
        <v>#REF!</v>
      </c>
      <c r="Q375" t="e">
        <f>_xlfn.XLOOKUP(TableauRecette[[#This Row],[ID]],TableauProduit[ID],TableauProduit[Total (kg) N6],0,0,1)*#REF!</f>
        <v>#REF!</v>
      </c>
      <c r="R375" t="e">
        <f>_xlfn.XLOOKUP(TableauRecette[[#This Row],[ID]],TableauProduit[ID],TableauProduit[Total (kg) N7],0,0,1)*#REF!</f>
        <v>#REF!</v>
      </c>
      <c r="S375" t="e">
        <f>_xlfn.XLOOKUP(TableauRecette[[#This Row],[ID]],TableauProduit[ID],TableauProduit[Total (kg) N8],0,0,1)*#REF!</f>
        <v>#REF!</v>
      </c>
      <c r="T375" t="e">
        <f>_xlfn.XLOOKUP(TableauRecette[[#This Row],[ID]],TableauProduit[ID],TableauProduit[Total (kg) N9],0,0,1)*#REF!</f>
        <v>#REF!</v>
      </c>
    </row>
    <row r="376" spans="1:20" x14ac:dyDescent="0.2">
      <c r="A376" t="s">
        <v>98</v>
      </c>
      <c r="B376" t="str">
        <f>TableauRecette[[#This Row],[Recette]]&amp;TableauRecette[[#This Row],[Conditionnement]]</f>
        <v>Tabasco jalapenoPiment liquide 100ml</v>
      </c>
      <c r="C376" t="s">
        <v>424</v>
      </c>
      <c r="D376">
        <v>12</v>
      </c>
      <c r="E376" t="s">
        <v>97</v>
      </c>
      <c r="F376">
        <f>IFERROR(TableauRecette[[#This Row],[Proportion]]/SUMIFS(TableauRecette[Proportion],TableauRecette[Recette],TableauRecette[[#This Row],[Recette]],TableauRecette[Conditionnement],TableauRecette[[#This Row],[Conditionnement]]),0)</f>
        <v>8.5106382978723402E-2</v>
      </c>
      <c r="G376">
        <f>IFERROR(_xlfn.XLOOKUP(TableauRecette[[#This Row],[Ingredients]],TableauIngredients[Ingredients],#REF!,0)*#REF!,0)</f>
        <v>0</v>
      </c>
      <c r="H376">
        <f>IFERROR(SUMIFS(TableauRecette[Proportion],TableauRecette[Recette],TableauRecette[[#This Row],[Recette]],TableauRecette[Conditionnement],TableauRecette[[#This Row],[Conditionnement]]),0)</f>
        <v>141</v>
      </c>
      <c r="I37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76">
        <f>_xlfn.XLOOKUP(TableauRecette[[#This Row],[ID]],TableauProduit[ID],TableauProduit[Total (kg) N1],0,0,1)*_xlfn.XLOOKUP(TableauRecette[[#This Row],[ID]],TableauProduit[ID],TableauProduit[Total (kg) N1],0,0,1)</f>
        <v>0</v>
      </c>
      <c r="M376" t="e">
        <f>_xlfn.XLOOKUP(TableauRecette[[#This Row],[ID]],TableauProduit[ID],TableauProduit[Total (kg) N1],0,0,1)*_xlfn.XLOOKUP(TableauRecette[[#This Row],[ID]],TableauProduit[ID],TableauProduit[Total (kg) N2],0,0,1)</f>
        <v>#REF!</v>
      </c>
      <c r="N376" t="e">
        <f>_xlfn.XLOOKUP(TableauRecette[[#This Row],[ID]],TableauProduit[ID],TableauProduit[Total (kg) N3],0,0,1)*#REF!</f>
        <v>#REF!</v>
      </c>
      <c r="O376" t="e">
        <f>_xlfn.XLOOKUP(TableauRecette[[#This Row],[ID]],TableauProduit[ID],TableauProduit[Total (kg) N4],0,0,1)*#REF!</f>
        <v>#REF!</v>
      </c>
      <c r="P376" t="e">
        <f>_xlfn.XLOOKUP(TableauRecette[[#This Row],[ID]],TableauProduit[ID],TableauProduit[Total (kg) N5],0,0,1)*#REF!</f>
        <v>#REF!</v>
      </c>
      <c r="Q376" t="e">
        <f>_xlfn.XLOOKUP(TableauRecette[[#This Row],[ID]],TableauProduit[ID],TableauProduit[Total (kg) N6],0,0,1)*#REF!</f>
        <v>#REF!</v>
      </c>
      <c r="R376" t="e">
        <f>_xlfn.XLOOKUP(TableauRecette[[#This Row],[ID]],TableauProduit[ID],TableauProduit[Total (kg) N7],0,0,1)*#REF!</f>
        <v>#REF!</v>
      </c>
      <c r="S376" t="e">
        <f>_xlfn.XLOOKUP(TableauRecette[[#This Row],[ID]],TableauProduit[ID],TableauProduit[Total (kg) N8],0,0,1)*#REF!</f>
        <v>#REF!</v>
      </c>
      <c r="T376" t="e">
        <f>_xlfn.XLOOKUP(TableauRecette[[#This Row],[ID]],TableauProduit[ID],TableauProduit[Total (kg) N9],0,0,1)*#REF!</f>
        <v>#REF!</v>
      </c>
    </row>
    <row r="377" spans="1:20" x14ac:dyDescent="0.2">
      <c r="A377" t="s">
        <v>98</v>
      </c>
      <c r="B377" t="str">
        <f>TableauRecette[[#This Row],[Recette]]&amp;TableauRecette[[#This Row],[Conditionnement]]</f>
        <v>Tabasco jalapenoPiment liquide 100ml</v>
      </c>
      <c r="C377" t="s">
        <v>426</v>
      </c>
      <c r="D377">
        <v>0</v>
      </c>
      <c r="E377" t="s">
        <v>97</v>
      </c>
      <c r="F377">
        <f>IFERROR(TableauRecette[[#This Row],[Proportion]]/SUMIFS(TableauRecette[Proportion],TableauRecette[Recette],TableauRecette[[#This Row],[Recette]],TableauRecette[Conditionnement],TableauRecette[[#This Row],[Conditionnement]]),0)</f>
        <v>0</v>
      </c>
      <c r="G377">
        <f>IFERROR(_xlfn.XLOOKUP(TableauRecette[[#This Row],[Ingredients]],TableauIngredients[Ingredients],#REF!,0)*#REF!,0)</f>
        <v>0</v>
      </c>
      <c r="H377">
        <f>IFERROR(SUMIFS(TableauRecette[Proportion],TableauRecette[Recette],TableauRecette[[#This Row],[Recette]],TableauRecette[Conditionnement],TableauRecette[[#This Row],[Conditionnement]]),0)</f>
        <v>141</v>
      </c>
      <c r="I37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77">
        <f>_xlfn.XLOOKUP(TableauRecette[[#This Row],[ID]],TableauProduit[ID],TableauProduit[Total (kg) N1],0,0,1)*_xlfn.XLOOKUP(TableauRecette[[#This Row],[ID]],TableauProduit[ID],TableauProduit[Total (kg) N1],0,0,1)</f>
        <v>0</v>
      </c>
      <c r="M377" t="e">
        <f>_xlfn.XLOOKUP(TableauRecette[[#This Row],[ID]],TableauProduit[ID],TableauProduit[Total (kg) N1],0,0,1)*_xlfn.XLOOKUP(TableauRecette[[#This Row],[ID]],TableauProduit[ID],TableauProduit[Total (kg) N2],0,0,1)</f>
        <v>#REF!</v>
      </c>
      <c r="N377" t="e">
        <f>_xlfn.XLOOKUP(TableauRecette[[#This Row],[ID]],TableauProduit[ID],TableauProduit[Total (kg) N3],0,0,1)*#REF!</f>
        <v>#REF!</v>
      </c>
      <c r="O377" t="e">
        <f>_xlfn.XLOOKUP(TableauRecette[[#This Row],[ID]],TableauProduit[ID],TableauProduit[Total (kg) N4],0,0,1)*#REF!</f>
        <v>#REF!</v>
      </c>
      <c r="P377" t="e">
        <f>_xlfn.XLOOKUP(TableauRecette[[#This Row],[ID]],TableauProduit[ID],TableauProduit[Total (kg) N5],0,0,1)*#REF!</f>
        <v>#REF!</v>
      </c>
      <c r="Q377" t="e">
        <f>_xlfn.XLOOKUP(TableauRecette[[#This Row],[ID]],TableauProduit[ID],TableauProduit[Total (kg) N6],0,0,1)*#REF!</f>
        <v>#REF!</v>
      </c>
      <c r="R377" t="e">
        <f>_xlfn.XLOOKUP(TableauRecette[[#This Row],[ID]],TableauProduit[ID],TableauProduit[Total (kg) N7],0,0,1)*#REF!</f>
        <v>#REF!</v>
      </c>
      <c r="S377" t="e">
        <f>_xlfn.XLOOKUP(TableauRecette[[#This Row],[ID]],TableauProduit[ID],TableauProduit[Total (kg) N8],0,0,1)*#REF!</f>
        <v>#REF!</v>
      </c>
      <c r="T377" t="e">
        <f>_xlfn.XLOOKUP(TableauRecette[[#This Row],[ID]],TableauProduit[ID],TableauProduit[Total (kg) N9],0,0,1)*#REF!</f>
        <v>#REF!</v>
      </c>
    </row>
    <row r="378" spans="1:20" x14ac:dyDescent="0.2">
      <c r="A378" t="s">
        <v>96</v>
      </c>
      <c r="B378" t="str">
        <f>TableauRecette[[#This Row],[Recette]]&amp;TableauRecette[[#This Row],[Conditionnement]]</f>
        <v>Tabasco Rouge moyenPiment liquide 100ml</v>
      </c>
      <c r="C378" t="s">
        <v>408</v>
      </c>
      <c r="D378">
        <v>6</v>
      </c>
      <c r="E378" t="s">
        <v>97</v>
      </c>
      <c r="F378">
        <f>IFERROR(TableauRecette[[#This Row],[Proportion]]/SUMIFS(TableauRecette[Proportion],TableauRecette[Recette],TableauRecette[[#This Row],[Recette]],TableauRecette[Conditionnement],TableauRecette[[#This Row],[Conditionnement]]),0)</f>
        <v>4.2253521126760563E-2</v>
      </c>
      <c r="G378">
        <f>IFERROR(_xlfn.XLOOKUP(TableauRecette[[#This Row],[Ingredients]],TableauIngredients[Ingredients],#REF!,0)*#REF!,0)</f>
        <v>0</v>
      </c>
      <c r="H378">
        <f>IFERROR(SUMIFS(TableauRecette[Proportion],TableauRecette[Recette],TableauRecette[[#This Row],[Recette]],TableauRecette[Conditionnement],TableauRecette[[#This Row],[Conditionnement]]),0)</f>
        <v>142</v>
      </c>
      <c r="I378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78">
        <f>_xlfn.XLOOKUP(TableauRecette[[#This Row],[ID]],TableauProduit[ID],TableauProduit[Total (kg) N1],0,0,1)*_xlfn.XLOOKUP(TableauRecette[[#This Row],[ID]],TableauProduit[ID],TableauProduit[Total (kg) N1],0,0,1)</f>
        <v>0</v>
      </c>
      <c r="M378" t="e">
        <f>_xlfn.XLOOKUP(TableauRecette[[#This Row],[ID]],TableauProduit[ID],TableauProduit[Total (kg) N1],0,0,1)*_xlfn.XLOOKUP(TableauRecette[[#This Row],[ID]],TableauProduit[ID],TableauProduit[Total (kg) N2],0,0,1)</f>
        <v>#REF!</v>
      </c>
      <c r="N378" t="e">
        <f>_xlfn.XLOOKUP(TableauRecette[[#This Row],[ID]],TableauProduit[ID],TableauProduit[Total (kg) N3],0,0,1)*#REF!</f>
        <v>#REF!</v>
      </c>
      <c r="O378" t="e">
        <f>_xlfn.XLOOKUP(TableauRecette[[#This Row],[ID]],TableauProduit[ID],TableauProduit[Total (kg) N4],0,0,1)*#REF!</f>
        <v>#REF!</v>
      </c>
      <c r="P378" t="e">
        <f>_xlfn.XLOOKUP(TableauRecette[[#This Row],[ID]],TableauProduit[ID],TableauProduit[Total (kg) N5],0,0,1)*#REF!</f>
        <v>#REF!</v>
      </c>
      <c r="Q378" t="e">
        <f>_xlfn.XLOOKUP(TableauRecette[[#This Row],[ID]],TableauProduit[ID],TableauProduit[Total (kg) N6],0,0,1)*#REF!</f>
        <v>#REF!</v>
      </c>
      <c r="R378" t="e">
        <f>_xlfn.XLOOKUP(TableauRecette[[#This Row],[ID]],TableauProduit[ID],TableauProduit[Total (kg) N7],0,0,1)*#REF!</f>
        <v>#REF!</v>
      </c>
      <c r="S378" t="e">
        <f>_xlfn.XLOOKUP(TableauRecette[[#This Row],[ID]],TableauProduit[ID],TableauProduit[Total (kg) N8],0,0,1)*#REF!</f>
        <v>#REF!</v>
      </c>
      <c r="T378" t="e">
        <f>_xlfn.XLOOKUP(TableauRecette[[#This Row],[ID]],TableauProduit[ID],TableauProduit[Total (kg) N9],0,0,1)*#REF!</f>
        <v>#REF!</v>
      </c>
    </row>
    <row r="379" spans="1:20" x14ac:dyDescent="0.2">
      <c r="A379" t="s">
        <v>96</v>
      </c>
      <c r="B379" t="str">
        <f>TableauRecette[[#This Row],[Recette]]&amp;TableauRecette[[#This Row],[Conditionnement]]</f>
        <v>Tabasco Rouge moyenPiment liquide 100ml</v>
      </c>
      <c r="C379" t="s">
        <v>449</v>
      </c>
      <c r="D379">
        <v>100</v>
      </c>
      <c r="E379" t="s">
        <v>97</v>
      </c>
      <c r="F379">
        <f>IFERROR(TableauRecette[[#This Row],[Proportion]]/SUMIFS(TableauRecette[Proportion],TableauRecette[Recette],TableauRecette[[#This Row],[Recette]],TableauRecette[Conditionnement],TableauRecette[[#This Row],[Conditionnement]]),0)</f>
        <v>0.70422535211267601</v>
      </c>
      <c r="G379">
        <f>IFERROR(_xlfn.XLOOKUP(TableauRecette[[#This Row],[Ingredients]],TableauIngredients[Ingredients],#REF!,0)*#REF!,0)</f>
        <v>0</v>
      </c>
      <c r="H379">
        <f>IFERROR(SUMIFS(TableauRecette[Proportion],TableauRecette[Recette],TableauRecette[[#This Row],[Recette]],TableauRecette[Conditionnement],TableauRecette[[#This Row],[Conditionnement]]),0)</f>
        <v>142</v>
      </c>
      <c r="I37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79">
        <f>_xlfn.XLOOKUP(TableauRecette[[#This Row],[ID]],TableauProduit[ID],TableauProduit[Total (kg) N1],0,0,1)*_xlfn.XLOOKUP(TableauRecette[[#This Row],[ID]],TableauProduit[ID],TableauProduit[Total (kg) N1],0,0,1)</f>
        <v>0</v>
      </c>
      <c r="M379" t="e">
        <f>_xlfn.XLOOKUP(TableauRecette[[#This Row],[ID]],TableauProduit[ID],TableauProduit[Total (kg) N1],0,0,1)*_xlfn.XLOOKUP(TableauRecette[[#This Row],[ID]],TableauProduit[ID],TableauProduit[Total (kg) N2],0,0,1)</f>
        <v>#REF!</v>
      </c>
      <c r="N379" t="e">
        <f>_xlfn.XLOOKUP(TableauRecette[[#This Row],[ID]],TableauProduit[ID],TableauProduit[Total (kg) N3],0,0,1)*#REF!</f>
        <v>#REF!</v>
      </c>
      <c r="O379" t="e">
        <f>_xlfn.XLOOKUP(TableauRecette[[#This Row],[ID]],TableauProduit[ID],TableauProduit[Total (kg) N4],0,0,1)*#REF!</f>
        <v>#REF!</v>
      </c>
      <c r="P379" t="e">
        <f>_xlfn.XLOOKUP(TableauRecette[[#This Row],[ID]],TableauProduit[ID],TableauProduit[Total (kg) N5],0,0,1)*#REF!</f>
        <v>#REF!</v>
      </c>
      <c r="Q379" t="e">
        <f>_xlfn.XLOOKUP(TableauRecette[[#This Row],[ID]],TableauProduit[ID],TableauProduit[Total (kg) N6],0,0,1)*#REF!</f>
        <v>#REF!</v>
      </c>
      <c r="R379" t="e">
        <f>_xlfn.XLOOKUP(TableauRecette[[#This Row],[ID]],TableauProduit[ID],TableauProduit[Total (kg) N7],0,0,1)*#REF!</f>
        <v>#REF!</v>
      </c>
      <c r="S379" t="e">
        <f>_xlfn.XLOOKUP(TableauRecette[[#This Row],[ID]],TableauProduit[ID],TableauProduit[Total (kg) N8],0,0,1)*#REF!</f>
        <v>#REF!</v>
      </c>
      <c r="T379" t="e">
        <f>_xlfn.XLOOKUP(TableauRecette[[#This Row],[ID]],TableauProduit[ID],TableauProduit[Total (kg) N9],0,0,1)*#REF!</f>
        <v>#REF!</v>
      </c>
    </row>
    <row r="380" spans="1:20" x14ac:dyDescent="0.2">
      <c r="A380" t="s">
        <v>96</v>
      </c>
      <c r="B380" t="str">
        <f>TableauRecette[[#This Row],[Recette]]&amp;TableauRecette[[#This Row],[Conditionnement]]</f>
        <v>Tabasco Rouge moyenPiment liquide 100ml</v>
      </c>
      <c r="C380" t="s">
        <v>424</v>
      </c>
      <c r="D380">
        <v>10</v>
      </c>
      <c r="E380" t="s">
        <v>97</v>
      </c>
      <c r="F380">
        <f>IFERROR(TableauRecette[[#This Row],[Proportion]]/SUMIFS(TableauRecette[Proportion],TableauRecette[Recette],TableauRecette[[#This Row],[Recette]],TableauRecette[Conditionnement],TableauRecette[[#This Row],[Conditionnement]]),0)</f>
        <v>7.0422535211267609E-2</v>
      </c>
      <c r="G380">
        <f>IFERROR(_xlfn.XLOOKUP(TableauRecette[[#This Row],[Ingredients]],TableauIngredients[Ingredients],#REF!,0)*#REF!,0)</f>
        <v>0</v>
      </c>
      <c r="H380">
        <f>IFERROR(SUMIFS(TableauRecette[Proportion],TableauRecette[Recette],TableauRecette[[#This Row],[Recette]],TableauRecette[Conditionnement],TableauRecette[[#This Row],[Conditionnement]]),0)</f>
        <v>142</v>
      </c>
      <c r="I380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80">
        <f>_xlfn.XLOOKUP(TableauRecette[[#This Row],[ID]],TableauProduit[ID],TableauProduit[Total (kg) N1],0,0,1)*_xlfn.XLOOKUP(TableauRecette[[#This Row],[ID]],TableauProduit[ID],TableauProduit[Total (kg) N1],0,0,1)</f>
        <v>0</v>
      </c>
      <c r="M380" t="e">
        <f>_xlfn.XLOOKUP(TableauRecette[[#This Row],[ID]],TableauProduit[ID],TableauProduit[Total (kg) N1],0,0,1)*_xlfn.XLOOKUP(TableauRecette[[#This Row],[ID]],TableauProduit[ID],TableauProduit[Total (kg) N2],0,0,1)</f>
        <v>#REF!</v>
      </c>
      <c r="N380" t="e">
        <f>_xlfn.XLOOKUP(TableauRecette[[#This Row],[ID]],TableauProduit[ID],TableauProduit[Total (kg) N3],0,0,1)*#REF!</f>
        <v>#REF!</v>
      </c>
      <c r="O380" t="e">
        <f>_xlfn.XLOOKUP(TableauRecette[[#This Row],[ID]],TableauProduit[ID],TableauProduit[Total (kg) N4],0,0,1)*#REF!</f>
        <v>#REF!</v>
      </c>
      <c r="P380" t="e">
        <f>_xlfn.XLOOKUP(TableauRecette[[#This Row],[ID]],TableauProduit[ID],TableauProduit[Total (kg) N5],0,0,1)*#REF!</f>
        <v>#REF!</v>
      </c>
      <c r="Q380" t="e">
        <f>_xlfn.XLOOKUP(TableauRecette[[#This Row],[ID]],TableauProduit[ID],TableauProduit[Total (kg) N6],0,0,1)*#REF!</f>
        <v>#REF!</v>
      </c>
      <c r="R380" t="e">
        <f>_xlfn.XLOOKUP(TableauRecette[[#This Row],[ID]],TableauProduit[ID],TableauProduit[Total (kg) N7],0,0,1)*#REF!</f>
        <v>#REF!</v>
      </c>
      <c r="S380" t="e">
        <f>_xlfn.XLOOKUP(TableauRecette[[#This Row],[ID]],TableauProduit[ID],TableauProduit[Total (kg) N8],0,0,1)*#REF!</f>
        <v>#REF!</v>
      </c>
      <c r="T380" t="e">
        <f>_xlfn.XLOOKUP(TableauRecette[[#This Row],[ID]],TableauProduit[ID],TableauProduit[Total (kg) N9],0,0,1)*#REF!</f>
        <v>#REF!</v>
      </c>
    </row>
    <row r="381" spans="1:20" x14ac:dyDescent="0.2">
      <c r="A381" t="s">
        <v>96</v>
      </c>
      <c r="B381" t="str">
        <f>TableauRecette[[#This Row],[Recette]]&amp;TableauRecette[[#This Row],[Conditionnement]]</f>
        <v>Tabasco Rouge moyenPiment liquide 100ml</v>
      </c>
      <c r="C381" t="s">
        <v>364</v>
      </c>
      <c r="D381">
        <v>10</v>
      </c>
      <c r="E381" t="s">
        <v>97</v>
      </c>
      <c r="F381">
        <f>IFERROR(TableauRecette[[#This Row],[Proportion]]/SUMIFS(TableauRecette[Proportion],TableauRecette[Recette],TableauRecette[[#This Row],[Recette]],TableauRecette[Conditionnement],TableauRecette[[#This Row],[Conditionnement]]),0)</f>
        <v>7.0422535211267609E-2</v>
      </c>
      <c r="G381">
        <f>IFERROR(_xlfn.XLOOKUP(TableauRecette[[#This Row],[Ingredients]],TableauIngredients[Ingredients],#REF!,0)*#REF!,0)</f>
        <v>0</v>
      </c>
      <c r="H381">
        <f>IFERROR(SUMIFS(TableauRecette[Proportion],TableauRecette[Recette],TableauRecette[[#This Row],[Recette]],TableauRecette[Conditionnement],TableauRecette[[#This Row],[Conditionnement]]),0)</f>
        <v>142</v>
      </c>
      <c r="I381">
        <f>_xlfn.XLOOKUP(TableauRecette[[#This Row],[Ingredients]],TableauIngredients[Ingredients],TableauIngredients[Prix d''achat (kg)],0,0,1)*TableauRecette[[#This Row],[Proportion]]/TableauRecette[[#This Row],[Total Proportion]]</f>
        <v>9.8591549295774641E-2</v>
      </c>
      <c r="L381">
        <f>_xlfn.XLOOKUP(TableauRecette[[#This Row],[ID]],TableauProduit[ID],TableauProduit[Total (kg) N1],0,0,1)*_xlfn.XLOOKUP(TableauRecette[[#This Row],[ID]],TableauProduit[ID],TableauProduit[Total (kg) N1],0,0,1)</f>
        <v>0</v>
      </c>
      <c r="M381" t="e">
        <f>_xlfn.XLOOKUP(TableauRecette[[#This Row],[ID]],TableauProduit[ID],TableauProduit[Total (kg) N1],0,0,1)*_xlfn.XLOOKUP(TableauRecette[[#This Row],[ID]],TableauProduit[ID],TableauProduit[Total (kg) N2],0,0,1)</f>
        <v>#REF!</v>
      </c>
      <c r="N381" t="e">
        <f>_xlfn.XLOOKUP(TableauRecette[[#This Row],[ID]],TableauProduit[ID],TableauProduit[Total (kg) N3],0,0,1)*#REF!</f>
        <v>#REF!</v>
      </c>
      <c r="O381" t="e">
        <f>_xlfn.XLOOKUP(TableauRecette[[#This Row],[ID]],TableauProduit[ID],TableauProduit[Total (kg) N4],0,0,1)*#REF!</f>
        <v>#REF!</v>
      </c>
      <c r="P381" t="e">
        <f>_xlfn.XLOOKUP(TableauRecette[[#This Row],[ID]],TableauProduit[ID],TableauProduit[Total (kg) N5],0,0,1)*#REF!</f>
        <v>#REF!</v>
      </c>
      <c r="Q381" t="e">
        <f>_xlfn.XLOOKUP(TableauRecette[[#This Row],[ID]],TableauProduit[ID],TableauProduit[Total (kg) N6],0,0,1)*#REF!</f>
        <v>#REF!</v>
      </c>
      <c r="R381" t="e">
        <f>_xlfn.XLOOKUP(TableauRecette[[#This Row],[ID]],TableauProduit[ID],TableauProduit[Total (kg) N7],0,0,1)*#REF!</f>
        <v>#REF!</v>
      </c>
      <c r="S381" t="e">
        <f>_xlfn.XLOOKUP(TableauRecette[[#This Row],[ID]],TableauProduit[ID],TableauProduit[Total (kg) N8],0,0,1)*#REF!</f>
        <v>#REF!</v>
      </c>
      <c r="T381" t="e">
        <f>_xlfn.XLOOKUP(TableauRecette[[#This Row],[ID]],TableauProduit[ID],TableauProduit[Total (kg) N9],0,0,1)*#REF!</f>
        <v>#REF!</v>
      </c>
    </row>
    <row r="382" spans="1:20" x14ac:dyDescent="0.2">
      <c r="A382" t="s">
        <v>96</v>
      </c>
      <c r="B382" t="str">
        <f>TableauRecette[[#This Row],[Recette]]&amp;TableauRecette[[#This Row],[Conditionnement]]</f>
        <v>Tabasco Rouge moyenPiment liquide 100ml</v>
      </c>
      <c r="C382" t="s">
        <v>425</v>
      </c>
      <c r="D382">
        <v>6</v>
      </c>
      <c r="E382" t="s">
        <v>97</v>
      </c>
      <c r="F382">
        <f>IFERROR(TableauRecette[[#This Row],[Proportion]]/SUMIFS(TableauRecette[Proportion],TableauRecette[Recette],TableauRecette[[#This Row],[Recette]],TableauRecette[Conditionnement],TableauRecette[[#This Row],[Conditionnement]]),0)</f>
        <v>4.2253521126760563E-2</v>
      </c>
      <c r="G382">
        <f>IFERROR(_xlfn.XLOOKUP(TableauRecette[[#This Row],[Ingredients]],TableauIngredients[Ingredients],#REF!,0)*#REF!,0)</f>
        <v>0</v>
      </c>
      <c r="H382">
        <f>IFERROR(SUMIFS(TableauRecette[Proportion],TableauRecette[Recette],TableauRecette[[#This Row],[Recette]],TableauRecette[Conditionnement],TableauRecette[[#This Row],[Conditionnement]]),0)</f>
        <v>142</v>
      </c>
      <c r="I382">
        <f>_xlfn.XLOOKUP(TableauRecette[[#This Row],[Ingredients]],TableauIngredients[Ingredients],TableauIngredients[Prix d''achat (kg)],0,0,1)*TableauRecette[[#This Row],[Proportion]]/TableauRecette[[#This Row],[Total Proportion]]</f>
        <v>0.16233802816901408</v>
      </c>
      <c r="L382">
        <f>_xlfn.XLOOKUP(TableauRecette[[#This Row],[ID]],TableauProduit[ID],TableauProduit[Total (kg) N1],0,0,1)*_xlfn.XLOOKUP(TableauRecette[[#This Row],[ID]],TableauProduit[ID],TableauProduit[Total (kg) N1],0,0,1)</f>
        <v>0</v>
      </c>
      <c r="M382" t="e">
        <f>_xlfn.XLOOKUP(TableauRecette[[#This Row],[ID]],TableauProduit[ID],TableauProduit[Total (kg) N1],0,0,1)*_xlfn.XLOOKUP(TableauRecette[[#This Row],[ID]],TableauProduit[ID],TableauProduit[Total (kg) N2],0,0,1)</f>
        <v>#REF!</v>
      </c>
      <c r="N382" t="e">
        <f>_xlfn.XLOOKUP(TableauRecette[[#This Row],[ID]],TableauProduit[ID],TableauProduit[Total (kg) N3],0,0,1)*#REF!</f>
        <v>#REF!</v>
      </c>
      <c r="O382" t="e">
        <f>_xlfn.XLOOKUP(TableauRecette[[#This Row],[ID]],TableauProduit[ID],TableauProduit[Total (kg) N4],0,0,1)*#REF!</f>
        <v>#REF!</v>
      </c>
      <c r="P382" t="e">
        <f>_xlfn.XLOOKUP(TableauRecette[[#This Row],[ID]],TableauProduit[ID],TableauProduit[Total (kg) N5],0,0,1)*#REF!</f>
        <v>#REF!</v>
      </c>
      <c r="Q382" t="e">
        <f>_xlfn.XLOOKUP(TableauRecette[[#This Row],[ID]],TableauProduit[ID],TableauProduit[Total (kg) N6],0,0,1)*#REF!</f>
        <v>#REF!</v>
      </c>
      <c r="R382" t="e">
        <f>_xlfn.XLOOKUP(TableauRecette[[#This Row],[ID]],TableauProduit[ID],TableauProduit[Total (kg) N7],0,0,1)*#REF!</f>
        <v>#REF!</v>
      </c>
      <c r="S382" t="e">
        <f>_xlfn.XLOOKUP(TableauRecette[[#This Row],[ID]],TableauProduit[ID],TableauProduit[Total (kg) N8],0,0,1)*#REF!</f>
        <v>#REF!</v>
      </c>
      <c r="T382" t="e">
        <f>_xlfn.XLOOKUP(TableauRecette[[#This Row],[ID]],TableauProduit[ID],TableauProduit[Total (kg) N9],0,0,1)*#REF!</f>
        <v>#REF!</v>
      </c>
    </row>
    <row r="383" spans="1:20" x14ac:dyDescent="0.2">
      <c r="A383" t="s">
        <v>96</v>
      </c>
      <c r="B383" t="str">
        <f>TableauRecette[[#This Row],[Recette]]&amp;TableauRecette[[#This Row],[Conditionnement]]</f>
        <v>Tabasco Rouge moyenPiment liquide 100ml</v>
      </c>
      <c r="C383" t="s">
        <v>426</v>
      </c>
      <c r="D383">
        <v>10</v>
      </c>
      <c r="E383" t="s">
        <v>97</v>
      </c>
      <c r="F383">
        <f>IFERROR(TableauRecette[[#This Row],[Proportion]]/SUMIFS(TableauRecette[Proportion],TableauRecette[Recette],TableauRecette[[#This Row],[Recette]],TableauRecette[Conditionnement],TableauRecette[[#This Row],[Conditionnement]]),0)</f>
        <v>7.0422535211267609E-2</v>
      </c>
      <c r="G383">
        <f>IFERROR(_xlfn.XLOOKUP(TableauRecette[[#This Row],[Ingredients]],TableauIngredients[Ingredients],#REF!,0)*#REF!,0)</f>
        <v>0</v>
      </c>
      <c r="H383">
        <f>IFERROR(SUMIFS(TableauRecette[Proportion],TableauRecette[Recette],TableauRecette[[#This Row],[Recette]],TableauRecette[Conditionnement],TableauRecette[[#This Row],[Conditionnement]]),0)</f>
        <v>142</v>
      </c>
      <c r="I383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83">
        <f>_xlfn.XLOOKUP(TableauRecette[[#This Row],[ID]],TableauProduit[ID],TableauProduit[Total (kg) N1],0,0,1)*_xlfn.XLOOKUP(TableauRecette[[#This Row],[ID]],TableauProduit[ID],TableauProduit[Total (kg) N1],0,0,1)</f>
        <v>0</v>
      </c>
      <c r="M383" t="e">
        <f>_xlfn.XLOOKUP(TableauRecette[[#This Row],[ID]],TableauProduit[ID],TableauProduit[Total (kg) N1],0,0,1)*_xlfn.XLOOKUP(TableauRecette[[#This Row],[ID]],TableauProduit[ID],TableauProduit[Total (kg) N2],0,0,1)</f>
        <v>#REF!</v>
      </c>
      <c r="N383" t="e">
        <f>_xlfn.XLOOKUP(TableauRecette[[#This Row],[ID]],TableauProduit[ID],TableauProduit[Total (kg) N3],0,0,1)*#REF!</f>
        <v>#REF!</v>
      </c>
      <c r="O383" t="e">
        <f>_xlfn.XLOOKUP(TableauRecette[[#This Row],[ID]],TableauProduit[ID],TableauProduit[Total (kg) N4],0,0,1)*#REF!</f>
        <v>#REF!</v>
      </c>
      <c r="P383" t="e">
        <f>_xlfn.XLOOKUP(TableauRecette[[#This Row],[ID]],TableauProduit[ID],TableauProduit[Total (kg) N5],0,0,1)*#REF!</f>
        <v>#REF!</v>
      </c>
      <c r="Q383" t="e">
        <f>_xlfn.XLOOKUP(TableauRecette[[#This Row],[ID]],TableauProduit[ID],TableauProduit[Total (kg) N6],0,0,1)*#REF!</f>
        <v>#REF!</v>
      </c>
      <c r="R383" t="e">
        <f>_xlfn.XLOOKUP(TableauRecette[[#This Row],[ID]],TableauProduit[ID],TableauProduit[Total (kg) N7],0,0,1)*#REF!</f>
        <v>#REF!</v>
      </c>
      <c r="S383" t="e">
        <f>_xlfn.XLOOKUP(TableauRecette[[#This Row],[ID]],TableauProduit[ID],TableauProduit[Total (kg) N8],0,0,1)*#REF!</f>
        <v>#REF!</v>
      </c>
      <c r="T383" t="e">
        <f>_xlfn.XLOOKUP(TableauRecette[[#This Row],[ID]],TableauProduit[ID],TableauProduit[Total (kg) N9],0,0,1)*#REF!</f>
        <v>#REF!</v>
      </c>
    </row>
    <row r="384" spans="1:20" x14ac:dyDescent="0.2">
      <c r="A384" t="s">
        <v>102</v>
      </c>
      <c r="B384" t="str">
        <f>TableauRecette[[#This Row],[Recette]]&amp;TableauRecette[[#This Row],[Conditionnement]]</f>
        <v>Tabasco violet fortPiment liquide 100ml</v>
      </c>
      <c r="C384" t="s">
        <v>408</v>
      </c>
      <c r="D384">
        <v>6</v>
      </c>
      <c r="E384" t="s">
        <v>97</v>
      </c>
      <c r="F384">
        <f>IFERROR(TableauRecette[[#This Row],[Proportion]]/SUMIFS(TableauRecette[Proportion],TableauRecette[Recette],TableauRecette[[#This Row],[Recette]],TableauRecette[Conditionnement],TableauRecette[[#This Row],[Conditionnement]]),0)</f>
        <v>4.2253521126760563E-2</v>
      </c>
      <c r="G384">
        <f>IFERROR(_xlfn.XLOOKUP(TableauRecette[[#This Row],[Ingredients]],TableauIngredients[Ingredients],#REF!,0)*#REF!,0)</f>
        <v>0</v>
      </c>
      <c r="H384">
        <f>IFERROR(SUMIFS(TableauRecette[Proportion],TableauRecette[Recette],TableauRecette[[#This Row],[Recette]],TableauRecette[Conditionnement],TableauRecette[[#This Row],[Conditionnement]]),0)</f>
        <v>142</v>
      </c>
      <c r="I384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84">
        <f>_xlfn.XLOOKUP(TableauRecette[[#This Row],[ID]],TableauProduit[ID],TableauProduit[Total (kg) N1],0,0,1)*_xlfn.XLOOKUP(TableauRecette[[#This Row],[ID]],TableauProduit[ID],TableauProduit[Total (kg) N1],0,0,1)</f>
        <v>0</v>
      </c>
      <c r="M384" t="e">
        <f>_xlfn.XLOOKUP(TableauRecette[[#This Row],[ID]],TableauProduit[ID],TableauProduit[Total (kg) N1],0,0,1)*_xlfn.XLOOKUP(TableauRecette[[#This Row],[ID]],TableauProduit[ID],TableauProduit[Total (kg) N2],0,0,1)</f>
        <v>#REF!</v>
      </c>
      <c r="N384" t="e">
        <f>_xlfn.XLOOKUP(TableauRecette[[#This Row],[ID]],TableauProduit[ID],TableauProduit[Total (kg) N3],0,0,1)*#REF!</f>
        <v>#REF!</v>
      </c>
      <c r="O384" t="e">
        <f>_xlfn.XLOOKUP(TableauRecette[[#This Row],[ID]],TableauProduit[ID],TableauProduit[Total (kg) N4],0,0,1)*#REF!</f>
        <v>#REF!</v>
      </c>
      <c r="P384" t="e">
        <f>_xlfn.XLOOKUP(TableauRecette[[#This Row],[ID]],TableauProduit[ID],TableauProduit[Total (kg) N5],0,0,1)*#REF!</f>
        <v>#REF!</v>
      </c>
      <c r="Q384" t="e">
        <f>_xlfn.XLOOKUP(TableauRecette[[#This Row],[ID]],TableauProduit[ID],TableauProduit[Total (kg) N6],0,0,1)*#REF!</f>
        <v>#REF!</v>
      </c>
      <c r="R384" t="e">
        <f>_xlfn.XLOOKUP(TableauRecette[[#This Row],[ID]],TableauProduit[ID],TableauProduit[Total (kg) N7],0,0,1)*#REF!</f>
        <v>#REF!</v>
      </c>
      <c r="S384" t="e">
        <f>_xlfn.XLOOKUP(TableauRecette[[#This Row],[ID]],TableauProduit[ID],TableauProduit[Total (kg) N8],0,0,1)*#REF!</f>
        <v>#REF!</v>
      </c>
      <c r="T384" t="e">
        <f>_xlfn.XLOOKUP(TableauRecette[[#This Row],[ID]],TableauProduit[ID],TableauProduit[Total (kg) N9],0,0,1)*#REF!</f>
        <v>#REF!</v>
      </c>
    </row>
    <row r="385" spans="1:20" x14ac:dyDescent="0.2">
      <c r="A385" t="s">
        <v>102</v>
      </c>
      <c r="B385" t="str">
        <f>TableauRecette[[#This Row],[Recette]]&amp;TableauRecette[[#This Row],[Conditionnement]]</f>
        <v>Tabasco violet fortPiment liquide 100ml</v>
      </c>
      <c r="C385" t="s">
        <v>473</v>
      </c>
      <c r="D385">
        <v>90</v>
      </c>
      <c r="E385" t="s">
        <v>97</v>
      </c>
      <c r="F385">
        <f>IFERROR(TableauRecette[[#This Row],[Proportion]]/SUMIFS(TableauRecette[Proportion],TableauRecette[Recette],TableauRecette[[#This Row],[Recette]],TableauRecette[Conditionnement],TableauRecette[[#This Row],[Conditionnement]]),0)</f>
        <v>0.63380281690140849</v>
      </c>
      <c r="G385">
        <f>IFERROR(_xlfn.XLOOKUP(TableauRecette[[#This Row],[Ingredients]],TableauIngredients[Ingredients],#REF!,0)*#REF!,0)</f>
        <v>0</v>
      </c>
      <c r="H385">
        <f>IFERROR(SUMIFS(TableauRecette[Proportion],TableauRecette[Recette],TableauRecette[[#This Row],[Recette]],TableauRecette[Conditionnement],TableauRecette[[#This Row],[Conditionnement]]),0)</f>
        <v>142</v>
      </c>
      <c r="I38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85">
        <f>_xlfn.XLOOKUP(TableauRecette[[#This Row],[ID]],TableauProduit[ID],TableauProduit[Total (kg) N1],0,0,1)*_xlfn.XLOOKUP(TableauRecette[[#This Row],[ID]],TableauProduit[ID],TableauProduit[Total (kg) N1],0,0,1)</f>
        <v>0</v>
      </c>
      <c r="M385" t="e">
        <f>_xlfn.XLOOKUP(TableauRecette[[#This Row],[ID]],TableauProduit[ID],TableauProduit[Total (kg) N1],0,0,1)*_xlfn.XLOOKUP(TableauRecette[[#This Row],[ID]],TableauProduit[ID],TableauProduit[Total (kg) N2],0,0,1)</f>
        <v>#REF!</v>
      </c>
      <c r="N385" t="e">
        <f>_xlfn.XLOOKUP(TableauRecette[[#This Row],[ID]],TableauProduit[ID],TableauProduit[Total (kg) N3],0,0,1)*#REF!</f>
        <v>#REF!</v>
      </c>
      <c r="O385" t="e">
        <f>_xlfn.XLOOKUP(TableauRecette[[#This Row],[ID]],TableauProduit[ID],TableauProduit[Total (kg) N4],0,0,1)*#REF!</f>
        <v>#REF!</v>
      </c>
      <c r="P385" t="e">
        <f>_xlfn.XLOOKUP(TableauRecette[[#This Row],[ID]],TableauProduit[ID],TableauProduit[Total (kg) N5],0,0,1)*#REF!</f>
        <v>#REF!</v>
      </c>
      <c r="Q385" t="e">
        <f>_xlfn.XLOOKUP(TableauRecette[[#This Row],[ID]],TableauProduit[ID],TableauProduit[Total (kg) N6],0,0,1)*#REF!</f>
        <v>#REF!</v>
      </c>
      <c r="R385" t="e">
        <f>_xlfn.XLOOKUP(TableauRecette[[#This Row],[ID]],TableauProduit[ID],TableauProduit[Total (kg) N7],0,0,1)*#REF!</f>
        <v>#REF!</v>
      </c>
      <c r="S385" t="e">
        <f>_xlfn.XLOOKUP(TableauRecette[[#This Row],[ID]],TableauProduit[ID],TableauProduit[Total (kg) N8],0,0,1)*#REF!</f>
        <v>#REF!</v>
      </c>
      <c r="T385" t="e">
        <f>_xlfn.XLOOKUP(TableauRecette[[#This Row],[ID]],TableauProduit[ID],TableauProduit[Total (kg) N9],0,0,1)*#REF!</f>
        <v>#REF!</v>
      </c>
    </row>
    <row r="386" spans="1:20" x14ac:dyDescent="0.2">
      <c r="A386" t="s">
        <v>102</v>
      </c>
      <c r="B386" t="str">
        <f>TableauRecette[[#This Row],[Recette]]&amp;TableauRecette[[#This Row],[Conditionnement]]</f>
        <v>Tabasco violet fortPiment liquide 100ml</v>
      </c>
      <c r="C386" t="s">
        <v>474</v>
      </c>
      <c r="D386">
        <v>10</v>
      </c>
      <c r="E386" t="s">
        <v>97</v>
      </c>
      <c r="F386">
        <f>IFERROR(TableauRecette[[#This Row],[Proportion]]/SUMIFS(TableauRecette[Proportion],TableauRecette[Recette],TableauRecette[[#This Row],[Recette]],TableauRecette[Conditionnement],TableauRecette[[#This Row],[Conditionnement]]),0)</f>
        <v>7.0422535211267609E-2</v>
      </c>
      <c r="G386">
        <f>IFERROR(_xlfn.XLOOKUP(TableauRecette[[#This Row],[Ingredients]],TableauIngredients[Ingredients],#REF!,0)*#REF!,0)</f>
        <v>0</v>
      </c>
      <c r="H386">
        <f>IFERROR(SUMIFS(TableauRecette[Proportion],TableauRecette[Recette],TableauRecette[[#This Row],[Recette]],TableauRecette[Conditionnement],TableauRecette[[#This Row],[Conditionnement]]),0)</f>
        <v>142</v>
      </c>
      <c r="I38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86">
        <f>_xlfn.XLOOKUP(TableauRecette[[#This Row],[ID]],TableauProduit[ID],TableauProduit[Total (kg) N1],0,0,1)*_xlfn.XLOOKUP(TableauRecette[[#This Row],[ID]],TableauProduit[ID],TableauProduit[Total (kg) N1],0,0,1)</f>
        <v>0</v>
      </c>
      <c r="M386" t="e">
        <f>_xlfn.XLOOKUP(TableauRecette[[#This Row],[ID]],TableauProduit[ID],TableauProduit[Total (kg) N1],0,0,1)*_xlfn.XLOOKUP(TableauRecette[[#This Row],[ID]],TableauProduit[ID],TableauProduit[Total (kg) N2],0,0,1)</f>
        <v>#REF!</v>
      </c>
      <c r="N386" t="e">
        <f>_xlfn.XLOOKUP(TableauRecette[[#This Row],[ID]],TableauProduit[ID],TableauProduit[Total (kg) N3],0,0,1)*#REF!</f>
        <v>#REF!</v>
      </c>
      <c r="O386" t="e">
        <f>_xlfn.XLOOKUP(TableauRecette[[#This Row],[ID]],TableauProduit[ID],TableauProduit[Total (kg) N4],0,0,1)*#REF!</f>
        <v>#REF!</v>
      </c>
      <c r="P386" t="e">
        <f>_xlfn.XLOOKUP(TableauRecette[[#This Row],[ID]],TableauProduit[ID],TableauProduit[Total (kg) N5],0,0,1)*#REF!</f>
        <v>#REF!</v>
      </c>
      <c r="Q386" t="e">
        <f>_xlfn.XLOOKUP(TableauRecette[[#This Row],[ID]],TableauProduit[ID],TableauProduit[Total (kg) N6],0,0,1)*#REF!</f>
        <v>#REF!</v>
      </c>
      <c r="R386" t="e">
        <f>_xlfn.XLOOKUP(TableauRecette[[#This Row],[ID]],TableauProduit[ID],TableauProduit[Total (kg) N7],0,0,1)*#REF!</f>
        <v>#REF!</v>
      </c>
      <c r="S386" t="e">
        <f>_xlfn.XLOOKUP(TableauRecette[[#This Row],[ID]],TableauProduit[ID],TableauProduit[Total (kg) N8],0,0,1)*#REF!</f>
        <v>#REF!</v>
      </c>
      <c r="T386" t="e">
        <f>_xlfn.XLOOKUP(TableauRecette[[#This Row],[ID]],TableauProduit[ID],TableauProduit[Total (kg) N9],0,0,1)*#REF!</f>
        <v>#REF!</v>
      </c>
    </row>
    <row r="387" spans="1:20" x14ac:dyDescent="0.2">
      <c r="A387" t="s">
        <v>102</v>
      </c>
      <c r="B387" t="str">
        <f>TableauRecette[[#This Row],[Recette]]&amp;TableauRecette[[#This Row],[Conditionnement]]</f>
        <v>Tabasco violet fortPiment liquide 100ml</v>
      </c>
      <c r="C387" t="s">
        <v>424</v>
      </c>
      <c r="D387">
        <v>10</v>
      </c>
      <c r="E387" t="s">
        <v>97</v>
      </c>
      <c r="F387">
        <f>IFERROR(TableauRecette[[#This Row],[Proportion]]/SUMIFS(TableauRecette[Proportion],TableauRecette[Recette],TableauRecette[[#This Row],[Recette]],TableauRecette[Conditionnement],TableauRecette[[#This Row],[Conditionnement]]),0)</f>
        <v>7.0422535211267609E-2</v>
      </c>
      <c r="G387">
        <f>IFERROR(_xlfn.XLOOKUP(TableauRecette[[#This Row],[Ingredients]],TableauIngredients[Ingredients],#REF!,0)*#REF!,0)</f>
        <v>0</v>
      </c>
      <c r="H387">
        <f>IFERROR(SUMIFS(TableauRecette[Proportion],TableauRecette[Recette],TableauRecette[[#This Row],[Recette]],TableauRecette[Conditionnement],TableauRecette[[#This Row],[Conditionnement]]),0)</f>
        <v>142</v>
      </c>
      <c r="I38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87">
        <f>_xlfn.XLOOKUP(TableauRecette[[#This Row],[ID]],TableauProduit[ID],TableauProduit[Total (kg) N1],0,0,1)*_xlfn.XLOOKUP(TableauRecette[[#This Row],[ID]],TableauProduit[ID],TableauProduit[Total (kg) N1],0,0,1)</f>
        <v>0</v>
      </c>
      <c r="M387" t="e">
        <f>_xlfn.XLOOKUP(TableauRecette[[#This Row],[ID]],TableauProduit[ID],TableauProduit[Total (kg) N1],0,0,1)*_xlfn.XLOOKUP(TableauRecette[[#This Row],[ID]],TableauProduit[ID],TableauProduit[Total (kg) N2],0,0,1)</f>
        <v>#REF!</v>
      </c>
      <c r="N387" t="e">
        <f>_xlfn.XLOOKUP(TableauRecette[[#This Row],[ID]],TableauProduit[ID],TableauProduit[Total (kg) N3],0,0,1)*#REF!</f>
        <v>#REF!</v>
      </c>
      <c r="O387" t="e">
        <f>_xlfn.XLOOKUP(TableauRecette[[#This Row],[ID]],TableauProduit[ID],TableauProduit[Total (kg) N4],0,0,1)*#REF!</f>
        <v>#REF!</v>
      </c>
      <c r="P387" t="e">
        <f>_xlfn.XLOOKUP(TableauRecette[[#This Row],[ID]],TableauProduit[ID],TableauProduit[Total (kg) N5],0,0,1)*#REF!</f>
        <v>#REF!</v>
      </c>
      <c r="Q387" t="e">
        <f>_xlfn.XLOOKUP(TableauRecette[[#This Row],[ID]],TableauProduit[ID],TableauProduit[Total (kg) N6],0,0,1)*#REF!</f>
        <v>#REF!</v>
      </c>
      <c r="R387" t="e">
        <f>_xlfn.XLOOKUP(TableauRecette[[#This Row],[ID]],TableauProduit[ID],TableauProduit[Total (kg) N7],0,0,1)*#REF!</f>
        <v>#REF!</v>
      </c>
      <c r="S387" t="e">
        <f>_xlfn.XLOOKUP(TableauRecette[[#This Row],[ID]],TableauProduit[ID],TableauProduit[Total (kg) N8],0,0,1)*#REF!</f>
        <v>#REF!</v>
      </c>
      <c r="T387" t="e">
        <f>_xlfn.XLOOKUP(TableauRecette[[#This Row],[ID]],TableauProduit[ID],TableauProduit[Total (kg) N9],0,0,1)*#REF!</f>
        <v>#REF!</v>
      </c>
    </row>
    <row r="388" spans="1:20" x14ac:dyDescent="0.2">
      <c r="A388" t="s">
        <v>102</v>
      </c>
      <c r="B388" t="str">
        <f>TableauRecette[[#This Row],[Recette]]&amp;TableauRecette[[#This Row],[Conditionnement]]</f>
        <v>Tabasco violet fortPiment liquide 100ml</v>
      </c>
      <c r="C388" t="s">
        <v>364</v>
      </c>
      <c r="D388">
        <v>10</v>
      </c>
      <c r="E388" t="s">
        <v>97</v>
      </c>
      <c r="F388">
        <f>IFERROR(TableauRecette[[#This Row],[Proportion]]/SUMIFS(TableauRecette[Proportion],TableauRecette[Recette],TableauRecette[[#This Row],[Recette]],TableauRecette[Conditionnement],TableauRecette[[#This Row],[Conditionnement]]),0)</f>
        <v>7.0422535211267609E-2</v>
      </c>
      <c r="G388">
        <f>IFERROR(_xlfn.XLOOKUP(TableauRecette[[#This Row],[Ingredients]],TableauIngredients[Ingredients],#REF!,0)*#REF!,0)</f>
        <v>0</v>
      </c>
      <c r="H388">
        <f>IFERROR(SUMIFS(TableauRecette[Proportion],TableauRecette[Recette],TableauRecette[[#This Row],[Recette]],TableauRecette[Conditionnement],TableauRecette[[#This Row],[Conditionnement]]),0)</f>
        <v>142</v>
      </c>
      <c r="I388">
        <f>_xlfn.XLOOKUP(TableauRecette[[#This Row],[Ingredients]],TableauIngredients[Ingredients],TableauIngredients[Prix d''achat (kg)],0,0,1)*TableauRecette[[#This Row],[Proportion]]/TableauRecette[[#This Row],[Total Proportion]]</f>
        <v>9.8591549295774641E-2</v>
      </c>
      <c r="L388">
        <f>_xlfn.XLOOKUP(TableauRecette[[#This Row],[ID]],TableauProduit[ID],TableauProduit[Total (kg) N1],0,0,1)*_xlfn.XLOOKUP(TableauRecette[[#This Row],[ID]],TableauProduit[ID],TableauProduit[Total (kg) N1],0,0,1)</f>
        <v>0</v>
      </c>
      <c r="M388" t="e">
        <f>_xlfn.XLOOKUP(TableauRecette[[#This Row],[ID]],TableauProduit[ID],TableauProduit[Total (kg) N1],0,0,1)*_xlfn.XLOOKUP(TableauRecette[[#This Row],[ID]],TableauProduit[ID],TableauProduit[Total (kg) N2],0,0,1)</f>
        <v>#REF!</v>
      </c>
      <c r="N388" t="e">
        <f>_xlfn.XLOOKUP(TableauRecette[[#This Row],[ID]],TableauProduit[ID],TableauProduit[Total (kg) N3],0,0,1)*#REF!</f>
        <v>#REF!</v>
      </c>
      <c r="O388" t="e">
        <f>_xlfn.XLOOKUP(TableauRecette[[#This Row],[ID]],TableauProduit[ID],TableauProduit[Total (kg) N4],0,0,1)*#REF!</f>
        <v>#REF!</v>
      </c>
      <c r="P388" t="e">
        <f>_xlfn.XLOOKUP(TableauRecette[[#This Row],[ID]],TableauProduit[ID],TableauProduit[Total (kg) N5],0,0,1)*#REF!</f>
        <v>#REF!</v>
      </c>
      <c r="Q388" t="e">
        <f>_xlfn.XLOOKUP(TableauRecette[[#This Row],[ID]],TableauProduit[ID],TableauProduit[Total (kg) N6],0,0,1)*#REF!</f>
        <v>#REF!</v>
      </c>
      <c r="R388" t="e">
        <f>_xlfn.XLOOKUP(TableauRecette[[#This Row],[ID]],TableauProduit[ID],TableauProduit[Total (kg) N7],0,0,1)*#REF!</f>
        <v>#REF!</v>
      </c>
      <c r="S388" t="e">
        <f>_xlfn.XLOOKUP(TableauRecette[[#This Row],[ID]],TableauProduit[ID],TableauProduit[Total (kg) N8],0,0,1)*#REF!</f>
        <v>#REF!</v>
      </c>
      <c r="T388" t="e">
        <f>_xlfn.XLOOKUP(TableauRecette[[#This Row],[ID]],TableauProduit[ID],TableauProduit[Total (kg) N9],0,0,1)*#REF!</f>
        <v>#REF!</v>
      </c>
    </row>
    <row r="389" spans="1:20" x14ac:dyDescent="0.2">
      <c r="A389" t="s">
        <v>102</v>
      </c>
      <c r="B389" t="str">
        <f>TableauRecette[[#This Row],[Recette]]&amp;TableauRecette[[#This Row],[Conditionnement]]</f>
        <v>Tabasco violet fortPiment liquide 100ml</v>
      </c>
      <c r="C389" t="s">
        <v>426</v>
      </c>
      <c r="D389">
        <v>10</v>
      </c>
      <c r="E389" t="s">
        <v>97</v>
      </c>
      <c r="F389">
        <f>IFERROR(TableauRecette[[#This Row],[Proportion]]/SUMIFS(TableauRecette[Proportion],TableauRecette[Recette],TableauRecette[[#This Row],[Recette]],TableauRecette[Conditionnement],TableauRecette[[#This Row],[Conditionnement]]),0)</f>
        <v>7.0422535211267609E-2</v>
      </c>
      <c r="G389">
        <f>IFERROR(_xlfn.XLOOKUP(TableauRecette[[#This Row],[Ingredients]],TableauIngredients[Ingredients],#REF!,0)*#REF!,0)</f>
        <v>0</v>
      </c>
      <c r="H389">
        <f>IFERROR(SUMIFS(TableauRecette[Proportion],TableauRecette[Recette],TableauRecette[[#This Row],[Recette]],TableauRecette[Conditionnement],TableauRecette[[#This Row],[Conditionnement]]),0)</f>
        <v>142</v>
      </c>
      <c r="I38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89">
        <f>_xlfn.XLOOKUP(TableauRecette[[#This Row],[ID]],TableauProduit[ID],TableauProduit[Total (kg) N1],0,0,1)*_xlfn.XLOOKUP(TableauRecette[[#This Row],[ID]],TableauProduit[ID],TableauProduit[Total (kg) N1],0,0,1)</f>
        <v>0</v>
      </c>
      <c r="M389" t="e">
        <f>_xlfn.XLOOKUP(TableauRecette[[#This Row],[ID]],TableauProduit[ID],TableauProduit[Total (kg) N1],0,0,1)*_xlfn.XLOOKUP(TableauRecette[[#This Row],[ID]],TableauProduit[ID],TableauProduit[Total (kg) N2],0,0,1)</f>
        <v>#REF!</v>
      </c>
      <c r="N389" t="e">
        <f>_xlfn.XLOOKUP(TableauRecette[[#This Row],[ID]],TableauProduit[ID],TableauProduit[Total (kg) N3],0,0,1)*#REF!</f>
        <v>#REF!</v>
      </c>
      <c r="O389" t="e">
        <f>_xlfn.XLOOKUP(TableauRecette[[#This Row],[ID]],TableauProduit[ID],TableauProduit[Total (kg) N4],0,0,1)*#REF!</f>
        <v>#REF!</v>
      </c>
      <c r="P389" t="e">
        <f>_xlfn.XLOOKUP(TableauRecette[[#This Row],[ID]],TableauProduit[ID],TableauProduit[Total (kg) N5],0,0,1)*#REF!</f>
        <v>#REF!</v>
      </c>
      <c r="Q389" t="e">
        <f>_xlfn.XLOOKUP(TableauRecette[[#This Row],[ID]],TableauProduit[ID],TableauProduit[Total (kg) N6],0,0,1)*#REF!</f>
        <v>#REF!</v>
      </c>
      <c r="R389" t="e">
        <f>_xlfn.XLOOKUP(TableauRecette[[#This Row],[ID]],TableauProduit[ID],TableauProduit[Total (kg) N7],0,0,1)*#REF!</f>
        <v>#REF!</v>
      </c>
      <c r="S389" t="e">
        <f>_xlfn.XLOOKUP(TableauRecette[[#This Row],[ID]],TableauProduit[ID],TableauProduit[Total (kg) N8],0,0,1)*#REF!</f>
        <v>#REF!</v>
      </c>
      <c r="T389" t="e">
        <f>_xlfn.XLOOKUP(TableauRecette[[#This Row],[ID]],TableauProduit[ID],TableauProduit[Total (kg) N9],0,0,1)*#REF!</f>
        <v>#REF!</v>
      </c>
    </row>
    <row r="390" spans="1:20" x14ac:dyDescent="0.2">
      <c r="A390" t="s">
        <v>102</v>
      </c>
      <c r="B390" t="str">
        <f>TableauRecette[[#This Row],[Recette]]&amp;TableauRecette[[#This Row],[Conditionnement]]</f>
        <v>Tabasco violet fortPiment liquide 100ml</v>
      </c>
      <c r="C390" t="s">
        <v>425</v>
      </c>
      <c r="D390">
        <v>6</v>
      </c>
      <c r="E390" t="s">
        <v>97</v>
      </c>
      <c r="F390">
        <f>IFERROR(TableauRecette[[#This Row],[Proportion]]/SUMIFS(TableauRecette[Proportion],TableauRecette[Recette],TableauRecette[[#This Row],[Recette]],TableauRecette[Conditionnement],TableauRecette[[#This Row],[Conditionnement]]),0)</f>
        <v>4.2253521126760563E-2</v>
      </c>
      <c r="G390">
        <f>IFERROR(_xlfn.XLOOKUP(TableauRecette[[#This Row],[Ingredients]],TableauIngredients[Ingredients],#REF!,0)*#REF!,0)</f>
        <v>0</v>
      </c>
      <c r="H390">
        <f>IFERROR(SUMIFS(TableauRecette[Proportion],TableauRecette[Recette],TableauRecette[[#This Row],[Recette]],TableauRecette[Conditionnement],TableauRecette[[#This Row],[Conditionnement]]),0)</f>
        <v>142</v>
      </c>
      <c r="I390">
        <f>_xlfn.XLOOKUP(TableauRecette[[#This Row],[Ingredients]],TableauIngredients[Ingredients],TableauIngredients[Prix d''achat (kg)],0,0,1)*TableauRecette[[#This Row],[Proportion]]/TableauRecette[[#This Row],[Total Proportion]]</f>
        <v>0.16233802816901408</v>
      </c>
      <c r="L390">
        <f>_xlfn.XLOOKUP(TableauRecette[[#This Row],[ID]],TableauProduit[ID],TableauProduit[Total (kg) N1],0,0,1)*_xlfn.XLOOKUP(TableauRecette[[#This Row],[ID]],TableauProduit[ID],TableauProduit[Total (kg) N1],0,0,1)</f>
        <v>0</v>
      </c>
      <c r="M390" t="e">
        <f>_xlfn.XLOOKUP(TableauRecette[[#This Row],[ID]],TableauProduit[ID],TableauProduit[Total (kg) N1],0,0,1)*_xlfn.XLOOKUP(TableauRecette[[#This Row],[ID]],TableauProduit[ID],TableauProduit[Total (kg) N2],0,0,1)</f>
        <v>#REF!</v>
      </c>
      <c r="N390" t="e">
        <f>_xlfn.XLOOKUP(TableauRecette[[#This Row],[ID]],TableauProduit[ID],TableauProduit[Total (kg) N3],0,0,1)*#REF!</f>
        <v>#REF!</v>
      </c>
      <c r="O390" t="e">
        <f>_xlfn.XLOOKUP(TableauRecette[[#This Row],[ID]],TableauProduit[ID],TableauProduit[Total (kg) N4],0,0,1)*#REF!</f>
        <v>#REF!</v>
      </c>
      <c r="P390" t="e">
        <f>_xlfn.XLOOKUP(TableauRecette[[#This Row],[ID]],TableauProduit[ID],TableauProduit[Total (kg) N5],0,0,1)*#REF!</f>
        <v>#REF!</v>
      </c>
      <c r="Q390" t="e">
        <f>_xlfn.XLOOKUP(TableauRecette[[#This Row],[ID]],TableauProduit[ID],TableauProduit[Total (kg) N6],0,0,1)*#REF!</f>
        <v>#REF!</v>
      </c>
      <c r="R390" t="e">
        <f>_xlfn.XLOOKUP(TableauRecette[[#This Row],[ID]],TableauProduit[ID],TableauProduit[Total (kg) N7],0,0,1)*#REF!</f>
        <v>#REF!</v>
      </c>
      <c r="S390" t="e">
        <f>_xlfn.XLOOKUP(TableauRecette[[#This Row],[ID]],TableauProduit[ID],TableauProduit[Total (kg) N8],0,0,1)*#REF!</f>
        <v>#REF!</v>
      </c>
      <c r="T390" t="e">
        <f>_xlfn.XLOOKUP(TableauRecette[[#This Row],[ID]],TableauProduit[ID],TableauProduit[Total (kg) N9],0,0,1)*#REF!</f>
        <v>#REF!</v>
      </c>
    </row>
    <row r="391" spans="1:20" x14ac:dyDescent="0.2">
      <c r="A391" t="s">
        <v>114</v>
      </c>
      <c r="B391" t="str">
        <f>TableauRecette[[#This Row],[Recette]]&amp;TableauRecette[[#This Row],[Conditionnement]]</f>
        <v>Tabel ou Tabil tunisienEpice 100ml</v>
      </c>
      <c r="C391" t="s">
        <v>351</v>
      </c>
      <c r="D391">
        <v>20</v>
      </c>
      <c r="E391" t="s">
        <v>73</v>
      </c>
      <c r="F391">
        <f>IFERROR(TableauRecette[[#This Row],[Proportion]]/SUMIFS(TableauRecette[Proportion],TableauRecette[Recette],TableauRecette[[#This Row],[Recette]],TableauRecette[Conditionnement],TableauRecette[[#This Row],[Conditionnement]]),0)</f>
        <v>0.58651026392961869</v>
      </c>
      <c r="G391">
        <f>IFERROR(_xlfn.XLOOKUP(TableauRecette[[#This Row],[Ingredients]],TableauIngredients[Ingredients],#REF!,0)*#REF!,0)</f>
        <v>0</v>
      </c>
      <c r="H391">
        <f>IFERROR(SUMIFS(TableauRecette[Proportion],TableauRecette[Recette],TableauRecette[[#This Row],[Recette]],TableauRecette[Conditionnement],TableauRecette[[#This Row],[Conditionnement]]),0)</f>
        <v>34.1</v>
      </c>
      <c r="I39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91">
        <f>_xlfn.XLOOKUP(TableauRecette[[#This Row],[ID]],TableauProduit[ID],TableauProduit[Total (kg) N1],0,0,1)*_xlfn.XLOOKUP(TableauRecette[[#This Row],[ID]],TableauProduit[ID],TableauProduit[Total (kg) N1],0,0,1)</f>
        <v>0</v>
      </c>
      <c r="M391" t="e">
        <f>_xlfn.XLOOKUP(TableauRecette[[#This Row],[ID]],TableauProduit[ID],TableauProduit[Total (kg) N1],0,0,1)*_xlfn.XLOOKUP(TableauRecette[[#This Row],[ID]],TableauProduit[ID],TableauProduit[Total (kg) N2],0,0,1)</f>
        <v>#REF!</v>
      </c>
      <c r="N391" t="e">
        <f>_xlfn.XLOOKUP(TableauRecette[[#This Row],[ID]],TableauProduit[ID],TableauProduit[Total (kg) N3],0,0,1)*#REF!</f>
        <v>#REF!</v>
      </c>
      <c r="O391" t="e">
        <f>_xlfn.XLOOKUP(TableauRecette[[#This Row],[ID]],TableauProduit[ID],TableauProduit[Total (kg) N4],0,0,1)*#REF!</f>
        <v>#REF!</v>
      </c>
      <c r="P391" t="e">
        <f>_xlfn.XLOOKUP(TableauRecette[[#This Row],[ID]],TableauProduit[ID],TableauProduit[Total (kg) N5],0,0,1)*#REF!</f>
        <v>#REF!</v>
      </c>
      <c r="Q391" t="e">
        <f>_xlfn.XLOOKUP(TableauRecette[[#This Row],[ID]],TableauProduit[ID],TableauProduit[Total (kg) N6],0,0,1)*#REF!</f>
        <v>#REF!</v>
      </c>
      <c r="R391" t="e">
        <f>_xlfn.XLOOKUP(TableauRecette[[#This Row],[ID]],TableauProduit[ID],TableauProduit[Total (kg) N7],0,0,1)*#REF!</f>
        <v>#REF!</v>
      </c>
      <c r="S391" t="e">
        <f>_xlfn.XLOOKUP(TableauRecette[[#This Row],[ID]],TableauProduit[ID],TableauProduit[Total (kg) N8],0,0,1)*#REF!</f>
        <v>#REF!</v>
      </c>
      <c r="T391" t="e">
        <f>_xlfn.XLOOKUP(TableauRecette[[#This Row],[ID]],TableauProduit[ID],TableauProduit[Total (kg) N9],0,0,1)*#REF!</f>
        <v>#REF!</v>
      </c>
    </row>
    <row r="392" spans="1:20" x14ac:dyDescent="0.2">
      <c r="A392" t="s">
        <v>114</v>
      </c>
      <c r="B392" t="str">
        <f>TableauRecette[[#This Row],[Recette]]&amp;TableauRecette[[#This Row],[Conditionnement]]</f>
        <v>Tabel ou Tabil tunisienEpice 100ml</v>
      </c>
      <c r="C392" t="s">
        <v>359</v>
      </c>
      <c r="D392">
        <v>5</v>
      </c>
      <c r="E392" t="s">
        <v>73</v>
      </c>
      <c r="F392">
        <f>IFERROR(TableauRecette[[#This Row],[Proportion]]/SUMIFS(TableauRecette[Proportion],TableauRecette[Recette],TableauRecette[[#This Row],[Recette]],TableauRecette[Conditionnement],TableauRecette[[#This Row],[Conditionnement]]),0)</f>
        <v>0.14662756598240467</v>
      </c>
      <c r="G392">
        <f>IFERROR(_xlfn.XLOOKUP(TableauRecette[[#This Row],[Ingredients]],TableauIngredients[Ingredients],#REF!,0)*#REF!,0)</f>
        <v>0</v>
      </c>
      <c r="H392">
        <f>IFERROR(SUMIFS(TableauRecette[Proportion],TableauRecette[Recette],TableauRecette[[#This Row],[Recette]],TableauRecette[Conditionnement],TableauRecette[[#This Row],[Conditionnement]]),0)</f>
        <v>34.1</v>
      </c>
      <c r="I39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92">
        <f>_xlfn.XLOOKUP(TableauRecette[[#This Row],[ID]],TableauProduit[ID],TableauProduit[Total (kg) N1],0,0,1)*_xlfn.XLOOKUP(TableauRecette[[#This Row],[ID]],TableauProduit[ID],TableauProduit[Total (kg) N1],0,0,1)</f>
        <v>0</v>
      </c>
      <c r="M392" t="e">
        <f>_xlfn.XLOOKUP(TableauRecette[[#This Row],[ID]],TableauProduit[ID],TableauProduit[Total (kg) N1],0,0,1)*_xlfn.XLOOKUP(TableauRecette[[#This Row],[ID]],TableauProduit[ID],TableauProduit[Total (kg) N2],0,0,1)</f>
        <v>#REF!</v>
      </c>
      <c r="N392" t="e">
        <f>_xlfn.XLOOKUP(TableauRecette[[#This Row],[ID]],TableauProduit[ID],TableauProduit[Total (kg) N3],0,0,1)*#REF!</f>
        <v>#REF!</v>
      </c>
      <c r="O392" t="e">
        <f>_xlfn.XLOOKUP(TableauRecette[[#This Row],[ID]],TableauProduit[ID],TableauProduit[Total (kg) N4],0,0,1)*#REF!</f>
        <v>#REF!</v>
      </c>
      <c r="P392" t="e">
        <f>_xlfn.XLOOKUP(TableauRecette[[#This Row],[ID]],TableauProduit[ID],TableauProduit[Total (kg) N5],0,0,1)*#REF!</f>
        <v>#REF!</v>
      </c>
      <c r="Q392" t="e">
        <f>_xlfn.XLOOKUP(TableauRecette[[#This Row],[ID]],TableauProduit[ID],TableauProduit[Total (kg) N6],0,0,1)*#REF!</f>
        <v>#REF!</v>
      </c>
      <c r="R392" t="e">
        <f>_xlfn.XLOOKUP(TableauRecette[[#This Row],[ID]],TableauProduit[ID],TableauProduit[Total (kg) N7],0,0,1)*#REF!</f>
        <v>#REF!</v>
      </c>
      <c r="S392" t="e">
        <f>_xlfn.XLOOKUP(TableauRecette[[#This Row],[ID]],TableauProduit[ID],TableauProduit[Total (kg) N8],0,0,1)*#REF!</f>
        <v>#REF!</v>
      </c>
      <c r="T392" t="e">
        <f>_xlfn.XLOOKUP(TableauRecette[[#This Row],[ID]],TableauProduit[ID],TableauProduit[Total (kg) N9],0,0,1)*#REF!</f>
        <v>#REF!</v>
      </c>
    </row>
    <row r="393" spans="1:20" x14ac:dyDescent="0.2">
      <c r="A393" t="s">
        <v>114</v>
      </c>
      <c r="B393" t="str">
        <f>TableauRecette[[#This Row],[Recette]]&amp;TableauRecette[[#This Row],[Conditionnement]]</f>
        <v>Tabel ou Tabil tunisienEpice 100ml</v>
      </c>
      <c r="C393" t="s">
        <v>386</v>
      </c>
      <c r="D393">
        <v>1</v>
      </c>
      <c r="E393" t="s">
        <v>73</v>
      </c>
      <c r="F393">
        <f>IFERROR(TableauRecette[[#This Row],[Proportion]]/SUMIFS(TableauRecette[Proportion],TableauRecette[Recette],TableauRecette[[#This Row],[Recette]],TableauRecette[Conditionnement],TableauRecette[[#This Row],[Conditionnement]]),0)</f>
        <v>2.9325513196480937E-2</v>
      </c>
      <c r="G393">
        <f>IFERROR(_xlfn.XLOOKUP(TableauRecette[[#This Row],[Ingredients]],TableauIngredients[Ingredients],#REF!,0)*#REF!,0)</f>
        <v>0</v>
      </c>
      <c r="H393">
        <f>IFERROR(SUMIFS(TableauRecette[Proportion],TableauRecette[Recette],TableauRecette[[#This Row],[Recette]],TableauRecette[Conditionnement],TableauRecette[[#This Row],[Conditionnement]]),0)</f>
        <v>34.1</v>
      </c>
      <c r="I393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93">
        <f>_xlfn.XLOOKUP(TableauRecette[[#This Row],[ID]],TableauProduit[ID],TableauProduit[Total (kg) N1],0,0,1)*_xlfn.XLOOKUP(TableauRecette[[#This Row],[ID]],TableauProduit[ID],TableauProduit[Total (kg) N1],0,0,1)</f>
        <v>0</v>
      </c>
      <c r="M393" t="e">
        <f>_xlfn.XLOOKUP(TableauRecette[[#This Row],[ID]],TableauProduit[ID],TableauProduit[Total (kg) N1],0,0,1)*_xlfn.XLOOKUP(TableauRecette[[#This Row],[ID]],TableauProduit[ID],TableauProduit[Total (kg) N2],0,0,1)</f>
        <v>#REF!</v>
      </c>
      <c r="N393" t="e">
        <f>_xlfn.XLOOKUP(TableauRecette[[#This Row],[ID]],TableauProduit[ID],TableauProduit[Total (kg) N3],0,0,1)*#REF!</f>
        <v>#REF!</v>
      </c>
      <c r="O393" t="e">
        <f>_xlfn.XLOOKUP(TableauRecette[[#This Row],[ID]],TableauProduit[ID],TableauProduit[Total (kg) N4],0,0,1)*#REF!</f>
        <v>#REF!</v>
      </c>
      <c r="P393" t="e">
        <f>_xlfn.XLOOKUP(TableauRecette[[#This Row],[ID]],TableauProduit[ID],TableauProduit[Total (kg) N5],0,0,1)*#REF!</f>
        <v>#REF!</v>
      </c>
      <c r="Q393" t="e">
        <f>_xlfn.XLOOKUP(TableauRecette[[#This Row],[ID]],TableauProduit[ID],TableauProduit[Total (kg) N6],0,0,1)*#REF!</f>
        <v>#REF!</v>
      </c>
      <c r="R393" t="e">
        <f>_xlfn.XLOOKUP(TableauRecette[[#This Row],[ID]],TableauProduit[ID],TableauProduit[Total (kg) N7],0,0,1)*#REF!</f>
        <v>#REF!</v>
      </c>
      <c r="S393" t="e">
        <f>_xlfn.XLOOKUP(TableauRecette[[#This Row],[ID]],TableauProduit[ID],TableauProduit[Total (kg) N8],0,0,1)*#REF!</f>
        <v>#REF!</v>
      </c>
      <c r="T393" t="e">
        <f>_xlfn.XLOOKUP(TableauRecette[[#This Row],[ID]],TableauProduit[ID],TableauProduit[Total (kg) N9],0,0,1)*#REF!</f>
        <v>#REF!</v>
      </c>
    </row>
    <row r="394" spans="1:20" x14ac:dyDescent="0.2">
      <c r="A394" t="s">
        <v>114</v>
      </c>
      <c r="B394" t="str">
        <f>TableauRecette[[#This Row],[Recette]]&amp;TableauRecette[[#This Row],[Conditionnement]]</f>
        <v>Tabel ou Tabil tunisienEpice 100ml</v>
      </c>
      <c r="C394" t="s">
        <v>348</v>
      </c>
      <c r="D394">
        <v>0.5</v>
      </c>
      <c r="E394" t="s">
        <v>73</v>
      </c>
      <c r="F394">
        <f>IFERROR(TableauRecette[[#This Row],[Proportion]]/SUMIFS(TableauRecette[Proportion],TableauRecette[Recette],TableauRecette[[#This Row],[Recette]],TableauRecette[Conditionnement],TableauRecette[[#This Row],[Conditionnement]]),0)</f>
        <v>1.4662756598240468E-2</v>
      </c>
      <c r="G394">
        <f>IFERROR(_xlfn.XLOOKUP(TableauRecette[[#This Row],[Ingredients]],TableauIngredients[Ingredients],#REF!,0)*#REF!,0)</f>
        <v>0</v>
      </c>
      <c r="H394">
        <f>IFERROR(SUMIFS(TableauRecette[Proportion],TableauRecette[Recette],TableauRecette[[#This Row],[Recette]],TableauRecette[Conditionnement],TableauRecette[[#This Row],[Conditionnement]]),0)</f>
        <v>34.1</v>
      </c>
      <c r="I394">
        <f>_xlfn.XLOOKUP(TableauRecette[[#This Row],[Ingredients]],TableauIngredients[Ingredients],TableauIngredients[Prix d''achat (kg)],0,0,1)*TableauRecette[[#This Row],[Proportion]]/TableauRecette[[#This Row],[Total Proportion]]</f>
        <v>0.54032258064516125</v>
      </c>
      <c r="L394">
        <f>_xlfn.XLOOKUP(TableauRecette[[#This Row],[ID]],TableauProduit[ID],TableauProduit[Total (kg) N1],0,0,1)*_xlfn.XLOOKUP(TableauRecette[[#This Row],[ID]],TableauProduit[ID],TableauProduit[Total (kg) N1],0,0,1)</f>
        <v>0</v>
      </c>
      <c r="M394" t="e">
        <f>_xlfn.XLOOKUP(TableauRecette[[#This Row],[ID]],TableauProduit[ID],TableauProduit[Total (kg) N1],0,0,1)*_xlfn.XLOOKUP(TableauRecette[[#This Row],[ID]],TableauProduit[ID],TableauProduit[Total (kg) N2],0,0,1)</f>
        <v>#REF!</v>
      </c>
      <c r="N394" t="e">
        <f>_xlfn.XLOOKUP(TableauRecette[[#This Row],[ID]],TableauProduit[ID],TableauProduit[Total (kg) N3],0,0,1)*#REF!</f>
        <v>#REF!</v>
      </c>
      <c r="O394" t="e">
        <f>_xlfn.XLOOKUP(TableauRecette[[#This Row],[ID]],TableauProduit[ID],TableauProduit[Total (kg) N4],0,0,1)*#REF!</f>
        <v>#REF!</v>
      </c>
      <c r="P394" t="e">
        <f>_xlfn.XLOOKUP(TableauRecette[[#This Row],[ID]],TableauProduit[ID],TableauProduit[Total (kg) N5],0,0,1)*#REF!</f>
        <v>#REF!</v>
      </c>
      <c r="Q394" t="e">
        <f>_xlfn.XLOOKUP(TableauRecette[[#This Row],[ID]],TableauProduit[ID],TableauProduit[Total (kg) N6],0,0,1)*#REF!</f>
        <v>#REF!</v>
      </c>
      <c r="R394" t="e">
        <f>_xlfn.XLOOKUP(TableauRecette[[#This Row],[ID]],TableauProduit[ID],TableauProduit[Total (kg) N7],0,0,1)*#REF!</f>
        <v>#REF!</v>
      </c>
      <c r="S394" t="e">
        <f>_xlfn.XLOOKUP(TableauRecette[[#This Row],[ID]],TableauProduit[ID],TableauProduit[Total (kg) N8],0,0,1)*#REF!</f>
        <v>#REF!</v>
      </c>
      <c r="T394" t="e">
        <f>_xlfn.XLOOKUP(TableauRecette[[#This Row],[ID]],TableauProduit[ID],TableauProduit[Total (kg) N9],0,0,1)*#REF!</f>
        <v>#REF!</v>
      </c>
    </row>
    <row r="395" spans="1:20" x14ac:dyDescent="0.2">
      <c r="A395" t="s">
        <v>114</v>
      </c>
      <c r="B395" t="str">
        <f>TableauRecette[[#This Row],[Recette]]&amp;TableauRecette[[#This Row],[Conditionnement]]</f>
        <v>Tabel ou Tabil tunisienEpice 100ml</v>
      </c>
      <c r="C395" t="s">
        <v>382</v>
      </c>
      <c r="D395">
        <v>0.5</v>
      </c>
      <c r="E395" t="s">
        <v>73</v>
      </c>
      <c r="F395">
        <f>IFERROR(TableauRecette[[#This Row],[Proportion]]/SUMIFS(TableauRecette[Proportion],TableauRecette[Recette],TableauRecette[[#This Row],[Recette]],TableauRecette[Conditionnement],TableauRecette[[#This Row],[Conditionnement]]),0)</f>
        <v>1.4662756598240468E-2</v>
      </c>
      <c r="G395">
        <f>IFERROR(_xlfn.XLOOKUP(TableauRecette[[#This Row],[Ingredients]],TableauIngredients[Ingredients],#REF!,0)*#REF!,0)</f>
        <v>0</v>
      </c>
      <c r="H395">
        <f>IFERROR(SUMIFS(TableauRecette[Proportion],TableauRecette[Recette],TableauRecette[[#This Row],[Recette]],TableauRecette[Conditionnement],TableauRecette[[#This Row],[Conditionnement]]),0)</f>
        <v>34.1</v>
      </c>
      <c r="I39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95">
        <f>_xlfn.XLOOKUP(TableauRecette[[#This Row],[ID]],TableauProduit[ID],TableauProduit[Total (kg) N1],0,0,1)*_xlfn.XLOOKUP(TableauRecette[[#This Row],[ID]],TableauProduit[ID],TableauProduit[Total (kg) N1],0,0,1)</f>
        <v>0</v>
      </c>
      <c r="M395" t="e">
        <f>_xlfn.XLOOKUP(TableauRecette[[#This Row],[ID]],TableauProduit[ID],TableauProduit[Total (kg) N1],0,0,1)*_xlfn.XLOOKUP(TableauRecette[[#This Row],[ID]],TableauProduit[ID],TableauProduit[Total (kg) N2],0,0,1)</f>
        <v>#REF!</v>
      </c>
      <c r="N395" t="e">
        <f>_xlfn.XLOOKUP(TableauRecette[[#This Row],[ID]],TableauProduit[ID],TableauProduit[Total (kg) N3],0,0,1)*#REF!</f>
        <v>#REF!</v>
      </c>
      <c r="O395" t="e">
        <f>_xlfn.XLOOKUP(TableauRecette[[#This Row],[ID]],TableauProduit[ID],TableauProduit[Total (kg) N4],0,0,1)*#REF!</f>
        <v>#REF!</v>
      </c>
      <c r="P395" t="e">
        <f>_xlfn.XLOOKUP(TableauRecette[[#This Row],[ID]],TableauProduit[ID],TableauProduit[Total (kg) N5],0,0,1)*#REF!</f>
        <v>#REF!</v>
      </c>
      <c r="Q395" t="e">
        <f>_xlfn.XLOOKUP(TableauRecette[[#This Row],[ID]],TableauProduit[ID],TableauProduit[Total (kg) N6],0,0,1)*#REF!</f>
        <v>#REF!</v>
      </c>
      <c r="R395" t="e">
        <f>_xlfn.XLOOKUP(TableauRecette[[#This Row],[ID]],TableauProduit[ID],TableauProduit[Total (kg) N7],0,0,1)*#REF!</f>
        <v>#REF!</v>
      </c>
      <c r="S395" t="e">
        <f>_xlfn.XLOOKUP(TableauRecette[[#This Row],[ID]],TableauProduit[ID],TableauProduit[Total (kg) N8],0,0,1)*#REF!</f>
        <v>#REF!</v>
      </c>
      <c r="T395" t="e">
        <f>_xlfn.XLOOKUP(TableauRecette[[#This Row],[ID]],TableauProduit[ID],TableauProduit[Total (kg) N9],0,0,1)*#REF!</f>
        <v>#REF!</v>
      </c>
    </row>
    <row r="396" spans="1:20" x14ac:dyDescent="0.2">
      <c r="A396" t="s">
        <v>114</v>
      </c>
      <c r="B396" t="str">
        <f>TableauRecette[[#This Row],[Recette]]&amp;TableauRecette[[#This Row],[Conditionnement]]</f>
        <v>Tabel ou Tabil tunisienEpice 100ml</v>
      </c>
      <c r="C396" t="s">
        <v>339</v>
      </c>
      <c r="D396">
        <v>0.5</v>
      </c>
      <c r="E396" t="s">
        <v>73</v>
      </c>
      <c r="F396">
        <f>IFERROR(TableauRecette[[#This Row],[Proportion]]/SUMIFS(TableauRecette[Proportion],TableauRecette[Recette],TableauRecette[[#This Row],[Recette]],TableauRecette[Conditionnement],TableauRecette[[#This Row],[Conditionnement]]),0)</f>
        <v>1.4662756598240468E-2</v>
      </c>
      <c r="G396">
        <f>IFERROR(_xlfn.XLOOKUP(TableauRecette[[#This Row],[Ingredients]],TableauIngredients[Ingredients],#REF!,0)*#REF!,0)</f>
        <v>0</v>
      </c>
      <c r="H396">
        <f>IFERROR(SUMIFS(TableauRecette[Proportion],TableauRecette[Recette],TableauRecette[[#This Row],[Recette]],TableauRecette[Conditionnement],TableauRecette[[#This Row],[Conditionnement]]),0)</f>
        <v>34.1</v>
      </c>
      <c r="I39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96">
        <f>_xlfn.XLOOKUP(TableauRecette[[#This Row],[ID]],TableauProduit[ID],TableauProduit[Total (kg) N1],0,0,1)*_xlfn.XLOOKUP(TableauRecette[[#This Row],[ID]],TableauProduit[ID],TableauProduit[Total (kg) N1],0,0,1)</f>
        <v>0</v>
      </c>
      <c r="M396" t="e">
        <f>_xlfn.XLOOKUP(TableauRecette[[#This Row],[ID]],TableauProduit[ID],TableauProduit[Total (kg) N1],0,0,1)*_xlfn.XLOOKUP(TableauRecette[[#This Row],[ID]],TableauProduit[ID],TableauProduit[Total (kg) N2],0,0,1)</f>
        <v>#REF!</v>
      </c>
      <c r="N396" t="e">
        <f>_xlfn.XLOOKUP(TableauRecette[[#This Row],[ID]],TableauProduit[ID],TableauProduit[Total (kg) N3],0,0,1)*#REF!</f>
        <v>#REF!</v>
      </c>
      <c r="O396" t="e">
        <f>_xlfn.XLOOKUP(TableauRecette[[#This Row],[ID]],TableauProduit[ID],TableauProduit[Total (kg) N4],0,0,1)*#REF!</f>
        <v>#REF!</v>
      </c>
      <c r="P396" t="e">
        <f>_xlfn.XLOOKUP(TableauRecette[[#This Row],[ID]],TableauProduit[ID],TableauProduit[Total (kg) N5],0,0,1)*#REF!</f>
        <v>#REF!</v>
      </c>
      <c r="Q396" t="e">
        <f>_xlfn.XLOOKUP(TableauRecette[[#This Row],[ID]],TableauProduit[ID],TableauProduit[Total (kg) N6],0,0,1)*#REF!</f>
        <v>#REF!</v>
      </c>
      <c r="R396" t="e">
        <f>_xlfn.XLOOKUP(TableauRecette[[#This Row],[ID]],TableauProduit[ID],TableauProduit[Total (kg) N7],0,0,1)*#REF!</f>
        <v>#REF!</v>
      </c>
      <c r="S396" t="e">
        <f>_xlfn.XLOOKUP(TableauRecette[[#This Row],[ID]],TableauProduit[ID],TableauProduit[Total (kg) N8],0,0,1)*#REF!</f>
        <v>#REF!</v>
      </c>
      <c r="T396" t="e">
        <f>_xlfn.XLOOKUP(TableauRecette[[#This Row],[ID]],TableauProduit[ID],TableauProduit[Total (kg) N9],0,0,1)*#REF!</f>
        <v>#REF!</v>
      </c>
    </row>
    <row r="397" spans="1:20" x14ac:dyDescent="0.2">
      <c r="A397" t="s">
        <v>114</v>
      </c>
      <c r="B397" t="str">
        <f>TableauRecette[[#This Row],[Recette]]&amp;TableauRecette[[#This Row],[Conditionnement]]</f>
        <v>Tabel ou Tabil tunisienEpice 100ml</v>
      </c>
      <c r="C397" t="s">
        <v>345</v>
      </c>
      <c r="D397">
        <v>0.5</v>
      </c>
      <c r="E397" t="s">
        <v>73</v>
      </c>
      <c r="F397">
        <f>IFERROR(TableauRecette[[#This Row],[Proportion]]/SUMIFS(TableauRecette[Proportion],TableauRecette[Recette],TableauRecette[[#This Row],[Recette]],TableauRecette[Conditionnement],TableauRecette[[#This Row],[Conditionnement]]),0)</f>
        <v>1.4662756598240468E-2</v>
      </c>
      <c r="G397">
        <f>IFERROR(_xlfn.XLOOKUP(TableauRecette[[#This Row],[Ingredients]],TableauIngredients[Ingredients],#REF!,0)*#REF!,0)</f>
        <v>0</v>
      </c>
      <c r="H397">
        <f>IFERROR(SUMIFS(TableauRecette[Proportion],TableauRecette[Recette],TableauRecette[[#This Row],[Recette]],TableauRecette[Conditionnement],TableauRecette[[#This Row],[Conditionnement]]),0)</f>
        <v>34.1</v>
      </c>
      <c r="I39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397" t="s">
        <v>341</v>
      </c>
      <c r="L397">
        <f>_xlfn.XLOOKUP(TableauRecette[[#This Row],[ID]],TableauProduit[ID],TableauProduit[Total (kg) N1],0,0,1)*_xlfn.XLOOKUP(TableauRecette[[#This Row],[ID]],TableauProduit[ID],TableauProduit[Total (kg) N1],0,0,1)</f>
        <v>0</v>
      </c>
      <c r="M397" t="e">
        <f>_xlfn.XLOOKUP(TableauRecette[[#This Row],[ID]],TableauProduit[ID],TableauProduit[Total (kg) N1],0,0,1)*_xlfn.XLOOKUP(TableauRecette[[#This Row],[ID]],TableauProduit[ID],TableauProduit[Total (kg) N2],0,0,1)</f>
        <v>#REF!</v>
      </c>
      <c r="N397" t="e">
        <f>_xlfn.XLOOKUP(TableauRecette[[#This Row],[ID]],TableauProduit[ID],TableauProduit[Total (kg) N3],0,0,1)*#REF!</f>
        <v>#REF!</v>
      </c>
      <c r="O397" t="e">
        <f>_xlfn.XLOOKUP(TableauRecette[[#This Row],[ID]],TableauProduit[ID],TableauProduit[Total (kg) N4],0,0,1)*#REF!</f>
        <v>#REF!</v>
      </c>
      <c r="P397" t="e">
        <f>_xlfn.XLOOKUP(TableauRecette[[#This Row],[ID]],TableauProduit[ID],TableauProduit[Total (kg) N5],0,0,1)*#REF!</f>
        <v>#REF!</v>
      </c>
      <c r="Q397" t="e">
        <f>_xlfn.XLOOKUP(TableauRecette[[#This Row],[ID]],TableauProduit[ID],TableauProduit[Total (kg) N6],0,0,1)*#REF!</f>
        <v>#REF!</v>
      </c>
      <c r="R397" t="e">
        <f>_xlfn.XLOOKUP(TableauRecette[[#This Row],[ID]],TableauProduit[ID],TableauProduit[Total (kg) N7],0,0,1)*#REF!</f>
        <v>#REF!</v>
      </c>
      <c r="S397" t="e">
        <f>_xlfn.XLOOKUP(TableauRecette[[#This Row],[ID]],TableauProduit[ID],TableauProduit[Total (kg) N8],0,0,1)*#REF!</f>
        <v>#REF!</v>
      </c>
      <c r="T397" t="e">
        <f>_xlfn.XLOOKUP(TableauRecette[[#This Row],[ID]],TableauProduit[ID],TableauProduit[Total (kg) N9],0,0,1)*#REF!</f>
        <v>#REF!</v>
      </c>
    </row>
    <row r="398" spans="1:20" x14ac:dyDescent="0.2">
      <c r="A398" t="s">
        <v>114</v>
      </c>
      <c r="B398" t="str">
        <f>TableauRecette[[#This Row],[Recette]]&amp;TableauRecette[[#This Row],[Conditionnement]]</f>
        <v>Tabel ou Tabil tunisienEpice 100ml</v>
      </c>
      <c r="C398" t="s">
        <v>357</v>
      </c>
      <c r="D398">
        <v>0.5</v>
      </c>
      <c r="E398" t="s">
        <v>73</v>
      </c>
      <c r="F398">
        <f>IFERROR(TableauRecette[[#This Row],[Proportion]]/SUMIFS(TableauRecette[Proportion],TableauRecette[Recette],TableauRecette[[#This Row],[Recette]],TableauRecette[Conditionnement],TableauRecette[[#This Row],[Conditionnement]]),0)</f>
        <v>1.4662756598240468E-2</v>
      </c>
      <c r="G398">
        <f>IFERROR(_xlfn.XLOOKUP(TableauRecette[[#This Row],[Ingredients]],TableauIngredients[Ingredients],#REF!,0)*#REF!,0)</f>
        <v>0</v>
      </c>
      <c r="H398">
        <f>IFERROR(SUMIFS(TableauRecette[Proportion],TableauRecette[Recette],TableauRecette[[#This Row],[Recette]],TableauRecette[Conditionnement],TableauRecette[[#This Row],[Conditionnement]]),0)</f>
        <v>34.1</v>
      </c>
      <c r="I398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398">
        <f>_xlfn.XLOOKUP(TableauRecette[[#This Row],[ID]],TableauProduit[ID],TableauProduit[Total (kg) N1],0,0,1)*_xlfn.XLOOKUP(TableauRecette[[#This Row],[ID]],TableauProduit[ID],TableauProduit[Total (kg) N1],0,0,1)</f>
        <v>0</v>
      </c>
      <c r="M398" t="e">
        <f>_xlfn.XLOOKUP(TableauRecette[[#This Row],[ID]],TableauProduit[ID],TableauProduit[Total (kg) N1],0,0,1)*_xlfn.XLOOKUP(TableauRecette[[#This Row],[ID]],TableauProduit[ID],TableauProduit[Total (kg) N2],0,0,1)</f>
        <v>#REF!</v>
      </c>
      <c r="N398" t="e">
        <f>_xlfn.XLOOKUP(TableauRecette[[#This Row],[ID]],TableauProduit[ID],TableauProduit[Total (kg) N3],0,0,1)*#REF!</f>
        <v>#REF!</v>
      </c>
      <c r="O398" t="e">
        <f>_xlfn.XLOOKUP(TableauRecette[[#This Row],[ID]],TableauProduit[ID],TableauProduit[Total (kg) N4],0,0,1)*#REF!</f>
        <v>#REF!</v>
      </c>
      <c r="P398" t="e">
        <f>_xlfn.XLOOKUP(TableauRecette[[#This Row],[ID]],TableauProduit[ID],TableauProduit[Total (kg) N5],0,0,1)*#REF!</f>
        <v>#REF!</v>
      </c>
      <c r="Q398" t="e">
        <f>_xlfn.XLOOKUP(TableauRecette[[#This Row],[ID]],TableauProduit[ID],TableauProduit[Total (kg) N6],0,0,1)*#REF!</f>
        <v>#REF!</v>
      </c>
      <c r="R398" t="e">
        <f>_xlfn.XLOOKUP(TableauRecette[[#This Row],[ID]],TableauProduit[ID],TableauProduit[Total (kg) N7],0,0,1)*#REF!</f>
        <v>#REF!</v>
      </c>
      <c r="S398" t="e">
        <f>_xlfn.XLOOKUP(TableauRecette[[#This Row],[ID]],TableauProduit[ID],TableauProduit[Total (kg) N8],0,0,1)*#REF!</f>
        <v>#REF!</v>
      </c>
      <c r="T398" t="e">
        <f>_xlfn.XLOOKUP(TableauRecette[[#This Row],[ID]],TableauProduit[ID],TableauProduit[Total (kg) N9],0,0,1)*#REF!</f>
        <v>#REF!</v>
      </c>
    </row>
    <row r="399" spans="1:20" x14ac:dyDescent="0.2">
      <c r="A399" t="s">
        <v>114</v>
      </c>
      <c r="B399" t="str">
        <f>TableauRecette[[#This Row],[Recette]]&amp;TableauRecette[[#This Row],[Conditionnement]]</f>
        <v>Tabel ou Tabil tunisienEpice 100ml</v>
      </c>
      <c r="C399" t="s">
        <v>364</v>
      </c>
      <c r="D399">
        <v>2.5</v>
      </c>
      <c r="E399" t="s">
        <v>73</v>
      </c>
      <c r="F399">
        <f>IFERROR(TableauRecette[[#This Row],[Proportion]]/SUMIFS(TableauRecette[Proportion],TableauRecette[Recette],TableauRecette[[#This Row],[Recette]],TableauRecette[Conditionnement],TableauRecette[[#This Row],[Conditionnement]]),0)</f>
        <v>7.3313782991202336E-2</v>
      </c>
      <c r="G399">
        <f>IFERROR(_xlfn.XLOOKUP(TableauRecette[[#This Row],[Ingredients]],TableauIngredients[Ingredients],#REF!,0)*#REF!,0)</f>
        <v>0</v>
      </c>
      <c r="H399">
        <f>IFERROR(SUMIFS(TableauRecette[Proportion],TableauRecette[Recette],TableauRecette[[#This Row],[Recette]],TableauRecette[Conditionnement],TableauRecette[[#This Row],[Conditionnement]]),0)</f>
        <v>34.1</v>
      </c>
      <c r="I399">
        <f>_xlfn.XLOOKUP(TableauRecette[[#This Row],[Ingredients]],TableauIngredients[Ingredients],TableauIngredients[Prix d''achat (kg)],0,0,1)*TableauRecette[[#This Row],[Proportion]]/TableauRecette[[#This Row],[Total Proportion]]</f>
        <v>0.10263929618768328</v>
      </c>
      <c r="L399">
        <f>_xlfn.XLOOKUP(TableauRecette[[#This Row],[ID]],TableauProduit[ID],TableauProduit[Total (kg) N1],0,0,1)*_xlfn.XLOOKUP(TableauRecette[[#This Row],[ID]],TableauProduit[ID],TableauProduit[Total (kg) N1],0,0,1)</f>
        <v>0</v>
      </c>
      <c r="M399" t="e">
        <f>_xlfn.XLOOKUP(TableauRecette[[#This Row],[ID]],TableauProduit[ID],TableauProduit[Total (kg) N1],0,0,1)*_xlfn.XLOOKUP(TableauRecette[[#This Row],[ID]],TableauProduit[ID],TableauProduit[Total (kg) N2],0,0,1)</f>
        <v>#REF!</v>
      </c>
      <c r="N399" t="e">
        <f>_xlfn.XLOOKUP(TableauRecette[[#This Row],[ID]],TableauProduit[ID],TableauProduit[Total (kg) N3],0,0,1)*#REF!</f>
        <v>#REF!</v>
      </c>
      <c r="O399" t="e">
        <f>_xlfn.XLOOKUP(TableauRecette[[#This Row],[ID]],TableauProduit[ID],TableauProduit[Total (kg) N4],0,0,1)*#REF!</f>
        <v>#REF!</v>
      </c>
      <c r="P399" t="e">
        <f>_xlfn.XLOOKUP(TableauRecette[[#This Row],[ID]],TableauProduit[ID],TableauProduit[Total (kg) N5],0,0,1)*#REF!</f>
        <v>#REF!</v>
      </c>
      <c r="Q399" t="e">
        <f>_xlfn.XLOOKUP(TableauRecette[[#This Row],[ID]],TableauProduit[ID],TableauProduit[Total (kg) N6],0,0,1)*#REF!</f>
        <v>#REF!</v>
      </c>
      <c r="R399" t="e">
        <f>_xlfn.XLOOKUP(TableauRecette[[#This Row],[ID]],TableauProduit[ID],TableauProduit[Total (kg) N7],0,0,1)*#REF!</f>
        <v>#REF!</v>
      </c>
      <c r="S399" t="e">
        <f>_xlfn.XLOOKUP(TableauRecette[[#This Row],[ID]],TableauProduit[ID],TableauProduit[Total (kg) N8],0,0,1)*#REF!</f>
        <v>#REF!</v>
      </c>
      <c r="T399" t="e">
        <f>_xlfn.XLOOKUP(TableauRecette[[#This Row],[ID]],TableauProduit[ID],TableauProduit[Total (kg) N9],0,0,1)*#REF!</f>
        <v>#REF!</v>
      </c>
    </row>
    <row r="400" spans="1:20" x14ac:dyDescent="0.2">
      <c r="A400" t="s">
        <v>114</v>
      </c>
      <c r="B400" t="str">
        <f>TableauRecette[[#This Row],[Recette]]&amp;TableauRecette[[#This Row],[Conditionnement]]</f>
        <v>Tabel ou Tabil tunisienEpice 100ml</v>
      </c>
      <c r="C400" t="s">
        <v>475</v>
      </c>
      <c r="D400">
        <v>0.1</v>
      </c>
      <c r="E400" t="s">
        <v>73</v>
      </c>
      <c r="F400">
        <f>IFERROR(TableauRecette[[#This Row],[Proportion]]/SUMIFS(TableauRecette[Proportion],TableauRecette[Recette],TableauRecette[[#This Row],[Recette]],TableauRecette[Conditionnement],TableauRecette[[#This Row],[Conditionnement]]),0)</f>
        <v>2.9325513196480938E-3</v>
      </c>
      <c r="G400">
        <f>IFERROR(_xlfn.XLOOKUP(TableauRecette[[#This Row],[Ingredients]],TableauIngredients[Ingredients],#REF!,0)*#REF!,0)</f>
        <v>0</v>
      </c>
      <c r="H400">
        <f>IFERROR(SUMIFS(TableauRecette[Proportion],TableauRecette[Recette],TableauRecette[[#This Row],[Recette]],TableauRecette[Conditionnement],TableauRecette[[#This Row],[Conditionnement]]),0)</f>
        <v>34.1</v>
      </c>
      <c r="I400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00">
        <f>_xlfn.XLOOKUP(TableauRecette[[#This Row],[ID]],TableauProduit[ID],TableauProduit[Total (kg) N1],0,0,1)*_xlfn.XLOOKUP(TableauRecette[[#This Row],[ID]],TableauProduit[ID],TableauProduit[Total (kg) N1],0,0,1)</f>
        <v>0</v>
      </c>
      <c r="M400" t="e">
        <f>_xlfn.XLOOKUP(TableauRecette[[#This Row],[ID]],TableauProduit[ID],TableauProduit[Total (kg) N1],0,0,1)*_xlfn.XLOOKUP(TableauRecette[[#This Row],[ID]],TableauProduit[ID],TableauProduit[Total (kg) N2],0,0,1)</f>
        <v>#REF!</v>
      </c>
      <c r="N400" t="e">
        <f>_xlfn.XLOOKUP(TableauRecette[[#This Row],[ID]],TableauProduit[ID],TableauProduit[Total (kg) N3],0,0,1)*#REF!</f>
        <v>#REF!</v>
      </c>
      <c r="O400" t="e">
        <f>_xlfn.XLOOKUP(TableauRecette[[#This Row],[ID]],TableauProduit[ID],TableauProduit[Total (kg) N4],0,0,1)*#REF!</f>
        <v>#REF!</v>
      </c>
      <c r="P400" t="e">
        <f>_xlfn.XLOOKUP(TableauRecette[[#This Row],[ID]],TableauProduit[ID],TableauProduit[Total (kg) N5],0,0,1)*#REF!</f>
        <v>#REF!</v>
      </c>
      <c r="Q400" t="e">
        <f>_xlfn.XLOOKUP(TableauRecette[[#This Row],[ID]],TableauProduit[ID],TableauProduit[Total (kg) N6],0,0,1)*#REF!</f>
        <v>#REF!</v>
      </c>
      <c r="R400" t="e">
        <f>_xlfn.XLOOKUP(TableauRecette[[#This Row],[ID]],TableauProduit[ID],TableauProduit[Total (kg) N7],0,0,1)*#REF!</f>
        <v>#REF!</v>
      </c>
      <c r="S400" t="e">
        <f>_xlfn.XLOOKUP(TableauRecette[[#This Row],[ID]],TableauProduit[ID],TableauProduit[Total (kg) N8],0,0,1)*#REF!</f>
        <v>#REF!</v>
      </c>
      <c r="T400" t="e">
        <f>_xlfn.XLOOKUP(TableauRecette[[#This Row],[ID]],TableauProduit[ID],TableauProduit[Total (kg) N9],0,0,1)*#REF!</f>
        <v>#REF!</v>
      </c>
    </row>
    <row r="401" spans="1:20" x14ac:dyDescent="0.2">
      <c r="A401" t="s">
        <v>114</v>
      </c>
      <c r="B401" t="str">
        <f>TableauRecette[[#This Row],[Recette]]&amp;TableauRecette[[#This Row],[Conditionnement]]</f>
        <v>Tabel ou Tabil tunisienEpice 100ml</v>
      </c>
      <c r="C401" t="s">
        <v>346</v>
      </c>
      <c r="D401">
        <v>3</v>
      </c>
      <c r="E401" t="s">
        <v>73</v>
      </c>
      <c r="F401">
        <f>IFERROR(TableauRecette[[#This Row],[Proportion]]/SUMIFS(TableauRecette[Proportion],TableauRecette[Recette],TableauRecette[[#This Row],[Recette]],TableauRecette[Conditionnement],TableauRecette[[#This Row],[Conditionnement]]),0)</f>
        <v>8.7976539589442806E-2</v>
      </c>
      <c r="G401">
        <f>IFERROR(_xlfn.XLOOKUP(TableauRecette[[#This Row],[Ingredients]],TableauIngredients[Ingredients],#REF!,0)*#REF!,0)</f>
        <v>0</v>
      </c>
      <c r="H401">
        <f>IFERROR(SUMIFS(TableauRecette[Proportion],TableauRecette[Recette],TableauRecette[[#This Row],[Recette]],TableauRecette[Conditionnement],TableauRecette[[#This Row],[Conditionnement]]),0)</f>
        <v>34.1</v>
      </c>
      <c r="I40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401" t="s">
        <v>341</v>
      </c>
      <c r="L401">
        <f>_xlfn.XLOOKUP(TableauRecette[[#This Row],[ID]],TableauProduit[ID],TableauProduit[Total (kg) N1],0,0,1)*_xlfn.XLOOKUP(TableauRecette[[#This Row],[ID]],TableauProduit[ID],TableauProduit[Total (kg) N1],0,0,1)</f>
        <v>0</v>
      </c>
      <c r="M401" t="e">
        <f>_xlfn.XLOOKUP(TableauRecette[[#This Row],[ID]],TableauProduit[ID],TableauProduit[Total (kg) N1],0,0,1)*_xlfn.XLOOKUP(TableauRecette[[#This Row],[ID]],TableauProduit[ID],TableauProduit[Total (kg) N2],0,0,1)</f>
        <v>#REF!</v>
      </c>
      <c r="N401" t="e">
        <f>_xlfn.XLOOKUP(TableauRecette[[#This Row],[ID]],TableauProduit[ID],TableauProduit[Total (kg) N3],0,0,1)*#REF!</f>
        <v>#REF!</v>
      </c>
      <c r="O401" t="e">
        <f>_xlfn.XLOOKUP(TableauRecette[[#This Row],[ID]],TableauProduit[ID],TableauProduit[Total (kg) N4],0,0,1)*#REF!</f>
        <v>#REF!</v>
      </c>
      <c r="P401" t="e">
        <f>_xlfn.XLOOKUP(TableauRecette[[#This Row],[ID]],TableauProduit[ID],TableauProduit[Total (kg) N5],0,0,1)*#REF!</f>
        <v>#REF!</v>
      </c>
      <c r="Q401" t="e">
        <f>_xlfn.XLOOKUP(TableauRecette[[#This Row],[ID]],TableauProduit[ID],TableauProduit[Total (kg) N6],0,0,1)*#REF!</f>
        <v>#REF!</v>
      </c>
      <c r="R401" t="e">
        <f>_xlfn.XLOOKUP(TableauRecette[[#This Row],[ID]],TableauProduit[ID],TableauProduit[Total (kg) N7],0,0,1)*#REF!</f>
        <v>#REF!</v>
      </c>
      <c r="S401" t="e">
        <f>_xlfn.XLOOKUP(TableauRecette[[#This Row],[ID]],TableauProduit[ID],TableauProduit[Total (kg) N8],0,0,1)*#REF!</f>
        <v>#REF!</v>
      </c>
      <c r="T401" t="e">
        <f>_xlfn.XLOOKUP(TableauRecette[[#This Row],[ID]],TableauProduit[ID],TableauProduit[Total (kg) N9],0,0,1)*#REF!</f>
        <v>#REF!</v>
      </c>
    </row>
    <row r="402" spans="1:20" x14ac:dyDescent="0.2">
      <c r="A402" t="s">
        <v>112</v>
      </c>
      <c r="B402" t="str">
        <f>TableauRecette[[#This Row],[Recette]]&amp;TableauRecette[[#This Row],[Conditionnement]]</f>
        <v>TakliaEpice 100ml</v>
      </c>
      <c r="C402" t="s">
        <v>408</v>
      </c>
      <c r="D402">
        <v>21</v>
      </c>
      <c r="E402" t="s">
        <v>73</v>
      </c>
      <c r="F402">
        <f>IFERROR(TableauRecette[[#This Row],[Proportion]]/SUMIFS(TableauRecette[Proportion],TableauRecette[Recette],TableauRecette[[#This Row],[Recette]],TableauRecette[Conditionnement],TableauRecette[[#This Row],[Conditionnement]]),0)</f>
        <v>0.47565118912797283</v>
      </c>
      <c r="G402">
        <f>IFERROR(_xlfn.XLOOKUP(TableauRecette[[#This Row],[Ingredients]],TableauIngredients[Ingredients],#REF!,0)*#REF!,0)</f>
        <v>0</v>
      </c>
      <c r="H402">
        <f>IFERROR(SUMIFS(TableauRecette[Proportion],TableauRecette[Recette],TableauRecette[[#This Row],[Recette]],TableauRecette[Conditionnement],TableauRecette[[#This Row],[Conditionnement]]),0)</f>
        <v>44.15</v>
      </c>
      <c r="I40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02">
        <f>_xlfn.XLOOKUP(TableauRecette[[#This Row],[ID]],TableauProduit[ID],TableauProduit[Total (kg) N1],0,0,1)*_xlfn.XLOOKUP(TableauRecette[[#This Row],[ID]],TableauProduit[ID],TableauProduit[Total (kg) N1],0,0,1)</f>
        <v>0</v>
      </c>
      <c r="M402" t="e">
        <f>_xlfn.XLOOKUP(TableauRecette[[#This Row],[ID]],TableauProduit[ID],TableauProduit[Total (kg) N1],0,0,1)*_xlfn.XLOOKUP(TableauRecette[[#This Row],[ID]],TableauProduit[ID],TableauProduit[Total (kg) N2],0,0,1)</f>
        <v>#REF!</v>
      </c>
      <c r="N402" t="e">
        <f>_xlfn.XLOOKUP(TableauRecette[[#This Row],[ID]],TableauProduit[ID],TableauProduit[Total (kg) N3],0,0,1)*#REF!</f>
        <v>#REF!</v>
      </c>
      <c r="O402" t="e">
        <f>_xlfn.XLOOKUP(TableauRecette[[#This Row],[ID]],TableauProduit[ID],TableauProduit[Total (kg) N4],0,0,1)*#REF!</f>
        <v>#REF!</v>
      </c>
      <c r="P402" t="e">
        <f>_xlfn.XLOOKUP(TableauRecette[[#This Row],[ID]],TableauProduit[ID],TableauProduit[Total (kg) N5],0,0,1)*#REF!</f>
        <v>#REF!</v>
      </c>
      <c r="Q402" t="e">
        <f>_xlfn.XLOOKUP(TableauRecette[[#This Row],[ID]],TableauProduit[ID],TableauProduit[Total (kg) N6],0,0,1)*#REF!</f>
        <v>#REF!</v>
      </c>
      <c r="R402" t="e">
        <f>_xlfn.XLOOKUP(TableauRecette[[#This Row],[ID]],TableauProduit[ID],TableauProduit[Total (kg) N7],0,0,1)*#REF!</f>
        <v>#REF!</v>
      </c>
      <c r="S402" t="e">
        <f>_xlfn.XLOOKUP(TableauRecette[[#This Row],[ID]],TableauProduit[ID],TableauProduit[Total (kg) N8],0,0,1)*#REF!</f>
        <v>#REF!</v>
      </c>
      <c r="T402" t="e">
        <f>_xlfn.XLOOKUP(TableauRecette[[#This Row],[ID]],TableauProduit[ID],TableauProduit[Total (kg) N9],0,0,1)*#REF!</f>
        <v>#REF!</v>
      </c>
    </row>
    <row r="403" spans="1:20" x14ac:dyDescent="0.2">
      <c r="A403" t="s">
        <v>112</v>
      </c>
      <c r="B403" t="str">
        <f>TableauRecette[[#This Row],[Recette]]&amp;TableauRecette[[#This Row],[Conditionnement]]</f>
        <v>TakliaEpice 100ml</v>
      </c>
      <c r="C403" t="s">
        <v>410</v>
      </c>
      <c r="D403">
        <v>16</v>
      </c>
      <c r="E403" t="s">
        <v>73</v>
      </c>
      <c r="F403">
        <f>IFERROR(TableauRecette[[#This Row],[Proportion]]/SUMIFS(TableauRecette[Proportion],TableauRecette[Recette],TableauRecette[[#This Row],[Recette]],TableauRecette[Conditionnement],TableauRecette[[#This Row],[Conditionnement]]),0)</f>
        <v>0.36240090600226504</v>
      </c>
      <c r="G403">
        <f>IFERROR(_xlfn.XLOOKUP(TableauRecette[[#This Row],[Ingredients]],TableauIngredients[Ingredients],#REF!,0)*#REF!,0)</f>
        <v>0</v>
      </c>
      <c r="H403">
        <f>IFERROR(SUMIFS(TableauRecette[Proportion],TableauRecette[Recette],TableauRecette[[#This Row],[Recette]],TableauRecette[Conditionnement],TableauRecette[[#This Row],[Conditionnement]]),0)</f>
        <v>44.15</v>
      </c>
      <c r="I403">
        <f>_xlfn.XLOOKUP(TableauRecette[[#This Row],[Ingredients]],TableauIngredients[Ingredients],TableauIngredients[Prix d''achat (kg)],0,0,1)*TableauRecette[[#This Row],[Proportion]]/TableauRecette[[#This Row],[Total Proportion]]</f>
        <v>2.8992072480181204</v>
      </c>
      <c r="L403">
        <f>_xlfn.XLOOKUP(TableauRecette[[#This Row],[ID]],TableauProduit[ID],TableauProduit[Total (kg) N1],0,0,1)*_xlfn.XLOOKUP(TableauRecette[[#This Row],[ID]],TableauProduit[ID],TableauProduit[Total (kg) N1],0,0,1)</f>
        <v>0</v>
      </c>
      <c r="M403" t="e">
        <f>_xlfn.XLOOKUP(TableauRecette[[#This Row],[ID]],TableauProduit[ID],TableauProduit[Total (kg) N1],0,0,1)*_xlfn.XLOOKUP(TableauRecette[[#This Row],[ID]],TableauProduit[ID],TableauProduit[Total (kg) N2],0,0,1)</f>
        <v>#REF!</v>
      </c>
      <c r="N403" t="e">
        <f>_xlfn.XLOOKUP(TableauRecette[[#This Row],[ID]],TableauProduit[ID],TableauProduit[Total (kg) N3],0,0,1)*#REF!</f>
        <v>#REF!</v>
      </c>
      <c r="O403" t="e">
        <f>_xlfn.XLOOKUP(TableauRecette[[#This Row],[ID]],TableauProduit[ID],TableauProduit[Total (kg) N4],0,0,1)*#REF!</f>
        <v>#REF!</v>
      </c>
      <c r="P403" t="e">
        <f>_xlfn.XLOOKUP(TableauRecette[[#This Row],[ID]],TableauProduit[ID],TableauProduit[Total (kg) N5],0,0,1)*#REF!</f>
        <v>#REF!</v>
      </c>
      <c r="Q403" t="e">
        <f>_xlfn.XLOOKUP(TableauRecette[[#This Row],[ID]],TableauProduit[ID],TableauProduit[Total (kg) N6],0,0,1)*#REF!</f>
        <v>#REF!</v>
      </c>
      <c r="R403" t="e">
        <f>_xlfn.XLOOKUP(TableauRecette[[#This Row],[ID]],TableauProduit[ID],TableauProduit[Total (kg) N7],0,0,1)*#REF!</f>
        <v>#REF!</v>
      </c>
      <c r="S403" t="e">
        <f>_xlfn.XLOOKUP(TableauRecette[[#This Row],[ID]],TableauProduit[ID],TableauProduit[Total (kg) N8],0,0,1)*#REF!</f>
        <v>#REF!</v>
      </c>
      <c r="T403" t="e">
        <f>_xlfn.XLOOKUP(TableauRecette[[#This Row],[ID]],TableauProduit[ID],TableauProduit[Total (kg) N9],0,0,1)*#REF!</f>
        <v>#REF!</v>
      </c>
    </row>
    <row r="404" spans="1:20" x14ac:dyDescent="0.2">
      <c r="A404" t="s">
        <v>112</v>
      </c>
      <c r="B404" t="str">
        <f>TableauRecette[[#This Row],[Recette]]&amp;TableauRecette[[#This Row],[Conditionnement]]</f>
        <v>TakliaEpice 100ml</v>
      </c>
      <c r="C404" t="s">
        <v>351</v>
      </c>
      <c r="D404">
        <v>2.4</v>
      </c>
      <c r="E404" t="s">
        <v>73</v>
      </c>
      <c r="F404">
        <f>IFERROR(TableauRecette[[#This Row],[Proportion]]/SUMIFS(TableauRecette[Proportion],TableauRecette[Recette],TableauRecette[[#This Row],[Recette]],TableauRecette[Conditionnement],TableauRecette[[#This Row],[Conditionnement]]),0)</f>
        <v>5.4360135900339751E-2</v>
      </c>
      <c r="G404">
        <f>IFERROR(_xlfn.XLOOKUP(TableauRecette[[#This Row],[Ingredients]],TableauIngredients[Ingredients],#REF!,0)*#REF!,0)</f>
        <v>0</v>
      </c>
      <c r="H404">
        <f>IFERROR(SUMIFS(TableauRecette[Proportion],TableauRecette[Recette],TableauRecette[[#This Row],[Recette]],TableauRecette[Conditionnement],TableauRecette[[#This Row],[Conditionnement]]),0)</f>
        <v>44.15</v>
      </c>
      <c r="I404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04">
        <f>_xlfn.XLOOKUP(TableauRecette[[#This Row],[ID]],TableauProduit[ID],TableauProduit[Total (kg) N1],0,0,1)*_xlfn.XLOOKUP(TableauRecette[[#This Row],[ID]],TableauProduit[ID],TableauProduit[Total (kg) N1],0,0,1)</f>
        <v>0</v>
      </c>
      <c r="M404" t="e">
        <f>_xlfn.XLOOKUP(TableauRecette[[#This Row],[ID]],TableauProduit[ID],TableauProduit[Total (kg) N1],0,0,1)*_xlfn.XLOOKUP(TableauRecette[[#This Row],[ID]],TableauProduit[ID],TableauProduit[Total (kg) N2],0,0,1)</f>
        <v>#REF!</v>
      </c>
      <c r="N404" t="e">
        <f>_xlfn.XLOOKUP(TableauRecette[[#This Row],[ID]],TableauProduit[ID],TableauProduit[Total (kg) N3],0,0,1)*#REF!</f>
        <v>#REF!</v>
      </c>
      <c r="O404" t="e">
        <f>_xlfn.XLOOKUP(TableauRecette[[#This Row],[ID]],TableauProduit[ID],TableauProduit[Total (kg) N4],0,0,1)*#REF!</f>
        <v>#REF!</v>
      </c>
      <c r="P404" t="e">
        <f>_xlfn.XLOOKUP(TableauRecette[[#This Row],[ID]],TableauProduit[ID],TableauProduit[Total (kg) N5],0,0,1)*#REF!</f>
        <v>#REF!</v>
      </c>
      <c r="Q404" t="e">
        <f>_xlfn.XLOOKUP(TableauRecette[[#This Row],[ID]],TableauProduit[ID],TableauProduit[Total (kg) N6],0,0,1)*#REF!</f>
        <v>#REF!</v>
      </c>
      <c r="R404" t="e">
        <f>_xlfn.XLOOKUP(TableauRecette[[#This Row],[ID]],TableauProduit[ID],TableauProduit[Total (kg) N7],0,0,1)*#REF!</f>
        <v>#REF!</v>
      </c>
      <c r="S404" t="e">
        <f>_xlfn.XLOOKUP(TableauRecette[[#This Row],[ID]],TableauProduit[ID],TableauProduit[Total (kg) N8],0,0,1)*#REF!</f>
        <v>#REF!</v>
      </c>
      <c r="T404" t="e">
        <f>_xlfn.XLOOKUP(TableauRecette[[#This Row],[ID]],TableauProduit[ID],TableauProduit[Total (kg) N9],0,0,1)*#REF!</f>
        <v>#REF!</v>
      </c>
    </row>
    <row r="405" spans="1:20" x14ac:dyDescent="0.2">
      <c r="A405" t="s">
        <v>112</v>
      </c>
      <c r="B405" t="str">
        <f>TableauRecette[[#This Row],[Recette]]&amp;TableauRecette[[#This Row],[Conditionnement]]</f>
        <v>TakliaEpice 100ml</v>
      </c>
      <c r="C405" t="s">
        <v>379</v>
      </c>
      <c r="D405">
        <v>1</v>
      </c>
      <c r="E405" t="s">
        <v>73</v>
      </c>
      <c r="F405">
        <f>IFERROR(TableauRecette[[#This Row],[Proportion]]/SUMIFS(TableauRecette[Proportion],TableauRecette[Recette],TableauRecette[[#This Row],[Recette]],TableauRecette[Conditionnement],TableauRecette[[#This Row],[Conditionnement]]),0)</f>
        <v>2.2650056625141565E-2</v>
      </c>
      <c r="G405">
        <f>IFERROR(_xlfn.XLOOKUP(TableauRecette[[#This Row],[Ingredients]],TableauIngredients[Ingredients],#REF!,0)*#REF!,0)</f>
        <v>0</v>
      </c>
      <c r="H405">
        <f>IFERROR(SUMIFS(TableauRecette[Proportion],TableauRecette[Recette],TableauRecette[[#This Row],[Recette]],TableauRecette[Conditionnement],TableauRecette[[#This Row],[Conditionnement]]),0)</f>
        <v>44.15</v>
      </c>
      <c r="I40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405" t="s">
        <v>341</v>
      </c>
      <c r="L405">
        <f>_xlfn.XLOOKUP(TableauRecette[[#This Row],[ID]],TableauProduit[ID],TableauProduit[Total (kg) N1],0,0,1)*_xlfn.XLOOKUP(TableauRecette[[#This Row],[ID]],TableauProduit[ID],TableauProduit[Total (kg) N1],0,0,1)</f>
        <v>0</v>
      </c>
      <c r="M405" t="e">
        <f>_xlfn.XLOOKUP(TableauRecette[[#This Row],[ID]],TableauProduit[ID],TableauProduit[Total (kg) N1],0,0,1)*_xlfn.XLOOKUP(TableauRecette[[#This Row],[ID]],TableauProduit[ID],TableauProduit[Total (kg) N2],0,0,1)</f>
        <v>#REF!</v>
      </c>
      <c r="N405" t="e">
        <f>_xlfn.XLOOKUP(TableauRecette[[#This Row],[ID]],TableauProduit[ID],TableauProduit[Total (kg) N3],0,0,1)*#REF!</f>
        <v>#REF!</v>
      </c>
      <c r="O405" t="e">
        <f>_xlfn.XLOOKUP(TableauRecette[[#This Row],[ID]],TableauProduit[ID],TableauProduit[Total (kg) N4],0,0,1)*#REF!</f>
        <v>#REF!</v>
      </c>
      <c r="P405" t="e">
        <f>_xlfn.XLOOKUP(TableauRecette[[#This Row],[ID]],TableauProduit[ID],TableauProduit[Total (kg) N5],0,0,1)*#REF!</f>
        <v>#REF!</v>
      </c>
      <c r="Q405" t="e">
        <f>_xlfn.XLOOKUP(TableauRecette[[#This Row],[ID]],TableauProduit[ID],TableauProduit[Total (kg) N6],0,0,1)*#REF!</f>
        <v>#REF!</v>
      </c>
      <c r="R405" t="e">
        <f>_xlfn.XLOOKUP(TableauRecette[[#This Row],[ID]],TableauProduit[ID],TableauProduit[Total (kg) N7],0,0,1)*#REF!</f>
        <v>#REF!</v>
      </c>
      <c r="S405" t="e">
        <f>_xlfn.XLOOKUP(TableauRecette[[#This Row],[ID]],TableauProduit[ID],TableauProduit[Total (kg) N8],0,0,1)*#REF!</f>
        <v>#REF!</v>
      </c>
      <c r="T405" t="e">
        <f>_xlfn.XLOOKUP(TableauRecette[[#This Row],[ID]],TableauProduit[ID],TableauProduit[Total (kg) N9],0,0,1)*#REF!</f>
        <v>#REF!</v>
      </c>
    </row>
    <row r="406" spans="1:20" x14ac:dyDescent="0.2">
      <c r="A406" t="s">
        <v>112</v>
      </c>
      <c r="B406" t="str">
        <f>TableauRecette[[#This Row],[Recette]]&amp;TableauRecette[[#This Row],[Conditionnement]]</f>
        <v>TakliaEpice 100ml</v>
      </c>
      <c r="C406" t="s">
        <v>364</v>
      </c>
      <c r="D406">
        <v>3.75</v>
      </c>
      <c r="E406" t="s">
        <v>73</v>
      </c>
      <c r="F406">
        <f>IFERROR(TableauRecette[[#This Row],[Proportion]]/SUMIFS(TableauRecette[Proportion],TableauRecette[Recette],TableauRecette[[#This Row],[Recette]],TableauRecette[Conditionnement],TableauRecette[[#This Row],[Conditionnement]]),0)</f>
        <v>8.4937712344280866E-2</v>
      </c>
      <c r="G406">
        <f>IFERROR(_xlfn.XLOOKUP(TableauRecette[[#This Row],[Ingredients]],TableauIngredients[Ingredients],#REF!,0)*#REF!,0)</f>
        <v>0</v>
      </c>
      <c r="H406">
        <f>IFERROR(SUMIFS(TableauRecette[Proportion],TableauRecette[Recette],TableauRecette[[#This Row],[Recette]],TableauRecette[Conditionnement],TableauRecette[[#This Row],[Conditionnement]]),0)</f>
        <v>44.15</v>
      </c>
      <c r="I406">
        <f>_xlfn.XLOOKUP(TableauRecette[[#This Row],[Ingredients]],TableauIngredients[Ingredients],TableauIngredients[Prix d''achat (kg)],0,0,1)*TableauRecette[[#This Row],[Proportion]]/TableauRecette[[#This Row],[Total Proportion]]</f>
        <v>0.11891279728199321</v>
      </c>
      <c r="L406">
        <f>_xlfn.XLOOKUP(TableauRecette[[#This Row],[ID]],TableauProduit[ID],TableauProduit[Total (kg) N1],0,0,1)*_xlfn.XLOOKUP(TableauRecette[[#This Row],[ID]],TableauProduit[ID],TableauProduit[Total (kg) N1],0,0,1)</f>
        <v>0</v>
      </c>
      <c r="M406" t="e">
        <f>_xlfn.XLOOKUP(TableauRecette[[#This Row],[ID]],TableauProduit[ID],TableauProduit[Total (kg) N1],0,0,1)*_xlfn.XLOOKUP(TableauRecette[[#This Row],[ID]],TableauProduit[ID],TableauProduit[Total (kg) N2],0,0,1)</f>
        <v>#REF!</v>
      </c>
      <c r="N406" t="e">
        <f>_xlfn.XLOOKUP(TableauRecette[[#This Row],[ID]],TableauProduit[ID],TableauProduit[Total (kg) N3],0,0,1)*#REF!</f>
        <v>#REF!</v>
      </c>
      <c r="O406" t="e">
        <f>_xlfn.XLOOKUP(TableauRecette[[#This Row],[ID]],TableauProduit[ID],TableauProduit[Total (kg) N4],0,0,1)*#REF!</f>
        <v>#REF!</v>
      </c>
      <c r="P406" t="e">
        <f>_xlfn.XLOOKUP(TableauRecette[[#This Row],[ID]],TableauProduit[ID],TableauProduit[Total (kg) N5],0,0,1)*#REF!</f>
        <v>#REF!</v>
      </c>
      <c r="Q406" t="e">
        <f>_xlfn.XLOOKUP(TableauRecette[[#This Row],[ID]],TableauProduit[ID],TableauProduit[Total (kg) N6],0,0,1)*#REF!</f>
        <v>#REF!</v>
      </c>
      <c r="R406" t="e">
        <f>_xlfn.XLOOKUP(TableauRecette[[#This Row],[ID]],TableauProduit[ID],TableauProduit[Total (kg) N7],0,0,1)*#REF!</f>
        <v>#REF!</v>
      </c>
      <c r="S406" t="e">
        <f>_xlfn.XLOOKUP(TableauRecette[[#This Row],[ID]],TableauProduit[ID],TableauProduit[Total (kg) N8],0,0,1)*#REF!</f>
        <v>#REF!</v>
      </c>
      <c r="T406" t="e">
        <f>_xlfn.XLOOKUP(TableauRecette[[#This Row],[ID]],TableauProduit[ID],TableauProduit[Total (kg) N9],0,0,1)*#REF!</f>
        <v>#REF!</v>
      </c>
    </row>
    <row r="407" spans="1:20" x14ac:dyDescent="0.2">
      <c r="A407" t="s">
        <v>109</v>
      </c>
      <c r="B407" t="str">
        <f>TableauRecette[[#This Row],[Recette]]&amp;TableauRecette[[#This Row],[Conditionnement]]</f>
        <v>Timur ko chhopEpice 100ml</v>
      </c>
      <c r="C407" t="s">
        <v>423</v>
      </c>
      <c r="D407">
        <v>1</v>
      </c>
      <c r="E407" t="s">
        <v>73</v>
      </c>
      <c r="F407">
        <f>IFERROR(TableauRecette[[#This Row],[Proportion]]/SUMIFS(TableauRecette[Proportion],TableauRecette[Recette],TableauRecette[[#This Row],[Recette]],TableauRecette[Conditionnement],TableauRecette[[#This Row],[Conditionnement]]),0)</f>
        <v>0.125</v>
      </c>
      <c r="G407">
        <f>IFERROR(_xlfn.XLOOKUP(TableauRecette[[#This Row],[Ingredients]],TableauIngredients[Ingredients],#REF!,0)*#REF!,0)</f>
        <v>0</v>
      </c>
      <c r="H407">
        <f>IFERROR(SUMIFS(TableauRecette[Proportion],TableauRecette[Recette],TableauRecette[[#This Row],[Recette]],TableauRecette[Conditionnement],TableauRecette[[#This Row],[Conditionnement]]),0)</f>
        <v>8</v>
      </c>
      <c r="I40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07">
        <f>_xlfn.XLOOKUP(TableauRecette[[#This Row],[ID]],TableauProduit[ID],TableauProduit[Total (kg) N1],0,0,1)*_xlfn.XLOOKUP(TableauRecette[[#This Row],[ID]],TableauProduit[ID],TableauProduit[Total (kg) N1],0,0,1)</f>
        <v>0</v>
      </c>
      <c r="M407" t="e">
        <f>_xlfn.XLOOKUP(TableauRecette[[#This Row],[ID]],TableauProduit[ID],TableauProduit[Total (kg) N1],0,0,1)*_xlfn.XLOOKUP(TableauRecette[[#This Row],[ID]],TableauProduit[ID],TableauProduit[Total (kg) N2],0,0,1)</f>
        <v>#REF!</v>
      </c>
      <c r="N407" t="e">
        <f>_xlfn.XLOOKUP(TableauRecette[[#This Row],[ID]],TableauProduit[ID],TableauProduit[Total (kg) N3],0,0,1)*#REF!</f>
        <v>#REF!</v>
      </c>
      <c r="O407" t="e">
        <f>_xlfn.XLOOKUP(TableauRecette[[#This Row],[ID]],TableauProduit[ID],TableauProduit[Total (kg) N4],0,0,1)*#REF!</f>
        <v>#REF!</v>
      </c>
      <c r="P407" t="e">
        <f>_xlfn.XLOOKUP(TableauRecette[[#This Row],[ID]],TableauProduit[ID],TableauProduit[Total (kg) N5],0,0,1)*#REF!</f>
        <v>#REF!</v>
      </c>
      <c r="Q407" t="e">
        <f>_xlfn.XLOOKUP(TableauRecette[[#This Row],[ID]],TableauProduit[ID],TableauProduit[Total (kg) N6],0,0,1)*#REF!</f>
        <v>#REF!</v>
      </c>
      <c r="R407" t="e">
        <f>_xlfn.XLOOKUP(TableauRecette[[#This Row],[ID]],TableauProduit[ID],TableauProduit[Total (kg) N7],0,0,1)*#REF!</f>
        <v>#REF!</v>
      </c>
      <c r="S407" t="e">
        <f>_xlfn.XLOOKUP(TableauRecette[[#This Row],[ID]],TableauProduit[ID],TableauProduit[Total (kg) N8],0,0,1)*#REF!</f>
        <v>#REF!</v>
      </c>
      <c r="T407" t="e">
        <f>_xlfn.XLOOKUP(TableauRecette[[#This Row],[ID]],TableauProduit[ID],TableauProduit[Total (kg) N9],0,0,1)*#REF!</f>
        <v>#REF!</v>
      </c>
    </row>
    <row r="408" spans="1:20" x14ac:dyDescent="0.2">
      <c r="A408" t="s">
        <v>109</v>
      </c>
      <c r="B408" t="str">
        <f>TableauRecette[[#This Row],[Recette]]&amp;TableauRecette[[#This Row],[Conditionnement]]</f>
        <v>Timur ko chhopEpice 100ml</v>
      </c>
      <c r="C408" t="s">
        <v>441</v>
      </c>
      <c r="D408">
        <v>1</v>
      </c>
      <c r="E408" t="s">
        <v>73</v>
      </c>
      <c r="F408">
        <f>IFERROR(TableauRecette[[#This Row],[Proportion]]/SUMIFS(TableauRecette[Proportion],TableauRecette[Recette],TableauRecette[[#This Row],[Recette]],TableauRecette[Conditionnement],TableauRecette[[#This Row],[Conditionnement]]),0)</f>
        <v>0.125</v>
      </c>
      <c r="G408">
        <f>IFERROR(_xlfn.XLOOKUP(TableauRecette[[#This Row],[Ingredients]],TableauIngredients[Ingredients],#REF!,0)*#REF!,0)</f>
        <v>0</v>
      </c>
      <c r="H408">
        <f>IFERROR(SUMIFS(TableauRecette[Proportion],TableauRecette[Recette],TableauRecette[[#This Row],[Recette]],TableauRecette[Conditionnement],TableauRecette[[#This Row],[Conditionnement]]),0)</f>
        <v>8</v>
      </c>
      <c r="I408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08">
        <f>_xlfn.XLOOKUP(TableauRecette[[#This Row],[ID]],TableauProduit[ID],TableauProduit[Total (kg) N1],0,0,1)*_xlfn.XLOOKUP(TableauRecette[[#This Row],[ID]],TableauProduit[ID],TableauProduit[Total (kg) N1],0,0,1)</f>
        <v>0</v>
      </c>
      <c r="M408" t="e">
        <f>_xlfn.XLOOKUP(TableauRecette[[#This Row],[ID]],TableauProduit[ID],TableauProduit[Total (kg) N1],0,0,1)*_xlfn.XLOOKUP(TableauRecette[[#This Row],[ID]],TableauProduit[ID],TableauProduit[Total (kg) N2],0,0,1)</f>
        <v>#REF!</v>
      </c>
      <c r="N408" t="e">
        <f>_xlfn.XLOOKUP(TableauRecette[[#This Row],[ID]],TableauProduit[ID],TableauProduit[Total (kg) N3],0,0,1)*#REF!</f>
        <v>#REF!</v>
      </c>
      <c r="O408" t="e">
        <f>_xlfn.XLOOKUP(TableauRecette[[#This Row],[ID]],TableauProduit[ID],TableauProduit[Total (kg) N4],0,0,1)*#REF!</f>
        <v>#REF!</v>
      </c>
      <c r="P408" t="e">
        <f>_xlfn.XLOOKUP(TableauRecette[[#This Row],[ID]],TableauProduit[ID],TableauProduit[Total (kg) N5],0,0,1)*#REF!</f>
        <v>#REF!</v>
      </c>
      <c r="Q408" t="e">
        <f>_xlfn.XLOOKUP(TableauRecette[[#This Row],[ID]],TableauProduit[ID],TableauProduit[Total (kg) N6],0,0,1)*#REF!</f>
        <v>#REF!</v>
      </c>
      <c r="R408" t="e">
        <f>_xlfn.XLOOKUP(TableauRecette[[#This Row],[ID]],TableauProduit[ID],TableauProduit[Total (kg) N7],0,0,1)*#REF!</f>
        <v>#REF!</v>
      </c>
      <c r="S408" t="e">
        <f>_xlfn.XLOOKUP(TableauRecette[[#This Row],[ID]],TableauProduit[ID],TableauProduit[Total (kg) N8],0,0,1)*#REF!</f>
        <v>#REF!</v>
      </c>
      <c r="T408" t="e">
        <f>_xlfn.XLOOKUP(TableauRecette[[#This Row],[ID]],TableauProduit[ID],TableauProduit[Total (kg) N9],0,0,1)*#REF!</f>
        <v>#REF!</v>
      </c>
    </row>
    <row r="409" spans="1:20" x14ac:dyDescent="0.2">
      <c r="A409" t="s">
        <v>109</v>
      </c>
      <c r="B409" t="str">
        <f>TableauRecette[[#This Row],[Recette]]&amp;TableauRecette[[#This Row],[Conditionnement]]</f>
        <v>Timur ko chhopEpice 100ml</v>
      </c>
      <c r="C409" t="s">
        <v>397</v>
      </c>
      <c r="D409">
        <v>4</v>
      </c>
      <c r="E409" t="s">
        <v>73</v>
      </c>
      <c r="F409">
        <f>IFERROR(TableauRecette[[#This Row],[Proportion]]/SUMIFS(TableauRecette[Proportion],TableauRecette[Recette],TableauRecette[[#This Row],[Recette]],TableauRecette[Conditionnement],TableauRecette[[#This Row],[Conditionnement]]),0)</f>
        <v>0.5</v>
      </c>
      <c r="G409">
        <f>IFERROR(_xlfn.XLOOKUP(TableauRecette[[#This Row],[Ingredients]],TableauIngredients[Ingredients],#REF!,0)*#REF!,0)</f>
        <v>0</v>
      </c>
      <c r="H409">
        <f>IFERROR(SUMIFS(TableauRecette[Proportion],TableauRecette[Recette],TableauRecette[[#This Row],[Recette]],TableauRecette[Conditionnement],TableauRecette[[#This Row],[Conditionnement]]),0)</f>
        <v>8</v>
      </c>
      <c r="I40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09">
        <f>_xlfn.XLOOKUP(TableauRecette[[#This Row],[ID]],TableauProduit[ID],TableauProduit[Total (kg) N1],0,0,1)*_xlfn.XLOOKUP(TableauRecette[[#This Row],[ID]],TableauProduit[ID],TableauProduit[Total (kg) N1],0,0,1)</f>
        <v>0</v>
      </c>
      <c r="M409" t="e">
        <f>_xlfn.XLOOKUP(TableauRecette[[#This Row],[ID]],TableauProduit[ID],TableauProduit[Total (kg) N1],0,0,1)*_xlfn.XLOOKUP(TableauRecette[[#This Row],[ID]],TableauProduit[ID],TableauProduit[Total (kg) N2],0,0,1)</f>
        <v>#REF!</v>
      </c>
      <c r="N409" t="e">
        <f>_xlfn.XLOOKUP(TableauRecette[[#This Row],[ID]],TableauProduit[ID],TableauProduit[Total (kg) N3],0,0,1)*#REF!</f>
        <v>#REF!</v>
      </c>
      <c r="O409" t="e">
        <f>_xlfn.XLOOKUP(TableauRecette[[#This Row],[ID]],TableauProduit[ID],TableauProduit[Total (kg) N4],0,0,1)*#REF!</f>
        <v>#REF!</v>
      </c>
      <c r="P409" t="e">
        <f>_xlfn.XLOOKUP(TableauRecette[[#This Row],[ID]],TableauProduit[ID],TableauProduit[Total (kg) N5],0,0,1)*#REF!</f>
        <v>#REF!</v>
      </c>
      <c r="Q409" t="e">
        <f>_xlfn.XLOOKUP(TableauRecette[[#This Row],[ID]],TableauProduit[ID],TableauProduit[Total (kg) N6],0,0,1)*#REF!</f>
        <v>#REF!</v>
      </c>
      <c r="R409" t="e">
        <f>_xlfn.XLOOKUP(TableauRecette[[#This Row],[ID]],TableauProduit[ID],TableauProduit[Total (kg) N7],0,0,1)*#REF!</f>
        <v>#REF!</v>
      </c>
      <c r="S409" t="e">
        <f>_xlfn.XLOOKUP(TableauRecette[[#This Row],[ID]],TableauProduit[ID],TableauProduit[Total (kg) N8],0,0,1)*#REF!</f>
        <v>#REF!</v>
      </c>
      <c r="T409" t="e">
        <f>_xlfn.XLOOKUP(TableauRecette[[#This Row],[ID]],TableauProduit[ID],TableauProduit[Total (kg) N9],0,0,1)*#REF!</f>
        <v>#REF!</v>
      </c>
    </row>
    <row r="410" spans="1:20" x14ac:dyDescent="0.2">
      <c r="A410" t="s">
        <v>109</v>
      </c>
      <c r="B410" t="str">
        <f>TableauRecette[[#This Row],[Recette]]&amp;TableauRecette[[#This Row],[Conditionnement]]</f>
        <v>Timur ko chhopEpice 100ml</v>
      </c>
      <c r="C410" t="s">
        <v>364</v>
      </c>
      <c r="D410">
        <v>2</v>
      </c>
      <c r="E410" t="s">
        <v>73</v>
      </c>
      <c r="F410">
        <f>IFERROR(TableauRecette[[#This Row],[Proportion]]/SUMIFS(TableauRecette[Proportion],TableauRecette[Recette],TableauRecette[[#This Row],[Recette]],TableauRecette[Conditionnement],TableauRecette[[#This Row],[Conditionnement]]),0)</f>
        <v>0.25</v>
      </c>
      <c r="G410">
        <f>IFERROR(_xlfn.XLOOKUP(TableauRecette[[#This Row],[Ingredients]],TableauIngredients[Ingredients],#REF!,0)*#REF!,0)</f>
        <v>0</v>
      </c>
      <c r="H410">
        <f>IFERROR(SUMIFS(TableauRecette[Proportion],TableauRecette[Recette],TableauRecette[[#This Row],[Recette]],TableauRecette[Conditionnement],TableauRecette[[#This Row],[Conditionnement]]),0)</f>
        <v>8</v>
      </c>
      <c r="I410">
        <f>_xlfn.XLOOKUP(TableauRecette[[#This Row],[Ingredients]],TableauIngredients[Ingredients],TableauIngredients[Prix d''achat (kg)],0,0,1)*TableauRecette[[#This Row],[Proportion]]/TableauRecette[[#This Row],[Total Proportion]]</f>
        <v>0.35</v>
      </c>
      <c r="L410">
        <f>_xlfn.XLOOKUP(TableauRecette[[#This Row],[ID]],TableauProduit[ID],TableauProduit[Total (kg) N1],0,0,1)*_xlfn.XLOOKUP(TableauRecette[[#This Row],[ID]],TableauProduit[ID],TableauProduit[Total (kg) N1],0,0,1)</f>
        <v>0</v>
      </c>
      <c r="M410" t="e">
        <f>_xlfn.XLOOKUP(TableauRecette[[#This Row],[ID]],TableauProduit[ID],TableauProduit[Total (kg) N1],0,0,1)*_xlfn.XLOOKUP(TableauRecette[[#This Row],[ID]],TableauProduit[ID],TableauProduit[Total (kg) N2],0,0,1)</f>
        <v>#REF!</v>
      </c>
      <c r="N410" t="e">
        <f>_xlfn.XLOOKUP(TableauRecette[[#This Row],[ID]],TableauProduit[ID],TableauProduit[Total (kg) N3],0,0,1)*#REF!</f>
        <v>#REF!</v>
      </c>
      <c r="O410" t="e">
        <f>_xlfn.XLOOKUP(TableauRecette[[#This Row],[ID]],TableauProduit[ID],TableauProduit[Total (kg) N4],0,0,1)*#REF!</f>
        <v>#REF!</v>
      </c>
      <c r="P410" t="e">
        <f>_xlfn.XLOOKUP(TableauRecette[[#This Row],[ID]],TableauProduit[ID],TableauProduit[Total (kg) N5],0,0,1)*#REF!</f>
        <v>#REF!</v>
      </c>
      <c r="Q410" t="e">
        <f>_xlfn.XLOOKUP(TableauRecette[[#This Row],[ID]],TableauProduit[ID],TableauProduit[Total (kg) N6],0,0,1)*#REF!</f>
        <v>#REF!</v>
      </c>
      <c r="R410" t="e">
        <f>_xlfn.XLOOKUP(TableauRecette[[#This Row],[ID]],TableauProduit[ID],TableauProduit[Total (kg) N7],0,0,1)*#REF!</f>
        <v>#REF!</v>
      </c>
      <c r="S410" t="e">
        <f>_xlfn.XLOOKUP(TableauRecette[[#This Row],[ID]],TableauProduit[ID],TableauProduit[Total (kg) N8],0,0,1)*#REF!</f>
        <v>#REF!</v>
      </c>
      <c r="T410" t="e">
        <f>_xlfn.XLOOKUP(TableauRecette[[#This Row],[ID]],TableauProduit[ID],TableauProduit[Total (kg) N9],0,0,1)*#REF!</f>
        <v>#REF!</v>
      </c>
    </row>
    <row r="411" spans="1:20" x14ac:dyDescent="0.2">
      <c r="A411" t="s">
        <v>92</v>
      </c>
      <c r="B411" t="str">
        <f>TableauRecette[[#This Row],[Recette]]&amp;TableauRecette[[#This Row],[Conditionnement]]</f>
        <v>Vinaigre du soleilVinaigre 250 ml</v>
      </c>
      <c r="C411" t="s">
        <v>425</v>
      </c>
      <c r="D411">
        <v>97</v>
      </c>
      <c r="E411" t="s">
        <v>93</v>
      </c>
      <c r="F411">
        <f>IFERROR(TableauRecette[[#This Row],[Proportion]]/SUMIFS(TableauRecette[Proportion],TableauRecette[Recette],TableauRecette[[#This Row],[Recette]],TableauRecette[Conditionnement],TableauRecette[[#This Row],[Conditionnement]]),0)</f>
        <v>0.97</v>
      </c>
      <c r="G411">
        <f>IFERROR(_xlfn.XLOOKUP(TableauRecette[[#This Row],[Ingredients]],TableauIngredients[Ingredients],#REF!,0)*#REF!,0)</f>
        <v>0</v>
      </c>
      <c r="H411">
        <f>IFERROR(SUMIFS(TableauRecette[Proportion],TableauRecette[Recette],TableauRecette[[#This Row],[Recette]],TableauRecette[Conditionnement],TableauRecette[[#This Row],[Conditionnement]]),0)</f>
        <v>100</v>
      </c>
      <c r="I411">
        <f>_xlfn.XLOOKUP(TableauRecette[[#This Row],[Ingredients]],TableauIngredients[Ingredients],TableauIngredients[Prix d''achat (kg)],0,0,1)*TableauRecette[[#This Row],[Proportion]]/TableauRecette[[#This Row],[Total Proportion]]</f>
        <v>3.7267400000000004</v>
      </c>
      <c r="L411">
        <f>_xlfn.XLOOKUP(TableauRecette[[#This Row],[ID]],TableauProduit[ID],TableauProduit[Total (kg) N1],0,0,1)*_xlfn.XLOOKUP(TableauRecette[[#This Row],[ID]],TableauProduit[ID],TableauProduit[Total (kg) N1],0,0,1)</f>
        <v>0</v>
      </c>
      <c r="M411" t="e">
        <f>_xlfn.XLOOKUP(TableauRecette[[#This Row],[ID]],TableauProduit[ID],TableauProduit[Total (kg) N1],0,0,1)*_xlfn.XLOOKUP(TableauRecette[[#This Row],[ID]],TableauProduit[ID],TableauProduit[Total (kg) N2],0,0,1)</f>
        <v>#REF!</v>
      </c>
      <c r="N411" t="e">
        <f>_xlfn.XLOOKUP(TableauRecette[[#This Row],[ID]],TableauProduit[ID],TableauProduit[Total (kg) N3],0,0,1)*#REF!</f>
        <v>#REF!</v>
      </c>
      <c r="O411" t="e">
        <f>_xlfn.XLOOKUP(TableauRecette[[#This Row],[ID]],TableauProduit[ID],TableauProduit[Total (kg) N4],0,0,1)*#REF!</f>
        <v>#REF!</v>
      </c>
      <c r="P411" t="e">
        <f>_xlfn.XLOOKUP(TableauRecette[[#This Row],[ID]],TableauProduit[ID],TableauProduit[Total (kg) N5],0,0,1)*#REF!</f>
        <v>#REF!</v>
      </c>
      <c r="Q411" t="e">
        <f>_xlfn.XLOOKUP(TableauRecette[[#This Row],[ID]],TableauProduit[ID],TableauProduit[Total (kg) N6],0,0,1)*#REF!</f>
        <v>#REF!</v>
      </c>
      <c r="R411" t="e">
        <f>_xlfn.XLOOKUP(TableauRecette[[#This Row],[ID]],TableauProduit[ID],TableauProduit[Total (kg) N7],0,0,1)*#REF!</f>
        <v>#REF!</v>
      </c>
      <c r="S411" t="e">
        <f>_xlfn.XLOOKUP(TableauRecette[[#This Row],[ID]],TableauProduit[ID],TableauProduit[Total (kg) N8],0,0,1)*#REF!</f>
        <v>#REF!</v>
      </c>
      <c r="T411" t="e">
        <f>_xlfn.XLOOKUP(TableauRecette[[#This Row],[ID]],TableauProduit[ID],TableauProduit[Total (kg) N9],0,0,1)*#REF!</f>
        <v>#REF!</v>
      </c>
    </row>
    <row r="412" spans="1:20" x14ac:dyDescent="0.2">
      <c r="A412" t="s">
        <v>92</v>
      </c>
      <c r="B412" t="str">
        <f>TableauRecette[[#This Row],[Recette]]&amp;TableauRecette[[#This Row],[Conditionnement]]</f>
        <v>Vinaigre du soleilVinaigre 250 ml</v>
      </c>
      <c r="C412" t="s">
        <v>462</v>
      </c>
      <c r="D412">
        <v>2</v>
      </c>
      <c r="E412" t="s">
        <v>93</v>
      </c>
      <c r="F412">
        <f>IFERROR(TableauRecette[[#This Row],[Proportion]]/SUMIFS(TableauRecette[Proportion],TableauRecette[Recette],TableauRecette[[#This Row],[Recette]],TableauRecette[Conditionnement],TableauRecette[[#This Row],[Conditionnement]]),0)</f>
        <v>0.02</v>
      </c>
      <c r="G412">
        <f>IFERROR(_xlfn.XLOOKUP(TableauRecette[[#This Row],[Ingredients]],TableauIngredients[Ingredients],#REF!,0)*#REF!,0)</f>
        <v>0</v>
      </c>
      <c r="H412">
        <f>IFERROR(SUMIFS(TableauRecette[Proportion],TableauRecette[Recette],TableauRecette[[#This Row],[Recette]],TableauRecette[Conditionnement],TableauRecette[[#This Row],[Conditionnement]]),0)</f>
        <v>100</v>
      </c>
      <c r="I41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412" t="s">
        <v>341</v>
      </c>
      <c r="L412">
        <f>_xlfn.XLOOKUP(TableauRecette[[#This Row],[ID]],TableauProduit[ID],TableauProduit[Total (kg) N1],0,0,1)*_xlfn.XLOOKUP(TableauRecette[[#This Row],[ID]],TableauProduit[ID],TableauProduit[Total (kg) N1],0,0,1)</f>
        <v>0</v>
      </c>
      <c r="M412" t="e">
        <f>_xlfn.XLOOKUP(TableauRecette[[#This Row],[ID]],TableauProduit[ID],TableauProduit[Total (kg) N1],0,0,1)*_xlfn.XLOOKUP(TableauRecette[[#This Row],[ID]],TableauProduit[ID],TableauProduit[Total (kg) N2],0,0,1)</f>
        <v>#REF!</v>
      </c>
      <c r="N412" t="e">
        <f>_xlfn.XLOOKUP(TableauRecette[[#This Row],[ID]],TableauProduit[ID],TableauProduit[Total (kg) N3],0,0,1)*#REF!</f>
        <v>#REF!</v>
      </c>
      <c r="O412" t="e">
        <f>_xlfn.XLOOKUP(TableauRecette[[#This Row],[ID]],TableauProduit[ID],TableauProduit[Total (kg) N4],0,0,1)*#REF!</f>
        <v>#REF!</v>
      </c>
      <c r="P412" t="e">
        <f>_xlfn.XLOOKUP(TableauRecette[[#This Row],[ID]],TableauProduit[ID],TableauProduit[Total (kg) N5],0,0,1)*#REF!</f>
        <v>#REF!</v>
      </c>
      <c r="Q412" t="e">
        <f>_xlfn.XLOOKUP(TableauRecette[[#This Row],[ID]],TableauProduit[ID],TableauProduit[Total (kg) N6],0,0,1)*#REF!</f>
        <v>#REF!</v>
      </c>
      <c r="R412" t="e">
        <f>_xlfn.XLOOKUP(TableauRecette[[#This Row],[ID]],TableauProduit[ID],TableauProduit[Total (kg) N7],0,0,1)*#REF!</f>
        <v>#REF!</v>
      </c>
      <c r="S412" t="e">
        <f>_xlfn.XLOOKUP(TableauRecette[[#This Row],[ID]],TableauProduit[ID],TableauProduit[Total (kg) N8],0,0,1)*#REF!</f>
        <v>#REF!</v>
      </c>
      <c r="T412" t="e">
        <f>_xlfn.XLOOKUP(TableauRecette[[#This Row],[ID]],TableauProduit[ID],TableauProduit[Total (kg) N9],0,0,1)*#REF!</f>
        <v>#REF!</v>
      </c>
    </row>
    <row r="413" spans="1:20" x14ac:dyDescent="0.2">
      <c r="A413" t="s">
        <v>92</v>
      </c>
      <c r="B413" t="str">
        <f>TableauRecette[[#This Row],[Recette]]&amp;TableauRecette[[#This Row],[Conditionnement]]</f>
        <v>Vinaigre du soleilVinaigre 250 ml</v>
      </c>
      <c r="C413" t="s">
        <v>392</v>
      </c>
      <c r="D413">
        <v>1</v>
      </c>
      <c r="E413" t="s">
        <v>93</v>
      </c>
      <c r="F413">
        <f>IFERROR(TableauRecette[[#This Row],[Proportion]]/SUMIFS(TableauRecette[Proportion],TableauRecette[Recette],TableauRecette[[#This Row],[Recette]],TableauRecette[Conditionnement],TableauRecette[[#This Row],[Conditionnement]]),0)</f>
        <v>0.01</v>
      </c>
      <c r="G413">
        <f>IFERROR(_xlfn.XLOOKUP(TableauRecette[[#This Row],[Ingredients]],TableauIngredients[Ingredients],#REF!,0)*#REF!,0)</f>
        <v>0</v>
      </c>
      <c r="H413">
        <f>IFERROR(SUMIFS(TableauRecette[Proportion],TableauRecette[Recette],TableauRecette[[#This Row],[Recette]],TableauRecette[Conditionnement],TableauRecette[[#This Row],[Conditionnement]]),0)</f>
        <v>100</v>
      </c>
      <c r="I413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13">
        <f>_xlfn.XLOOKUP(TableauRecette[[#This Row],[ID]],TableauProduit[ID],TableauProduit[Total (kg) N1],0,0,1)*_xlfn.XLOOKUP(TableauRecette[[#This Row],[ID]],TableauProduit[ID],TableauProduit[Total (kg) N1],0,0,1)</f>
        <v>0</v>
      </c>
      <c r="M413" t="e">
        <f>_xlfn.XLOOKUP(TableauRecette[[#This Row],[ID]],TableauProduit[ID],TableauProduit[Total (kg) N1],0,0,1)*_xlfn.XLOOKUP(TableauRecette[[#This Row],[ID]],TableauProduit[ID],TableauProduit[Total (kg) N2],0,0,1)</f>
        <v>#REF!</v>
      </c>
      <c r="N413" t="e">
        <f>_xlfn.XLOOKUP(TableauRecette[[#This Row],[ID]],TableauProduit[ID],TableauProduit[Total (kg) N3],0,0,1)*#REF!</f>
        <v>#REF!</v>
      </c>
      <c r="O413" t="e">
        <f>_xlfn.XLOOKUP(TableauRecette[[#This Row],[ID]],TableauProduit[ID],TableauProduit[Total (kg) N4],0,0,1)*#REF!</f>
        <v>#REF!</v>
      </c>
      <c r="P413" t="e">
        <f>_xlfn.XLOOKUP(TableauRecette[[#This Row],[ID]],TableauProduit[ID],TableauProduit[Total (kg) N5],0,0,1)*#REF!</f>
        <v>#REF!</v>
      </c>
      <c r="Q413" t="e">
        <f>_xlfn.XLOOKUP(TableauRecette[[#This Row],[ID]],TableauProduit[ID],TableauProduit[Total (kg) N6],0,0,1)*#REF!</f>
        <v>#REF!</v>
      </c>
      <c r="R413" t="e">
        <f>_xlfn.XLOOKUP(TableauRecette[[#This Row],[ID]],TableauProduit[ID],TableauProduit[Total (kg) N7],0,0,1)*#REF!</f>
        <v>#REF!</v>
      </c>
      <c r="S413" t="e">
        <f>_xlfn.XLOOKUP(TableauRecette[[#This Row],[ID]],TableauProduit[ID],TableauProduit[Total (kg) N8],0,0,1)*#REF!</f>
        <v>#REF!</v>
      </c>
      <c r="T413" t="e">
        <f>_xlfn.XLOOKUP(TableauRecette[[#This Row],[ID]],TableauProduit[ID],TableauProduit[Total (kg) N9],0,0,1)*#REF!</f>
        <v>#REF!</v>
      </c>
    </row>
    <row r="414" spans="1:20" x14ac:dyDescent="0.2">
      <c r="A414" t="s">
        <v>94</v>
      </c>
      <c r="B414" t="str">
        <f>TableauRecette[[#This Row],[Recette]]&amp;TableauRecette[[#This Row],[Conditionnement]]</f>
        <v>Vinaigre du sureauVinaigre 250 ml</v>
      </c>
      <c r="C414" t="s">
        <v>425</v>
      </c>
      <c r="D414">
        <v>92</v>
      </c>
      <c r="E414" t="s">
        <v>93</v>
      </c>
      <c r="F414">
        <f>IFERROR(TableauRecette[[#This Row],[Proportion]]/SUMIFS(TableauRecette[Proportion],TableauRecette[Recette],TableauRecette[[#This Row],[Recette]],TableauRecette[Conditionnement],TableauRecette[[#This Row],[Conditionnement]]),0)</f>
        <v>0.92</v>
      </c>
      <c r="G414">
        <f>IFERROR(_xlfn.XLOOKUP(TableauRecette[[#This Row],[Ingredients]],TableauIngredients[Ingredients],#REF!,0)*#REF!,0)</f>
        <v>0</v>
      </c>
      <c r="H414">
        <f>IFERROR(SUMIFS(TableauRecette[Proportion],TableauRecette[Recette],TableauRecette[[#This Row],[Recette]],TableauRecette[Conditionnement],TableauRecette[[#This Row],[Conditionnement]]),0)</f>
        <v>100</v>
      </c>
      <c r="I414">
        <f>_xlfn.XLOOKUP(TableauRecette[[#This Row],[Ingredients]],TableauIngredients[Ingredients],TableauIngredients[Prix d''achat (kg)],0,0,1)*TableauRecette[[#This Row],[Proportion]]/TableauRecette[[#This Row],[Total Proportion]]</f>
        <v>3.53464</v>
      </c>
      <c r="L414">
        <f>_xlfn.XLOOKUP(TableauRecette[[#This Row],[ID]],TableauProduit[ID],TableauProduit[Total (kg) N1],0,0,1)*_xlfn.XLOOKUP(TableauRecette[[#This Row],[ID]],TableauProduit[ID],TableauProduit[Total (kg) N1],0,0,1)</f>
        <v>0</v>
      </c>
      <c r="M414" t="e">
        <f>_xlfn.XLOOKUP(TableauRecette[[#This Row],[ID]],TableauProduit[ID],TableauProduit[Total (kg) N1],0,0,1)*_xlfn.XLOOKUP(TableauRecette[[#This Row],[ID]],TableauProduit[ID],TableauProduit[Total (kg) N2],0,0,1)</f>
        <v>#REF!</v>
      </c>
      <c r="N414" t="e">
        <f>_xlfn.XLOOKUP(TableauRecette[[#This Row],[ID]],TableauProduit[ID],TableauProduit[Total (kg) N3],0,0,1)*#REF!</f>
        <v>#REF!</v>
      </c>
      <c r="O414" t="e">
        <f>_xlfn.XLOOKUP(TableauRecette[[#This Row],[ID]],TableauProduit[ID],TableauProduit[Total (kg) N4],0,0,1)*#REF!</f>
        <v>#REF!</v>
      </c>
      <c r="P414" t="e">
        <f>_xlfn.XLOOKUP(TableauRecette[[#This Row],[ID]],TableauProduit[ID],TableauProduit[Total (kg) N5],0,0,1)*#REF!</f>
        <v>#REF!</v>
      </c>
      <c r="Q414" t="e">
        <f>_xlfn.XLOOKUP(TableauRecette[[#This Row],[ID]],TableauProduit[ID],TableauProduit[Total (kg) N6],0,0,1)*#REF!</f>
        <v>#REF!</v>
      </c>
      <c r="R414" t="e">
        <f>_xlfn.XLOOKUP(TableauRecette[[#This Row],[ID]],TableauProduit[ID],TableauProduit[Total (kg) N7],0,0,1)*#REF!</f>
        <v>#REF!</v>
      </c>
      <c r="S414" t="e">
        <f>_xlfn.XLOOKUP(TableauRecette[[#This Row],[ID]],TableauProduit[ID],TableauProduit[Total (kg) N8],0,0,1)*#REF!</f>
        <v>#REF!</v>
      </c>
      <c r="T414" t="e">
        <f>_xlfn.XLOOKUP(TableauRecette[[#This Row],[ID]],TableauProduit[ID],TableauProduit[Total (kg) N9],0,0,1)*#REF!</f>
        <v>#REF!</v>
      </c>
    </row>
    <row r="415" spans="1:20" x14ac:dyDescent="0.2">
      <c r="A415" t="s">
        <v>94</v>
      </c>
      <c r="B415" t="str">
        <f>TableauRecette[[#This Row],[Recette]]&amp;TableauRecette[[#This Row],[Conditionnement]]</f>
        <v>Vinaigre du sureauVinaigre 250 ml</v>
      </c>
      <c r="C415" t="s">
        <v>458</v>
      </c>
      <c r="D415">
        <v>3</v>
      </c>
      <c r="E415" t="s">
        <v>93</v>
      </c>
      <c r="F415">
        <f>IFERROR(TableauRecette[[#This Row],[Proportion]]/SUMIFS(TableauRecette[Proportion],TableauRecette[Recette],TableauRecette[[#This Row],[Recette]],TableauRecette[Conditionnement],TableauRecette[[#This Row],[Conditionnement]]),0)</f>
        <v>0.03</v>
      </c>
      <c r="G415">
        <f>IFERROR(_xlfn.XLOOKUP(TableauRecette[[#This Row],[Ingredients]],TableauIngredients[Ingredients],#REF!,0)*#REF!,0)</f>
        <v>0</v>
      </c>
      <c r="H415">
        <f>IFERROR(SUMIFS(TableauRecette[Proportion],TableauRecette[Recette],TableauRecette[[#This Row],[Recette]],TableauRecette[Conditionnement],TableauRecette[[#This Row],[Conditionnement]]),0)</f>
        <v>100</v>
      </c>
      <c r="I41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415" t="s">
        <v>341</v>
      </c>
      <c r="L415">
        <f>_xlfn.XLOOKUP(TableauRecette[[#This Row],[ID]],TableauProduit[ID],TableauProduit[Total (kg) N1],0,0,1)*_xlfn.XLOOKUP(TableauRecette[[#This Row],[ID]],TableauProduit[ID],TableauProduit[Total (kg) N1],0,0,1)</f>
        <v>0</v>
      </c>
      <c r="M415" t="e">
        <f>_xlfn.XLOOKUP(TableauRecette[[#This Row],[ID]],TableauProduit[ID],TableauProduit[Total (kg) N1],0,0,1)*_xlfn.XLOOKUP(TableauRecette[[#This Row],[ID]],TableauProduit[ID],TableauProduit[Total (kg) N2],0,0,1)</f>
        <v>#REF!</v>
      </c>
      <c r="N415" t="e">
        <f>_xlfn.XLOOKUP(TableauRecette[[#This Row],[ID]],TableauProduit[ID],TableauProduit[Total (kg) N3],0,0,1)*#REF!</f>
        <v>#REF!</v>
      </c>
      <c r="O415" t="e">
        <f>_xlfn.XLOOKUP(TableauRecette[[#This Row],[ID]],TableauProduit[ID],TableauProduit[Total (kg) N4],0,0,1)*#REF!</f>
        <v>#REF!</v>
      </c>
      <c r="P415" t="e">
        <f>_xlfn.XLOOKUP(TableauRecette[[#This Row],[ID]],TableauProduit[ID],TableauProduit[Total (kg) N5],0,0,1)*#REF!</f>
        <v>#REF!</v>
      </c>
      <c r="Q415" t="e">
        <f>_xlfn.XLOOKUP(TableauRecette[[#This Row],[ID]],TableauProduit[ID],TableauProduit[Total (kg) N6],0,0,1)*#REF!</f>
        <v>#REF!</v>
      </c>
      <c r="R415" t="e">
        <f>_xlfn.XLOOKUP(TableauRecette[[#This Row],[ID]],TableauProduit[ID],TableauProduit[Total (kg) N7],0,0,1)*#REF!</f>
        <v>#REF!</v>
      </c>
      <c r="S415" t="e">
        <f>_xlfn.XLOOKUP(TableauRecette[[#This Row],[ID]],TableauProduit[ID],TableauProduit[Total (kg) N8],0,0,1)*#REF!</f>
        <v>#REF!</v>
      </c>
      <c r="T415" t="e">
        <f>_xlfn.XLOOKUP(TableauRecette[[#This Row],[ID]],TableauProduit[ID],TableauProduit[Total (kg) N9],0,0,1)*#REF!</f>
        <v>#REF!</v>
      </c>
    </row>
    <row r="416" spans="1:20" x14ac:dyDescent="0.2">
      <c r="A416" t="s">
        <v>94</v>
      </c>
      <c r="B416" t="str">
        <f>TableauRecette[[#This Row],[Recette]]&amp;TableauRecette[[#This Row],[Conditionnement]]</f>
        <v>Vinaigre du sureauVinaigre 250 ml</v>
      </c>
      <c r="C416" t="s">
        <v>442</v>
      </c>
      <c r="D416">
        <v>5</v>
      </c>
      <c r="E416" t="s">
        <v>93</v>
      </c>
      <c r="F416">
        <f>IFERROR(TableauRecette[[#This Row],[Proportion]]/SUMIFS(TableauRecette[Proportion],TableauRecette[Recette],TableauRecette[[#This Row],[Recette]],TableauRecette[Conditionnement],TableauRecette[[#This Row],[Conditionnement]]),0)</f>
        <v>0.05</v>
      </c>
      <c r="G416">
        <f>IFERROR(_xlfn.XLOOKUP(TableauRecette[[#This Row],[Ingredients]],TableauIngredients[Ingredients],#REF!,0)*#REF!,0)</f>
        <v>0</v>
      </c>
      <c r="H416">
        <f>IFERROR(SUMIFS(TableauRecette[Proportion],TableauRecette[Recette],TableauRecette[[#This Row],[Recette]],TableauRecette[Conditionnement],TableauRecette[[#This Row],[Conditionnement]]),0)</f>
        <v>100</v>
      </c>
      <c r="I41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16">
        <f>_xlfn.XLOOKUP(TableauRecette[[#This Row],[ID]],TableauProduit[ID],TableauProduit[Total (kg) N1],0,0,1)*_xlfn.XLOOKUP(TableauRecette[[#This Row],[ID]],TableauProduit[ID],TableauProduit[Total (kg) N1],0,0,1)</f>
        <v>0</v>
      </c>
      <c r="M416" t="e">
        <f>_xlfn.XLOOKUP(TableauRecette[[#This Row],[ID]],TableauProduit[ID],TableauProduit[Total (kg) N1],0,0,1)*_xlfn.XLOOKUP(TableauRecette[[#This Row],[ID]],TableauProduit[ID],TableauProduit[Total (kg) N2],0,0,1)</f>
        <v>#REF!</v>
      </c>
      <c r="N416" t="e">
        <f>_xlfn.XLOOKUP(TableauRecette[[#This Row],[ID]],TableauProduit[ID],TableauProduit[Total (kg) N3],0,0,1)*#REF!</f>
        <v>#REF!</v>
      </c>
      <c r="O416" t="e">
        <f>_xlfn.XLOOKUP(TableauRecette[[#This Row],[ID]],TableauProduit[ID],TableauProduit[Total (kg) N4],0,0,1)*#REF!</f>
        <v>#REF!</v>
      </c>
      <c r="P416" t="e">
        <f>_xlfn.XLOOKUP(TableauRecette[[#This Row],[ID]],TableauProduit[ID],TableauProduit[Total (kg) N5],0,0,1)*#REF!</f>
        <v>#REF!</v>
      </c>
      <c r="Q416" t="e">
        <f>_xlfn.XLOOKUP(TableauRecette[[#This Row],[ID]],TableauProduit[ID],TableauProduit[Total (kg) N6],0,0,1)*#REF!</f>
        <v>#REF!</v>
      </c>
      <c r="R416" t="e">
        <f>_xlfn.XLOOKUP(TableauRecette[[#This Row],[ID]],TableauProduit[ID],TableauProduit[Total (kg) N7],0,0,1)*#REF!</f>
        <v>#REF!</v>
      </c>
      <c r="S416" t="e">
        <f>_xlfn.XLOOKUP(TableauRecette[[#This Row],[ID]],TableauProduit[ID],TableauProduit[Total (kg) N8],0,0,1)*#REF!</f>
        <v>#REF!</v>
      </c>
      <c r="T416" t="e">
        <f>_xlfn.XLOOKUP(TableauRecette[[#This Row],[ID]],TableauProduit[ID],TableauProduit[Total (kg) N9],0,0,1)*#REF!</f>
        <v>#REF!</v>
      </c>
    </row>
    <row r="417" spans="1:20" x14ac:dyDescent="0.2">
      <c r="A417" t="s">
        <v>121</v>
      </c>
      <c r="B417" t="str">
        <f>TableauRecette[[#This Row],[Recette]]&amp;TableauRecette[[#This Row],[Conditionnement]]</f>
        <v>Vindaloo masalaEpice 100ml</v>
      </c>
      <c r="C417" t="s">
        <v>352</v>
      </c>
      <c r="D417">
        <v>5</v>
      </c>
      <c r="E417" t="s">
        <v>73</v>
      </c>
      <c r="F417">
        <f>IFERROR(TableauRecette[[#This Row],[Proportion]]/SUMIFS(TableauRecette[Proportion],TableauRecette[Recette],TableauRecette[[#This Row],[Recette]],TableauRecette[Conditionnement],TableauRecette[[#This Row],[Conditionnement]]),0)</f>
        <v>0.25641025641025639</v>
      </c>
      <c r="G417">
        <f>IFERROR(_xlfn.XLOOKUP(TableauRecette[[#This Row],[Ingredients]],TableauIngredients[Ingredients],#REF!,0)*#REF!,0)</f>
        <v>0</v>
      </c>
      <c r="H417">
        <f>IFERROR(SUMIFS(TableauRecette[Proportion],TableauRecette[Recette],TableauRecette[[#This Row],[Recette]],TableauRecette[Conditionnement],TableauRecette[[#This Row],[Conditionnement]]),0)</f>
        <v>19.5</v>
      </c>
      <c r="I41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17">
        <f>_xlfn.XLOOKUP(TableauRecette[[#This Row],[ID]],TableauProduit[ID],TableauProduit[Total (kg) N1],0,0,1)*_xlfn.XLOOKUP(TableauRecette[[#This Row],[ID]],TableauProduit[ID],TableauProduit[Total (kg) N1],0,0,1)</f>
        <v>0</v>
      </c>
      <c r="M417" t="e">
        <f>_xlfn.XLOOKUP(TableauRecette[[#This Row],[ID]],TableauProduit[ID],TableauProduit[Total (kg) N1],0,0,1)*_xlfn.XLOOKUP(TableauRecette[[#This Row],[ID]],TableauProduit[ID],TableauProduit[Total (kg) N2],0,0,1)</f>
        <v>#REF!</v>
      </c>
      <c r="N417" t="e">
        <f>_xlfn.XLOOKUP(TableauRecette[[#This Row],[ID]],TableauProduit[ID],TableauProduit[Total (kg) N3],0,0,1)*#REF!</f>
        <v>#REF!</v>
      </c>
      <c r="O417" t="e">
        <f>_xlfn.XLOOKUP(TableauRecette[[#This Row],[ID]],TableauProduit[ID],TableauProduit[Total (kg) N4],0,0,1)*#REF!</f>
        <v>#REF!</v>
      </c>
      <c r="P417" t="e">
        <f>_xlfn.XLOOKUP(TableauRecette[[#This Row],[ID]],TableauProduit[ID],TableauProduit[Total (kg) N5],0,0,1)*#REF!</f>
        <v>#REF!</v>
      </c>
      <c r="Q417" t="e">
        <f>_xlfn.XLOOKUP(TableauRecette[[#This Row],[ID]],TableauProduit[ID],TableauProduit[Total (kg) N6],0,0,1)*#REF!</f>
        <v>#REF!</v>
      </c>
      <c r="R417" t="e">
        <f>_xlfn.XLOOKUP(TableauRecette[[#This Row],[ID]],TableauProduit[ID],TableauProduit[Total (kg) N7],0,0,1)*#REF!</f>
        <v>#REF!</v>
      </c>
      <c r="S417" t="e">
        <f>_xlfn.XLOOKUP(TableauRecette[[#This Row],[ID]],TableauProduit[ID],TableauProduit[Total (kg) N8],0,0,1)*#REF!</f>
        <v>#REF!</v>
      </c>
      <c r="T417" t="e">
        <f>_xlfn.XLOOKUP(TableauRecette[[#This Row],[ID]],TableauProduit[ID],TableauProduit[Total (kg) N9],0,0,1)*#REF!</f>
        <v>#REF!</v>
      </c>
    </row>
    <row r="418" spans="1:20" x14ac:dyDescent="0.2">
      <c r="A418" t="s">
        <v>121</v>
      </c>
      <c r="B418" t="str">
        <f>TableauRecette[[#This Row],[Recette]]&amp;TableauRecette[[#This Row],[Conditionnement]]</f>
        <v>Vindaloo masalaEpice 100ml</v>
      </c>
      <c r="C418" t="s">
        <v>476</v>
      </c>
      <c r="D418">
        <v>4</v>
      </c>
      <c r="E418" t="s">
        <v>73</v>
      </c>
      <c r="F418">
        <f>IFERROR(TableauRecette[[#This Row],[Proportion]]/SUMIFS(TableauRecette[Proportion],TableauRecette[Recette],TableauRecette[[#This Row],[Recette]],TableauRecette[Conditionnement],TableauRecette[[#This Row],[Conditionnement]]),0)</f>
        <v>0.20512820512820512</v>
      </c>
      <c r="G418">
        <f>IFERROR(_xlfn.XLOOKUP(TableauRecette[[#This Row],[Ingredients]],TableauIngredients[Ingredients],#REF!,0)*#REF!,0)</f>
        <v>0</v>
      </c>
      <c r="H418">
        <f>IFERROR(SUMIFS(TableauRecette[Proportion],TableauRecette[Recette],TableauRecette[[#This Row],[Recette]],TableauRecette[Conditionnement],TableauRecette[[#This Row],[Conditionnement]]),0)</f>
        <v>19.5</v>
      </c>
      <c r="I418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18">
        <f>_xlfn.XLOOKUP(TableauRecette[[#This Row],[ID]],TableauProduit[ID],TableauProduit[Total (kg) N1],0,0,1)*_xlfn.XLOOKUP(TableauRecette[[#This Row],[ID]],TableauProduit[ID],TableauProduit[Total (kg) N1],0,0,1)</f>
        <v>0</v>
      </c>
      <c r="M418" t="e">
        <f>_xlfn.XLOOKUP(TableauRecette[[#This Row],[ID]],TableauProduit[ID],TableauProduit[Total (kg) N1],0,0,1)*_xlfn.XLOOKUP(TableauRecette[[#This Row],[ID]],TableauProduit[ID],TableauProduit[Total (kg) N2],0,0,1)</f>
        <v>#REF!</v>
      </c>
      <c r="N418" t="e">
        <f>_xlfn.XLOOKUP(TableauRecette[[#This Row],[ID]],TableauProduit[ID],TableauProduit[Total (kg) N3],0,0,1)*#REF!</f>
        <v>#REF!</v>
      </c>
      <c r="O418" t="e">
        <f>_xlfn.XLOOKUP(TableauRecette[[#This Row],[ID]],TableauProduit[ID],TableauProduit[Total (kg) N4],0,0,1)*#REF!</f>
        <v>#REF!</v>
      </c>
      <c r="P418" t="e">
        <f>_xlfn.XLOOKUP(TableauRecette[[#This Row],[ID]],TableauProduit[ID],TableauProduit[Total (kg) N5],0,0,1)*#REF!</f>
        <v>#REF!</v>
      </c>
      <c r="Q418" t="e">
        <f>_xlfn.XLOOKUP(TableauRecette[[#This Row],[ID]],TableauProduit[ID],TableauProduit[Total (kg) N6],0,0,1)*#REF!</f>
        <v>#REF!</v>
      </c>
      <c r="R418" t="e">
        <f>_xlfn.XLOOKUP(TableauRecette[[#This Row],[ID]],TableauProduit[ID],TableauProduit[Total (kg) N7],0,0,1)*#REF!</f>
        <v>#REF!</v>
      </c>
      <c r="S418" t="e">
        <f>_xlfn.XLOOKUP(TableauRecette[[#This Row],[ID]],TableauProduit[ID],TableauProduit[Total (kg) N8],0,0,1)*#REF!</f>
        <v>#REF!</v>
      </c>
      <c r="T418" t="e">
        <f>_xlfn.XLOOKUP(TableauRecette[[#This Row],[ID]],TableauProduit[ID],TableauProduit[Total (kg) N9],0,0,1)*#REF!</f>
        <v>#REF!</v>
      </c>
    </row>
    <row r="419" spans="1:20" x14ac:dyDescent="0.2">
      <c r="A419" t="s">
        <v>121</v>
      </c>
      <c r="B419" t="str">
        <f>TableauRecette[[#This Row],[Recette]]&amp;TableauRecette[[#This Row],[Conditionnement]]</f>
        <v>Vindaloo masalaEpice 100ml</v>
      </c>
      <c r="C419" t="s">
        <v>367</v>
      </c>
      <c r="D419">
        <v>1</v>
      </c>
      <c r="E419" t="s">
        <v>73</v>
      </c>
      <c r="F419">
        <f>IFERROR(TableauRecette[[#This Row],[Proportion]]/SUMIFS(TableauRecette[Proportion],TableauRecette[Recette],TableauRecette[[#This Row],[Recette]],TableauRecette[Conditionnement],TableauRecette[[#This Row],[Conditionnement]]),0)</f>
        <v>5.128205128205128E-2</v>
      </c>
      <c r="G419">
        <f>IFERROR(_xlfn.XLOOKUP(TableauRecette[[#This Row],[Ingredients]],TableauIngredients[Ingredients],#REF!,0)*#REF!,0)</f>
        <v>0</v>
      </c>
      <c r="H419">
        <f>IFERROR(SUMIFS(TableauRecette[Proportion],TableauRecette[Recette],TableauRecette[[#This Row],[Recette]],TableauRecette[Conditionnement],TableauRecette[[#This Row],[Conditionnement]]),0)</f>
        <v>19.5</v>
      </c>
      <c r="I41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19">
        <f>_xlfn.XLOOKUP(TableauRecette[[#This Row],[ID]],TableauProduit[ID],TableauProduit[Total (kg) N1],0,0,1)*_xlfn.XLOOKUP(TableauRecette[[#This Row],[ID]],TableauProduit[ID],TableauProduit[Total (kg) N1],0,0,1)</f>
        <v>0</v>
      </c>
      <c r="M419" t="e">
        <f>_xlfn.XLOOKUP(TableauRecette[[#This Row],[ID]],TableauProduit[ID],TableauProduit[Total (kg) N1],0,0,1)*_xlfn.XLOOKUP(TableauRecette[[#This Row],[ID]],TableauProduit[ID],TableauProduit[Total (kg) N2],0,0,1)</f>
        <v>#REF!</v>
      </c>
      <c r="N419" t="e">
        <f>_xlfn.XLOOKUP(TableauRecette[[#This Row],[ID]],TableauProduit[ID],TableauProduit[Total (kg) N3],0,0,1)*#REF!</f>
        <v>#REF!</v>
      </c>
      <c r="O419" t="e">
        <f>_xlfn.XLOOKUP(TableauRecette[[#This Row],[ID]],TableauProduit[ID],TableauProduit[Total (kg) N4],0,0,1)*#REF!</f>
        <v>#REF!</v>
      </c>
      <c r="P419" t="e">
        <f>_xlfn.XLOOKUP(TableauRecette[[#This Row],[ID]],TableauProduit[ID],TableauProduit[Total (kg) N5],0,0,1)*#REF!</f>
        <v>#REF!</v>
      </c>
      <c r="Q419" t="e">
        <f>_xlfn.XLOOKUP(TableauRecette[[#This Row],[ID]],TableauProduit[ID],TableauProduit[Total (kg) N6],0,0,1)*#REF!</f>
        <v>#REF!</v>
      </c>
      <c r="R419" t="e">
        <f>_xlfn.XLOOKUP(TableauRecette[[#This Row],[ID]],TableauProduit[ID],TableauProduit[Total (kg) N7],0,0,1)*#REF!</f>
        <v>#REF!</v>
      </c>
      <c r="S419" t="e">
        <f>_xlfn.XLOOKUP(TableauRecette[[#This Row],[ID]],TableauProduit[ID],TableauProduit[Total (kg) N8],0,0,1)*#REF!</f>
        <v>#REF!</v>
      </c>
      <c r="T419" t="e">
        <f>_xlfn.XLOOKUP(TableauRecette[[#This Row],[ID]],TableauProduit[ID],TableauProduit[Total (kg) N9],0,0,1)*#REF!</f>
        <v>#REF!</v>
      </c>
    </row>
    <row r="420" spans="1:20" x14ac:dyDescent="0.2">
      <c r="A420" t="s">
        <v>121</v>
      </c>
      <c r="B420" t="str">
        <f>TableauRecette[[#This Row],[Recette]]&amp;TableauRecette[[#This Row],[Conditionnement]]</f>
        <v>Vindaloo masalaEpice 100ml</v>
      </c>
      <c r="C420" t="s">
        <v>378</v>
      </c>
      <c r="D420">
        <v>1</v>
      </c>
      <c r="E420" t="s">
        <v>73</v>
      </c>
      <c r="F420">
        <f>IFERROR(TableauRecette[[#This Row],[Proportion]]/SUMIFS(TableauRecette[Proportion],TableauRecette[Recette],TableauRecette[[#This Row],[Recette]],TableauRecette[Conditionnement],TableauRecette[[#This Row],[Conditionnement]]),0)</f>
        <v>5.128205128205128E-2</v>
      </c>
      <c r="G420">
        <f>IFERROR(_xlfn.XLOOKUP(TableauRecette[[#This Row],[Ingredients]],TableauIngredients[Ingredients],#REF!,0)*#REF!,0)</f>
        <v>0</v>
      </c>
      <c r="H420">
        <f>IFERROR(SUMIFS(TableauRecette[Proportion],TableauRecette[Recette],TableauRecette[[#This Row],[Recette]],TableauRecette[Conditionnement],TableauRecette[[#This Row],[Conditionnement]]),0)</f>
        <v>19.5</v>
      </c>
      <c r="I420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20">
        <f>_xlfn.XLOOKUP(TableauRecette[[#This Row],[ID]],TableauProduit[ID],TableauProduit[Total (kg) N1],0,0,1)*_xlfn.XLOOKUP(TableauRecette[[#This Row],[ID]],TableauProduit[ID],TableauProduit[Total (kg) N1],0,0,1)</f>
        <v>0</v>
      </c>
      <c r="M420" t="e">
        <f>_xlfn.XLOOKUP(TableauRecette[[#This Row],[ID]],TableauProduit[ID],TableauProduit[Total (kg) N1],0,0,1)*_xlfn.XLOOKUP(TableauRecette[[#This Row],[ID]],TableauProduit[ID],TableauProduit[Total (kg) N2],0,0,1)</f>
        <v>#REF!</v>
      </c>
      <c r="N420" t="e">
        <f>_xlfn.XLOOKUP(TableauRecette[[#This Row],[ID]],TableauProduit[ID],TableauProduit[Total (kg) N3],0,0,1)*#REF!</f>
        <v>#REF!</v>
      </c>
      <c r="O420" t="e">
        <f>_xlfn.XLOOKUP(TableauRecette[[#This Row],[ID]],TableauProduit[ID],TableauProduit[Total (kg) N4],0,0,1)*#REF!</f>
        <v>#REF!</v>
      </c>
      <c r="P420" t="e">
        <f>_xlfn.XLOOKUP(TableauRecette[[#This Row],[ID]],TableauProduit[ID],TableauProduit[Total (kg) N5],0,0,1)*#REF!</f>
        <v>#REF!</v>
      </c>
      <c r="Q420" t="e">
        <f>_xlfn.XLOOKUP(TableauRecette[[#This Row],[ID]],TableauProduit[ID],TableauProduit[Total (kg) N6],0,0,1)*#REF!</f>
        <v>#REF!</v>
      </c>
      <c r="R420" t="e">
        <f>_xlfn.XLOOKUP(TableauRecette[[#This Row],[ID]],TableauProduit[ID],TableauProduit[Total (kg) N7],0,0,1)*#REF!</f>
        <v>#REF!</v>
      </c>
      <c r="S420" t="e">
        <f>_xlfn.XLOOKUP(TableauRecette[[#This Row],[ID]],TableauProduit[ID],TableauProduit[Total (kg) N8],0,0,1)*#REF!</f>
        <v>#REF!</v>
      </c>
      <c r="T420" t="e">
        <f>_xlfn.XLOOKUP(TableauRecette[[#This Row],[ID]],TableauProduit[ID],TableauProduit[Total (kg) N9],0,0,1)*#REF!</f>
        <v>#REF!</v>
      </c>
    </row>
    <row r="421" spans="1:20" x14ac:dyDescent="0.2">
      <c r="A421" t="s">
        <v>121</v>
      </c>
      <c r="B421" t="str">
        <f>TableauRecette[[#This Row],[Recette]]&amp;TableauRecette[[#This Row],[Conditionnement]]</f>
        <v>Vindaloo masalaEpice 100ml</v>
      </c>
      <c r="C421" t="s">
        <v>345</v>
      </c>
      <c r="D421">
        <v>1</v>
      </c>
      <c r="E421" t="s">
        <v>73</v>
      </c>
      <c r="F421">
        <f>IFERROR(TableauRecette[[#This Row],[Proportion]]/SUMIFS(TableauRecette[Proportion],TableauRecette[Recette],TableauRecette[[#This Row],[Recette]],TableauRecette[Conditionnement],TableauRecette[[#This Row],[Conditionnement]]),0)</f>
        <v>5.128205128205128E-2</v>
      </c>
      <c r="G421">
        <f>IFERROR(_xlfn.XLOOKUP(TableauRecette[[#This Row],[Ingredients]],TableauIngredients[Ingredients],#REF!,0)*#REF!,0)</f>
        <v>0</v>
      </c>
      <c r="H421">
        <f>IFERROR(SUMIFS(TableauRecette[Proportion],TableauRecette[Recette],TableauRecette[[#This Row],[Recette]],TableauRecette[Conditionnement],TableauRecette[[#This Row],[Conditionnement]]),0)</f>
        <v>19.5</v>
      </c>
      <c r="I42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K421" t="s">
        <v>341</v>
      </c>
      <c r="L421">
        <f>_xlfn.XLOOKUP(TableauRecette[[#This Row],[ID]],TableauProduit[ID],TableauProduit[Total (kg) N1],0,0,1)*_xlfn.XLOOKUP(TableauRecette[[#This Row],[ID]],TableauProduit[ID],TableauProduit[Total (kg) N1],0,0,1)</f>
        <v>0</v>
      </c>
      <c r="M421" t="e">
        <f>_xlfn.XLOOKUP(TableauRecette[[#This Row],[ID]],TableauProduit[ID],TableauProduit[Total (kg) N1],0,0,1)*_xlfn.XLOOKUP(TableauRecette[[#This Row],[ID]],TableauProduit[ID],TableauProduit[Total (kg) N2],0,0,1)</f>
        <v>#REF!</v>
      </c>
      <c r="N421" t="e">
        <f>_xlfn.XLOOKUP(TableauRecette[[#This Row],[ID]],TableauProduit[ID],TableauProduit[Total (kg) N3],0,0,1)*#REF!</f>
        <v>#REF!</v>
      </c>
      <c r="O421" t="e">
        <f>_xlfn.XLOOKUP(TableauRecette[[#This Row],[ID]],TableauProduit[ID],TableauProduit[Total (kg) N4],0,0,1)*#REF!</f>
        <v>#REF!</v>
      </c>
      <c r="P421" t="e">
        <f>_xlfn.XLOOKUP(TableauRecette[[#This Row],[ID]],TableauProduit[ID],TableauProduit[Total (kg) N5],0,0,1)*#REF!</f>
        <v>#REF!</v>
      </c>
      <c r="Q421" t="e">
        <f>_xlfn.XLOOKUP(TableauRecette[[#This Row],[ID]],TableauProduit[ID],TableauProduit[Total (kg) N6],0,0,1)*#REF!</f>
        <v>#REF!</v>
      </c>
      <c r="R421" t="e">
        <f>_xlfn.XLOOKUP(TableauRecette[[#This Row],[ID]],TableauProduit[ID],TableauProduit[Total (kg) N7],0,0,1)*#REF!</f>
        <v>#REF!</v>
      </c>
      <c r="S421" t="e">
        <f>_xlfn.XLOOKUP(TableauRecette[[#This Row],[ID]],TableauProduit[ID],TableauProduit[Total (kg) N8],0,0,1)*#REF!</f>
        <v>#REF!</v>
      </c>
      <c r="T421" t="e">
        <f>_xlfn.XLOOKUP(TableauRecette[[#This Row],[ID]],TableauProduit[ID],TableauProduit[Total (kg) N9],0,0,1)*#REF!</f>
        <v>#REF!</v>
      </c>
    </row>
    <row r="422" spans="1:20" x14ac:dyDescent="0.2">
      <c r="A422" t="s">
        <v>121</v>
      </c>
      <c r="B422" t="str">
        <f>TableauRecette[[#This Row],[Recette]]&amp;TableauRecette[[#This Row],[Conditionnement]]</f>
        <v>Vindaloo masalaEpice 100ml</v>
      </c>
      <c r="C422" t="s">
        <v>344</v>
      </c>
      <c r="D422">
        <v>0.5</v>
      </c>
      <c r="E422" t="s">
        <v>73</v>
      </c>
      <c r="F422">
        <f>IFERROR(TableauRecette[[#This Row],[Proportion]]/SUMIFS(TableauRecette[Proportion],TableauRecette[Recette],TableauRecette[[#This Row],[Recette]],TableauRecette[Conditionnement],TableauRecette[[#This Row],[Conditionnement]]),0)</f>
        <v>2.564102564102564E-2</v>
      </c>
      <c r="G422">
        <f>IFERROR(_xlfn.XLOOKUP(TableauRecette[[#This Row],[Ingredients]],TableauIngredients[Ingredients],#REF!,0)*#REF!,0)</f>
        <v>0</v>
      </c>
      <c r="H422">
        <f>IFERROR(SUMIFS(TableauRecette[Proportion],TableauRecette[Recette],TableauRecette[[#This Row],[Recette]],TableauRecette[Conditionnement],TableauRecette[[#This Row],[Conditionnement]]),0)</f>
        <v>19.5</v>
      </c>
      <c r="I42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22">
        <f>_xlfn.XLOOKUP(TableauRecette[[#This Row],[ID]],TableauProduit[ID],TableauProduit[Total (kg) N1],0,0,1)*_xlfn.XLOOKUP(TableauRecette[[#This Row],[ID]],TableauProduit[ID],TableauProduit[Total (kg) N1],0,0,1)</f>
        <v>0</v>
      </c>
      <c r="M422" t="e">
        <f>_xlfn.XLOOKUP(TableauRecette[[#This Row],[ID]],TableauProduit[ID],TableauProduit[Total (kg) N1],0,0,1)*_xlfn.XLOOKUP(TableauRecette[[#This Row],[ID]],TableauProduit[ID],TableauProduit[Total (kg) N2],0,0,1)</f>
        <v>#REF!</v>
      </c>
      <c r="N422" t="e">
        <f>_xlfn.XLOOKUP(TableauRecette[[#This Row],[ID]],TableauProduit[ID],TableauProduit[Total (kg) N3],0,0,1)*#REF!</f>
        <v>#REF!</v>
      </c>
      <c r="O422" t="e">
        <f>_xlfn.XLOOKUP(TableauRecette[[#This Row],[ID]],TableauProduit[ID],TableauProduit[Total (kg) N4],0,0,1)*#REF!</f>
        <v>#REF!</v>
      </c>
      <c r="P422" t="e">
        <f>_xlfn.XLOOKUP(TableauRecette[[#This Row],[ID]],TableauProduit[ID],TableauProduit[Total (kg) N5],0,0,1)*#REF!</f>
        <v>#REF!</v>
      </c>
      <c r="Q422" t="e">
        <f>_xlfn.XLOOKUP(TableauRecette[[#This Row],[ID]],TableauProduit[ID],TableauProduit[Total (kg) N6],0,0,1)*#REF!</f>
        <v>#REF!</v>
      </c>
      <c r="R422" t="e">
        <f>_xlfn.XLOOKUP(TableauRecette[[#This Row],[ID]],TableauProduit[ID],TableauProduit[Total (kg) N7],0,0,1)*#REF!</f>
        <v>#REF!</v>
      </c>
      <c r="S422" t="e">
        <f>_xlfn.XLOOKUP(TableauRecette[[#This Row],[ID]],TableauProduit[ID],TableauProduit[Total (kg) N8],0,0,1)*#REF!</f>
        <v>#REF!</v>
      </c>
      <c r="T422" t="e">
        <f>_xlfn.XLOOKUP(TableauRecette[[#This Row],[ID]],TableauProduit[ID],TableauProduit[Total (kg) N9],0,0,1)*#REF!</f>
        <v>#REF!</v>
      </c>
    </row>
    <row r="423" spans="1:20" x14ac:dyDescent="0.2">
      <c r="A423" t="s">
        <v>121</v>
      </c>
      <c r="B423" t="str">
        <f>TableauRecette[[#This Row],[Recette]]&amp;TableauRecette[[#This Row],[Conditionnement]]</f>
        <v>Vindaloo masalaEpice 100ml</v>
      </c>
      <c r="C423" t="s">
        <v>350</v>
      </c>
      <c r="D423">
        <v>0.5</v>
      </c>
      <c r="E423" t="s">
        <v>73</v>
      </c>
      <c r="F423">
        <f>IFERROR(TableauRecette[[#This Row],[Proportion]]/SUMIFS(TableauRecette[Proportion],TableauRecette[Recette],TableauRecette[[#This Row],[Recette]],TableauRecette[Conditionnement],TableauRecette[[#This Row],[Conditionnement]]),0)</f>
        <v>2.564102564102564E-2</v>
      </c>
      <c r="G423">
        <f>IFERROR(_xlfn.XLOOKUP(TableauRecette[[#This Row],[Ingredients]],TableauIngredients[Ingredients],#REF!,0)*#REF!,0)</f>
        <v>0</v>
      </c>
      <c r="H423">
        <f>IFERROR(SUMIFS(TableauRecette[Proportion],TableauRecette[Recette],TableauRecette[[#This Row],[Recette]],TableauRecette[Conditionnement],TableauRecette[[#This Row],[Conditionnement]]),0)</f>
        <v>19.5</v>
      </c>
      <c r="I423">
        <f>_xlfn.XLOOKUP(TableauRecette[[#This Row],[Ingredients]],TableauIngredients[Ingredients],TableauIngredients[Prix d''achat (kg)],0,0,1)*TableauRecette[[#This Row],[Proportion]]/TableauRecette[[#This Row],[Total Proportion]]</f>
        <v>0.92307692307692313</v>
      </c>
      <c r="L423">
        <f>_xlfn.XLOOKUP(TableauRecette[[#This Row],[ID]],TableauProduit[ID],TableauProduit[Total (kg) N1],0,0,1)*_xlfn.XLOOKUP(TableauRecette[[#This Row],[ID]],TableauProduit[ID],TableauProduit[Total (kg) N1],0,0,1)</f>
        <v>0</v>
      </c>
      <c r="M423" t="e">
        <f>_xlfn.XLOOKUP(TableauRecette[[#This Row],[ID]],TableauProduit[ID],TableauProduit[Total (kg) N1],0,0,1)*_xlfn.XLOOKUP(TableauRecette[[#This Row],[ID]],TableauProduit[ID],TableauProduit[Total (kg) N2],0,0,1)</f>
        <v>#REF!</v>
      </c>
      <c r="N423" t="e">
        <f>_xlfn.XLOOKUP(TableauRecette[[#This Row],[ID]],TableauProduit[ID],TableauProduit[Total (kg) N3],0,0,1)*#REF!</f>
        <v>#REF!</v>
      </c>
      <c r="O423" t="e">
        <f>_xlfn.XLOOKUP(TableauRecette[[#This Row],[ID]],TableauProduit[ID],TableauProduit[Total (kg) N4],0,0,1)*#REF!</f>
        <v>#REF!</v>
      </c>
      <c r="P423" t="e">
        <f>_xlfn.XLOOKUP(TableauRecette[[#This Row],[ID]],TableauProduit[ID],TableauProduit[Total (kg) N5],0,0,1)*#REF!</f>
        <v>#REF!</v>
      </c>
      <c r="Q423" t="e">
        <f>_xlfn.XLOOKUP(TableauRecette[[#This Row],[ID]],TableauProduit[ID],TableauProduit[Total (kg) N6],0,0,1)*#REF!</f>
        <v>#REF!</v>
      </c>
      <c r="R423" t="e">
        <f>_xlfn.XLOOKUP(TableauRecette[[#This Row],[ID]],TableauProduit[ID],TableauProduit[Total (kg) N7],0,0,1)*#REF!</f>
        <v>#REF!</v>
      </c>
      <c r="S423" t="e">
        <f>_xlfn.XLOOKUP(TableauRecette[[#This Row],[ID]],TableauProduit[ID],TableauProduit[Total (kg) N8],0,0,1)*#REF!</f>
        <v>#REF!</v>
      </c>
      <c r="T423" t="e">
        <f>_xlfn.XLOOKUP(TableauRecette[[#This Row],[ID]],TableauProduit[ID],TableauProduit[Total (kg) N9],0,0,1)*#REF!</f>
        <v>#REF!</v>
      </c>
    </row>
    <row r="424" spans="1:20" x14ac:dyDescent="0.2">
      <c r="A424" t="s">
        <v>121</v>
      </c>
      <c r="B424" t="str">
        <f>TableauRecette[[#This Row],[Recette]]&amp;TableauRecette[[#This Row],[Conditionnement]]</f>
        <v>Vindaloo masalaEpice 100ml</v>
      </c>
      <c r="C424" t="s">
        <v>348</v>
      </c>
      <c r="D424">
        <v>0.5</v>
      </c>
      <c r="E424" t="s">
        <v>73</v>
      </c>
      <c r="F424">
        <f>IFERROR(TableauRecette[[#This Row],[Proportion]]/SUMIFS(TableauRecette[Proportion],TableauRecette[Recette],TableauRecette[[#This Row],[Recette]],TableauRecette[Conditionnement],TableauRecette[[#This Row],[Conditionnement]]),0)</f>
        <v>2.564102564102564E-2</v>
      </c>
      <c r="G424">
        <f>IFERROR(_xlfn.XLOOKUP(TableauRecette[[#This Row],[Ingredients]],TableauIngredients[Ingredients],#REF!,0)*#REF!,0)</f>
        <v>0</v>
      </c>
      <c r="H424">
        <f>IFERROR(SUMIFS(TableauRecette[Proportion],TableauRecette[Recette],TableauRecette[[#This Row],[Recette]],TableauRecette[Conditionnement],TableauRecette[[#This Row],[Conditionnement]]),0)</f>
        <v>19.5</v>
      </c>
      <c r="I424">
        <f>_xlfn.XLOOKUP(TableauRecette[[#This Row],[Ingredients]],TableauIngredients[Ingredients],TableauIngredients[Prix d''achat (kg)],0,0,1)*TableauRecette[[#This Row],[Proportion]]/TableauRecette[[#This Row],[Total Proportion]]</f>
        <v>0.94487179487179496</v>
      </c>
      <c r="L424">
        <f>_xlfn.XLOOKUP(TableauRecette[[#This Row],[ID]],TableauProduit[ID],TableauProduit[Total (kg) N1],0,0,1)*_xlfn.XLOOKUP(TableauRecette[[#This Row],[ID]],TableauProduit[ID],TableauProduit[Total (kg) N1],0,0,1)</f>
        <v>0</v>
      </c>
      <c r="M424" t="e">
        <f>_xlfn.XLOOKUP(TableauRecette[[#This Row],[ID]],TableauProduit[ID],TableauProduit[Total (kg) N1],0,0,1)*_xlfn.XLOOKUP(TableauRecette[[#This Row],[ID]],TableauProduit[ID],TableauProduit[Total (kg) N2],0,0,1)</f>
        <v>#REF!</v>
      </c>
      <c r="N424" t="e">
        <f>_xlfn.XLOOKUP(TableauRecette[[#This Row],[ID]],TableauProduit[ID],TableauProduit[Total (kg) N3],0,0,1)*#REF!</f>
        <v>#REF!</v>
      </c>
      <c r="O424" t="e">
        <f>_xlfn.XLOOKUP(TableauRecette[[#This Row],[ID]],TableauProduit[ID],TableauProduit[Total (kg) N4],0,0,1)*#REF!</f>
        <v>#REF!</v>
      </c>
      <c r="P424" t="e">
        <f>_xlfn.XLOOKUP(TableauRecette[[#This Row],[ID]],TableauProduit[ID],TableauProduit[Total (kg) N5],0,0,1)*#REF!</f>
        <v>#REF!</v>
      </c>
      <c r="Q424" t="e">
        <f>_xlfn.XLOOKUP(TableauRecette[[#This Row],[ID]],TableauProduit[ID],TableauProduit[Total (kg) N6],0,0,1)*#REF!</f>
        <v>#REF!</v>
      </c>
      <c r="R424" t="e">
        <f>_xlfn.XLOOKUP(TableauRecette[[#This Row],[ID]],TableauProduit[ID],TableauProduit[Total (kg) N7],0,0,1)*#REF!</f>
        <v>#REF!</v>
      </c>
      <c r="S424" t="e">
        <f>_xlfn.XLOOKUP(TableauRecette[[#This Row],[ID]],TableauProduit[ID],TableauProduit[Total (kg) N8],0,0,1)*#REF!</f>
        <v>#REF!</v>
      </c>
      <c r="T424" t="e">
        <f>_xlfn.XLOOKUP(TableauRecette[[#This Row],[ID]],TableauProduit[ID],TableauProduit[Total (kg) N9],0,0,1)*#REF!</f>
        <v>#REF!</v>
      </c>
    </row>
    <row r="425" spans="1:20" x14ac:dyDescent="0.2">
      <c r="A425" t="s">
        <v>121</v>
      </c>
      <c r="B425" t="str">
        <f>TableauRecette[[#This Row],[Recette]]&amp;TableauRecette[[#This Row],[Conditionnement]]</f>
        <v>Vindaloo masalaEpice 100ml</v>
      </c>
      <c r="C425" t="s">
        <v>342</v>
      </c>
      <c r="D425">
        <v>1</v>
      </c>
      <c r="E425" t="s">
        <v>73</v>
      </c>
      <c r="F425">
        <f>IFERROR(TableauRecette[[#This Row],[Proportion]]/SUMIFS(TableauRecette[Proportion],TableauRecette[Recette],TableauRecette[[#This Row],[Recette]],TableauRecette[Conditionnement],TableauRecette[[#This Row],[Conditionnement]]),0)</f>
        <v>5.128205128205128E-2</v>
      </c>
      <c r="G425">
        <f>IFERROR(_xlfn.XLOOKUP(TableauRecette[[#This Row],[Ingredients]],TableauIngredients[Ingredients],#REF!,0)*#REF!,0)</f>
        <v>0</v>
      </c>
      <c r="H425">
        <f>IFERROR(SUMIFS(TableauRecette[Proportion],TableauRecette[Recette],TableauRecette[[#This Row],[Recette]],TableauRecette[Conditionnement],TableauRecette[[#This Row],[Conditionnement]]),0)</f>
        <v>19.5</v>
      </c>
      <c r="I42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25">
        <f>_xlfn.XLOOKUP(TableauRecette[[#This Row],[ID]],TableauProduit[ID],TableauProduit[Total (kg) N1],0,0,1)*_xlfn.XLOOKUP(TableauRecette[[#This Row],[ID]],TableauProduit[ID],TableauProduit[Total (kg) N1],0,0,1)</f>
        <v>0</v>
      </c>
      <c r="M425" t="e">
        <f>_xlfn.XLOOKUP(TableauRecette[[#This Row],[ID]],TableauProduit[ID],TableauProduit[Total (kg) N1],0,0,1)*_xlfn.XLOOKUP(TableauRecette[[#This Row],[ID]],TableauProduit[ID],TableauProduit[Total (kg) N2],0,0,1)</f>
        <v>#REF!</v>
      </c>
      <c r="N425" t="e">
        <f>_xlfn.XLOOKUP(TableauRecette[[#This Row],[ID]],TableauProduit[ID],TableauProduit[Total (kg) N3],0,0,1)*#REF!</f>
        <v>#REF!</v>
      </c>
      <c r="O425" t="e">
        <f>_xlfn.XLOOKUP(TableauRecette[[#This Row],[ID]],TableauProduit[ID],TableauProduit[Total (kg) N4],0,0,1)*#REF!</f>
        <v>#REF!</v>
      </c>
      <c r="P425" t="e">
        <f>_xlfn.XLOOKUP(TableauRecette[[#This Row],[ID]],TableauProduit[ID],TableauProduit[Total (kg) N5],0,0,1)*#REF!</f>
        <v>#REF!</v>
      </c>
      <c r="Q425" t="e">
        <f>_xlfn.XLOOKUP(TableauRecette[[#This Row],[ID]],TableauProduit[ID],TableauProduit[Total (kg) N6],0,0,1)*#REF!</f>
        <v>#REF!</v>
      </c>
      <c r="R425" t="e">
        <f>_xlfn.XLOOKUP(TableauRecette[[#This Row],[ID]],TableauProduit[ID],TableauProduit[Total (kg) N7],0,0,1)*#REF!</f>
        <v>#REF!</v>
      </c>
      <c r="S425" t="e">
        <f>_xlfn.XLOOKUP(TableauRecette[[#This Row],[ID]],TableauProduit[ID],TableauProduit[Total (kg) N8],0,0,1)*#REF!</f>
        <v>#REF!</v>
      </c>
      <c r="T425" t="e">
        <f>_xlfn.XLOOKUP(TableauRecette[[#This Row],[ID]],TableauProduit[ID],TableauProduit[Total (kg) N9],0,0,1)*#REF!</f>
        <v>#REF!</v>
      </c>
    </row>
    <row r="426" spans="1:20" x14ac:dyDescent="0.2">
      <c r="A426" t="s">
        <v>121</v>
      </c>
      <c r="B426" t="str">
        <f>TableauRecette[[#This Row],[Recette]]&amp;TableauRecette[[#This Row],[Conditionnement]]</f>
        <v>Vindaloo masalaEpice 100ml</v>
      </c>
      <c r="C426" t="s">
        <v>391</v>
      </c>
      <c r="D426">
        <v>1</v>
      </c>
      <c r="E426" t="s">
        <v>73</v>
      </c>
      <c r="F426">
        <f>IFERROR(TableauRecette[[#This Row],[Proportion]]/SUMIFS(TableauRecette[Proportion],TableauRecette[Recette],TableauRecette[[#This Row],[Recette]],TableauRecette[Conditionnement],TableauRecette[[#This Row],[Conditionnement]]),0)</f>
        <v>5.128205128205128E-2</v>
      </c>
      <c r="G426">
        <f>IFERROR(_xlfn.XLOOKUP(TableauRecette[[#This Row],[Ingredients]],TableauIngredients[Ingredients],#REF!,0)*#REF!,0)</f>
        <v>0</v>
      </c>
      <c r="H426">
        <f>IFERROR(SUMIFS(TableauRecette[Proportion],TableauRecette[Recette],TableauRecette[[#This Row],[Recette]],TableauRecette[Conditionnement],TableauRecette[[#This Row],[Conditionnement]]),0)</f>
        <v>19.5</v>
      </c>
      <c r="I42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26">
        <f>_xlfn.XLOOKUP(TableauRecette[[#This Row],[ID]],TableauProduit[ID],TableauProduit[Total (kg) N1],0,0,1)*_xlfn.XLOOKUP(TableauRecette[[#This Row],[ID]],TableauProduit[ID],TableauProduit[Total (kg) N1],0,0,1)</f>
        <v>0</v>
      </c>
      <c r="M426" t="e">
        <f>_xlfn.XLOOKUP(TableauRecette[[#This Row],[ID]],TableauProduit[ID],TableauProduit[Total (kg) N1],0,0,1)*_xlfn.XLOOKUP(TableauRecette[[#This Row],[ID]],TableauProduit[ID],TableauProduit[Total (kg) N2],0,0,1)</f>
        <v>#REF!</v>
      </c>
      <c r="N426" t="e">
        <f>_xlfn.XLOOKUP(TableauRecette[[#This Row],[ID]],TableauProduit[ID],TableauProduit[Total (kg) N3],0,0,1)*#REF!</f>
        <v>#REF!</v>
      </c>
      <c r="O426" t="e">
        <f>_xlfn.XLOOKUP(TableauRecette[[#This Row],[ID]],TableauProduit[ID],TableauProduit[Total (kg) N4],0,0,1)*#REF!</f>
        <v>#REF!</v>
      </c>
      <c r="P426" t="e">
        <f>_xlfn.XLOOKUP(TableauRecette[[#This Row],[ID]],TableauProduit[ID],TableauProduit[Total (kg) N5],0,0,1)*#REF!</f>
        <v>#REF!</v>
      </c>
      <c r="Q426" t="e">
        <f>_xlfn.XLOOKUP(TableauRecette[[#This Row],[ID]],TableauProduit[ID],TableauProduit[Total (kg) N6],0,0,1)*#REF!</f>
        <v>#REF!</v>
      </c>
      <c r="R426" t="e">
        <f>_xlfn.XLOOKUP(TableauRecette[[#This Row],[ID]],TableauProduit[ID],TableauProduit[Total (kg) N7],0,0,1)*#REF!</f>
        <v>#REF!</v>
      </c>
      <c r="S426" t="e">
        <f>_xlfn.XLOOKUP(TableauRecette[[#This Row],[ID]],TableauProduit[ID],TableauProduit[Total (kg) N8],0,0,1)*#REF!</f>
        <v>#REF!</v>
      </c>
      <c r="T426" t="e">
        <f>_xlfn.XLOOKUP(TableauRecette[[#This Row],[ID]],TableauProduit[ID],TableauProduit[Total (kg) N9],0,0,1)*#REF!</f>
        <v>#REF!</v>
      </c>
    </row>
    <row r="427" spans="1:20" x14ac:dyDescent="0.2">
      <c r="A427" t="s">
        <v>121</v>
      </c>
      <c r="B427" t="str">
        <f>TableauRecette[[#This Row],[Recette]]&amp;TableauRecette[[#This Row],[Conditionnement]]</f>
        <v>Vindaloo masalaEpice 100ml</v>
      </c>
      <c r="C427" t="s">
        <v>368</v>
      </c>
      <c r="D427">
        <v>2</v>
      </c>
      <c r="E427" t="s">
        <v>73</v>
      </c>
      <c r="F427">
        <f>IFERROR(TableauRecette[[#This Row],[Proportion]]/SUMIFS(TableauRecette[Proportion],TableauRecette[Recette],TableauRecette[[#This Row],[Recette]],TableauRecette[Conditionnement],TableauRecette[[#This Row],[Conditionnement]]),0)</f>
        <v>0.10256410256410256</v>
      </c>
      <c r="G427">
        <f>IFERROR(_xlfn.XLOOKUP(TableauRecette[[#This Row],[Ingredients]],TableauIngredients[Ingredients],#REF!,0)*#REF!,0)</f>
        <v>0</v>
      </c>
      <c r="H427">
        <f>IFERROR(SUMIFS(TableauRecette[Proportion],TableauRecette[Recette],TableauRecette[[#This Row],[Recette]],TableauRecette[Conditionnement],TableauRecette[[#This Row],[Conditionnement]]),0)</f>
        <v>19.5</v>
      </c>
      <c r="I42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27">
        <f>_xlfn.XLOOKUP(TableauRecette[[#This Row],[ID]],TableauProduit[ID],TableauProduit[Total (kg) N1],0,0,1)*_xlfn.XLOOKUP(TableauRecette[[#This Row],[ID]],TableauProduit[ID],TableauProduit[Total (kg) N1],0,0,1)</f>
        <v>0</v>
      </c>
      <c r="M427" t="e">
        <f>_xlfn.XLOOKUP(TableauRecette[[#This Row],[ID]],TableauProduit[ID],TableauProduit[Total (kg) N1],0,0,1)*_xlfn.XLOOKUP(TableauRecette[[#This Row],[ID]],TableauProduit[ID],TableauProduit[Total (kg) N2],0,0,1)</f>
        <v>#REF!</v>
      </c>
      <c r="N427" t="e">
        <f>_xlfn.XLOOKUP(TableauRecette[[#This Row],[ID]],TableauProduit[ID],TableauProduit[Total (kg) N3],0,0,1)*#REF!</f>
        <v>#REF!</v>
      </c>
      <c r="O427" t="e">
        <f>_xlfn.XLOOKUP(TableauRecette[[#This Row],[ID]],TableauProduit[ID],TableauProduit[Total (kg) N4],0,0,1)*#REF!</f>
        <v>#REF!</v>
      </c>
      <c r="P427" t="e">
        <f>_xlfn.XLOOKUP(TableauRecette[[#This Row],[ID]],TableauProduit[ID],TableauProduit[Total (kg) N5],0,0,1)*#REF!</f>
        <v>#REF!</v>
      </c>
      <c r="Q427" t="e">
        <f>_xlfn.XLOOKUP(TableauRecette[[#This Row],[ID]],TableauProduit[ID],TableauProduit[Total (kg) N6],0,0,1)*#REF!</f>
        <v>#REF!</v>
      </c>
      <c r="R427" t="e">
        <f>_xlfn.XLOOKUP(TableauRecette[[#This Row],[ID]],TableauProduit[ID],TableauProduit[Total (kg) N7],0,0,1)*#REF!</f>
        <v>#REF!</v>
      </c>
      <c r="S427" t="e">
        <f>_xlfn.XLOOKUP(TableauRecette[[#This Row],[ID]],TableauProduit[ID],TableauProduit[Total (kg) N8],0,0,1)*#REF!</f>
        <v>#REF!</v>
      </c>
      <c r="T427" t="e">
        <f>_xlfn.XLOOKUP(TableauRecette[[#This Row],[ID]],TableauProduit[ID],TableauProduit[Total (kg) N9],0,0,1)*#REF!</f>
        <v>#REF!</v>
      </c>
    </row>
    <row r="428" spans="1:20" x14ac:dyDescent="0.2">
      <c r="A428" t="s">
        <v>121</v>
      </c>
      <c r="B428" t="str">
        <f>TableauRecette[[#This Row],[Recette]]&amp;TableauRecette[[#This Row],[Conditionnement]]</f>
        <v>Vindaloo masalaEpice 100ml</v>
      </c>
      <c r="C428" t="s">
        <v>477</v>
      </c>
      <c r="D428">
        <v>2</v>
      </c>
      <c r="E428" t="s">
        <v>73</v>
      </c>
      <c r="F428">
        <f>IFERROR(TableauRecette[[#This Row],[Proportion]]/SUMIFS(TableauRecette[Proportion],TableauRecette[Recette],TableauRecette[[#This Row],[Recette]],TableauRecette[Conditionnement],TableauRecette[[#This Row],[Conditionnement]]),0)</f>
        <v>0.10256410256410256</v>
      </c>
      <c r="G428">
        <f>IFERROR(_xlfn.XLOOKUP(TableauRecette[[#This Row],[Ingredients]],TableauIngredients[Ingredients],#REF!,0)*#REF!,0)</f>
        <v>0</v>
      </c>
      <c r="H428">
        <f>IFERROR(SUMIFS(TableauRecette[Proportion],TableauRecette[Recette],TableauRecette[[#This Row],[Recette]],TableauRecette[Conditionnement],TableauRecette[[#This Row],[Conditionnement]]),0)</f>
        <v>19.5</v>
      </c>
      <c r="I428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28">
        <f>_xlfn.XLOOKUP(TableauRecette[[#This Row],[ID]],TableauProduit[ID],TableauProduit[Total (kg) N1],0,0,1)*_xlfn.XLOOKUP(TableauRecette[[#This Row],[ID]],TableauProduit[ID],TableauProduit[Total (kg) N1],0,0,1)</f>
        <v>0</v>
      </c>
      <c r="M428" t="e">
        <f>_xlfn.XLOOKUP(TableauRecette[[#This Row],[ID]],TableauProduit[ID],TableauProduit[Total (kg) N1],0,0,1)*_xlfn.XLOOKUP(TableauRecette[[#This Row],[ID]],TableauProduit[ID],TableauProduit[Total (kg) N2],0,0,1)</f>
        <v>#REF!</v>
      </c>
      <c r="N428" t="e">
        <f>_xlfn.XLOOKUP(TableauRecette[[#This Row],[ID]],TableauProduit[ID],TableauProduit[Total (kg) N3],0,0,1)*#REF!</f>
        <v>#REF!</v>
      </c>
      <c r="O428" t="e">
        <f>_xlfn.XLOOKUP(TableauRecette[[#This Row],[ID]],TableauProduit[ID],TableauProduit[Total (kg) N4],0,0,1)*#REF!</f>
        <v>#REF!</v>
      </c>
      <c r="P428" t="e">
        <f>_xlfn.XLOOKUP(TableauRecette[[#This Row],[ID]],TableauProduit[ID],TableauProduit[Total (kg) N5],0,0,1)*#REF!</f>
        <v>#REF!</v>
      </c>
      <c r="Q428" t="e">
        <f>_xlfn.XLOOKUP(TableauRecette[[#This Row],[ID]],TableauProduit[ID],TableauProduit[Total (kg) N6],0,0,1)*#REF!</f>
        <v>#REF!</v>
      </c>
      <c r="R428" t="e">
        <f>_xlfn.XLOOKUP(TableauRecette[[#This Row],[ID]],TableauProduit[ID],TableauProduit[Total (kg) N7],0,0,1)*#REF!</f>
        <v>#REF!</v>
      </c>
      <c r="S428" t="e">
        <f>_xlfn.XLOOKUP(TableauRecette[[#This Row],[ID]],TableauProduit[ID],TableauProduit[Total (kg) N8],0,0,1)*#REF!</f>
        <v>#REF!</v>
      </c>
      <c r="T428" t="e">
        <f>_xlfn.XLOOKUP(TableauRecette[[#This Row],[ID]],TableauProduit[ID],TableauProduit[Total (kg) N9],0,0,1)*#REF!</f>
        <v>#REF!</v>
      </c>
    </row>
    <row r="429" spans="1:20" x14ac:dyDescent="0.2">
      <c r="A429" t="s">
        <v>95</v>
      </c>
      <c r="B429" t="str">
        <f>TableauRecette[[#This Row],[Recette]]&amp;TableauRecette[[#This Row],[Conditionnement]]</f>
        <v>ZaatarEpice 100ml</v>
      </c>
      <c r="C429" t="s">
        <v>352</v>
      </c>
      <c r="D429">
        <v>2</v>
      </c>
      <c r="E429" t="s">
        <v>73</v>
      </c>
      <c r="F429">
        <f>IFERROR(TableauRecette[[#This Row],[Proportion]]/SUMIFS(TableauRecette[Proportion],TableauRecette[Recette],TableauRecette[[#This Row],[Recette]],TableauRecette[Conditionnement],TableauRecette[[#This Row],[Conditionnement]]),0)</f>
        <v>0.22222222222222221</v>
      </c>
      <c r="G429">
        <f>IFERROR(_xlfn.XLOOKUP(TableauRecette[[#This Row],[Ingredients]],TableauIngredients[Ingredients],#REF!,0)*#REF!,0)</f>
        <v>0</v>
      </c>
      <c r="H429">
        <f>IFERROR(SUMIFS(TableauRecette[Proportion],TableauRecette[Recette],TableauRecette[[#This Row],[Recette]],TableauRecette[Conditionnement],TableauRecette[[#This Row],[Conditionnement]]),0)</f>
        <v>9</v>
      </c>
      <c r="I42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29">
        <f>_xlfn.XLOOKUP(TableauRecette[[#This Row],[ID]],TableauProduit[ID],TableauProduit[Total (kg) N1],0,0,1)*_xlfn.XLOOKUP(TableauRecette[[#This Row],[ID]],TableauProduit[ID],TableauProduit[Total (kg) N1],0,0,1)</f>
        <v>306.25</v>
      </c>
      <c r="M429" t="e">
        <f>_xlfn.XLOOKUP(TableauRecette[[#This Row],[ID]],TableauProduit[ID],TableauProduit[Total (kg) N1],0,0,1)*_xlfn.XLOOKUP(TableauRecette[[#This Row],[ID]],TableauProduit[ID],TableauProduit[Total (kg) N2],0,0,1)</f>
        <v>#REF!</v>
      </c>
      <c r="N429" t="e">
        <f>_xlfn.XLOOKUP(TableauRecette[[#This Row],[ID]],TableauProduit[ID],TableauProduit[Total (kg) N3],0,0,1)*#REF!</f>
        <v>#REF!</v>
      </c>
      <c r="O429" t="e">
        <f>_xlfn.XLOOKUP(TableauRecette[[#This Row],[ID]],TableauProduit[ID],TableauProduit[Total (kg) N4],0,0,1)*#REF!</f>
        <v>#REF!</v>
      </c>
      <c r="P429" t="e">
        <f>_xlfn.XLOOKUP(TableauRecette[[#This Row],[ID]],TableauProduit[ID],TableauProduit[Total (kg) N5],0,0,1)*#REF!</f>
        <v>#REF!</v>
      </c>
      <c r="Q429" t="e">
        <f>_xlfn.XLOOKUP(TableauRecette[[#This Row],[ID]],TableauProduit[ID],TableauProduit[Total (kg) N6],0,0,1)*#REF!</f>
        <v>#REF!</v>
      </c>
      <c r="R429" t="e">
        <f>_xlfn.XLOOKUP(TableauRecette[[#This Row],[ID]],TableauProduit[ID],TableauProduit[Total (kg) N7],0,0,1)*#REF!</f>
        <v>#REF!</v>
      </c>
      <c r="S429" t="e">
        <f>_xlfn.XLOOKUP(TableauRecette[[#This Row],[ID]],TableauProduit[ID],TableauProduit[Total (kg) N8],0,0,1)*#REF!</f>
        <v>#REF!</v>
      </c>
      <c r="T429" t="e">
        <f>_xlfn.XLOOKUP(TableauRecette[[#This Row],[ID]],TableauProduit[ID],TableauProduit[Total (kg) N9],0,0,1)*#REF!</f>
        <v>#REF!</v>
      </c>
    </row>
    <row r="430" spans="1:20" x14ac:dyDescent="0.2">
      <c r="A430" t="s">
        <v>95</v>
      </c>
      <c r="B430" t="str">
        <f>TableauRecette[[#This Row],[Recette]]&amp;TableauRecette[[#This Row],[Conditionnement]]</f>
        <v>ZaatarEpice 100ml</v>
      </c>
      <c r="C430" t="s">
        <v>364</v>
      </c>
      <c r="D430">
        <v>1</v>
      </c>
      <c r="E430" t="s">
        <v>73</v>
      </c>
      <c r="F430">
        <f>IFERROR(TableauRecette[[#This Row],[Proportion]]/SUMIFS(TableauRecette[Proportion],TableauRecette[Recette],TableauRecette[[#This Row],[Recette]],TableauRecette[Conditionnement],TableauRecette[[#This Row],[Conditionnement]]),0)</f>
        <v>0.1111111111111111</v>
      </c>
      <c r="G430">
        <f>IFERROR(_xlfn.XLOOKUP(TableauRecette[[#This Row],[Ingredients]],TableauIngredients[Ingredients],#REF!,0)*#REF!,0)</f>
        <v>0</v>
      </c>
      <c r="H430">
        <f>IFERROR(SUMIFS(TableauRecette[Proportion],TableauRecette[Recette],TableauRecette[[#This Row],[Recette]],TableauRecette[Conditionnement],TableauRecette[[#This Row],[Conditionnement]]),0)</f>
        <v>9</v>
      </c>
      <c r="I430">
        <f>_xlfn.XLOOKUP(TableauRecette[[#This Row],[Ingredients]],TableauIngredients[Ingredients],TableauIngredients[Prix d''achat (kg)],0,0,1)*TableauRecette[[#This Row],[Proportion]]/TableauRecette[[#This Row],[Total Proportion]]</f>
        <v>0.15555555555555556</v>
      </c>
      <c r="L430">
        <f>_xlfn.XLOOKUP(TableauRecette[[#This Row],[ID]],TableauProduit[ID],TableauProduit[Total (kg) N1],0,0,1)*_xlfn.XLOOKUP(TableauRecette[[#This Row],[ID]],TableauProduit[ID],TableauProduit[Total (kg) N1],0,0,1)</f>
        <v>306.25</v>
      </c>
      <c r="M430" t="e">
        <f>_xlfn.XLOOKUP(TableauRecette[[#This Row],[ID]],TableauProduit[ID],TableauProduit[Total (kg) N1],0,0,1)*_xlfn.XLOOKUP(TableauRecette[[#This Row],[ID]],TableauProduit[ID],TableauProduit[Total (kg) N2],0,0,1)</f>
        <v>#REF!</v>
      </c>
      <c r="N430" t="e">
        <f>_xlfn.XLOOKUP(TableauRecette[[#This Row],[ID]],TableauProduit[ID],TableauProduit[Total (kg) N3],0,0,1)*#REF!</f>
        <v>#REF!</v>
      </c>
      <c r="O430" t="e">
        <f>_xlfn.XLOOKUP(TableauRecette[[#This Row],[ID]],TableauProduit[ID],TableauProduit[Total (kg) N4],0,0,1)*#REF!</f>
        <v>#REF!</v>
      </c>
      <c r="P430" t="e">
        <f>_xlfn.XLOOKUP(TableauRecette[[#This Row],[ID]],TableauProduit[ID],TableauProduit[Total (kg) N5],0,0,1)*#REF!</f>
        <v>#REF!</v>
      </c>
      <c r="Q430" t="e">
        <f>_xlfn.XLOOKUP(TableauRecette[[#This Row],[ID]],TableauProduit[ID],TableauProduit[Total (kg) N6],0,0,1)*#REF!</f>
        <v>#REF!</v>
      </c>
      <c r="R430" t="e">
        <f>_xlfn.XLOOKUP(TableauRecette[[#This Row],[ID]],TableauProduit[ID],TableauProduit[Total (kg) N7],0,0,1)*#REF!</f>
        <v>#REF!</v>
      </c>
      <c r="S430" t="e">
        <f>_xlfn.XLOOKUP(TableauRecette[[#This Row],[ID]],TableauProduit[ID],TableauProduit[Total (kg) N8],0,0,1)*#REF!</f>
        <v>#REF!</v>
      </c>
      <c r="T430" t="e">
        <f>_xlfn.XLOOKUP(TableauRecette[[#This Row],[ID]],TableauProduit[ID],TableauProduit[Total (kg) N9],0,0,1)*#REF!</f>
        <v>#REF!</v>
      </c>
    </row>
    <row r="431" spans="1:20" x14ac:dyDescent="0.2">
      <c r="A431" t="s">
        <v>95</v>
      </c>
      <c r="B431" t="str">
        <f>TableauRecette[[#This Row],[Recette]]&amp;TableauRecette[[#This Row],[Conditionnement]]</f>
        <v>ZaatarEpice 100ml</v>
      </c>
      <c r="C431" t="s">
        <v>407</v>
      </c>
      <c r="D431">
        <v>2</v>
      </c>
      <c r="E431" t="s">
        <v>73</v>
      </c>
      <c r="F431">
        <f>IFERROR(TableauRecette[[#This Row],[Proportion]]/SUMIFS(TableauRecette[Proportion],TableauRecette[Recette],TableauRecette[[#This Row],[Recette]],TableauRecette[Conditionnement],TableauRecette[[#This Row],[Conditionnement]]),0)</f>
        <v>0.22222222222222221</v>
      </c>
      <c r="G431">
        <f>IFERROR(_xlfn.XLOOKUP(TableauRecette[[#This Row],[Ingredients]],TableauIngredients[Ingredients],#REF!,0)*#REF!,0)</f>
        <v>0</v>
      </c>
      <c r="H431">
        <f>IFERROR(SUMIFS(TableauRecette[Proportion],TableauRecette[Recette],TableauRecette[[#This Row],[Recette]],TableauRecette[Conditionnement],TableauRecette[[#This Row],[Conditionnement]]),0)</f>
        <v>9</v>
      </c>
      <c r="I43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31">
        <f>_xlfn.XLOOKUP(TableauRecette[[#This Row],[ID]],TableauProduit[ID],TableauProduit[Total (kg) N1],0,0,1)*_xlfn.XLOOKUP(TableauRecette[[#This Row],[ID]],TableauProduit[ID],TableauProduit[Total (kg) N1],0,0,1)</f>
        <v>306.25</v>
      </c>
      <c r="M431" t="e">
        <f>_xlfn.XLOOKUP(TableauRecette[[#This Row],[ID]],TableauProduit[ID],TableauProduit[Total (kg) N1],0,0,1)*_xlfn.XLOOKUP(TableauRecette[[#This Row],[ID]],TableauProduit[ID],TableauProduit[Total (kg) N2],0,0,1)</f>
        <v>#REF!</v>
      </c>
      <c r="N431" t="e">
        <f>_xlfn.XLOOKUP(TableauRecette[[#This Row],[ID]],TableauProduit[ID],TableauProduit[Total (kg) N3],0,0,1)*#REF!</f>
        <v>#REF!</v>
      </c>
      <c r="O431" t="e">
        <f>_xlfn.XLOOKUP(TableauRecette[[#This Row],[ID]],TableauProduit[ID],TableauProduit[Total (kg) N4],0,0,1)*#REF!</f>
        <v>#REF!</v>
      </c>
      <c r="P431" t="e">
        <f>_xlfn.XLOOKUP(TableauRecette[[#This Row],[ID]],TableauProduit[ID],TableauProduit[Total (kg) N5],0,0,1)*#REF!</f>
        <v>#REF!</v>
      </c>
      <c r="Q431" t="e">
        <f>_xlfn.XLOOKUP(TableauRecette[[#This Row],[ID]],TableauProduit[ID],TableauProduit[Total (kg) N6],0,0,1)*#REF!</f>
        <v>#REF!</v>
      </c>
      <c r="R431" t="e">
        <f>_xlfn.XLOOKUP(TableauRecette[[#This Row],[ID]],TableauProduit[ID],TableauProduit[Total (kg) N7],0,0,1)*#REF!</f>
        <v>#REF!</v>
      </c>
      <c r="S431" t="e">
        <f>_xlfn.XLOOKUP(TableauRecette[[#This Row],[ID]],TableauProduit[ID],TableauProduit[Total (kg) N8],0,0,1)*#REF!</f>
        <v>#REF!</v>
      </c>
      <c r="T431" t="e">
        <f>_xlfn.XLOOKUP(TableauRecette[[#This Row],[ID]],TableauProduit[ID],TableauProduit[Total (kg) N9],0,0,1)*#REF!</f>
        <v>#REF!</v>
      </c>
    </row>
    <row r="432" spans="1:20" x14ac:dyDescent="0.2">
      <c r="A432" t="s">
        <v>95</v>
      </c>
      <c r="B432" t="str">
        <f>TableauRecette[[#This Row],[Recette]]&amp;TableauRecette[[#This Row],[Conditionnement]]</f>
        <v>ZaatarEpice 100ml</v>
      </c>
      <c r="C432" t="s">
        <v>392</v>
      </c>
      <c r="D432">
        <v>2</v>
      </c>
      <c r="E432" t="s">
        <v>73</v>
      </c>
      <c r="F432">
        <f>IFERROR(TableauRecette[[#This Row],[Proportion]]/SUMIFS(TableauRecette[Proportion],TableauRecette[Recette],TableauRecette[[#This Row],[Recette]],TableauRecette[Conditionnement],TableauRecette[[#This Row],[Conditionnement]]),0)</f>
        <v>0.22222222222222221</v>
      </c>
      <c r="G432">
        <f>IFERROR(_xlfn.XLOOKUP(TableauRecette[[#This Row],[Ingredients]],TableauIngredients[Ingredients],#REF!,0)*#REF!,0)</f>
        <v>0</v>
      </c>
      <c r="H432">
        <f>IFERROR(SUMIFS(TableauRecette[Proportion],TableauRecette[Recette],TableauRecette[[#This Row],[Recette]],TableauRecette[Conditionnement],TableauRecette[[#This Row],[Conditionnement]]),0)</f>
        <v>9</v>
      </c>
      <c r="I43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32">
        <f>_xlfn.XLOOKUP(TableauRecette[[#This Row],[ID]],TableauProduit[ID],TableauProduit[Total (kg) N1],0,0,1)*_xlfn.XLOOKUP(TableauRecette[[#This Row],[ID]],TableauProduit[ID],TableauProduit[Total (kg) N1],0,0,1)</f>
        <v>306.25</v>
      </c>
      <c r="M432" t="e">
        <f>_xlfn.XLOOKUP(TableauRecette[[#This Row],[ID]],TableauProduit[ID],TableauProduit[Total (kg) N1],0,0,1)*_xlfn.XLOOKUP(TableauRecette[[#This Row],[ID]],TableauProduit[ID],TableauProduit[Total (kg) N2],0,0,1)</f>
        <v>#REF!</v>
      </c>
      <c r="N432" t="e">
        <f>_xlfn.XLOOKUP(TableauRecette[[#This Row],[ID]],TableauProduit[ID],TableauProduit[Total (kg) N3],0,0,1)*#REF!</f>
        <v>#REF!</v>
      </c>
      <c r="O432" t="e">
        <f>_xlfn.XLOOKUP(TableauRecette[[#This Row],[ID]],TableauProduit[ID],TableauProduit[Total (kg) N4],0,0,1)*#REF!</f>
        <v>#REF!</v>
      </c>
      <c r="P432" t="e">
        <f>_xlfn.XLOOKUP(TableauRecette[[#This Row],[ID]],TableauProduit[ID],TableauProduit[Total (kg) N5],0,0,1)*#REF!</f>
        <v>#REF!</v>
      </c>
      <c r="Q432" t="e">
        <f>_xlfn.XLOOKUP(TableauRecette[[#This Row],[ID]],TableauProduit[ID],TableauProduit[Total (kg) N6],0,0,1)*#REF!</f>
        <v>#REF!</v>
      </c>
      <c r="R432" t="e">
        <f>_xlfn.XLOOKUP(TableauRecette[[#This Row],[ID]],TableauProduit[ID],TableauProduit[Total (kg) N7],0,0,1)*#REF!</f>
        <v>#REF!</v>
      </c>
      <c r="S432" t="e">
        <f>_xlfn.XLOOKUP(TableauRecette[[#This Row],[ID]],TableauProduit[ID],TableauProduit[Total (kg) N8],0,0,1)*#REF!</f>
        <v>#REF!</v>
      </c>
      <c r="T432" t="e">
        <f>_xlfn.XLOOKUP(TableauRecette[[#This Row],[ID]],TableauProduit[ID],TableauProduit[Total (kg) N9],0,0,1)*#REF!</f>
        <v>#REF!</v>
      </c>
    </row>
    <row r="433" spans="1:20" x14ac:dyDescent="0.2">
      <c r="A433" t="s">
        <v>95</v>
      </c>
      <c r="B433" t="str">
        <f>TableauRecette[[#This Row],[Recette]]&amp;TableauRecette[[#This Row],[Conditionnement]]</f>
        <v>ZaatarEpice 100ml</v>
      </c>
      <c r="C433" t="s">
        <v>438</v>
      </c>
      <c r="D433">
        <v>2</v>
      </c>
      <c r="E433" t="s">
        <v>73</v>
      </c>
      <c r="F433">
        <f>IFERROR(TableauRecette[[#This Row],[Proportion]]/SUMIFS(TableauRecette[Proportion],TableauRecette[Recette],TableauRecette[[#This Row],[Recette]],TableauRecette[Conditionnement],TableauRecette[[#This Row],[Conditionnement]]),0)</f>
        <v>0.22222222222222221</v>
      </c>
      <c r="G433">
        <f>IFERROR(_xlfn.XLOOKUP(TableauRecette[[#This Row],[Ingredients]],TableauIngredients[Ingredients],#REF!,0)*#REF!,0)</f>
        <v>0</v>
      </c>
      <c r="H433">
        <f>IFERROR(SUMIFS(TableauRecette[Proportion],TableauRecette[Recette],TableauRecette[[#This Row],[Recette]],TableauRecette[Conditionnement],TableauRecette[[#This Row],[Conditionnement]]),0)</f>
        <v>9</v>
      </c>
      <c r="I433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33">
        <f>_xlfn.XLOOKUP(TableauRecette[[#This Row],[ID]],TableauProduit[ID],TableauProduit[Total (kg) N1],0,0,1)*_xlfn.XLOOKUP(TableauRecette[[#This Row],[ID]],TableauProduit[ID],TableauProduit[Total (kg) N1],0,0,1)</f>
        <v>306.25</v>
      </c>
      <c r="M433" t="e">
        <f>_xlfn.XLOOKUP(TableauRecette[[#This Row],[ID]],TableauProduit[ID],TableauProduit[Total (kg) N1],0,0,1)*_xlfn.XLOOKUP(TableauRecette[[#This Row],[ID]],TableauProduit[ID],TableauProduit[Total (kg) N2],0,0,1)</f>
        <v>#REF!</v>
      </c>
      <c r="N433" t="e">
        <f>_xlfn.XLOOKUP(TableauRecette[[#This Row],[ID]],TableauProduit[ID],TableauProduit[Total (kg) N3],0,0,1)*#REF!</f>
        <v>#REF!</v>
      </c>
      <c r="O433" t="e">
        <f>_xlfn.XLOOKUP(TableauRecette[[#This Row],[ID]],TableauProduit[ID],TableauProduit[Total (kg) N4],0,0,1)*#REF!</f>
        <v>#REF!</v>
      </c>
      <c r="P433" t="e">
        <f>_xlfn.XLOOKUP(TableauRecette[[#This Row],[ID]],TableauProduit[ID],TableauProduit[Total (kg) N5],0,0,1)*#REF!</f>
        <v>#REF!</v>
      </c>
      <c r="Q433" t="e">
        <f>_xlfn.XLOOKUP(TableauRecette[[#This Row],[ID]],TableauProduit[ID],TableauProduit[Total (kg) N6],0,0,1)*#REF!</f>
        <v>#REF!</v>
      </c>
      <c r="R433" t="e">
        <f>_xlfn.XLOOKUP(TableauRecette[[#This Row],[ID]],TableauProduit[ID],TableauProduit[Total (kg) N7],0,0,1)*#REF!</f>
        <v>#REF!</v>
      </c>
      <c r="S433" t="e">
        <f>_xlfn.XLOOKUP(TableauRecette[[#This Row],[ID]],TableauProduit[ID],TableauProduit[Total (kg) N8],0,0,1)*#REF!</f>
        <v>#REF!</v>
      </c>
      <c r="T433" t="e">
        <f>_xlfn.XLOOKUP(TableauRecette[[#This Row],[ID]],TableauProduit[ID],TableauProduit[Total (kg) N9],0,0,1)*#REF!</f>
        <v>#REF!</v>
      </c>
    </row>
    <row r="434" spans="1:20" x14ac:dyDescent="0.2">
      <c r="A434" t="s">
        <v>115</v>
      </c>
      <c r="B434" t="str">
        <f>TableauRecette[[#This Row],[Recette]]&amp;TableauRecette[[#This Row],[Conditionnement]]</f>
        <v>ZhugEpice 100ml</v>
      </c>
      <c r="C434" t="s">
        <v>408</v>
      </c>
      <c r="D434">
        <v>12</v>
      </c>
      <c r="E434" t="s">
        <v>73</v>
      </c>
      <c r="F434">
        <f>IFERROR(TableauRecette[[#This Row],[Proportion]]/SUMIFS(TableauRecette[Proportion],TableauRecette[Recette],TableauRecette[[#This Row],[Recette]],TableauRecette[Conditionnement],TableauRecette[[#This Row],[Conditionnement]]),0)</f>
        <v>5.7553956834532377E-2</v>
      </c>
      <c r="G434">
        <f>IFERROR(_xlfn.XLOOKUP(TableauRecette[[#This Row],[Ingredients]],TableauIngredients[Ingredients],#REF!,0)*#REF!,0)</f>
        <v>0</v>
      </c>
      <c r="H434">
        <f>IFERROR(SUMIFS(TableauRecette[Proportion],TableauRecette[Recette],TableauRecette[[#This Row],[Recette]],TableauRecette[Conditionnement],TableauRecette[[#This Row],[Conditionnement]]),0)</f>
        <v>208.5</v>
      </c>
      <c r="I434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34">
        <f>_xlfn.XLOOKUP(TableauRecette[[#This Row],[ID]],TableauProduit[ID],TableauProduit[Total (kg) N1],0,0,1)*_xlfn.XLOOKUP(TableauRecette[[#This Row],[ID]],TableauProduit[ID],TableauProduit[Total (kg) N1],0,0,1)</f>
        <v>0</v>
      </c>
      <c r="M434" t="e">
        <f>_xlfn.XLOOKUP(TableauRecette[[#This Row],[ID]],TableauProduit[ID],TableauProduit[Total (kg) N1],0,0,1)*_xlfn.XLOOKUP(TableauRecette[[#This Row],[ID]],TableauProduit[ID],TableauProduit[Total (kg) N2],0,0,1)</f>
        <v>#REF!</v>
      </c>
      <c r="N434" t="e">
        <f>_xlfn.XLOOKUP(TableauRecette[[#This Row],[ID]],TableauProduit[ID],TableauProduit[Total (kg) N3],0,0,1)*#REF!</f>
        <v>#REF!</v>
      </c>
      <c r="O434" t="e">
        <f>_xlfn.XLOOKUP(TableauRecette[[#This Row],[ID]],TableauProduit[ID],TableauProduit[Total (kg) N4],0,0,1)*#REF!</f>
        <v>#REF!</v>
      </c>
      <c r="P434" t="e">
        <f>_xlfn.XLOOKUP(TableauRecette[[#This Row],[ID]],TableauProduit[ID],TableauProduit[Total (kg) N5],0,0,1)*#REF!</f>
        <v>#REF!</v>
      </c>
      <c r="Q434" t="e">
        <f>_xlfn.XLOOKUP(TableauRecette[[#This Row],[ID]],TableauProduit[ID],TableauProduit[Total (kg) N6],0,0,1)*#REF!</f>
        <v>#REF!</v>
      </c>
      <c r="R434" t="e">
        <f>_xlfn.XLOOKUP(TableauRecette[[#This Row],[ID]],TableauProduit[ID],TableauProduit[Total (kg) N7],0,0,1)*#REF!</f>
        <v>#REF!</v>
      </c>
      <c r="S434" t="e">
        <f>_xlfn.XLOOKUP(TableauRecette[[#This Row],[ID]],TableauProduit[ID],TableauProduit[Total (kg) N8],0,0,1)*#REF!</f>
        <v>#REF!</v>
      </c>
      <c r="T434" t="e">
        <f>_xlfn.XLOOKUP(TableauRecette[[#This Row],[ID]],TableauProduit[ID],TableauProduit[Total (kg) N9],0,0,1)*#REF!</f>
        <v>#REF!</v>
      </c>
    </row>
    <row r="435" spans="1:20" x14ac:dyDescent="0.2">
      <c r="A435" t="s">
        <v>115</v>
      </c>
      <c r="B435" t="str">
        <f>TableauRecette[[#This Row],[Recette]]&amp;TableauRecette[[#This Row],[Conditionnement]]</f>
        <v>ZhugEpice 100ml</v>
      </c>
      <c r="C435" t="s">
        <v>342</v>
      </c>
      <c r="D435">
        <v>2.1</v>
      </c>
      <c r="E435" t="s">
        <v>73</v>
      </c>
      <c r="F435">
        <f>IFERROR(TableauRecette[[#This Row],[Proportion]]/SUMIFS(TableauRecette[Proportion],TableauRecette[Recette],TableauRecette[[#This Row],[Recette]],TableauRecette[Conditionnement],TableauRecette[[#This Row],[Conditionnement]]),0)</f>
        <v>1.0071942446043166E-2</v>
      </c>
      <c r="G435">
        <f>IFERROR(_xlfn.XLOOKUP(TableauRecette[[#This Row],[Ingredients]],TableauIngredients[Ingredients],#REF!,0)*#REF!,0)</f>
        <v>0</v>
      </c>
      <c r="H435">
        <f>IFERROR(SUMIFS(TableauRecette[Proportion],TableauRecette[Recette],TableauRecette[[#This Row],[Recette]],TableauRecette[Conditionnement],TableauRecette[[#This Row],[Conditionnement]]),0)</f>
        <v>208.5</v>
      </c>
      <c r="I43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35">
        <f>_xlfn.XLOOKUP(TableauRecette[[#This Row],[ID]],TableauProduit[ID],TableauProduit[Total (kg) N1],0,0,1)*_xlfn.XLOOKUP(TableauRecette[[#This Row],[ID]],TableauProduit[ID],TableauProduit[Total (kg) N1],0,0,1)</f>
        <v>0</v>
      </c>
      <c r="M435" t="e">
        <f>_xlfn.XLOOKUP(TableauRecette[[#This Row],[ID]],TableauProduit[ID],TableauProduit[Total (kg) N1],0,0,1)*_xlfn.XLOOKUP(TableauRecette[[#This Row],[ID]],TableauProduit[ID],TableauProduit[Total (kg) N2],0,0,1)</f>
        <v>#REF!</v>
      </c>
      <c r="N435" t="e">
        <f>_xlfn.XLOOKUP(TableauRecette[[#This Row],[ID]],TableauProduit[ID],TableauProduit[Total (kg) N3],0,0,1)*#REF!</f>
        <v>#REF!</v>
      </c>
      <c r="O435" t="e">
        <f>_xlfn.XLOOKUP(TableauRecette[[#This Row],[ID]],TableauProduit[ID],TableauProduit[Total (kg) N4],0,0,1)*#REF!</f>
        <v>#REF!</v>
      </c>
      <c r="P435" t="e">
        <f>_xlfn.XLOOKUP(TableauRecette[[#This Row],[ID]],TableauProduit[ID],TableauProduit[Total (kg) N5],0,0,1)*#REF!</f>
        <v>#REF!</v>
      </c>
      <c r="Q435" t="e">
        <f>_xlfn.XLOOKUP(TableauRecette[[#This Row],[ID]],TableauProduit[ID],TableauProduit[Total (kg) N6],0,0,1)*#REF!</f>
        <v>#REF!</v>
      </c>
      <c r="R435" t="e">
        <f>_xlfn.XLOOKUP(TableauRecette[[#This Row],[ID]],TableauProduit[ID],TableauProduit[Total (kg) N7],0,0,1)*#REF!</f>
        <v>#REF!</v>
      </c>
      <c r="S435" t="e">
        <f>_xlfn.XLOOKUP(TableauRecette[[#This Row],[ID]],TableauProduit[ID],TableauProduit[Total (kg) N8],0,0,1)*#REF!</f>
        <v>#REF!</v>
      </c>
      <c r="T435" t="e">
        <f>_xlfn.XLOOKUP(TableauRecette[[#This Row],[ID]],TableauProduit[ID],TableauProduit[Total (kg) N9],0,0,1)*#REF!</f>
        <v>#REF!</v>
      </c>
    </row>
    <row r="436" spans="1:20" x14ac:dyDescent="0.2">
      <c r="A436" t="s">
        <v>115</v>
      </c>
      <c r="B436" t="str">
        <f>TableauRecette[[#This Row],[Recette]]&amp;TableauRecette[[#This Row],[Conditionnement]]</f>
        <v>ZhugEpice 100ml</v>
      </c>
      <c r="C436" t="s">
        <v>351</v>
      </c>
      <c r="D436">
        <v>2.4</v>
      </c>
      <c r="E436" t="s">
        <v>73</v>
      </c>
      <c r="F436">
        <f>IFERROR(TableauRecette[[#This Row],[Proportion]]/SUMIFS(TableauRecette[Proportion],TableauRecette[Recette],TableauRecette[[#This Row],[Recette]],TableauRecette[Conditionnement],TableauRecette[[#This Row],[Conditionnement]]),0)</f>
        <v>1.1510791366906475E-2</v>
      </c>
      <c r="G436">
        <f>IFERROR(_xlfn.XLOOKUP(TableauRecette[[#This Row],[Ingredients]],TableauIngredients[Ingredients],#REF!,0)*#REF!,0)</f>
        <v>0</v>
      </c>
      <c r="H436">
        <f>IFERROR(SUMIFS(TableauRecette[Proportion],TableauRecette[Recette],TableauRecette[[#This Row],[Recette]],TableauRecette[Conditionnement],TableauRecette[[#This Row],[Conditionnement]]),0)</f>
        <v>208.5</v>
      </c>
      <c r="I43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36">
        <f>_xlfn.XLOOKUP(TableauRecette[[#This Row],[ID]],TableauProduit[ID],TableauProduit[Total (kg) N1],0,0,1)*_xlfn.XLOOKUP(TableauRecette[[#This Row],[ID]],TableauProduit[ID],TableauProduit[Total (kg) N1],0,0,1)</f>
        <v>0</v>
      </c>
      <c r="M436" t="e">
        <f>_xlfn.XLOOKUP(TableauRecette[[#This Row],[ID]],TableauProduit[ID],TableauProduit[Total (kg) N1],0,0,1)*_xlfn.XLOOKUP(TableauRecette[[#This Row],[ID]],TableauProduit[ID],TableauProduit[Total (kg) N2],0,0,1)</f>
        <v>#REF!</v>
      </c>
      <c r="N436" t="e">
        <f>_xlfn.XLOOKUP(TableauRecette[[#This Row],[ID]],TableauProduit[ID],TableauProduit[Total (kg) N3],0,0,1)*#REF!</f>
        <v>#REF!</v>
      </c>
      <c r="O436" t="e">
        <f>_xlfn.XLOOKUP(TableauRecette[[#This Row],[ID]],TableauProduit[ID],TableauProduit[Total (kg) N4],0,0,1)*#REF!</f>
        <v>#REF!</v>
      </c>
      <c r="P436" t="e">
        <f>_xlfn.XLOOKUP(TableauRecette[[#This Row],[ID]],TableauProduit[ID],TableauProduit[Total (kg) N5],0,0,1)*#REF!</f>
        <v>#REF!</v>
      </c>
      <c r="Q436" t="e">
        <f>_xlfn.XLOOKUP(TableauRecette[[#This Row],[ID]],TableauProduit[ID],TableauProduit[Total (kg) N6],0,0,1)*#REF!</f>
        <v>#REF!</v>
      </c>
      <c r="R436" t="e">
        <f>_xlfn.XLOOKUP(TableauRecette[[#This Row],[ID]],TableauProduit[ID],TableauProduit[Total (kg) N7],0,0,1)*#REF!</f>
        <v>#REF!</v>
      </c>
      <c r="S436" t="e">
        <f>_xlfn.XLOOKUP(TableauRecette[[#This Row],[ID]],TableauProduit[ID],TableauProduit[Total (kg) N8],0,0,1)*#REF!</f>
        <v>#REF!</v>
      </c>
      <c r="T436" t="e">
        <f>_xlfn.XLOOKUP(TableauRecette[[#This Row],[ID]],TableauProduit[ID],TableauProduit[Total (kg) N9],0,0,1)*#REF!</f>
        <v>#REF!</v>
      </c>
    </row>
    <row r="437" spans="1:20" x14ac:dyDescent="0.2">
      <c r="A437" t="s">
        <v>115</v>
      </c>
      <c r="B437" t="str">
        <f>TableauRecette[[#This Row],[Recette]]&amp;TableauRecette[[#This Row],[Conditionnement]]</f>
        <v>ZhugEpice 100ml</v>
      </c>
      <c r="C437" t="s">
        <v>352</v>
      </c>
      <c r="D437">
        <v>1</v>
      </c>
      <c r="E437" t="s">
        <v>73</v>
      </c>
      <c r="F437">
        <f>IFERROR(TableauRecette[[#This Row],[Proportion]]/SUMIFS(TableauRecette[Proportion],TableauRecette[Recette],TableauRecette[[#This Row],[Recette]],TableauRecette[Conditionnement],TableauRecette[[#This Row],[Conditionnement]]),0)</f>
        <v>4.7961630695443642E-3</v>
      </c>
      <c r="G437">
        <f>IFERROR(_xlfn.XLOOKUP(TableauRecette[[#This Row],[Ingredients]],TableauIngredients[Ingredients],#REF!,0)*#REF!,0)</f>
        <v>0</v>
      </c>
      <c r="H437">
        <f>IFERROR(SUMIFS(TableauRecette[Proportion],TableauRecette[Recette],TableauRecette[[#This Row],[Recette]],TableauRecette[Conditionnement],TableauRecette[[#This Row],[Conditionnement]]),0)</f>
        <v>208.5</v>
      </c>
      <c r="I43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37">
        <f>_xlfn.XLOOKUP(TableauRecette[[#This Row],[ID]],TableauProduit[ID],TableauProduit[Total (kg) N1],0,0,1)*_xlfn.XLOOKUP(TableauRecette[[#This Row],[ID]],TableauProduit[ID],TableauProduit[Total (kg) N1],0,0,1)</f>
        <v>0</v>
      </c>
      <c r="M437" t="e">
        <f>_xlfn.XLOOKUP(TableauRecette[[#This Row],[ID]],TableauProduit[ID],TableauProduit[Total (kg) N1],0,0,1)*_xlfn.XLOOKUP(TableauRecette[[#This Row],[ID]],TableauProduit[ID],TableauProduit[Total (kg) N2],0,0,1)</f>
        <v>#REF!</v>
      </c>
      <c r="N437" t="e">
        <f>_xlfn.XLOOKUP(TableauRecette[[#This Row],[ID]],TableauProduit[ID],TableauProduit[Total (kg) N3],0,0,1)*#REF!</f>
        <v>#REF!</v>
      </c>
      <c r="O437" t="e">
        <f>_xlfn.XLOOKUP(TableauRecette[[#This Row],[ID]],TableauProduit[ID],TableauProduit[Total (kg) N4],0,0,1)*#REF!</f>
        <v>#REF!</v>
      </c>
      <c r="P437" t="e">
        <f>_xlfn.XLOOKUP(TableauRecette[[#This Row],[ID]],TableauProduit[ID],TableauProduit[Total (kg) N5],0,0,1)*#REF!</f>
        <v>#REF!</v>
      </c>
      <c r="Q437" t="e">
        <f>_xlfn.XLOOKUP(TableauRecette[[#This Row],[ID]],TableauProduit[ID],TableauProduit[Total (kg) N6],0,0,1)*#REF!</f>
        <v>#REF!</v>
      </c>
      <c r="R437" t="e">
        <f>_xlfn.XLOOKUP(TableauRecette[[#This Row],[ID]],TableauProduit[ID],TableauProduit[Total (kg) N7],0,0,1)*#REF!</f>
        <v>#REF!</v>
      </c>
      <c r="S437" t="e">
        <f>_xlfn.XLOOKUP(TableauRecette[[#This Row],[ID]],TableauProduit[ID],TableauProduit[Total (kg) N8],0,0,1)*#REF!</f>
        <v>#REF!</v>
      </c>
      <c r="T437" t="e">
        <f>_xlfn.XLOOKUP(TableauRecette[[#This Row],[ID]],TableauProduit[ID],TableauProduit[Total (kg) N9],0,0,1)*#REF!</f>
        <v>#REF!</v>
      </c>
    </row>
    <row r="438" spans="1:20" x14ac:dyDescent="0.2">
      <c r="A438" t="s">
        <v>115</v>
      </c>
      <c r="B438" t="str">
        <f>TableauRecette[[#This Row],[Recette]]&amp;TableauRecette[[#This Row],[Conditionnement]]</f>
        <v>ZhugEpice 100ml</v>
      </c>
      <c r="C438" t="s">
        <v>478</v>
      </c>
      <c r="D438">
        <v>30</v>
      </c>
      <c r="E438" t="s">
        <v>73</v>
      </c>
      <c r="F438">
        <f>IFERROR(TableauRecette[[#This Row],[Proportion]]/SUMIFS(TableauRecette[Proportion],TableauRecette[Recette],TableauRecette[[#This Row],[Recette]],TableauRecette[Conditionnement],TableauRecette[[#This Row],[Conditionnement]]),0)</f>
        <v>0.14388489208633093</v>
      </c>
      <c r="G438">
        <f>IFERROR(_xlfn.XLOOKUP(TableauRecette[[#This Row],[Ingredients]],TableauIngredients[Ingredients],#REF!,0)*#REF!,0)</f>
        <v>0</v>
      </c>
      <c r="H438">
        <f>IFERROR(SUMIFS(TableauRecette[Proportion],TableauRecette[Recette],TableauRecette[[#This Row],[Recette]],TableauRecette[Conditionnement],TableauRecette[[#This Row],[Conditionnement]]),0)</f>
        <v>208.5</v>
      </c>
      <c r="I438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38">
        <f>_xlfn.XLOOKUP(TableauRecette[[#This Row],[ID]],TableauProduit[ID],TableauProduit[Total (kg) N1],0,0,1)*_xlfn.XLOOKUP(TableauRecette[[#This Row],[ID]],TableauProduit[ID],TableauProduit[Total (kg) N1],0,0,1)</f>
        <v>0</v>
      </c>
      <c r="M438" t="e">
        <f>_xlfn.XLOOKUP(TableauRecette[[#This Row],[ID]],TableauProduit[ID],TableauProduit[Total (kg) N1],0,0,1)*_xlfn.XLOOKUP(TableauRecette[[#This Row],[ID]],TableauProduit[ID],TableauProduit[Total (kg) N2],0,0,1)</f>
        <v>#REF!</v>
      </c>
      <c r="N438" t="e">
        <f>_xlfn.XLOOKUP(TableauRecette[[#This Row],[ID]],TableauProduit[ID],TableauProduit[Total (kg) N3],0,0,1)*#REF!</f>
        <v>#REF!</v>
      </c>
      <c r="O438" t="e">
        <f>_xlfn.XLOOKUP(TableauRecette[[#This Row],[ID]],TableauProduit[ID],TableauProduit[Total (kg) N4],0,0,1)*#REF!</f>
        <v>#REF!</v>
      </c>
      <c r="P438" t="e">
        <f>_xlfn.XLOOKUP(TableauRecette[[#This Row],[ID]],TableauProduit[ID],TableauProduit[Total (kg) N5],0,0,1)*#REF!</f>
        <v>#REF!</v>
      </c>
      <c r="Q438" t="e">
        <f>_xlfn.XLOOKUP(TableauRecette[[#This Row],[ID]],TableauProduit[ID],TableauProduit[Total (kg) N6],0,0,1)*#REF!</f>
        <v>#REF!</v>
      </c>
      <c r="R438" t="e">
        <f>_xlfn.XLOOKUP(TableauRecette[[#This Row],[ID]],TableauProduit[ID],TableauProduit[Total (kg) N7],0,0,1)*#REF!</f>
        <v>#REF!</v>
      </c>
      <c r="S438" t="e">
        <f>_xlfn.XLOOKUP(TableauRecette[[#This Row],[ID]],TableauProduit[ID],TableauProduit[Total (kg) N8],0,0,1)*#REF!</f>
        <v>#REF!</v>
      </c>
      <c r="T438" t="e">
        <f>_xlfn.XLOOKUP(TableauRecette[[#This Row],[ID]],TableauProduit[ID],TableauProduit[Total (kg) N9],0,0,1)*#REF!</f>
        <v>#REF!</v>
      </c>
    </row>
    <row r="439" spans="1:20" x14ac:dyDescent="0.2">
      <c r="A439" t="s">
        <v>115</v>
      </c>
      <c r="B439" t="str">
        <f>TableauRecette[[#This Row],[Recette]]&amp;TableauRecette[[#This Row],[Conditionnement]]</f>
        <v>ZhugEpice 100ml</v>
      </c>
      <c r="C439" t="s">
        <v>476</v>
      </c>
      <c r="D439">
        <v>50</v>
      </c>
      <c r="E439" t="s">
        <v>73</v>
      </c>
      <c r="F439">
        <f>IFERROR(TableauRecette[[#This Row],[Proportion]]/SUMIFS(TableauRecette[Proportion],TableauRecette[Recette],TableauRecette[[#This Row],[Recette]],TableauRecette[Conditionnement],TableauRecette[[#This Row],[Conditionnement]]),0)</f>
        <v>0.23980815347721823</v>
      </c>
      <c r="G439">
        <f>IFERROR(_xlfn.XLOOKUP(TableauRecette[[#This Row],[Ingredients]],TableauIngredients[Ingredients],#REF!,0)*#REF!,0)</f>
        <v>0</v>
      </c>
      <c r="H439">
        <f>IFERROR(SUMIFS(TableauRecette[Proportion],TableauRecette[Recette],TableauRecette[[#This Row],[Recette]],TableauRecette[Conditionnement],TableauRecette[[#This Row],[Conditionnement]]),0)</f>
        <v>208.5</v>
      </c>
      <c r="I43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39">
        <f>_xlfn.XLOOKUP(TableauRecette[[#This Row],[ID]],TableauProduit[ID],TableauProduit[Total (kg) N1],0,0,1)*_xlfn.XLOOKUP(TableauRecette[[#This Row],[ID]],TableauProduit[ID],TableauProduit[Total (kg) N1],0,0,1)</f>
        <v>0</v>
      </c>
      <c r="M439" t="e">
        <f>_xlfn.XLOOKUP(TableauRecette[[#This Row],[ID]],TableauProduit[ID],TableauProduit[Total (kg) N1],0,0,1)*_xlfn.XLOOKUP(TableauRecette[[#This Row],[ID]],TableauProduit[ID],TableauProduit[Total (kg) N2],0,0,1)</f>
        <v>#REF!</v>
      </c>
      <c r="N439" t="e">
        <f>_xlfn.XLOOKUP(TableauRecette[[#This Row],[ID]],TableauProduit[ID],TableauProduit[Total (kg) N3],0,0,1)*#REF!</f>
        <v>#REF!</v>
      </c>
      <c r="O439" t="e">
        <f>_xlfn.XLOOKUP(TableauRecette[[#This Row],[ID]],TableauProduit[ID],TableauProduit[Total (kg) N4],0,0,1)*#REF!</f>
        <v>#REF!</v>
      </c>
      <c r="P439" t="e">
        <f>_xlfn.XLOOKUP(TableauRecette[[#This Row],[ID]],TableauProduit[ID],TableauProduit[Total (kg) N5],0,0,1)*#REF!</f>
        <v>#REF!</v>
      </c>
      <c r="Q439" t="e">
        <f>_xlfn.XLOOKUP(TableauRecette[[#This Row],[ID]],TableauProduit[ID],TableauProduit[Total (kg) N6],0,0,1)*#REF!</f>
        <v>#REF!</v>
      </c>
      <c r="R439" t="e">
        <f>_xlfn.XLOOKUP(TableauRecette[[#This Row],[ID]],TableauProduit[ID],TableauProduit[Total (kg) N7],0,0,1)*#REF!</f>
        <v>#REF!</v>
      </c>
      <c r="S439" t="e">
        <f>_xlfn.XLOOKUP(TableauRecette[[#This Row],[ID]],TableauProduit[ID],TableauProduit[Total (kg) N8],0,0,1)*#REF!</f>
        <v>#REF!</v>
      </c>
      <c r="T439" t="e">
        <f>_xlfn.XLOOKUP(TableauRecette[[#This Row],[ID]],TableauProduit[ID],TableauProduit[Total (kg) N9],0,0,1)*#REF!</f>
        <v>#REF!</v>
      </c>
    </row>
    <row r="440" spans="1:20" x14ac:dyDescent="0.2">
      <c r="A440" t="s">
        <v>115</v>
      </c>
      <c r="B440" t="str">
        <f>TableauRecette[[#This Row],[Recette]]&amp;TableauRecette[[#This Row],[Conditionnement]]</f>
        <v>ZhugEpice 100ml</v>
      </c>
      <c r="C440" t="s">
        <v>393</v>
      </c>
      <c r="D440">
        <v>50</v>
      </c>
      <c r="E440" t="s">
        <v>73</v>
      </c>
      <c r="F440">
        <f>IFERROR(TableauRecette[[#This Row],[Proportion]]/SUMIFS(TableauRecette[Proportion],TableauRecette[Recette],TableauRecette[[#This Row],[Recette]],TableauRecette[Conditionnement],TableauRecette[[#This Row],[Conditionnement]]),0)</f>
        <v>0.23980815347721823</v>
      </c>
      <c r="G440">
        <f>IFERROR(_xlfn.XLOOKUP(TableauRecette[[#This Row],[Ingredients]],TableauIngredients[Ingredients],#REF!,0)*#REF!,0)</f>
        <v>0</v>
      </c>
      <c r="H440">
        <f>IFERROR(SUMIFS(TableauRecette[Proportion],TableauRecette[Recette],TableauRecette[[#This Row],[Recette]],TableauRecette[Conditionnement],TableauRecette[[#This Row],[Conditionnement]]),0)</f>
        <v>208.5</v>
      </c>
      <c r="I440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L440">
        <f>_xlfn.XLOOKUP(TableauRecette[[#This Row],[ID]],TableauProduit[ID],TableauProduit[Total (kg) N1],0,0,1)*_xlfn.XLOOKUP(TableauRecette[[#This Row],[ID]],TableauProduit[ID],TableauProduit[Total (kg) N1],0,0,1)</f>
        <v>0</v>
      </c>
      <c r="M440" t="e">
        <f>_xlfn.XLOOKUP(TableauRecette[[#This Row],[ID]],TableauProduit[ID],TableauProduit[Total (kg) N1],0,0,1)*_xlfn.XLOOKUP(TableauRecette[[#This Row],[ID]],TableauProduit[ID],TableauProduit[Total (kg) N2],0,0,1)</f>
        <v>#REF!</v>
      </c>
      <c r="N440" t="e">
        <f>_xlfn.XLOOKUP(TableauRecette[[#This Row],[ID]],TableauProduit[ID],TableauProduit[Total (kg) N3],0,0,1)*#REF!</f>
        <v>#REF!</v>
      </c>
      <c r="O440" t="e">
        <f>_xlfn.XLOOKUP(TableauRecette[[#This Row],[ID]],TableauProduit[ID],TableauProduit[Total (kg) N4],0,0,1)*#REF!</f>
        <v>#REF!</v>
      </c>
      <c r="P440" t="e">
        <f>_xlfn.XLOOKUP(TableauRecette[[#This Row],[ID]],TableauProduit[ID],TableauProduit[Total (kg) N5],0,0,1)*#REF!</f>
        <v>#REF!</v>
      </c>
      <c r="Q440" t="e">
        <f>_xlfn.XLOOKUP(TableauRecette[[#This Row],[ID]],TableauProduit[ID],TableauProduit[Total (kg) N6],0,0,1)*#REF!</f>
        <v>#REF!</v>
      </c>
      <c r="R440" t="e">
        <f>_xlfn.XLOOKUP(TableauRecette[[#This Row],[ID]],TableauProduit[ID],TableauProduit[Total (kg) N7],0,0,1)*#REF!</f>
        <v>#REF!</v>
      </c>
      <c r="S440" t="e">
        <f>_xlfn.XLOOKUP(TableauRecette[[#This Row],[ID]],TableauProduit[ID],TableauProduit[Total (kg) N8],0,0,1)*#REF!</f>
        <v>#REF!</v>
      </c>
      <c r="T440" t="e">
        <f>_xlfn.XLOOKUP(TableauRecette[[#This Row],[ID]],TableauProduit[ID],TableauProduit[Total (kg) N9],0,0,1)*#REF!</f>
        <v>#REF!</v>
      </c>
    </row>
    <row r="441" spans="1:20" x14ac:dyDescent="0.2">
      <c r="A441" t="s">
        <v>115</v>
      </c>
      <c r="B441" t="str">
        <f>TableauRecette[[#This Row],[Recette]]&amp;TableauRecette[[#This Row],[Conditionnement]]</f>
        <v>ZhugEpice 100ml</v>
      </c>
      <c r="C441" t="s">
        <v>410</v>
      </c>
      <c r="D441">
        <v>16</v>
      </c>
      <c r="E441" t="s">
        <v>73</v>
      </c>
      <c r="F441">
        <f>IFERROR(TableauRecette[[#This Row],[Proportion]]/SUMIFS(TableauRecette[Proportion],TableauRecette[Recette],TableauRecette[[#This Row],[Recette]],TableauRecette[Conditionnement],TableauRecette[[#This Row],[Conditionnement]]),0)</f>
        <v>7.6738609112709827E-2</v>
      </c>
      <c r="G441">
        <f>IFERROR(_xlfn.XLOOKUP(TableauRecette[[#This Row],[Ingredients]],TableauIngredients[Ingredients],#REF!,0)*#REF!,0)</f>
        <v>0</v>
      </c>
      <c r="H441">
        <f>IFERROR(SUMIFS(TableauRecette[Proportion],TableauRecette[Recette],TableauRecette[[#This Row],[Recette]],TableauRecette[Conditionnement],TableauRecette[[#This Row],[Conditionnement]]),0)</f>
        <v>208.5</v>
      </c>
      <c r="I441">
        <f>_xlfn.XLOOKUP(TableauRecette[[#This Row],[Ingredients]],TableauIngredients[Ingredients],TableauIngredients[Prix d''achat (kg)],0,0,1)*TableauRecette[[#This Row],[Proportion]]/TableauRecette[[#This Row],[Total Proportion]]</f>
        <v>0.61390887290167862</v>
      </c>
      <c r="L441">
        <f>_xlfn.XLOOKUP(TableauRecette[[#This Row],[ID]],TableauProduit[ID],TableauProduit[Total (kg) N1],0,0,1)*_xlfn.XLOOKUP(TableauRecette[[#This Row],[ID]],TableauProduit[ID],TableauProduit[Total (kg) N1],0,0,1)</f>
        <v>0</v>
      </c>
      <c r="M441" t="e">
        <f>_xlfn.XLOOKUP(TableauRecette[[#This Row],[ID]],TableauProduit[ID],TableauProduit[Total (kg) N1],0,0,1)*_xlfn.XLOOKUP(TableauRecette[[#This Row],[ID]],TableauProduit[ID],TableauProduit[Total (kg) N2],0,0,1)</f>
        <v>#REF!</v>
      </c>
      <c r="N441" t="e">
        <f>_xlfn.XLOOKUP(TableauRecette[[#This Row],[ID]],TableauProduit[ID],TableauProduit[Total (kg) N3],0,0,1)*#REF!</f>
        <v>#REF!</v>
      </c>
      <c r="O441" t="e">
        <f>_xlfn.XLOOKUP(TableauRecette[[#This Row],[ID]],TableauProduit[ID],TableauProduit[Total (kg) N4],0,0,1)*#REF!</f>
        <v>#REF!</v>
      </c>
      <c r="P441" t="e">
        <f>_xlfn.XLOOKUP(TableauRecette[[#This Row],[ID]],TableauProduit[ID],TableauProduit[Total (kg) N5],0,0,1)*#REF!</f>
        <v>#REF!</v>
      </c>
      <c r="Q441" t="e">
        <f>_xlfn.XLOOKUP(TableauRecette[[#This Row],[ID]],TableauProduit[ID],TableauProduit[Total (kg) N6],0,0,1)*#REF!</f>
        <v>#REF!</v>
      </c>
      <c r="R441" t="e">
        <f>_xlfn.XLOOKUP(TableauRecette[[#This Row],[ID]],TableauProduit[ID],TableauProduit[Total (kg) N7],0,0,1)*#REF!</f>
        <v>#REF!</v>
      </c>
      <c r="S441" t="e">
        <f>_xlfn.XLOOKUP(TableauRecette[[#This Row],[ID]],TableauProduit[ID],TableauProduit[Total (kg) N8],0,0,1)*#REF!</f>
        <v>#REF!</v>
      </c>
      <c r="T441" t="e">
        <f>_xlfn.XLOOKUP(TableauRecette[[#This Row],[ID]],TableauProduit[ID],TableauProduit[Total (kg) N9],0,0,1)*#REF!</f>
        <v>#REF!</v>
      </c>
    </row>
    <row r="442" spans="1:20" x14ac:dyDescent="0.2">
      <c r="A442" t="s">
        <v>115</v>
      </c>
      <c r="B442" t="str">
        <f>TableauRecette[[#This Row],[Recette]]&amp;TableauRecette[[#This Row],[Conditionnement]]</f>
        <v>ZhugEpice 100ml</v>
      </c>
      <c r="C442" t="s">
        <v>447</v>
      </c>
      <c r="D442">
        <v>45</v>
      </c>
      <c r="E442" t="s">
        <v>73</v>
      </c>
      <c r="F442">
        <f>IFERROR(TableauRecette[[#This Row],[Proportion]]/SUMIFS(TableauRecette[Proportion],TableauRecette[Recette],TableauRecette[[#This Row],[Recette]],TableauRecette[Conditionnement],TableauRecette[[#This Row],[Conditionnement]]),0)</f>
        <v>0.21582733812949639</v>
      </c>
      <c r="G442">
        <f>IFERROR(_xlfn.XLOOKUP(TableauRecette[[#This Row],[Ingredients]],TableauIngredients[Ingredients],#REF!,0)*#REF!,0)</f>
        <v>0</v>
      </c>
      <c r="H442">
        <f>IFERROR(SUMIFS(TableauRecette[Proportion],TableauRecette[Recette],TableauRecette[[#This Row],[Recette]],TableauRecette[Conditionnement],TableauRecette[[#This Row],[Conditionnement]]),0)</f>
        <v>208.5</v>
      </c>
      <c r="I442">
        <f>_xlfn.XLOOKUP(TableauRecette[[#This Row],[Ingredients]],TableauIngredients[Ingredients],TableauIngredients[Prix d''achat (kg)],0,0,1)*TableauRecette[[#This Row],[Proportion]]/TableauRecette[[#This Row],[Total Proportion]]</f>
        <v>2.5899280575539567</v>
      </c>
      <c r="L442">
        <f>_xlfn.XLOOKUP(TableauRecette[[#This Row],[ID]],TableauProduit[ID],TableauProduit[Total (kg) N1],0,0,1)*_xlfn.XLOOKUP(TableauRecette[[#This Row],[ID]],TableauProduit[ID],TableauProduit[Total (kg) N1],0,0,1)</f>
        <v>0</v>
      </c>
      <c r="M442" t="e">
        <f>_xlfn.XLOOKUP(TableauRecette[[#This Row],[ID]],TableauProduit[ID],TableauProduit[Total (kg) N1],0,0,1)*_xlfn.XLOOKUP(TableauRecette[[#This Row],[ID]],TableauProduit[ID],TableauProduit[Total (kg) N2],0,0,1)</f>
        <v>#REF!</v>
      </c>
      <c r="N442" t="e">
        <f>_xlfn.XLOOKUP(TableauRecette[[#This Row],[ID]],TableauProduit[ID],TableauProduit[Total (kg) N3],0,0,1)*#REF!</f>
        <v>#REF!</v>
      </c>
      <c r="O442" t="e">
        <f>_xlfn.XLOOKUP(TableauRecette[[#This Row],[ID]],TableauProduit[ID],TableauProduit[Total (kg) N4],0,0,1)*#REF!</f>
        <v>#REF!</v>
      </c>
      <c r="P442" t="e">
        <f>_xlfn.XLOOKUP(TableauRecette[[#This Row],[ID]],TableauProduit[ID],TableauProduit[Total (kg) N5],0,0,1)*#REF!</f>
        <v>#REF!</v>
      </c>
      <c r="Q442" t="e">
        <f>_xlfn.XLOOKUP(TableauRecette[[#This Row],[ID]],TableauProduit[ID],TableauProduit[Total (kg) N6],0,0,1)*#REF!</f>
        <v>#REF!</v>
      </c>
      <c r="R442" t="e">
        <f>_xlfn.XLOOKUP(TableauRecette[[#This Row],[ID]],TableauProduit[ID],TableauProduit[Total (kg) N7],0,0,1)*#REF!</f>
        <v>#REF!</v>
      </c>
      <c r="S442" t="e">
        <f>_xlfn.XLOOKUP(TableauRecette[[#This Row],[ID]],TableauProduit[ID],TableauProduit[Total (kg) N8],0,0,1)*#REF!</f>
        <v>#REF!</v>
      </c>
      <c r="T442" t="e">
        <f>_xlfn.XLOOKUP(TableauRecette[[#This Row],[ID]],TableauProduit[ID],TableauProduit[Total (kg) N9],0,0,1)*#REF!</f>
        <v>#REF!</v>
      </c>
    </row>
    <row r="443" spans="1:20" x14ac:dyDescent="0.2">
      <c r="A443" t="s">
        <v>144</v>
      </c>
      <c r="B443" t="str">
        <f>TableauRecette[[#This Row],[Recette]]&amp;TableauRecette[[#This Row],[Conditionnement]]</f>
        <v>Sel de garrigueEpice 100ml</v>
      </c>
      <c r="C443" t="s">
        <v>364</v>
      </c>
      <c r="D443">
        <v>8</v>
      </c>
      <c r="E443" t="s">
        <v>73</v>
      </c>
      <c r="F443">
        <f>IFERROR(TableauRecette[[#This Row],[Proportion]]/SUMIFS(TableauRecette[Proportion],TableauRecette[Recette],TableauRecette[[#This Row],[Recette]],TableauRecette[Conditionnement],TableauRecette[[#This Row],[Conditionnement]]),0)</f>
        <v>0.74766355140186924</v>
      </c>
      <c r="G443">
        <f>IFERROR(_xlfn.XLOOKUP(TableauRecette[[#This Row],[Ingredients]],TableauIngredients[Ingredients],#REF!,0)*#REF!,0)</f>
        <v>0</v>
      </c>
      <c r="H443">
        <f>IFERROR(SUMIFS(TableauRecette[Proportion],TableauRecette[Recette],TableauRecette[[#This Row],[Recette]],TableauRecette[Conditionnement],TableauRecette[[#This Row],[Conditionnement]]),0)</f>
        <v>10.7</v>
      </c>
      <c r="I443">
        <f>_xlfn.XLOOKUP(TableauRecette[[#This Row],[Ingredients]],TableauIngredients[Ingredients],TableauIngredients[Prix d''achat (kg)],0,0,1)*TableauRecette[[#This Row],[Proportion]]/TableauRecette[[#This Row],[Total Proportion]]</f>
        <v>1.0467289719626167</v>
      </c>
      <c r="J443" t="s">
        <v>479</v>
      </c>
      <c r="K443" t="s">
        <v>341</v>
      </c>
      <c r="L443">
        <f>_xlfn.XLOOKUP(TableauRecette[[#This Row],[ID]],TableauProduit[ID],TableauProduit[Total (kg) N1],0,0,1)*_xlfn.XLOOKUP(TableauRecette[[#This Row],[ID]],TableauProduit[ID],TableauProduit[Total (kg) N1],0,0,1)</f>
        <v>0</v>
      </c>
      <c r="M443" t="e">
        <f>_xlfn.XLOOKUP(TableauRecette[[#This Row],[ID]],TableauProduit[ID],TableauProduit[Total (kg) N1],0,0,1)*_xlfn.XLOOKUP(TableauRecette[[#This Row],[ID]],TableauProduit[ID],TableauProduit[Total (kg) N2],0,0,1)</f>
        <v>#REF!</v>
      </c>
      <c r="N443" t="e">
        <f>_xlfn.XLOOKUP(TableauRecette[[#This Row],[ID]],TableauProduit[ID],TableauProduit[Total (kg) N3],0,0,1)*#REF!</f>
        <v>#REF!</v>
      </c>
      <c r="O443" t="e">
        <f>_xlfn.XLOOKUP(TableauRecette[[#This Row],[ID]],TableauProduit[ID],TableauProduit[Total (kg) N4],0,0,1)*#REF!</f>
        <v>#REF!</v>
      </c>
      <c r="P443" t="e">
        <f>_xlfn.XLOOKUP(TableauRecette[[#This Row],[ID]],TableauProduit[ID],TableauProduit[Total (kg) N5],0,0,1)*#REF!</f>
        <v>#REF!</v>
      </c>
      <c r="Q443" t="e">
        <f>_xlfn.XLOOKUP(TableauRecette[[#This Row],[ID]],TableauProduit[ID],TableauProduit[Total (kg) N6],0,0,1)*#REF!</f>
        <v>#REF!</v>
      </c>
      <c r="R443" t="e">
        <f>_xlfn.XLOOKUP(TableauRecette[[#This Row],[ID]],TableauProduit[ID],TableauProduit[Total (kg) N7],0,0,1)*#REF!</f>
        <v>#REF!</v>
      </c>
      <c r="S443" t="e">
        <f>_xlfn.XLOOKUP(TableauRecette[[#This Row],[ID]],TableauProduit[ID],TableauProduit[Total (kg) N8],0,0,1)*#REF!</f>
        <v>#REF!</v>
      </c>
      <c r="T443" t="e">
        <f>_xlfn.XLOOKUP(TableauRecette[[#This Row],[ID]],TableauProduit[ID],TableauProduit[Total (kg) N9],0,0,1)*#REF!</f>
        <v>#REF!</v>
      </c>
    </row>
    <row r="444" spans="1:20" x14ac:dyDescent="0.2">
      <c r="A444" t="s">
        <v>144</v>
      </c>
      <c r="B444" t="str">
        <f>TableauRecette[[#This Row],[Recette]]&amp;TableauRecette[[#This Row],[Conditionnement]]</f>
        <v>Sel de garrigueEpice 100ml</v>
      </c>
      <c r="C444" t="s">
        <v>480</v>
      </c>
      <c r="D444">
        <v>1</v>
      </c>
      <c r="E444" t="s">
        <v>73</v>
      </c>
      <c r="F444">
        <f>IFERROR(TableauRecette[[#This Row],[Proportion]]/SUMIFS(TableauRecette[Proportion],TableauRecette[Recette],TableauRecette[[#This Row],[Recette]],TableauRecette[Conditionnement],TableauRecette[[#This Row],[Conditionnement]]),0)</f>
        <v>9.3457943925233655E-2</v>
      </c>
      <c r="G444">
        <f>IFERROR(_xlfn.XLOOKUP(TableauRecette[[#This Row],[Ingredients]],TableauIngredients[Ingredients],#REF!,0)*#REF!,0)</f>
        <v>0</v>
      </c>
      <c r="H444">
        <f>IFERROR(SUMIFS(TableauRecette[Proportion],TableauRecette[Recette],TableauRecette[[#This Row],[Recette]],TableauRecette[Conditionnement],TableauRecette[[#This Row],[Conditionnement]]),0)</f>
        <v>10.7</v>
      </c>
      <c r="I444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444" t="s">
        <v>479</v>
      </c>
      <c r="K444" t="s">
        <v>341</v>
      </c>
      <c r="L444">
        <f>_xlfn.XLOOKUP(TableauRecette[[#This Row],[ID]],TableauProduit[ID],TableauProduit[Total (kg) N1],0,0,1)*_xlfn.XLOOKUP(TableauRecette[[#This Row],[ID]],TableauProduit[ID],TableauProduit[Total (kg) N1],0,0,1)</f>
        <v>0</v>
      </c>
      <c r="M444" t="e">
        <f>_xlfn.XLOOKUP(TableauRecette[[#This Row],[ID]],TableauProduit[ID],TableauProduit[Total (kg) N1],0,0,1)*_xlfn.XLOOKUP(TableauRecette[[#This Row],[ID]],TableauProduit[ID],TableauProduit[Total (kg) N2],0,0,1)</f>
        <v>#REF!</v>
      </c>
      <c r="N444" t="e">
        <f>_xlfn.XLOOKUP(TableauRecette[[#This Row],[ID]],TableauProduit[ID],TableauProduit[Total (kg) N3],0,0,1)*#REF!</f>
        <v>#REF!</v>
      </c>
      <c r="O444" t="e">
        <f>_xlfn.XLOOKUP(TableauRecette[[#This Row],[ID]],TableauProduit[ID],TableauProduit[Total (kg) N4],0,0,1)*#REF!</f>
        <v>#REF!</v>
      </c>
      <c r="P444" t="e">
        <f>_xlfn.XLOOKUP(TableauRecette[[#This Row],[ID]],TableauProduit[ID],TableauProduit[Total (kg) N5],0,0,1)*#REF!</f>
        <v>#REF!</v>
      </c>
      <c r="Q444" t="e">
        <f>_xlfn.XLOOKUP(TableauRecette[[#This Row],[ID]],TableauProduit[ID],TableauProduit[Total (kg) N6],0,0,1)*#REF!</f>
        <v>#REF!</v>
      </c>
      <c r="R444" t="e">
        <f>_xlfn.XLOOKUP(TableauRecette[[#This Row],[ID]],TableauProduit[ID],TableauProduit[Total (kg) N7],0,0,1)*#REF!</f>
        <v>#REF!</v>
      </c>
      <c r="S444" t="e">
        <f>_xlfn.XLOOKUP(TableauRecette[[#This Row],[ID]],TableauProduit[ID],TableauProduit[Total (kg) N8],0,0,1)*#REF!</f>
        <v>#REF!</v>
      </c>
      <c r="T444" t="e">
        <f>_xlfn.XLOOKUP(TableauRecette[[#This Row],[ID]],TableauProduit[ID],TableauProduit[Total (kg) N9],0,0,1)*#REF!</f>
        <v>#REF!</v>
      </c>
    </row>
    <row r="445" spans="1:20" x14ac:dyDescent="0.2">
      <c r="A445" t="s">
        <v>144</v>
      </c>
      <c r="B445" t="str">
        <f>TableauRecette[[#This Row],[Recette]]&amp;TableauRecette[[#This Row],[Conditionnement]]</f>
        <v>Sel de garrigueEpice 100ml</v>
      </c>
      <c r="C445" t="s">
        <v>481</v>
      </c>
      <c r="D445">
        <v>0.5</v>
      </c>
      <c r="E445" t="s">
        <v>73</v>
      </c>
      <c r="F445">
        <f>IFERROR(TableauRecette[[#This Row],[Proportion]]/SUMIFS(TableauRecette[Proportion],TableauRecette[Recette],TableauRecette[[#This Row],[Recette]],TableauRecette[Conditionnement],TableauRecette[[#This Row],[Conditionnement]]),0)</f>
        <v>4.6728971962616828E-2</v>
      </c>
      <c r="G445">
        <f>IFERROR(_xlfn.XLOOKUP(TableauRecette[[#This Row],[Ingredients]],TableauIngredients[Ingredients],#REF!,0)*#REF!,0)</f>
        <v>0</v>
      </c>
      <c r="H445">
        <f>IFERROR(SUMIFS(TableauRecette[Proportion],TableauRecette[Recette],TableauRecette[[#This Row],[Recette]],TableauRecette[Conditionnement],TableauRecette[[#This Row],[Conditionnement]]),0)</f>
        <v>10.7</v>
      </c>
      <c r="I44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445" t="s">
        <v>479</v>
      </c>
      <c r="K445" t="s">
        <v>341</v>
      </c>
      <c r="L445">
        <f>_xlfn.XLOOKUP(TableauRecette[[#This Row],[ID]],TableauProduit[ID],TableauProduit[Total (kg) N1],0,0,1)*_xlfn.XLOOKUP(TableauRecette[[#This Row],[ID]],TableauProduit[ID],TableauProduit[Total (kg) N1],0,0,1)</f>
        <v>0</v>
      </c>
      <c r="M445" t="e">
        <f>_xlfn.XLOOKUP(TableauRecette[[#This Row],[ID]],TableauProduit[ID],TableauProduit[Total (kg) N1],0,0,1)*_xlfn.XLOOKUP(TableauRecette[[#This Row],[ID]],TableauProduit[ID],TableauProduit[Total (kg) N2],0,0,1)</f>
        <v>#REF!</v>
      </c>
      <c r="N445" t="e">
        <f>_xlfn.XLOOKUP(TableauRecette[[#This Row],[ID]],TableauProduit[ID],TableauProduit[Total (kg) N3],0,0,1)*#REF!</f>
        <v>#REF!</v>
      </c>
      <c r="O445" t="e">
        <f>_xlfn.XLOOKUP(TableauRecette[[#This Row],[ID]],TableauProduit[ID],TableauProduit[Total (kg) N4],0,0,1)*#REF!</f>
        <v>#REF!</v>
      </c>
      <c r="P445" t="e">
        <f>_xlfn.XLOOKUP(TableauRecette[[#This Row],[ID]],TableauProduit[ID],TableauProduit[Total (kg) N5],0,0,1)*#REF!</f>
        <v>#REF!</v>
      </c>
      <c r="Q445" t="e">
        <f>_xlfn.XLOOKUP(TableauRecette[[#This Row],[ID]],TableauProduit[ID],TableauProduit[Total (kg) N6],0,0,1)*#REF!</f>
        <v>#REF!</v>
      </c>
      <c r="R445" t="e">
        <f>_xlfn.XLOOKUP(TableauRecette[[#This Row],[ID]],TableauProduit[ID],TableauProduit[Total (kg) N7],0,0,1)*#REF!</f>
        <v>#REF!</v>
      </c>
      <c r="S445" t="e">
        <f>_xlfn.XLOOKUP(TableauRecette[[#This Row],[ID]],TableauProduit[ID],TableauProduit[Total (kg) N8],0,0,1)*#REF!</f>
        <v>#REF!</v>
      </c>
      <c r="T445" t="e">
        <f>_xlfn.XLOOKUP(TableauRecette[[#This Row],[ID]],TableauProduit[ID],TableauProduit[Total (kg) N9],0,0,1)*#REF!</f>
        <v>#REF!</v>
      </c>
    </row>
    <row r="446" spans="1:20" x14ac:dyDescent="0.2">
      <c r="A446" t="s">
        <v>144</v>
      </c>
      <c r="B446" t="str">
        <f>TableauRecette[[#This Row],[Recette]]&amp;TableauRecette[[#This Row],[Conditionnement]]</f>
        <v>Sel de garrigueEpice 100ml</v>
      </c>
      <c r="C446" t="s">
        <v>482</v>
      </c>
      <c r="D446">
        <v>0.5</v>
      </c>
      <c r="E446" t="s">
        <v>73</v>
      </c>
      <c r="F446">
        <f>IFERROR(TableauRecette[[#This Row],[Proportion]]/SUMIFS(TableauRecette[Proportion],TableauRecette[Recette],TableauRecette[[#This Row],[Recette]],TableauRecette[Conditionnement],TableauRecette[[#This Row],[Conditionnement]]),0)</f>
        <v>4.6728971962616828E-2</v>
      </c>
      <c r="G446">
        <f>IFERROR(_xlfn.XLOOKUP(TableauRecette[[#This Row],[Ingredients]],TableauIngredients[Ingredients],#REF!,0)*#REF!,0)</f>
        <v>0</v>
      </c>
      <c r="H446">
        <f>IFERROR(SUMIFS(TableauRecette[Proportion],TableauRecette[Recette],TableauRecette[[#This Row],[Recette]],TableauRecette[Conditionnement],TableauRecette[[#This Row],[Conditionnement]]),0)</f>
        <v>10.7</v>
      </c>
      <c r="I44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446" t="s">
        <v>479</v>
      </c>
      <c r="K446" t="s">
        <v>341</v>
      </c>
      <c r="L446">
        <f>_xlfn.XLOOKUP(TableauRecette[[#This Row],[ID]],TableauProduit[ID],TableauProduit[Total (kg) N1],0,0,1)*_xlfn.XLOOKUP(TableauRecette[[#This Row],[ID]],TableauProduit[ID],TableauProduit[Total (kg) N1],0,0,1)</f>
        <v>0</v>
      </c>
      <c r="M446" t="e">
        <f>_xlfn.XLOOKUP(TableauRecette[[#This Row],[ID]],TableauProduit[ID],TableauProduit[Total (kg) N1],0,0,1)*_xlfn.XLOOKUP(TableauRecette[[#This Row],[ID]],TableauProduit[ID],TableauProduit[Total (kg) N2],0,0,1)</f>
        <v>#REF!</v>
      </c>
      <c r="N446" t="e">
        <f>_xlfn.XLOOKUP(TableauRecette[[#This Row],[ID]],TableauProduit[ID],TableauProduit[Total (kg) N3],0,0,1)*#REF!</f>
        <v>#REF!</v>
      </c>
      <c r="O446" t="e">
        <f>_xlfn.XLOOKUP(TableauRecette[[#This Row],[ID]],TableauProduit[ID],TableauProduit[Total (kg) N4],0,0,1)*#REF!</f>
        <v>#REF!</v>
      </c>
      <c r="P446" t="e">
        <f>_xlfn.XLOOKUP(TableauRecette[[#This Row],[ID]],TableauProduit[ID],TableauProduit[Total (kg) N5],0,0,1)*#REF!</f>
        <v>#REF!</v>
      </c>
      <c r="Q446" t="e">
        <f>_xlfn.XLOOKUP(TableauRecette[[#This Row],[ID]],TableauProduit[ID],TableauProduit[Total (kg) N6],0,0,1)*#REF!</f>
        <v>#REF!</v>
      </c>
      <c r="R446" t="e">
        <f>_xlfn.XLOOKUP(TableauRecette[[#This Row],[ID]],TableauProduit[ID],TableauProduit[Total (kg) N7],0,0,1)*#REF!</f>
        <v>#REF!</v>
      </c>
      <c r="S446" t="e">
        <f>_xlfn.XLOOKUP(TableauRecette[[#This Row],[ID]],TableauProduit[ID],TableauProduit[Total (kg) N8],0,0,1)*#REF!</f>
        <v>#REF!</v>
      </c>
      <c r="T446" t="e">
        <f>_xlfn.XLOOKUP(TableauRecette[[#This Row],[ID]],TableauProduit[ID],TableauProduit[Total (kg) N9],0,0,1)*#REF!</f>
        <v>#REF!</v>
      </c>
    </row>
    <row r="447" spans="1:20" x14ac:dyDescent="0.2">
      <c r="A447" t="s">
        <v>144</v>
      </c>
      <c r="B447" t="str">
        <f>TableauRecette[[#This Row],[Recette]]&amp;TableauRecette[[#This Row],[Conditionnement]]</f>
        <v>Sel de garrigueEpice 100ml</v>
      </c>
      <c r="C447" t="s">
        <v>346</v>
      </c>
      <c r="D447">
        <v>0.5</v>
      </c>
      <c r="E447" t="s">
        <v>73</v>
      </c>
      <c r="F447">
        <f>IFERROR(TableauRecette[[#This Row],[Proportion]]/SUMIFS(TableauRecette[Proportion],TableauRecette[Recette],TableauRecette[[#This Row],[Recette]],TableauRecette[Conditionnement],TableauRecette[[#This Row],[Conditionnement]]),0)</f>
        <v>4.6728971962616828E-2</v>
      </c>
      <c r="G447">
        <f>IFERROR(_xlfn.XLOOKUP(TableauRecette[[#This Row],[Ingredients]],TableauIngredients[Ingredients],#REF!,0)*#REF!,0)</f>
        <v>0</v>
      </c>
      <c r="H447">
        <f>IFERROR(SUMIFS(TableauRecette[Proportion],TableauRecette[Recette],TableauRecette[[#This Row],[Recette]],TableauRecette[Conditionnement],TableauRecette[[#This Row],[Conditionnement]]),0)</f>
        <v>10.7</v>
      </c>
      <c r="I44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447" t="s">
        <v>479</v>
      </c>
      <c r="K447" t="s">
        <v>341</v>
      </c>
      <c r="L447">
        <f>_xlfn.XLOOKUP(TableauRecette[[#This Row],[ID]],TableauProduit[ID],TableauProduit[Total (kg) N1],0,0,1)*_xlfn.XLOOKUP(TableauRecette[[#This Row],[ID]],TableauProduit[ID],TableauProduit[Total (kg) N1],0,0,1)</f>
        <v>0</v>
      </c>
      <c r="M447" t="e">
        <f>_xlfn.XLOOKUP(TableauRecette[[#This Row],[ID]],TableauProduit[ID],TableauProduit[Total (kg) N1],0,0,1)*_xlfn.XLOOKUP(TableauRecette[[#This Row],[ID]],TableauProduit[ID],TableauProduit[Total (kg) N2],0,0,1)</f>
        <v>#REF!</v>
      </c>
      <c r="N447" t="e">
        <f>_xlfn.XLOOKUP(TableauRecette[[#This Row],[ID]],TableauProduit[ID],TableauProduit[Total (kg) N3],0,0,1)*#REF!</f>
        <v>#REF!</v>
      </c>
      <c r="O447" t="e">
        <f>_xlfn.XLOOKUP(TableauRecette[[#This Row],[ID]],TableauProduit[ID],TableauProduit[Total (kg) N4],0,0,1)*#REF!</f>
        <v>#REF!</v>
      </c>
      <c r="P447" t="e">
        <f>_xlfn.XLOOKUP(TableauRecette[[#This Row],[ID]],TableauProduit[ID],TableauProduit[Total (kg) N5],0,0,1)*#REF!</f>
        <v>#REF!</v>
      </c>
      <c r="Q447" t="e">
        <f>_xlfn.XLOOKUP(TableauRecette[[#This Row],[ID]],TableauProduit[ID],TableauProduit[Total (kg) N6],0,0,1)*#REF!</f>
        <v>#REF!</v>
      </c>
      <c r="R447" t="e">
        <f>_xlfn.XLOOKUP(TableauRecette[[#This Row],[ID]],TableauProduit[ID],TableauProduit[Total (kg) N7],0,0,1)*#REF!</f>
        <v>#REF!</v>
      </c>
      <c r="S447" t="e">
        <f>_xlfn.XLOOKUP(TableauRecette[[#This Row],[ID]],TableauProduit[ID],TableauProduit[Total (kg) N8],0,0,1)*#REF!</f>
        <v>#REF!</v>
      </c>
      <c r="T447" t="e">
        <f>_xlfn.XLOOKUP(TableauRecette[[#This Row],[ID]],TableauProduit[ID],TableauProduit[Total (kg) N9],0,0,1)*#REF!</f>
        <v>#REF!</v>
      </c>
    </row>
    <row r="448" spans="1:20" x14ac:dyDescent="0.2">
      <c r="A448" t="s">
        <v>144</v>
      </c>
      <c r="B448" t="str">
        <f>TableauRecette[[#This Row],[Recette]]&amp;TableauRecette[[#This Row],[Conditionnement]]</f>
        <v>Sel de garrigueEpice 100ml</v>
      </c>
      <c r="C448" t="s">
        <v>466</v>
      </c>
      <c r="D448">
        <v>0.2</v>
      </c>
      <c r="E448" t="s">
        <v>73</v>
      </c>
      <c r="F448">
        <f>IFERROR(TableauRecette[[#This Row],[Proportion]]/SUMIFS(TableauRecette[Proportion],TableauRecette[Recette],TableauRecette[[#This Row],[Recette]],TableauRecette[Conditionnement],TableauRecette[[#This Row],[Conditionnement]]),0)</f>
        <v>1.8691588785046731E-2</v>
      </c>
      <c r="G448">
        <f>IFERROR(_xlfn.XLOOKUP(TableauRecette[[#This Row],[Ingredients]],TableauIngredients[Ingredients],#REF!,0)*#REF!,0)</f>
        <v>0</v>
      </c>
      <c r="H448">
        <f>IFERROR(SUMIFS(TableauRecette[Proportion],TableauRecette[Recette],TableauRecette[[#This Row],[Recette]],TableauRecette[Conditionnement],TableauRecette[[#This Row],[Conditionnement]]),0)</f>
        <v>10.7</v>
      </c>
      <c r="I448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448" t="s">
        <v>479</v>
      </c>
      <c r="K448" t="s">
        <v>341</v>
      </c>
      <c r="L448">
        <f>_xlfn.XLOOKUP(TableauRecette[[#This Row],[ID]],TableauProduit[ID],TableauProduit[Total (kg) N1],0,0,1)*_xlfn.XLOOKUP(TableauRecette[[#This Row],[ID]],TableauProduit[ID],TableauProduit[Total (kg) N1],0,0,1)</f>
        <v>0</v>
      </c>
      <c r="M448" t="e">
        <f>_xlfn.XLOOKUP(TableauRecette[[#This Row],[ID]],TableauProduit[ID],TableauProduit[Total (kg) N1],0,0,1)*_xlfn.XLOOKUP(TableauRecette[[#This Row],[ID]],TableauProduit[ID],TableauProduit[Total (kg) N2],0,0,1)</f>
        <v>#REF!</v>
      </c>
      <c r="N448" t="e">
        <f>_xlfn.XLOOKUP(TableauRecette[[#This Row],[ID]],TableauProduit[ID],TableauProduit[Total (kg) N3],0,0,1)*#REF!</f>
        <v>#REF!</v>
      </c>
      <c r="O448" t="e">
        <f>_xlfn.XLOOKUP(TableauRecette[[#This Row],[ID]],TableauProduit[ID],TableauProduit[Total (kg) N4],0,0,1)*#REF!</f>
        <v>#REF!</v>
      </c>
      <c r="P448" t="e">
        <f>_xlfn.XLOOKUP(TableauRecette[[#This Row],[ID]],TableauProduit[ID],TableauProduit[Total (kg) N5],0,0,1)*#REF!</f>
        <v>#REF!</v>
      </c>
      <c r="Q448" t="e">
        <f>_xlfn.XLOOKUP(TableauRecette[[#This Row],[ID]],TableauProduit[ID],TableauProduit[Total (kg) N6],0,0,1)*#REF!</f>
        <v>#REF!</v>
      </c>
      <c r="R448" t="e">
        <f>_xlfn.XLOOKUP(TableauRecette[[#This Row],[ID]],TableauProduit[ID],TableauProduit[Total (kg) N7],0,0,1)*#REF!</f>
        <v>#REF!</v>
      </c>
      <c r="S448" t="e">
        <f>_xlfn.XLOOKUP(TableauRecette[[#This Row],[ID]],TableauProduit[ID],TableauProduit[Total (kg) N8],0,0,1)*#REF!</f>
        <v>#REF!</v>
      </c>
      <c r="T448" t="e">
        <f>_xlfn.XLOOKUP(TableauRecette[[#This Row],[ID]],TableauProduit[ID],TableauProduit[Total (kg) N9],0,0,1)*#REF!</f>
        <v>#REF!</v>
      </c>
    </row>
    <row r="449" spans="1:20" x14ac:dyDescent="0.2">
      <c r="A449" t="s">
        <v>145</v>
      </c>
      <c r="B449" t="str">
        <f>TableauRecette[[#This Row],[Recette]]&amp;TableauRecette[[#This Row],[Conditionnement]]</f>
        <v>Tisane d'hiverRecharge craft 100ml</v>
      </c>
      <c r="C449" t="s">
        <v>480</v>
      </c>
      <c r="D449">
        <v>2</v>
      </c>
      <c r="E449" t="s">
        <v>146</v>
      </c>
      <c r="F449">
        <f>IFERROR(TableauRecette[[#This Row],[Proportion]]/SUMIFS(TableauRecette[Proportion],TableauRecette[Recette],TableauRecette[[#This Row],[Recette]],TableauRecette[Conditionnement],TableauRecette[[#This Row],[Conditionnement]]),0)</f>
        <v>0.22222222222222221</v>
      </c>
      <c r="G449">
        <f>IFERROR(_xlfn.XLOOKUP(TableauRecette[[#This Row],[Ingredients]],TableauIngredients[Ingredients],#REF!,0)*#REF!,0)</f>
        <v>0</v>
      </c>
      <c r="H449">
        <f>IFERROR(SUMIFS(TableauRecette[Proportion],TableauRecette[Recette],TableauRecette[[#This Row],[Recette]],TableauRecette[Conditionnement],TableauRecette[[#This Row],[Conditionnement]]),0)</f>
        <v>9</v>
      </c>
      <c r="I449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449" t="s">
        <v>479</v>
      </c>
      <c r="K449" t="s">
        <v>341</v>
      </c>
      <c r="L449">
        <f>_xlfn.XLOOKUP(TableauRecette[[#This Row],[ID]],TableauProduit[ID],TableauProduit[Total (kg) N1],0,0,1)*_xlfn.XLOOKUP(TableauRecette[[#This Row],[ID]],TableauProduit[ID],TableauProduit[Total (kg) N1],0,0,1)</f>
        <v>0</v>
      </c>
      <c r="M449" t="e">
        <f>_xlfn.XLOOKUP(TableauRecette[[#This Row],[ID]],TableauProduit[ID],TableauProduit[Total (kg) N1],0,0,1)*_xlfn.XLOOKUP(TableauRecette[[#This Row],[ID]],TableauProduit[ID],TableauProduit[Total (kg) N2],0,0,1)</f>
        <v>#REF!</v>
      </c>
      <c r="N449" t="e">
        <f>_xlfn.XLOOKUP(TableauRecette[[#This Row],[ID]],TableauProduit[ID],TableauProduit[Total (kg) N3],0,0,1)*#REF!</f>
        <v>#REF!</v>
      </c>
      <c r="O449" t="e">
        <f>_xlfn.XLOOKUP(TableauRecette[[#This Row],[ID]],TableauProduit[ID],TableauProduit[Total (kg) N4],0,0,1)*#REF!</f>
        <v>#REF!</v>
      </c>
      <c r="P449" t="e">
        <f>_xlfn.XLOOKUP(TableauRecette[[#This Row],[ID]],TableauProduit[ID],TableauProduit[Total (kg) N5],0,0,1)*#REF!</f>
        <v>#REF!</v>
      </c>
      <c r="Q449" t="e">
        <f>_xlfn.XLOOKUP(TableauRecette[[#This Row],[ID]],TableauProduit[ID],TableauProduit[Total (kg) N6],0,0,1)*#REF!</f>
        <v>#REF!</v>
      </c>
      <c r="R449" t="e">
        <f>_xlfn.XLOOKUP(TableauRecette[[#This Row],[ID]],TableauProduit[ID],TableauProduit[Total (kg) N7],0,0,1)*#REF!</f>
        <v>#REF!</v>
      </c>
      <c r="S449" t="e">
        <f>_xlfn.XLOOKUP(TableauRecette[[#This Row],[ID]],TableauProduit[ID],TableauProduit[Total (kg) N8],0,0,1)*#REF!</f>
        <v>#REF!</v>
      </c>
      <c r="T449" t="e">
        <f>_xlfn.XLOOKUP(TableauRecette[[#This Row],[ID]],TableauProduit[ID],TableauProduit[Total (kg) N9],0,0,1)*#REF!</f>
        <v>#REF!</v>
      </c>
    </row>
    <row r="450" spans="1:20" x14ac:dyDescent="0.2">
      <c r="A450" t="s">
        <v>145</v>
      </c>
      <c r="B450" t="str">
        <f>TableauRecette[[#This Row],[Recette]]&amp;TableauRecette[[#This Row],[Conditionnement]]</f>
        <v>Tisane d'hiverRecharge craft 100ml</v>
      </c>
      <c r="C450" t="s">
        <v>458</v>
      </c>
      <c r="D450">
        <v>2</v>
      </c>
      <c r="E450" t="s">
        <v>146</v>
      </c>
      <c r="F450">
        <f>IFERROR(TableauRecette[[#This Row],[Proportion]]/SUMIFS(TableauRecette[Proportion],TableauRecette[Recette],TableauRecette[[#This Row],[Recette]],TableauRecette[Conditionnement],TableauRecette[[#This Row],[Conditionnement]]),0)</f>
        <v>0.22222222222222221</v>
      </c>
      <c r="G450">
        <f>IFERROR(_xlfn.XLOOKUP(TableauRecette[[#This Row],[Ingredients]],TableauIngredients[Ingredients],#REF!,0)*#REF!,0)</f>
        <v>0</v>
      </c>
      <c r="H450">
        <f>IFERROR(SUMIFS(TableauRecette[Proportion],TableauRecette[Recette],TableauRecette[[#This Row],[Recette]],TableauRecette[Conditionnement],TableauRecette[[#This Row],[Conditionnement]]),0)</f>
        <v>9</v>
      </c>
      <c r="I450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450" t="s">
        <v>479</v>
      </c>
      <c r="K450" t="s">
        <v>341</v>
      </c>
      <c r="L450">
        <f>_xlfn.XLOOKUP(TableauRecette[[#This Row],[ID]],TableauProduit[ID],TableauProduit[Total (kg) N1],0,0,1)*_xlfn.XLOOKUP(TableauRecette[[#This Row],[ID]],TableauProduit[ID],TableauProduit[Total (kg) N1],0,0,1)</f>
        <v>0</v>
      </c>
      <c r="M450" t="e">
        <f>_xlfn.XLOOKUP(TableauRecette[[#This Row],[ID]],TableauProduit[ID],TableauProduit[Total (kg) N1],0,0,1)*_xlfn.XLOOKUP(TableauRecette[[#This Row],[ID]],TableauProduit[ID],TableauProduit[Total (kg) N2],0,0,1)</f>
        <v>#REF!</v>
      </c>
      <c r="N450" t="e">
        <f>_xlfn.XLOOKUP(TableauRecette[[#This Row],[ID]],TableauProduit[ID],TableauProduit[Total (kg) N3],0,0,1)*#REF!</f>
        <v>#REF!</v>
      </c>
      <c r="O450" t="e">
        <f>_xlfn.XLOOKUP(TableauRecette[[#This Row],[ID]],TableauProduit[ID],TableauProduit[Total (kg) N4],0,0,1)*#REF!</f>
        <v>#REF!</v>
      </c>
      <c r="P450" t="e">
        <f>_xlfn.XLOOKUP(TableauRecette[[#This Row],[ID]],TableauProduit[ID],TableauProduit[Total (kg) N5],0,0,1)*#REF!</f>
        <v>#REF!</v>
      </c>
      <c r="Q450" t="e">
        <f>_xlfn.XLOOKUP(TableauRecette[[#This Row],[ID]],TableauProduit[ID],TableauProduit[Total (kg) N6],0,0,1)*#REF!</f>
        <v>#REF!</v>
      </c>
      <c r="R450" t="e">
        <f>_xlfn.XLOOKUP(TableauRecette[[#This Row],[ID]],TableauProduit[ID],TableauProduit[Total (kg) N7],0,0,1)*#REF!</f>
        <v>#REF!</v>
      </c>
      <c r="S450" t="e">
        <f>_xlfn.XLOOKUP(TableauRecette[[#This Row],[ID]],TableauProduit[ID],TableauProduit[Total (kg) N8],0,0,1)*#REF!</f>
        <v>#REF!</v>
      </c>
      <c r="T450" t="e">
        <f>_xlfn.XLOOKUP(TableauRecette[[#This Row],[ID]],TableauProduit[ID],TableauProduit[Total (kg) N9],0,0,1)*#REF!</f>
        <v>#REF!</v>
      </c>
    </row>
    <row r="451" spans="1:20" x14ac:dyDescent="0.2">
      <c r="A451" t="s">
        <v>145</v>
      </c>
      <c r="B451" t="str">
        <f>TableauRecette[[#This Row],[Recette]]&amp;TableauRecette[[#This Row],[Conditionnement]]</f>
        <v>Tisane d'hiverRecharge craft 100ml</v>
      </c>
      <c r="C451" t="s">
        <v>483</v>
      </c>
      <c r="D451">
        <v>3</v>
      </c>
      <c r="E451" t="s">
        <v>146</v>
      </c>
      <c r="F451">
        <f>IFERROR(TableauRecette[[#This Row],[Proportion]]/SUMIFS(TableauRecette[Proportion],TableauRecette[Recette],TableauRecette[[#This Row],[Recette]],TableauRecette[Conditionnement],TableauRecette[[#This Row],[Conditionnement]]),0)</f>
        <v>0.33333333333333331</v>
      </c>
      <c r="G451">
        <f>IFERROR(_xlfn.XLOOKUP(TableauRecette[[#This Row],[Ingredients]],TableauIngredients[Ingredients],#REF!,0)*#REF!,0)</f>
        <v>0</v>
      </c>
      <c r="H451">
        <f>IFERROR(SUMIFS(TableauRecette[Proportion],TableauRecette[Recette],TableauRecette[[#This Row],[Recette]],TableauRecette[Conditionnement],TableauRecette[[#This Row],[Conditionnement]]),0)</f>
        <v>9</v>
      </c>
      <c r="I451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451" t="s">
        <v>479</v>
      </c>
      <c r="K451" t="s">
        <v>341</v>
      </c>
      <c r="L451">
        <f>_xlfn.XLOOKUP(TableauRecette[[#This Row],[ID]],TableauProduit[ID],TableauProduit[Total (kg) N1],0,0,1)*_xlfn.XLOOKUP(TableauRecette[[#This Row],[ID]],TableauProduit[ID],TableauProduit[Total (kg) N1],0,0,1)</f>
        <v>0</v>
      </c>
      <c r="M451" t="e">
        <f>_xlfn.XLOOKUP(TableauRecette[[#This Row],[ID]],TableauProduit[ID],TableauProduit[Total (kg) N1],0,0,1)*_xlfn.XLOOKUP(TableauRecette[[#This Row],[ID]],TableauProduit[ID],TableauProduit[Total (kg) N2],0,0,1)</f>
        <v>#REF!</v>
      </c>
      <c r="N451" t="e">
        <f>_xlfn.XLOOKUP(TableauRecette[[#This Row],[ID]],TableauProduit[ID],TableauProduit[Total (kg) N3],0,0,1)*#REF!</f>
        <v>#REF!</v>
      </c>
      <c r="O451" t="e">
        <f>_xlfn.XLOOKUP(TableauRecette[[#This Row],[ID]],TableauProduit[ID],TableauProduit[Total (kg) N4],0,0,1)*#REF!</f>
        <v>#REF!</v>
      </c>
      <c r="P451" t="e">
        <f>_xlfn.XLOOKUP(TableauRecette[[#This Row],[ID]],TableauProduit[ID],TableauProduit[Total (kg) N5],0,0,1)*#REF!</f>
        <v>#REF!</v>
      </c>
      <c r="Q451" t="e">
        <f>_xlfn.XLOOKUP(TableauRecette[[#This Row],[ID]],TableauProduit[ID],TableauProduit[Total (kg) N6],0,0,1)*#REF!</f>
        <v>#REF!</v>
      </c>
      <c r="R451" t="e">
        <f>_xlfn.XLOOKUP(TableauRecette[[#This Row],[ID]],TableauProduit[ID],TableauProduit[Total (kg) N7],0,0,1)*#REF!</f>
        <v>#REF!</v>
      </c>
      <c r="S451" t="e">
        <f>_xlfn.XLOOKUP(TableauRecette[[#This Row],[ID]],TableauProduit[ID],TableauProduit[Total (kg) N8],0,0,1)*#REF!</f>
        <v>#REF!</v>
      </c>
      <c r="T451" t="e">
        <f>_xlfn.XLOOKUP(TableauRecette[[#This Row],[ID]],TableauProduit[ID],TableauProduit[Total (kg) N9],0,0,1)*#REF!</f>
        <v>#REF!</v>
      </c>
    </row>
    <row r="452" spans="1:20" x14ac:dyDescent="0.2">
      <c r="A452" t="s">
        <v>145</v>
      </c>
      <c r="B452" t="str">
        <f>TableauRecette[[#This Row],[Recette]]&amp;TableauRecette[[#This Row],[Conditionnement]]</f>
        <v>Tisane d'hiverRecharge craft 100ml</v>
      </c>
      <c r="C452" t="s">
        <v>484</v>
      </c>
      <c r="D452">
        <v>1</v>
      </c>
      <c r="E452" t="s">
        <v>146</v>
      </c>
      <c r="F452">
        <f>IFERROR(TableauRecette[[#This Row],[Proportion]]/SUMIFS(TableauRecette[Proportion],TableauRecette[Recette],TableauRecette[[#This Row],[Recette]],TableauRecette[Conditionnement],TableauRecette[[#This Row],[Conditionnement]]),0)</f>
        <v>0.1111111111111111</v>
      </c>
      <c r="G452">
        <f>IFERROR(_xlfn.XLOOKUP(TableauRecette[[#This Row],[Ingredients]],TableauIngredients[Ingredients],#REF!,0)*#REF!,0)</f>
        <v>0</v>
      </c>
      <c r="H452">
        <f>IFERROR(SUMIFS(TableauRecette[Proportion],TableauRecette[Recette],TableauRecette[[#This Row],[Recette]],TableauRecette[Conditionnement],TableauRecette[[#This Row],[Conditionnement]]),0)</f>
        <v>9</v>
      </c>
      <c r="I452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452" t="s">
        <v>479</v>
      </c>
      <c r="K452" t="s">
        <v>341</v>
      </c>
      <c r="L452">
        <f>_xlfn.XLOOKUP(TableauRecette[[#This Row],[ID]],TableauProduit[ID],TableauProduit[Total (kg) N1],0,0,1)*_xlfn.XLOOKUP(TableauRecette[[#This Row],[ID]],TableauProduit[ID],TableauProduit[Total (kg) N1],0,0,1)</f>
        <v>0</v>
      </c>
      <c r="M452" t="e">
        <f>_xlfn.XLOOKUP(TableauRecette[[#This Row],[ID]],TableauProduit[ID],TableauProduit[Total (kg) N1],0,0,1)*_xlfn.XLOOKUP(TableauRecette[[#This Row],[ID]],TableauProduit[ID],TableauProduit[Total (kg) N2],0,0,1)</f>
        <v>#REF!</v>
      </c>
      <c r="N452" t="e">
        <f>_xlfn.XLOOKUP(TableauRecette[[#This Row],[ID]],TableauProduit[ID],TableauProduit[Total (kg) N3],0,0,1)*#REF!</f>
        <v>#REF!</v>
      </c>
      <c r="O452" t="e">
        <f>_xlfn.XLOOKUP(TableauRecette[[#This Row],[ID]],TableauProduit[ID],TableauProduit[Total (kg) N4],0,0,1)*#REF!</f>
        <v>#REF!</v>
      </c>
      <c r="P452" t="e">
        <f>_xlfn.XLOOKUP(TableauRecette[[#This Row],[ID]],TableauProduit[ID],TableauProduit[Total (kg) N5],0,0,1)*#REF!</f>
        <v>#REF!</v>
      </c>
      <c r="Q452" t="e">
        <f>_xlfn.XLOOKUP(TableauRecette[[#This Row],[ID]],TableauProduit[ID],TableauProduit[Total (kg) N6],0,0,1)*#REF!</f>
        <v>#REF!</v>
      </c>
      <c r="R452" t="e">
        <f>_xlfn.XLOOKUP(TableauRecette[[#This Row],[ID]],TableauProduit[ID],TableauProduit[Total (kg) N7],0,0,1)*#REF!</f>
        <v>#REF!</v>
      </c>
      <c r="S452" t="e">
        <f>_xlfn.XLOOKUP(TableauRecette[[#This Row],[ID]],TableauProduit[ID],TableauProduit[Total (kg) N8],0,0,1)*#REF!</f>
        <v>#REF!</v>
      </c>
      <c r="T452" t="e">
        <f>_xlfn.XLOOKUP(TableauRecette[[#This Row],[ID]],TableauProduit[ID],TableauProduit[Total (kg) N9],0,0,1)*#REF!</f>
        <v>#REF!</v>
      </c>
    </row>
    <row r="453" spans="1:20" x14ac:dyDescent="0.2">
      <c r="A453" t="s">
        <v>145</v>
      </c>
      <c r="B453" t="str">
        <f>TableauRecette[[#This Row],[Recette]]&amp;TableauRecette[[#This Row],[Conditionnement]]</f>
        <v>Tisane d'hiverRecharge craft 100ml</v>
      </c>
      <c r="C453" t="s">
        <v>485</v>
      </c>
      <c r="D453">
        <v>1</v>
      </c>
      <c r="E453" t="s">
        <v>146</v>
      </c>
      <c r="F453">
        <f>IFERROR(TableauRecette[[#This Row],[Proportion]]/SUMIFS(TableauRecette[Proportion],TableauRecette[Recette],TableauRecette[[#This Row],[Recette]],TableauRecette[Conditionnement],TableauRecette[[#This Row],[Conditionnement]]),0)</f>
        <v>0.1111111111111111</v>
      </c>
      <c r="G453">
        <f>IFERROR(_xlfn.XLOOKUP(TableauRecette[[#This Row],[Ingredients]],TableauIngredients[Ingredients],#REF!,0)*#REF!,0)</f>
        <v>0</v>
      </c>
      <c r="H453">
        <f>IFERROR(SUMIFS(TableauRecette[Proportion],TableauRecette[Recette],TableauRecette[[#This Row],[Recette]],TableauRecette[Conditionnement],TableauRecette[[#This Row],[Conditionnement]]),0)</f>
        <v>9</v>
      </c>
      <c r="I453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453" t="s">
        <v>479</v>
      </c>
      <c r="K453" t="s">
        <v>341</v>
      </c>
      <c r="L453">
        <f>_xlfn.XLOOKUP(TableauRecette[[#This Row],[ID]],TableauProduit[ID],TableauProduit[Total (kg) N1],0,0,1)*_xlfn.XLOOKUP(TableauRecette[[#This Row],[ID]],TableauProduit[ID],TableauProduit[Total (kg) N1],0,0,1)</f>
        <v>0</v>
      </c>
      <c r="M453" t="e">
        <f>_xlfn.XLOOKUP(TableauRecette[[#This Row],[ID]],TableauProduit[ID],TableauProduit[Total (kg) N1],0,0,1)*_xlfn.XLOOKUP(TableauRecette[[#This Row],[ID]],TableauProduit[ID],TableauProduit[Total (kg) N2],0,0,1)</f>
        <v>#REF!</v>
      </c>
      <c r="N453" t="e">
        <f>_xlfn.XLOOKUP(TableauRecette[[#This Row],[ID]],TableauProduit[ID],TableauProduit[Total (kg) N3],0,0,1)*#REF!</f>
        <v>#REF!</v>
      </c>
      <c r="O453" t="e">
        <f>_xlfn.XLOOKUP(TableauRecette[[#This Row],[ID]],TableauProduit[ID],TableauProduit[Total (kg) N4],0,0,1)*#REF!</f>
        <v>#REF!</v>
      </c>
      <c r="P453" t="e">
        <f>_xlfn.XLOOKUP(TableauRecette[[#This Row],[ID]],TableauProduit[ID],TableauProduit[Total (kg) N5],0,0,1)*#REF!</f>
        <v>#REF!</v>
      </c>
      <c r="Q453" t="e">
        <f>_xlfn.XLOOKUP(TableauRecette[[#This Row],[ID]],TableauProduit[ID],TableauProduit[Total (kg) N6],0,0,1)*#REF!</f>
        <v>#REF!</v>
      </c>
      <c r="R453" t="e">
        <f>_xlfn.XLOOKUP(TableauRecette[[#This Row],[ID]],TableauProduit[ID],TableauProduit[Total (kg) N7],0,0,1)*#REF!</f>
        <v>#REF!</v>
      </c>
      <c r="S453" t="e">
        <f>_xlfn.XLOOKUP(TableauRecette[[#This Row],[ID]],TableauProduit[ID],TableauProduit[Total (kg) N8],0,0,1)*#REF!</f>
        <v>#REF!</v>
      </c>
      <c r="T453" t="e">
        <f>_xlfn.XLOOKUP(TableauRecette[[#This Row],[ID]],TableauProduit[ID],TableauProduit[Total (kg) N9],0,0,1)*#REF!</f>
        <v>#REF!</v>
      </c>
    </row>
    <row r="454" spans="1:20" x14ac:dyDescent="0.2">
      <c r="A454" t="s">
        <v>147</v>
      </c>
      <c r="B454" t="str">
        <f>TableauRecette[[#This Row],[Recette]]&amp;TableauRecette[[#This Row],[Conditionnement]]</f>
        <v>Tisane digestiveRecharge craft 100ml</v>
      </c>
      <c r="C454" t="s">
        <v>486</v>
      </c>
      <c r="D454">
        <v>3</v>
      </c>
      <c r="E454" t="s">
        <v>146</v>
      </c>
      <c r="F454">
        <f>IFERROR(TableauRecette[[#This Row],[Proportion]]/SUMIFS(TableauRecette[Proportion],TableauRecette[Recette],TableauRecette[[#This Row],[Recette]],TableauRecette[Conditionnement],TableauRecette[[#This Row],[Conditionnement]]),0)</f>
        <v>0.3</v>
      </c>
      <c r="G454">
        <f>IFERROR(_xlfn.XLOOKUP(TableauRecette[[#This Row],[Ingredients]],TableauIngredients[Ingredients],#REF!,0)*#REF!,0)</f>
        <v>0</v>
      </c>
      <c r="H454">
        <f>IFERROR(SUMIFS(TableauRecette[Proportion],TableauRecette[Recette],TableauRecette[[#This Row],[Recette]],TableauRecette[Conditionnement],TableauRecette[[#This Row],[Conditionnement]]),0)</f>
        <v>10</v>
      </c>
      <c r="I454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454" t="s">
        <v>479</v>
      </c>
      <c r="K454" t="s">
        <v>341</v>
      </c>
      <c r="L454">
        <f>_xlfn.XLOOKUP(TableauRecette[[#This Row],[ID]],TableauProduit[ID],TableauProduit[Total (kg) N1],0,0,1)*_xlfn.XLOOKUP(TableauRecette[[#This Row],[ID]],TableauProduit[ID],TableauProduit[Total (kg) N1],0,0,1)</f>
        <v>0</v>
      </c>
      <c r="M454" t="e">
        <f>_xlfn.XLOOKUP(TableauRecette[[#This Row],[ID]],TableauProduit[ID],TableauProduit[Total (kg) N1],0,0,1)*_xlfn.XLOOKUP(TableauRecette[[#This Row],[ID]],TableauProduit[ID],TableauProduit[Total (kg) N2],0,0,1)</f>
        <v>#REF!</v>
      </c>
      <c r="N454" t="e">
        <f>_xlfn.XLOOKUP(TableauRecette[[#This Row],[ID]],TableauProduit[ID],TableauProduit[Total (kg) N3],0,0,1)*#REF!</f>
        <v>#REF!</v>
      </c>
      <c r="O454" t="e">
        <f>_xlfn.XLOOKUP(TableauRecette[[#This Row],[ID]],TableauProduit[ID],TableauProduit[Total (kg) N4],0,0,1)*#REF!</f>
        <v>#REF!</v>
      </c>
      <c r="P454" t="e">
        <f>_xlfn.XLOOKUP(TableauRecette[[#This Row],[ID]],TableauProduit[ID],TableauProduit[Total (kg) N5],0,0,1)*#REF!</f>
        <v>#REF!</v>
      </c>
      <c r="Q454" t="e">
        <f>_xlfn.XLOOKUP(TableauRecette[[#This Row],[ID]],TableauProduit[ID],TableauProduit[Total (kg) N6],0,0,1)*#REF!</f>
        <v>#REF!</v>
      </c>
      <c r="R454" t="e">
        <f>_xlfn.XLOOKUP(TableauRecette[[#This Row],[ID]],TableauProduit[ID],TableauProduit[Total (kg) N7],0,0,1)*#REF!</f>
        <v>#REF!</v>
      </c>
      <c r="S454" t="e">
        <f>_xlfn.XLOOKUP(TableauRecette[[#This Row],[ID]],TableauProduit[ID],TableauProduit[Total (kg) N8],0,0,1)*#REF!</f>
        <v>#REF!</v>
      </c>
      <c r="T454" t="e">
        <f>_xlfn.XLOOKUP(TableauRecette[[#This Row],[ID]],TableauProduit[ID],TableauProduit[Total (kg) N9],0,0,1)*#REF!</f>
        <v>#REF!</v>
      </c>
    </row>
    <row r="455" spans="1:20" x14ac:dyDescent="0.2">
      <c r="A455" t="s">
        <v>147</v>
      </c>
      <c r="B455" t="str">
        <f>TableauRecette[[#This Row],[Recette]]&amp;TableauRecette[[#This Row],[Conditionnement]]</f>
        <v>Tisane digestiveRecharge craft 100ml</v>
      </c>
      <c r="C455" t="s">
        <v>487</v>
      </c>
      <c r="D455">
        <v>2</v>
      </c>
      <c r="E455" t="s">
        <v>146</v>
      </c>
      <c r="F455">
        <f>IFERROR(TableauRecette[[#This Row],[Proportion]]/SUMIFS(TableauRecette[Proportion],TableauRecette[Recette],TableauRecette[[#This Row],[Recette]],TableauRecette[Conditionnement],TableauRecette[[#This Row],[Conditionnement]]),0)</f>
        <v>0.2</v>
      </c>
      <c r="G455">
        <f>IFERROR(_xlfn.XLOOKUP(TableauRecette[[#This Row],[Ingredients]],TableauIngredients[Ingredients],#REF!,0)*#REF!,0)</f>
        <v>0</v>
      </c>
      <c r="H455">
        <f>IFERROR(SUMIFS(TableauRecette[Proportion],TableauRecette[Recette],TableauRecette[[#This Row],[Recette]],TableauRecette[Conditionnement],TableauRecette[[#This Row],[Conditionnement]]),0)</f>
        <v>10</v>
      </c>
      <c r="I455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455" t="s">
        <v>479</v>
      </c>
      <c r="K455" t="s">
        <v>341</v>
      </c>
      <c r="L455">
        <f>_xlfn.XLOOKUP(TableauRecette[[#This Row],[ID]],TableauProduit[ID],TableauProduit[Total (kg) N1],0,0,1)*_xlfn.XLOOKUP(TableauRecette[[#This Row],[ID]],TableauProduit[ID],TableauProduit[Total (kg) N1],0,0,1)</f>
        <v>0</v>
      </c>
      <c r="M455" t="e">
        <f>_xlfn.XLOOKUP(TableauRecette[[#This Row],[ID]],TableauProduit[ID],TableauProduit[Total (kg) N1],0,0,1)*_xlfn.XLOOKUP(TableauRecette[[#This Row],[ID]],TableauProduit[ID],TableauProduit[Total (kg) N2],0,0,1)</f>
        <v>#REF!</v>
      </c>
      <c r="N455" t="e">
        <f>_xlfn.XLOOKUP(TableauRecette[[#This Row],[ID]],TableauProduit[ID],TableauProduit[Total (kg) N3],0,0,1)*#REF!</f>
        <v>#REF!</v>
      </c>
      <c r="O455" t="e">
        <f>_xlfn.XLOOKUP(TableauRecette[[#This Row],[ID]],TableauProduit[ID],TableauProduit[Total (kg) N4],0,0,1)*#REF!</f>
        <v>#REF!</v>
      </c>
      <c r="P455" t="e">
        <f>_xlfn.XLOOKUP(TableauRecette[[#This Row],[ID]],TableauProduit[ID],TableauProduit[Total (kg) N5],0,0,1)*#REF!</f>
        <v>#REF!</v>
      </c>
      <c r="Q455" t="e">
        <f>_xlfn.XLOOKUP(TableauRecette[[#This Row],[ID]],TableauProduit[ID],TableauProduit[Total (kg) N6],0,0,1)*#REF!</f>
        <v>#REF!</v>
      </c>
      <c r="R455" t="e">
        <f>_xlfn.XLOOKUP(TableauRecette[[#This Row],[ID]],TableauProduit[ID],TableauProduit[Total (kg) N7],0,0,1)*#REF!</f>
        <v>#REF!</v>
      </c>
      <c r="S455" t="e">
        <f>_xlfn.XLOOKUP(TableauRecette[[#This Row],[ID]],TableauProduit[ID],TableauProduit[Total (kg) N8],0,0,1)*#REF!</f>
        <v>#REF!</v>
      </c>
      <c r="T455" t="e">
        <f>_xlfn.XLOOKUP(TableauRecette[[#This Row],[ID]],TableauProduit[ID],TableauProduit[Total (kg) N9],0,0,1)*#REF!</f>
        <v>#REF!</v>
      </c>
    </row>
    <row r="456" spans="1:20" x14ac:dyDescent="0.2">
      <c r="A456" t="s">
        <v>147</v>
      </c>
      <c r="B456" t="str">
        <f>TableauRecette[[#This Row],[Recette]]&amp;TableauRecette[[#This Row],[Conditionnement]]</f>
        <v>Tisane digestiveRecharge craft 100ml</v>
      </c>
      <c r="C456" t="s">
        <v>488</v>
      </c>
      <c r="D456">
        <v>2</v>
      </c>
      <c r="E456" t="s">
        <v>146</v>
      </c>
      <c r="F456">
        <f>IFERROR(TableauRecette[[#This Row],[Proportion]]/SUMIFS(TableauRecette[Proportion],TableauRecette[Recette],TableauRecette[[#This Row],[Recette]],TableauRecette[Conditionnement],TableauRecette[[#This Row],[Conditionnement]]),0)</f>
        <v>0.2</v>
      </c>
      <c r="G456">
        <f>IFERROR(_xlfn.XLOOKUP(TableauRecette[[#This Row],[Ingredients]],TableauIngredients[Ingredients],#REF!,0)*#REF!,0)</f>
        <v>0</v>
      </c>
      <c r="H456">
        <f>IFERROR(SUMIFS(TableauRecette[Proportion],TableauRecette[Recette],TableauRecette[[#This Row],[Recette]],TableauRecette[Conditionnement],TableauRecette[[#This Row],[Conditionnement]]),0)</f>
        <v>10</v>
      </c>
      <c r="I456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456" t="s">
        <v>479</v>
      </c>
      <c r="K456" t="s">
        <v>341</v>
      </c>
      <c r="L456">
        <f>_xlfn.XLOOKUP(TableauRecette[[#This Row],[ID]],TableauProduit[ID],TableauProduit[Total (kg) N1],0,0,1)*_xlfn.XLOOKUP(TableauRecette[[#This Row],[ID]],TableauProduit[ID],TableauProduit[Total (kg) N1],0,0,1)</f>
        <v>0</v>
      </c>
      <c r="M456" t="e">
        <f>_xlfn.XLOOKUP(TableauRecette[[#This Row],[ID]],TableauProduit[ID],TableauProduit[Total (kg) N1],0,0,1)*_xlfn.XLOOKUP(TableauRecette[[#This Row],[ID]],TableauProduit[ID],TableauProduit[Total (kg) N2],0,0,1)</f>
        <v>#REF!</v>
      </c>
      <c r="N456" t="e">
        <f>_xlfn.XLOOKUP(TableauRecette[[#This Row],[ID]],TableauProduit[ID],TableauProduit[Total (kg) N3],0,0,1)*#REF!</f>
        <v>#REF!</v>
      </c>
      <c r="O456" t="e">
        <f>_xlfn.XLOOKUP(TableauRecette[[#This Row],[ID]],TableauProduit[ID],TableauProduit[Total (kg) N4],0,0,1)*#REF!</f>
        <v>#REF!</v>
      </c>
      <c r="P456" t="e">
        <f>_xlfn.XLOOKUP(TableauRecette[[#This Row],[ID]],TableauProduit[ID],TableauProduit[Total (kg) N5],0,0,1)*#REF!</f>
        <v>#REF!</v>
      </c>
      <c r="Q456" t="e">
        <f>_xlfn.XLOOKUP(TableauRecette[[#This Row],[ID]],TableauProduit[ID],TableauProduit[Total (kg) N6],0,0,1)*#REF!</f>
        <v>#REF!</v>
      </c>
      <c r="R456" t="e">
        <f>_xlfn.XLOOKUP(TableauRecette[[#This Row],[ID]],TableauProduit[ID],TableauProduit[Total (kg) N7],0,0,1)*#REF!</f>
        <v>#REF!</v>
      </c>
      <c r="S456" t="e">
        <f>_xlfn.XLOOKUP(TableauRecette[[#This Row],[ID]],TableauProduit[ID],TableauProduit[Total (kg) N8],0,0,1)*#REF!</f>
        <v>#REF!</v>
      </c>
      <c r="T456" t="e">
        <f>_xlfn.XLOOKUP(TableauRecette[[#This Row],[ID]],TableauProduit[ID],TableauProduit[Total (kg) N9],0,0,1)*#REF!</f>
        <v>#REF!</v>
      </c>
    </row>
    <row r="457" spans="1:20" x14ac:dyDescent="0.2">
      <c r="A457" t="s">
        <v>147</v>
      </c>
      <c r="B457" t="str">
        <f>TableauRecette[[#This Row],[Recette]]&amp;TableauRecette[[#This Row],[Conditionnement]]</f>
        <v>Tisane digestiveRecharge craft 100ml</v>
      </c>
      <c r="C457" t="s">
        <v>459</v>
      </c>
      <c r="D457">
        <v>2</v>
      </c>
      <c r="E457" t="s">
        <v>146</v>
      </c>
      <c r="F457">
        <f>IFERROR(TableauRecette[[#This Row],[Proportion]]/SUMIFS(TableauRecette[Proportion],TableauRecette[Recette],TableauRecette[[#This Row],[Recette]],TableauRecette[Conditionnement],TableauRecette[[#This Row],[Conditionnement]]),0)</f>
        <v>0.2</v>
      </c>
      <c r="G457">
        <f>IFERROR(_xlfn.XLOOKUP(TableauRecette[[#This Row],[Ingredients]],TableauIngredients[Ingredients],#REF!,0)*#REF!,0)</f>
        <v>0</v>
      </c>
      <c r="H457">
        <f>IFERROR(SUMIFS(TableauRecette[Proportion],TableauRecette[Recette],TableauRecette[[#This Row],[Recette]],TableauRecette[Conditionnement],TableauRecette[[#This Row],[Conditionnement]]),0)</f>
        <v>10</v>
      </c>
      <c r="I457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457" t="s">
        <v>479</v>
      </c>
      <c r="K457" t="s">
        <v>341</v>
      </c>
      <c r="L457">
        <f>_xlfn.XLOOKUP(TableauRecette[[#This Row],[ID]],TableauProduit[ID],TableauProduit[Total (kg) N1],0,0,1)*_xlfn.XLOOKUP(TableauRecette[[#This Row],[ID]],TableauProduit[ID],TableauProduit[Total (kg) N1],0,0,1)</f>
        <v>0</v>
      </c>
      <c r="M457" t="e">
        <f>_xlfn.XLOOKUP(TableauRecette[[#This Row],[ID]],TableauProduit[ID],TableauProduit[Total (kg) N1],0,0,1)*_xlfn.XLOOKUP(TableauRecette[[#This Row],[ID]],TableauProduit[ID],TableauProduit[Total (kg) N2],0,0,1)</f>
        <v>#REF!</v>
      </c>
      <c r="N457" t="e">
        <f>_xlfn.XLOOKUP(TableauRecette[[#This Row],[ID]],TableauProduit[ID],TableauProduit[Total (kg) N3],0,0,1)*#REF!</f>
        <v>#REF!</v>
      </c>
      <c r="O457" t="e">
        <f>_xlfn.XLOOKUP(TableauRecette[[#This Row],[ID]],TableauProduit[ID],TableauProduit[Total (kg) N4],0,0,1)*#REF!</f>
        <v>#REF!</v>
      </c>
      <c r="P457" t="e">
        <f>_xlfn.XLOOKUP(TableauRecette[[#This Row],[ID]],TableauProduit[ID],TableauProduit[Total (kg) N5],0,0,1)*#REF!</f>
        <v>#REF!</v>
      </c>
      <c r="Q457" t="e">
        <f>_xlfn.XLOOKUP(TableauRecette[[#This Row],[ID]],TableauProduit[ID],TableauProduit[Total (kg) N6],0,0,1)*#REF!</f>
        <v>#REF!</v>
      </c>
      <c r="R457" t="e">
        <f>_xlfn.XLOOKUP(TableauRecette[[#This Row],[ID]],TableauProduit[ID],TableauProduit[Total (kg) N7],0,0,1)*#REF!</f>
        <v>#REF!</v>
      </c>
      <c r="S457" t="e">
        <f>_xlfn.XLOOKUP(TableauRecette[[#This Row],[ID]],TableauProduit[ID],TableauProduit[Total (kg) N8],0,0,1)*#REF!</f>
        <v>#REF!</v>
      </c>
      <c r="T457" t="e">
        <f>_xlfn.XLOOKUP(TableauRecette[[#This Row],[ID]],TableauProduit[ID],TableauProduit[Total (kg) N9],0,0,1)*#REF!</f>
        <v>#REF!</v>
      </c>
    </row>
    <row r="458" spans="1:20" x14ac:dyDescent="0.2">
      <c r="A458" t="s">
        <v>147</v>
      </c>
      <c r="B458" t="str">
        <f>TableauRecette[[#This Row],[Recette]]&amp;TableauRecette[[#This Row],[Conditionnement]]</f>
        <v>Tisane digestiveRecharge craft 100ml</v>
      </c>
      <c r="C458" t="s">
        <v>489</v>
      </c>
      <c r="D458">
        <v>1</v>
      </c>
      <c r="E458" t="s">
        <v>146</v>
      </c>
      <c r="F458">
        <f>IFERROR(TableauRecette[[#This Row],[Proportion]]/SUMIFS(TableauRecette[Proportion],TableauRecette[Recette],TableauRecette[[#This Row],[Recette]],TableauRecette[Conditionnement],TableauRecette[[#This Row],[Conditionnement]]),0)</f>
        <v>0.1</v>
      </c>
      <c r="G458">
        <f>IFERROR(_xlfn.XLOOKUP(TableauRecette[[#This Row],[Ingredients]],TableauIngredients[Ingredients],#REF!,0)*#REF!,0)</f>
        <v>0</v>
      </c>
      <c r="H458">
        <f>IFERROR(SUMIFS(TableauRecette[Proportion],TableauRecette[Recette],TableauRecette[[#This Row],[Recette]],TableauRecette[Conditionnement],TableauRecette[[#This Row],[Conditionnement]]),0)</f>
        <v>10</v>
      </c>
      <c r="I458">
        <f>_xlfn.XLOOKUP(TableauRecette[[#This Row],[Ingredients]],TableauIngredients[Ingredients],TableauIngredients[Prix d''achat (kg)],0,0,1)*TableauRecette[[#This Row],[Proportion]]/TableauRecette[[#This Row],[Total Proportion]]</f>
        <v>0</v>
      </c>
      <c r="J458" t="s">
        <v>479</v>
      </c>
      <c r="K458" t="s">
        <v>341</v>
      </c>
      <c r="L458">
        <f>_xlfn.XLOOKUP(TableauRecette[[#This Row],[ID]],TableauProduit[ID],TableauProduit[Total (kg) N1],0,0,1)*_xlfn.XLOOKUP(TableauRecette[[#This Row],[ID]],TableauProduit[ID],TableauProduit[Total (kg) N1],0,0,1)</f>
        <v>0</v>
      </c>
      <c r="M458" t="e">
        <f>_xlfn.XLOOKUP(TableauRecette[[#This Row],[ID]],TableauProduit[ID],TableauProduit[Total (kg) N1],0,0,1)*_xlfn.XLOOKUP(TableauRecette[[#This Row],[ID]],TableauProduit[ID],TableauProduit[Total (kg) N2],0,0,1)</f>
        <v>#REF!</v>
      </c>
      <c r="N458" t="e">
        <f>_xlfn.XLOOKUP(TableauRecette[[#This Row],[ID]],TableauProduit[ID],TableauProduit[Total (kg) N3],0,0,1)*#REF!</f>
        <v>#REF!</v>
      </c>
      <c r="O458" t="e">
        <f>_xlfn.XLOOKUP(TableauRecette[[#This Row],[ID]],TableauProduit[ID],TableauProduit[Total (kg) N4],0,0,1)*#REF!</f>
        <v>#REF!</v>
      </c>
      <c r="P458" t="e">
        <f>_xlfn.XLOOKUP(TableauRecette[[#This Row],[ID]],TableauProduit[ID],TableauProduit[Total (kg) N5],0,0,1)*#REF!</f>
        <v>#REF!</v>
      </c>
      <c r="Q458" t="e">
        <f>_xlfn.XLOOKUP(TableauRecette[[#This Row],[ID]],TableauProduit[ID],TableauProduit[Total (kg) N6],0,0,1)*#REF!</f>
        <v>#REF!</v>
      </c>
      <c r="R458" t="e">
        <f>_xlfn.XLOOKUP(TableauRecette[[#This Row],[ID]],TableauProduit[ID],TableauProduit[Total (kg) N7],0,0,1)*#REF!</f>
        <v>#REF!</v>
      </c>
      <c r="S458" t="e">
        <f>_xlfn.XLOOKUP(TableauRecette[[#This Row],[ID]],TableauProduit[ID],TableauProduit[Total (kg) N8],0,0,1)*#REF!</f>
        <v>#REF!</v>
      </c>
      <c r="T458" t="e">
        <f>_xlfn.XLOOKUP(TableauRecette[[#This Row],[ID]],TableauProduit[ID],TableauProduit[Total (kg) N9],0,0,1)*#REF!</f>
        <v>#REF!</v>
      </c>
    </row>
  </sheetData>
  <pageMargins left="0.7" right="0.7" top="0.75" bottom="0.75" header="0.3" footer="0.3"/>
  <pageSetup paperSize="9" orientation="portrait" horizontalDpi="360" verticalDpi="36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0"/>
  <sheetViews>
    <sheetView workbookViewId="0">
      <pane ySplit="3" topLeftCell="A4" activePane="bottomLeft" state="frozen"/>
      <selection pane="bottomLeft" sqref="A1:L1"/>
    </sheetView>
  </sheetViews>
  <sheetFormatPr baseColWidth="10" defaultColWidth="8.83203125" defaultRowHeight="16" x14ac:dyDescent="0.2"/>
  <cols>
    <col min="1" max="1" width="34" customWidth="1"/>
    <col min="2" max="2" width="29" customWidth="1"/>
    <col min="3" max="3" width="24" customWidth="1"/>
    <col min="4" max="4" width="40" customWidth="1"/>
    <col min="5" max="5" width="11" customWidth="1"/>
    <col min="6" max="6" width="13" customWidth="1"/>
    <col min="7" max="7" width="11" customWidth="1"/>
    <col min="8" max="8" width="13" customWidth="1"/>
    <col min="9" max="9" width="11" customWidth="1"/>
    <col min="10" max="10" width="13" customWidth="1"/>
    <col min="11" max="11" width="19" customWidth="1"/>
    <col min="12" max="12" width="45" customWidth="1"/>
  </cols>
  <sheetData>
    <row r="1" spans="1:12" ht="19" x14ac:dyDescent="0.25">
      <c r="A1" s="510" t="s">
        <v>490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</row>
    <row r="2" spans="1:12" ht="35" customHeight="1" x14ac:dyDescent="0.2">
      <c r="A2" s="508" t="s">
        <v>491</v>
      </c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09"/>
    </row>
    <row r="3" spans="1:12" x14ac:dyDescent="0.2">
      <c r="A3" s="495" t="s">
        <v>492</v>
      </c>
      <c r="B3" s="495" t="s">
        <v>493</v>
      </c>
      <c r="C3" s="495" t="s">
        <v>494</v>
      </c>
      <c r="D3" s="495" t="s">
        <v>495</v>
      </c>
      <c r="E3" s="495" t="s">
        <v>496</v>
      </c>
      <c r="F3" s="495" t="s">
        <v>497</v>
      </c>
      <c r="G3" s="495" t="s">
        <v>498</v>
      </c>
      <c r="H3" s="495" t="s">
        <v>499</v>
      </c>
      <c r="I3" s="495" t="s">
        <v>500</v>
      </c>
      <c r="J3" s="495" t="s">
        <v>501</v>
      </c>
      <c r="K3" s="495" t="s">
        <v>502</v>
      </c>
      <c r="L3" s="495" t="s">
        <v>503</v>
      </c>
    </row>
    <row r="4" spans="1:12" ht="17" x14ac:dyDescent="0.2">
      <c r="A4" s="496" t="s">
        <v>504</v>
      </c>
      <c r="B4" s="496" t="s">
        <v>505</v>
      </c>
      <c r="C4" s="496" t="s">
        <v>506</v>
      </c>
      <c r="D4" s="496" t="s">
        <v>365</v>
      </c>
      <c r="E4" s="496">
        <v>438.6</v>
      </c>
      <c r="F4" s="496">
        <v>438.6</v>
      </c>
      <c r="G4" s="496">
        <v>657.89</v>
      </c>
      <c r="H4" s="496">
        <v>657.9</v>
      </c>
      <c r="I4" s="496">
        <v>768.03</v>
      </c>
      <c r="J4" s="496">
        <v>768</v>
      </c>
      <c r="K4" s="496">
        <v>192</v>
      </c>
      <c r="L4" s="496" t="s">
        <v>507</v>
      </c>
    </row>
    <row r="5" spans="1:12" ht="17" x14ac:dyDescent="0.2">
      <c r="A5" s="496" t="s">
        <v>508</v>
      </c>
      <c r="B5" s="496" t="s">
        <v>509</v>
      </c>
      <c r="C5" s="496" t="s">
        <v>506</v>
      </c>
      <c r="D5" s="496" t="s">
        <v>368</v>
      </c>
      <c r="E5" s="496">
        <v>161.4</v>
      </c>
      <c r="F5" s="496">
        <v>161.4</v>
      </c>
      <c r="G5" s="496">
        <v>242.52</v>
      </c>
      <c r="H5" s="496">
        <v>242.5</v>
      </c>
      <c r="I5" s="496">
        <v>284.83</v>
      </c>
      <c r="J5" s="496">
        <v>284.8</v>
      </c>
      <c r="K5" s="496">
        <v>2374</v>
      </c>
      <c r="L5" s="496" t="s">
        <v>510</v>
      </c>
    </row>
    <row r="6" spans="1:12" ht="34" x14ac:dyDescent="0.2">
      <c r="A6" s="496" t="s">
        <v>511</v>
      </c>
      <c r="B6" s="496" t="s">
        <v>512</v>
      </c>
      <c r="C6" s="496" t="s">
        <v>506</v>
      </c>
      <c r="D6" s="496" t="s">
        <v>513</v>
      </c>
      <c r="E6" s="496">
        <v>61.67</v>
      </c>
      <c r="F6" s="496">
        <v>493.4</v>
      </c>
      <c r="G6" s="496">
        <v>92.92</v>
      </c>
      <c r="H6" s="496">
        <v>743.4</v>
      </c>
      <c r="I6" s="496">
        <v>109.3</v>
      </c>
      <c r="J6" s="496">
        <v>874.4</v>
      </c>
      <c r="K6" s="496">
        <v>364</v>
      </c>
      <c r="L6" s="496" t="s">
        <v>514</v>
      </c>
    </row>
    <row r="7" spans="1:12" ht="17" x14ac:dyDescent="0.2">
      <c r="A7" s="496" t="s">
        <v>515</v>
      </c>
      <c r="B7" s="496" t="s">
        <v>509</v>
      </c>
      <c r="C7" s="496" t="s">
        <v>506</v>
      </c>
      <c r="D7" s="496" t="s">
        <v>516</v>
      </c>
      <c r="E7" s="496">
        <v>54.98</v>
      </c>
      <c r="F7" s="496">
        <v>55</v>
      </c>
      <c r="G7" s="496">
        <v>85.16</v>
      </c>
      <c r="H7" s="496">
        <v>85.2</v>
      </c>
      <c r="I7" s="496">
        <v>102.67</v>
      </c>
      <c r="J7" s="496">
        <v>102.7</v>
      </c>
      <c r="K7" s="496">
        <v>1711</v>
      </c>
      <c r="L7" s="496" t="s">
        <v>517</v>
      </c>
    </row>
    <row r="8" spans="1:12" ht="34" x14ac:dyDescent="0.2">
      <c r="A8" s="496" t="s">
        <v>408</v>
      </c>
      <c r="B8" s="496" t="s">
        <v>505</v>
      </c>
      <c r="C8" s="496" t="s">
        <v>506</v>
      </c>
      <c r="D8" s="496" t="s">
        <v>518</v>
      </c>
      <c r="E8" s="496">
        <v>20.8</v>
      </c>
      <c r="F8" s="496">
        <v>20.8</v>
      </c>
      <c r="G8" s="496">
        <v>31.95</v>
      </c>
      <c r="H8" s="496">
        <v>32</v>
      </c>
      <c r="I8" s="496">
        <v>38.31</v>
      </c>
      <c r="J8" s="496">
        <v>38.299999999999997</v>
      </c>
      <c r="K8" s="496">
        <v>48</v>
      </c>
      <c r="L8" s="496" t="s">
        <v>519</v>
      </c>
    </row>
    <row r="9" spans="1:12" ht="17" x14ac:dyDescent="0.2">
      <c r="A9" s="496" t="s">
        <v>392</v>
      </c>
      <c r="B9" s="496" t="s">
        <v>520</v>
      </c>
      <c r="C9" s="496" t="s">
        <v>521</v>
      </c>
      <c r="D9" s="496" t="s">
        <v>392</v>
      </c>
      <c r="E9" s="496">
        <v>19.899999999999999</v>
      </c>
      <c r="F9" s="496">
        <v>79.599999999999994</v>
      </c>
      <c r="G9" s="496">
        <v>30.14</v>
      </c>
      <c r="H9" s="496">
        <v>120.6</v>
      </c>
      <c r="I9" s="496">
        <v>35.24</v>
      </c>
      <c r="J9" s="496">
        <v>141</v>
      </c>
      <c r="K9" s="496">
        <v>176</v>
      </c>
      <c r="L9" s="496" t="s">
        <v>522</v>
      </c>
    </row>
    <row r="10" spans="1:12" ht="17" x14ac:dyDescent="0.2">
      <c r="A10" s="496" t="s">
        <v>381</v>
      </c>
      <c r="B10" s="496" t="s">
        <v>520</v>
      </c>
      <c r="C10" s="496" t="s">
        <v>523</v>
      </c>
      <c r="D10" s="496" t="s">
        <v>524</v>
      </c>
      <c r="E10" s="496">
        <v>17.34</v>
      </c>
      <c r="F10" s="496">
        <v>69.400000000000006</v>
      </c>
      <c r="G10" s="496">
        <v>34.159999999999997</v>
      </c>
      <c r="H10" s="496">
        <v>136.6</v>
      </c>
      <c r="I10" s="496">
        <v>41.36</v>
      </c>
      <c r="J10" s="496">
        <v>165.4</v>
      </c>
      <c r="K10" s="496">
        <v>165</v>
      </c>
      <c r="L10" s="496" t="s">
        <v>525</v>
      </c>
    </row>
    <row r="11" spans="1:12" ht="17" x14ac:dyDescent="0.2">
      <c r="A11" s="496" t="s">
        <v>526</v>
      </c>
      <c r="B11" s="496" t="s">
        <v>509</v>
      </c>
      <c r="C11" s="496" t="s">
        <v>527</v>
      </c>
      <c r="D11" s="496" t="s">
        <v>358</v>
      </c>
      <c r="E11" s="496">
        <v>17.07</v>
      </c>
      <c r="F11" s="496">
        <v>17.100000000000001</v>
      </c>
      <c r="G11" s="496">
        <v>25.6</v>
      </c>
      <c r="H11" s="496">
        <v>25.6</v>
      </c>
      <c r="I11" s="496">
        <v>29.95</v>
      </c>
      <c r="J11" s="496">
        <v>29.9</v>
      </c>
      <c r="K11" s="496">
        <v>374</v>
      </c>
      <c r="L11" s="496" t="s">
        <v>528</v>
      </c>
    </row>
    <row r="12" spans="1:12" ht="17" x14ac:dyDescent="0.2">
      <c r="A12" s="496" t="s">
        <v>411</v>
      </c>
      <c r="B12" s="496" t="s">
        <v>520</v>
      </c>
      <c r="C12" s="496" t="s">
        <v>529</v>
      </c>
      <c r="D12" s="496" t="s">
        <v>530</v>
      </c>
      <c r="E12" s="496">
        <v>13.52</v>
      </c>
      <c r="F12" s="496">
        <v>47.3</v>
      </c>
      <c r="G12" s="496">
        <v>21.03</v>
      </c>
      <c r="H12" s="496">
        <v>73.599999999999994</v>
      </c>
      <c r="I12" s="496">
        <v>24.68</v>
      </c>
      <c r="J12" s="496">
        <v>86.4</v>
      </c>
      <c r="K12" s="496">
        <v>165</v>
      </c>
      <c r="L12" s="496"/>
    </row>
    <row r="13" spans="1:12" ht="17" x14ac:dyDescent="0.2">
      <c r="A13" s="496" t="s">
        <v>412</v>
      </c>
      <c r="B13" s="496" t="s">
        <v>520</v>
      </c>
      <c r="C13" s="496" t="s">
        <v>529</v>
      </c>
      <c r="D13" s="496" t="s">
        <v>531</v>
      </c>
      <c r="E13" s="496">
        <v>13.52</v>
      </c>
      <c r="F13" s="496">
        <v>54.1</v>
      </c>
      <c r="G13" s="496">
        <v>21.03</v>
      </c>
      <c r="H13" s="496">
        <v>84.1</v>
      </c>
      <c r="I13" s="496">
        <v>24.68</v>
      </c>
      <c r="J13" s="496">
        <v>98.7</v>
      </c>
      <c r="K13" s="496">
        <v>123</v>
      </c>
      <c r="L13" s="496"/>
    </row>
    <row r="14" spans="1:12" ht="17" x14ac:dyDescent="0.2">
      <c r="A14" s="496" t="s">
        <v>532</v>
      </c>
      <c r="B14" s="496" t="s">
        <v>533</v>
      </c>
      <c r="C14" s="496" t="s">
        <v>506</v>
      </c>
      <c r="D14" s="496" t="s">
        <v>534</v>
      </c>
      <c r="E14" s="496">
        <v>11.62</v>
      </c>
      <c r="F14" s="496">
        <v>69.7</v>
      </c>
      <c r="G14" s="496">
        <v>19.36</v>
      </c>
      <c r="H14" s="496">
        <v>116.1</v>
      </c>
      <c r="I14" s="496">
        <v>22.93</v>
      </c>
      <c r="J14" s="496">
        <v>137.6</v>
      </c>
      <c r="K14" s="496">
        <v>76</v>
      </c>
      <c r="L14" s="496"/>
    </row>
    <row r="15" spans="1:12" ht="17" x14ac:dyDescent="0.2">
      <c r="A15" s="496" t="s">
        <v>438</v>
      </c>
      <c r="B15" s="496" t="s">
        <v>520</v>
      </c>
      <c r="C15" s="496" t="s">
        <v>535</v>
      </c>
      <c r="D15" s="496" t="s">
        <v>438</v>
      </c>
      <c r="E15" s="496">
        <v>3.89</v>
      </c>
      <c r="F15" s="496">
        <v>3.9</v>
      </c>
      <c r="G15" s="496">
        <v>5.83</v>
      </c>
      <c r="H15" s="496">
        <v>5.8</v>
      </c>
      <c r="I15" s="496">
        <v>6.8</v>
      </c>
      <c r="J15" s="496">
        <v>6.8</v>
      </c>
      <c r="K15" s="496">
        <v>170</v>
      </c>
      <c r="L15" s="496" t="s">
        <v>536</v>
      </c>
    </row>
    <row r="16" spans="1:12" ht="17" x14ac:dyDescent="0.2">
      <c r="A16" s="496" t="s">
        <v>537</v>
      </c>
      <c r="B16" s="496" t="s">
        <v>538</v>
      </c>
      <c r="C16" s="496" t="s">
        <v>539</v>
      </c>
      <c r="D16" s="496" t="s">
        <v>407</v>
      </c>
      <c r="E16" s="496">
        <v>3.89</v>
      </c>
      <c r="F16" s="496">
        <v>3.9</v>
      </c>
      <c r="G16" s="496">
        <v>5.83</v>
      </c>
      <c r="H16" s="496">
        <v>5.8</v>
      </c>
      <c r="I16" s="496">
        <v>9.9499999999999993</v>
      </c>
      <c r="J16" s="496">
        <v>9.9</v>
      </c>
      <c r="K16" s="496">
        <v>199</v>
      </c>
      <c r="L16" s="496" t="s">
        <v>540</v>
      </c>
    </row>
    <row r="17" spans="1:12" ht="17" x14ac:dyDescent="0.2">
      <c r="A17" s="496" t="s">
        <v>86</v>
      </c>
      <c r="B17" s="496" t="s">
        <v>512</v>
      </c>
      <c r="C17" s="496" t="s">
        <v>541</v>
      </c>
      <c r="D17" s="496" t="s">
        <v>367</v>
      </c>
      <c r="E17" s="496">
        <v>3.21</v>
      </c>
      <c r="F17" s="496">
        <v>16.100000000000001</v>
      </c>
      <c r="G17" s="496">
        <v>17.28</v>
      </c>
      <c r="H17" s="496">
        <v>86.4</v>
      </c>
      <c r="I17" s="496">
        <v>23.19</v>
      </c>
      <c r="J17" s="496">
        <v>116</v>
      </c>
      <c r="K17" s="496">
        <v>290</v>
      </c>
      <c r="L17" s="496" t="s">
        <v>542</v>
      </c>
    </row>
    <row r="18" spans="1:12" ht="17" x14ac:dyDescent="0.2">
      <c r="A18" s="496" t="s">
        <v>428</v>
      </c>
      <c r="B18" s="496" t="s">
        <v>543</v>
      </c>
      <c r="C18" s="496" t="s">
        <v>506</v>
      </c>
      <c r="D18" s="496" t="s">
        <v>428</v>
      </c>
      <c r="E18" s="496">
        <v>2.89</v>
      </c>
      <c r="F18" s="496">
        <v>14.4</v>
      </c>
      <c r="G18" s="496">
        <v>4.33</v>
      </c>
      <c r="H18" s="496">
        <v>21.7</v>
      </c>
      <c r="I18" s="496">
        <v>5.05</v>
      </c>
      <c r="J18" s="496">
        <v>25.3</v>
      </c>
      <c r="K18" s="496">
        <v>34</v>
      </c>
      <c r="L18" s="496" t="s">
        <v>544</v>
      </c>
    </row>
    <row r="19" spans="1:12" ht="17" x14ac:dyDescent="0.2">
      <c r="A19" s="496" t="s">
        <v>545</v>
      </c>
      <c r="B19" s="496" t="s">
        <v>546</v>
      </c>
      <c r="C19" s="496" t="s">
        <v>506</v>
      </c>
      <c r="D19" s="496" t="s">
        <v>351</v>
      </c>
      <c r="E19" s="496">
        <v>2.41</v>
      </c>
      <c r="F19" s="496">
        <v>2.4</v>
      </c>
      <c r="G19" s="496">
        <v>3.93</v>
      </c>
      <c r="H19" s="496">
        <v>3.9</v>
      </c>
      <c r="I19" s="496">
        <v>7.33</v>
      </c>
      <c r="J19" s="496">
        <v>7.3</v>
      </c>
      <c r="K19" s="496">
        <v>92</v>
      </c>
      <c r="L19" s="496" t="s">
        <v>547</v>
      </c>
    </row>
    <row r="20" spans="1:12" ht="17" x14ac:dyDescent="0.2">
      <c r="A20" s="496" t="s">
        <v>76</v>
      </c>
      <c r="B20" s="496" t="s">
        <v>512</v>
      </c>
      <c r="C20" s="496" t="s">
        <v>541</v>
      </c>
      <c r="D20" s="496" t="s">
        <v>345</v>
      </c>
      <c r="E20" s="496">
        <v>1.61</v>
      </c>
      <c r="F20" s="496">
        <v>8</v>
      </c>
      <c r="G20" s="496">
        <v>12.42</v>
      </c>
      <c r="H20" s="496">
        <v>62.1</v>
      </c>
      <c r="I20" s="496">
        <v>17.489999999999998</v>
      </c>
      <c r="J20" s="496">
        <v>87.5</v>
      </c>
      <c r="K20" s="496">
        <v>219</v>
      </c>
      <c r="L20" s="496" t="s">
        <v>548</v>
      </c>
    </row>
    <row r="21" spans="1:12" ht="17" x14ac:dyDescent="0.2">
      <c r="A21" s="496" t="s">
        <v>549</v>
      </c>
      <c r="B21" s="496" t="s">
        <v>512</v>
      </c>
      <c r="C21" s="496" t="s">
        <v>506</v>
      </c>
      <c r="D21" s="496" t="s">
        <v>413</v>
      </c>
      <c r="E21" s="496">
        <v>1.56</v>
      </c>
      <c r="F21" s="496">
        <v>12.5</v>
      </c>
      <c r="G21" s="496">
        <v>2.34</v>
      </c>
      <c r="H21" s="496">
        <v>18.7</v>
      </c>
      <c r="I21" s="496">
        <v>2.73</v>
      </c>
      <c r="J21" s="496">
        <v>21.8</v>
      </c>
      <c r="K21" s="496">
        <v>14</v>
      </c>
      <c r="L21" s="496" t="s">
        <v>550</v>
      </c>
    </row>
    <row r="22" spans="1:12" ht="17" x14ac:dyDescent="0.2">
      <c r="A22" s="496" t="s">
        <v>551</v>
      </c>
      <c r="B22" s="496" t="s">
        <v>520</v>
      </c>
      <c r="C22" s="496" t="s">
        <v>552</v>
      </c>
      <c r="D22" s="496" t="s">
        <v>366</v>
      </c>
      <c r="E22" s="496">
        <v>1.32</v>
      </c>
      <c r="F22" s="496">
        <v>1.3</v>
      </c>
      <c r="G22" s="496">
        <v>1.97</v>
      </c>
      <c r="H22" s="496">
        <v>2</v>
      </c>
      <c r="I22" s="496">
        <v>2.2999999999999998</v>
      </c>
      <c r="J22" s="496">
        <v>2.2999999999999998</v>
      </c>
      <c r="K22" s="496">
        <v>77</v>
      </c>
      <c r="L22" s="496" t="s">
        <v>553</v>
      </c>
    </row>
    <row r="23" spans="1:12" ht="17" x14ac:dyDescent="0.2">
      <c r="A23" s="496" t="s">
        <v>554</v>
      </c>
      <c r="B23" s="496" t="s">
        <v>555</v>
      </c>
      <c r="C23" s="496" t="s">
        <v>556</v>
      </c>
      <c r="D23" s="496" t="s">
        <v>431</v>
      </c>
      <c r="E23" s="496">
        <v>1.1599999999999999</v>
      </c>
      <c r="F23" s="496">
        <v>1.2</v>
      </c>
      <c r="G23" s="496">
        <v>2.27</v>
      </c>
      <c r="H23" s="496">
        <v>2.2999999999999998</v>
      </c>
      <c r="I23" s="496">
        <v>2.74</v>
      </c>
      <c r="J23" s="496">
        <v>2.7</v>
      </c>
      <c r="K23" s="496"/>
      <c r="L23" s="496" t="s">
        <v>557</v>
      </c>
    </row>
    <row r="24" spans="1:12" ht="17" x14ac:dyDescent="0.2">
      <c r="A24" s="496" t="s">
        <v>424</v>
      </c>
      <c r="B24" s="496" t="s">
        <v>505</v>
      </c>
      <c r="C24" s="496" t="s">
        <v>506</v>
      </c>
      <c r="D24" s="496" t="s">
        <v>385</v>
      </c>
      <c r="E24" s="496">
        <v>0.8</v>
      </c>
      <c r="F24" s="496">
        <v>0.8</v>
      </c>
      <c r="G24" s="496">
        <v>1.21</v>
      </c>
      <c r="H24" s="496">
        <v>1.2</v>
      </c>
      <c r="I24" s="496">
        <v>1.41</v>
      </c>
      <c r="J24" s="496">
        <v>1.4</v>
      </c>
      <c r="K24" s="496">
        <v>1</v>
      </c>
      <c r="L24" s="496"/>
    </row>
    <row r="25" spans="1:12" ht="17" x14ac:dyDescent="0.2">
      <c r="A25" s="496" t="s">
        <v>378</v>
      </c>
      <c r="B25" s="496" t="s">
        <v>509</v>
      </c>
      <c r="C25" s="496" t="s">
        <v>506</v>
      </c>
      <c r="D25" s="496" t="s">
        <v>378</v>
      </c>
      <c r="E25" s="496">
        <v>0.8</v>
      </c>
      <c r="F25" s="496">
        <v>0.8</v>
      </c>
      <c r="G25" s="496">
        <v>1.21</v>
      </c>
      <c r="H25" s="496">
        <v>1.2</v>
      </c>
      <c r="I25" s="496">
        <v>1.41</v>
      </c>
      <c r="J25" s="496">
        <v>1.4</v>
      </c>
      <c r="K25" s="496">
        <v>20</v>
      </c>
      <c r="L25" s="496" t="s">
        <v>547</v>
      </c>
    </row>
    <row r="26" spans="1:12" ht="17" x14ac:dyDescent="0.2">
      <c r="A26" s="496" t="s">
        <v>558</v>
      </c>
      <c r="B26" s="496" t="s">
        <v>512</v>
      </c>
      <c r="C26" s="496" t="s">
        <v>527</v>
      </c>
      <c r="D26" s="496" t="s">
        <v>386</v>
      </c>
      <c r="E26" s="496">
        <v>0.8</v>
      </c>
      <c r="F26" s="496">
        <v>6.4</v>
      </c>
      <c r="G26" s="496">
        <v>1.21</v>
      </c>
      <c r="H26" s="496">
        <v>9.6</v>
      </c>
      <c r="I26" s="496">
        <v>1.62</v>
      </c>
      <c r="J26" s="496">
        <v>12.9</v>
      </c>
      <c r="K26" s="496">
        <v>8</v>
      </c>
      <c r="L26" s="496"/>
    </row>
    <row r="27" spans="1:12" ht="17" x14ac:dyDescent="0.2">
      <c r="A27" s="496" t="s">
        <v>559</v>
      </c>
      <c r="B27" s="496" t="s">
        <v>560</v>
      </c>
      <c r="C27" s="496" t="s">
        <v>527</v>
      </c>
      <c r="D27" s="496" t="s">
        <v>443</v>
      </c>
      <c r="E27" s="496">
        <v>0.14000000000000001</v>
      </c>
      <c r="F27" s="496">
        <v>0.9</v>
      </c>
      <c r="G27" s="496">
        <v>1.39</v>
      </c>
      <c r="H27" s="496">
        <v>8.3000000000000007</v>
      </c>
      <c r="I27" s="496">
        <v>1.77</v>
      </c>
      <c r="J27" s="496">
        <v>10.6</v>
      </c>
      <c r="K27" s="496">
        <v>44</v>
      </c>
      <c r="L27" s="496" t="s">
        <v>561</v>
      </c>
    </row>
    <row r="28" spans="1:12" ht="17" x14ac:dyDescent="0.2">
      <c r="A28" s="496" t="s">
        <v>562</v>
      </c>
      <c r="B28" s="496" t="s">
        <v>509</v>
      </c>
      <c r="C28" s="496" t="s">
        <v>506</v>
      </c>
      <c r="D28" s="496" t="s">
        <v>460</v>
      </c>
      <c r="E28" s="496">
        <v>0.14000000000000001</v>
      </c>
      <c r="F28" s="496">
        <v>0.9</v>
      </c>
      <c r="G28" s="496">
        <v>0.22</v>
      </c>
      <c r="H28" s="496">
        <v>1.3</v>
      </c>
      <c r="I28" s="496">
        <v>0.25</v>
      </c>
      <c r="J28" s="496">
        <v>1.5</v>
      </c>
      <c r="K28" s="496">
        <v>13</v>
      </c>
      <c r="L28" s="496"/>
    </row>
    <row r="29" spans="1:12" ht="17" x14ac:dyDescent="0.2">
      <c r="A29" s="496" t="s">
        <v>469</v>
      </c>
      <c r="B29" s="496" t="s">
        <v>563</v>
      </c>
      <c r="C29" s="496" t="s">
        <v>564</v>
      </c>
      <c r="D29" s="496" t="s">
        <v>565</v>
      </c>
      <c r="E29" s="496">
        <v>0.14000000000000001</v>
      </c>
      <c r="F29" s="496">
        <v>0.7</v>
      </c>
      <c r="G29" s="496">
        <v>0.67</v>
      </c>
      <c r="H29" s="496">
        <v>3.3</v>
      </c>
      <c r="I29" s="496">
        <v>0.84</v>
      </c>
      <c r="J29" s="496">
        <v>4.2</v>
      </c>
      <c r="K29" s="496">
        <v>56</v>
      </c>
      <c r="L29" s="496" t="s">
        <v>566</v>
      </c>
    </row>
    <row r="30" spans="1:12" ht="17" x14ac:dyDescent="0.2">
      <c r="A30" s="496" t="s">
        <v>418</v>
      </c>
      <c r="B30" s="496" t="s">
        <v>520</v>
      </c>
      <c r="C30" s="496" t="s">
        <v>527</v>
      </c>
      <c r="D30" s="496" t="s">
        <v>462</v>
      </c>
      <c r="E30" s="496">
        <v>0.14000000000000001</v>
      </c>
      <c r="F30" s="496">
        <v>0.7</v>
      </c>
      <c r="G30" s="496">
        <v>0.82</v>
      </c>
      <c r="H30" s="496">
        <v>4.0999999999999996</v>
      </c>
      <c r="I30" s="496">
        <v>1.0900000000000001</v>
      </c>
      <c r="J30" s="496">
        <v>5.5</v>
      </c>
      <c r="K30" s="496">
        <v>22</v>
      </c>
      <c r="L30" s="496"/>
    </row>
    <row r="31" spans="1:12" ht="17" x14ac:dyDescent="0.2">
      <c r="A31" s="496" t="s">
        <v>567</v>
      </c>
      <c r="B31" s="496" t="s">
        <v>568</v>
      </c>
      <c r="C31" s="496" t="s">
        <v>506</v>
      </c>
      <c r="D31" s="496" t="s">
        <v>465</v>
      </c>
      <c r="E31" s="496">
        <v>0.14000000000000001</v>
      </c>
      <c r="F31" s="496">
        <v>0.9</v>
      </c>
      <c r="G31" s="496">
        <v>0.22</v>
      </c>
      <c r="H31" s="496">
        <v>1.3</v>
      </c>
      <c r="I31" s="496">
        <v>0.25</v>
      </c>
      <c r="J31" s="496">
        <v>1.5</v>
      </c>
      <c r="K31" s="496">
        <v>8</v>
      </c>
      <c r="L31" s="496" t="s">
        <v>569</v>
      </c>
    </row>
    <row r="32" spans="1:12" ht="17" x14ac:dyDescent="0.2">
      <c r="A32" s="496" t="s">
        <v>417</v>
      </c>
      <c r="B32" s="496" t="s">
        <v>520</v>
      </c>
      <c r="C32" s="496" t="s">
        <v>523</v>
      </c>
      <c r="D32" s="496" t="s">
        <v>466</v>
      </c>
      <c r="E32" s="496">
        <v>0.14000000000000001</v>
      </c>
      <c r="F32" s="496">
        <v>0.4</v>
      </c>
      <c r="G32" s="496">
        <v>0.52</v>
      </c>
      <c r="H32" s="496">
        <v>1.5</v>
      </c>
      <c r="I32" s="496">
        <v>0.66</v>
      </c>
      <c r="J32" s="496">
        <v>2</v>
      </c>
      <c r="K32" s="496">
        <v>13</v>
      </c>
      <c r="L32" s="496"/>
    </row>
    <row r="33" spans="1:12" ht="17" x14ac:dyDescent="0.2">
      <c r="A33" s="496" t="s">
        <v>570</v>
      </c>
      <c r="B33" s="496" t="s">
        <v>571</v>
      </c>
      <c r="C33" s="496" t="s">
        <v>527</v>
      </c>
      <c r="D33" s="496" t="s">
        <v>458</v>
      </c>
      <c r="E33" s="496">
        <v>0.14000000000000001</v>
      </c>
      <c r="F33" s="496">
        <v>0.7</v>
      </c>
      <c r="G33" s="496">
        <v>2.39</v>
      </c>
      <c r="H33" s="496">
        <v>11.9</v>
      </c>
      <c r="I33" s="496">
        <v>3.22</v>
      </c>
      <c r="J33" s="496">
        <v>16.100000000000001</v>
      </c>
      <c r="K33" s="496">
        <v>161</v>
      </c>
      <c r="L33" s="496" t="s">
        <v>572</v>
      </c>
    </row>
    <row r="34" spans="1:12" ht="17" x14ac:dyDescent="0.2">
      <c r="A34" s="496" t="s">
        <v>573</v>
      </c>
      <c r="B34" s="496" t="s">
        <v>509</v>
      </c>
      <c r="C34" s="496" t="s">
        <v>506</v>
      </c>
      <c r="D34" s="496" t="s">
        <v>459</v>
      </c>
      <c r="E34" s="496">
        <v>0.14000000000000001</v>
      </c>
      <c r="F34" s="496">
        <v>0.9</v>
      </c>
      <c r="G34" s="496">
        <v>1.5</v>
      </c>
      <c r="H34" s="496">
        <v>9</v>
      </c>
      <c r="I34" s="496">
        <v>1.98</v>
      </c>
      <c r="J34" s="496">
        <v>11.9</v>
      </c>
      <c r="K34" s="496">
        <v>50</v>
      </c>
      <c r="L34" s="496"/>
    </row>
    <row r="35" spans="1:12" ht="17" x14ac:dyDescent="0.2">
      <c r="A35" s="496" t="s">
        <v>574</v>
      </c>
      <c r="B35" s="496" t="s">
        <v>509</v>
      </c>
      <c r="C35" s="496" t="s">
        <v>506</v>
      </c>
      <c r="D35" s="496" t="s">
        <v>463</v>
      </c>
      <c r="E35" s="496">
        <v>0.14000000000000001</v>
      </c>
      <c r="F35" s="496">
        <v>0.9</v>
      </c>
      <c r="G35" s="496">
        <v>0.22</v>
      </c>
      <c r="H35" s="496">
        <v>1.3</v>
      </c>
      <c r="I35" s="496">
        <v>0.25</v>
      </c>
      <c r="J35" s="496">
        <v>1.5</v>
      </c>
      <c r="K35" s="496">
        <v>5</v>
      </c>
      <c r="L35" s="496"/>
    </row>
    <row r="36" spans="1:12" ht="17" x14ac:dyDescent="0.2">
      <c r="A36" s="496" t="s">
        <v>575</v>
      </c>
      <c r="B36" s="496" t="s">
        <v>546</v>
      </c>
      <c r="C36" s="496" t="s">
        <v>506</v>
      </c>
      <c r="D36" s="496" t="s">
        <v>461</v>
      </c>
      <c r="E36" s="496">
        <v>0.14000000000000001</v>
      </c>
      <c r="F36" s="496">
        <v>0.9</v>
      </c>
      <c r="G36" s="496">
        <v>0.22</v>
      </c>
      <c r="H36" s="496">
        <v>1.3</v>
      </c>
      <c r="I36" s="496">
        <v>0.25</v>
      </c>
      <c r="J36" s="496">
        <v>1.5</v>
      </c>
      <c r="K36" s="496">
        <v>13</v>
      </c>
      <c r="L36" s="496"/>
    </row>
    <row r="37" spans="1:12" ht="17" x14ac:dyDescent="0.2">
      <c r="A37" s="496" t="s">
        <v>576</v>
      </c>
      <c r="B37" s="496" t="s">
        <v>509</v>
      </c>
      <c r="C37" s="496" t="s">
        <v>506</v>
      </c>
      <c r="D37" s="496" t="s">
        <v>467</v>
      </c>
      <c r="E37" s="496">
        <v>0.14000000000000001</v>
      </c>
      <c r="F37" s="496">
        <v>0.9</v>
      </c>
      <c r="G37" s="496">
        <v>0.22</v>
      </c>
      <c r="H37" s="496">
        <v>1.3</v>
      </c>
      <c r="I37" s="496">
        <v>0.25</v>
      </c>
      <c r="J37" s="496">
        <v>1.5</v>
      </c>
      <c r="K37" s="496">
        <v>6</v>
      </c>
      <c r="L37" s="496"/>
    </row>
    <row r="38" spans="1:12" ht="17" x14ac:dyDescent="0.2">
      <c r="A38" s="496" t="s">
        <v>577</v>
      </c>
      <c r="B38" s="496" t="s">
        <v>509</v>
      </c>
      <c r="C38" s="496" t="s">
        <v>527</v>
      </c>
      <c r="D38" s="496" t="s">
        <v>444</v>
      </c>
      <c r="E38" s="496">
        <v>0.14000000000000001</v>
      </c>
      <c r="F38" s="496">
        <v>0.9</v>
      </c>
      <c r="G38" s="496">
        <v>1.39</v>
      </c>
      <c r="H38" s="496">
        <v>8.3000000000000007</v>
      </c>
      <c r="I38" s="496">
        <v>1.77</v>
      </c>
      <c r="J38" s="496">
        <v>10.6</v>
      </c>
      <c r="K38" s="496">
        <v>59</v>
      </c>
      <c r="L38" s="496"/>
    </row>
    <row r="39" spans="1:12" ht="17" x14ac:dyDescent="0.2">
      <c r="A39" s="496" t="s">
        <v>578</v>
      </c>
      <c r="B39" s="496" t="s">
        <v>509</v>
      </c>
      <c r="C39" s="496" t="s">
        <v>527</v>
      </c>
      <c r="D39" s="496" t="s">
        <v>468</v>
      </c>
      <c r="E39" s="496">
        <v>0.14000000000000001</v>
      </c>
      <c r="F39" s="496">
        <v>0.7</v>
      </c>
      <c r="G39" s="496">
        <v>0.22</v>
      </c>
      <c r="H39" s="496">
        <v>1.1000000000000001</v>
      </c>
      <c r="I39" s="496">
        <v>0.25</v>
      </c>
      <c r="J39" s="496">
        <v>1.3</v>
      </c>
      <c r="K39" s="496">
        <v>6</v>
      </c>
      <c r="L39" s="496"/>
    </row>
    <row r="40" spans="1:12" ht="17" x14ac:dyDescent="0.2">
      <c r="A40" s="496" t="s">
        <v>398</v>
      </c>
      <c r="B40" s="496" t="s">
        <v>579</v>
      </c>
      <c r="C40" s="496" t="s">
        <v>580</v>
      </c>
      <c r="D40" s="496" t="s">
        <v>398</v>
      </c>
      <c r="E40" s="496">
        <v>0.12</v>
      </c>
      <c r="F40" s="496">
        <v>0.1</v>
      </c>
      <c r="G40" s="496">
        <v>0.19</v>
      </c>
      <c r="H40" s="496">
        <v>0.2</v>
      </c>
      <c r="I40" s="496">
        <v>0.48</v>
      </c>
      <c r="J40" s="496">
        <v>0.5</v>
      </c>
      <c r="K40" s="496"/>
      <c r="L40" s="496" t="s">
        <v>581</v>
      </c>
    </row>
    <row r="41" spans="1:12" ht="17" x14ac:dyDescent="0.2">
      <c r="A41" s="497" t="s">
        <v>582</v>
      </c>
      <c r="B41" s="497" t="s">
        <v>583</v>
      </c>
      <c r="C41" s="497" t="s">
        <v>584</v>
      </c>
      <c r="D41" s="497" t="s">
        <v>483</v>
      </c>
      <c r="E41" s="497">
        <v>0</v>
      </c>
      <c r="F41" s="497">
        <v>0</v>
      </c>
      <c r="G41" s="497">
        <v>2.13</v>
      </c>
      <c r="H41" s="497">
        <v>8.5</v>
      </c>
      <c r="I41" s="497">
        <v>2.88</v>
      </c>
      <c r="J41" s="497">
        <v>11.5</v>
      </c>
      <c r="K41" s="497">
        <v>144</v>
      </c>
      <c r="L41" s="497" t="s">
        <v>585</v>
      </c>
    </row>
    <row r="42" spans="1:12" ht="17" x14ac:dyDescent="0.2">
      <c r="A42" s="497" t="s">
        <v>395</v>
      </c>
      <c r="B42" s="497" t="s">
        <v>579</v>
      </c>
      <c r="C42" s="497" t="s">
        <v>580</v>
      </c>
      <c r="D42" s="497" t="s">
        <v>395</v>
      </c>
      <c r="E42" s="497">
        <v>0</v>
      </c>
      <c r="F42" s="497">
        <v>0</v>
      </c>
      <c r="G42" s="497">
        <v>0</v>
      </c>
      <c r="H42" s="497">
        <v>0</v>
      </c>
      <c r="I42" s="497">
        <v>0.12</v>
      </c>
      <c r="J42" s="497">
        <v>0.1</v>
      </c>
      <c r="K42" s="497"/>
      <c r="L42" s="497" t="s">
        <v>581</v>
      </c>
    </row>
    <row r="43" spans="1:12" ht="17" x14ac:dyDescent="0.2">
      <c r="A43" s="497" t="s">
        <v>457</v>
      </c>
      <c r="B43" s="497" t="s">
        <v>579</v>
      </c>
      <c r="C43" s="497" t="s">
        <v>580</v>
      </c>
      <c r="D43" s="497" t="s">
        <v>457</v>
      </c>
      <c r="E43" s="497">
        <v>0</v>
      </c>
      <c r="F43" s="497">
        <v>0</v>
      </c>
      <c r="G43" s="497">
        <v>26.32</v>
      </c>
      <c r="H43" s="497">
        <v>26.3</v>
      </c>
      <c r="I43" s="497">
        <v>35.53</v>
      </c>
      <c r="J43" s="497">
        <v>35.5</v>
      </c>
      <c r="K43" s="497"/>
      <c r="L43" s="497" t="s">
        <v>581</v>
      </c>
    </row>
    <row r="44" spans="1:12" ht="17" x14ac:dyDescent="0.2">
      <c r="A44" s="497" t="s">
        <v>447</v>
      </c>
      <c r="B44" s="497" t="s">
        <v>579</v>
      </c>
      <c r="C44" s="497" t="s">
        <v>580</v>
      </c>
      <c r="D44" s="497" t="s">
        <v>447</v>
      </c>
      <c r="E44" s="497">
        <v>0</v>
      </c>
      <c r="F44" s="497">
        <v>0</v>
      </c>
      <c r="G44" s="497">
        <v>0.81</v>
      </c>
      <c r="H44" s="497">
        <v>0.8</v>
      </c>
      <c r="I44" s="497">
        <v>1.0900000000000001</v>
      </c>
      <c r="J44" s="497">
        <v>1.1000000000000001</v>
      </c>
      <c r="K44" s="497"/>
      <c r="L44" s="497" t="s">
        <v>581</v>
      </c>
    </row>
    <row r="45" spans="1:12" ht="17" x14ac:dyDescent="0.2">
      <c r="A45" s="497" t="s">
        <v>586</v>
      </c>
      <c r="B45" s="497" t="s">
        <v>509</v>
      </c>
      <c r="C45" s="497" t="s">
        <v>527</v>
      </c>
      <c r="D45" s="497" t="s">
        <v>487</v>
      </c>
      <c r="E45" s="497">
        <v>0</v>
      </c>
      <c r="F45" s="497">
        <v>0</v>
      </c>
      <c r="G45" s="497">
        <v>1.28</v>
      </c>
      <c r="H45" s="497">
        <v>1.3</v>
      </c>
      <c r="I45" s="497">
        <v>1.73</v>
      </c>
      <c r="J45" s="497">
        <v>1.7</v>
      </c>
      <c r="K45" s="497">
        <v>25</v>
      </c>
      <c r="L45" s="497"/>
    </row>
    <row r="46" spans="1:12" ht="17" x14ac:dyDescent="0.2">
      <c r="A46" s="497" t="s">
        <v>344</v>
      </c>
      <c r="B46" s="497" t="s">
        <v>579</v>
      </c>
      <c r="C46" s="497" t="s">
        <v>580</v>
      </c>
      <c r="D46" s="497" t="s">
        <v>344</v>
      </c>
      <c r="E46" s="497">
        <v>0</v>
      </c>
      <c r="F46" s="497">
        <v>0</v>
      </c>
      <c r="G46" s="497">
        <v>0</v>
      </c>
      <c r="H46" s="497">
        <v>0</v>
      </c>
      <c r="I46" s="497">
        <v>1.81</v>
      </c>
      <c r="J46" s="497">
        <v>1.8</v>
      </c>
      <c r="K46" s="497"/>
      <c r="L46" s="497" t="s">
        <v>581</v>
      </c>
    </row>
    <row r="47" spans="1:12" ht="17" x14ac:dyDescent="0.2">
      <c r="A47" s="497" t="s">
        <v>359</v>
      </c>
      <c r="B47" s="497" t="s">
        <v>579</v>
      </c>
      <c r="C47" s="497" t="s">
        <v>580</v>
      </c>
      <c r="D47" s="497" t="s">
        <v>359</v>
      </c>
      <c r="E47" s="497">
        <v>0</v>
      </c>
      <c r="F47" s="497">
        <v>0</v>
      </c>
      <c r="G47" s="497">
        <v>7.8</v>
      </c>
      <c r="H47" s="497">
        <v>7.8</v>
      </c>
      <c r="I47" s="497">
        <v>10.14</v>
      </c>
      <c r="J47" s="497">
        <v>10.1</v>
      </c>
      <c r="K47" s="497"/>
      <c r="L47" s="497" t="s">
        <v>581</v>
      </c>
    </row>
    <row r="48" spans="1:12" ht="17" x14ac:dyDescent="0.2">
      <c r="A48" s="497" t="s">
        <v>396</v>
      </c>
      <c r="B48" s="497" t="s">
        <v>579</v>
      </c>
      <c r="C48" s="497" t="s">
        <v>580</v>
      </c>
      <c r="D48" s="497" t="s">
        <v>396</v>
      </c>
      <c r="E48" s="497">
        <v>0</v>
      </c>
      <c r="F48" s="497">
        <v>0</v>
      </c>
      <c r="G48" s="497">
        <v>0</v>
      </c>
      <c r="H48" s="497">
        <v>0</v>
      </c>
      <c r="I48" s="497">
        <v>0.89</v>
      </c>
      <c r="J48" s="497">
        <v>0.9</v>
      </c>
      <c r="K48" s="497"/>
      <c r="L48" s="497" t="s">
        <v>581</v>
      </c>
    </row>
    <row r="49" spans="1:12" ht="17" x14ac:dyDescent="0.2">
      <c r="A49" s="497" t="s">
        <v>349</v>
      </c>
      <c r="B49" s="497" t="s">
        <v>579</v>
      </c>
      <c r="C49" s="497" t="s">
        <v>580</v>
      </c>
      <c r="D49" s="497" t="s">
        <v>349</v>
      </c>
      <c r="E49" s="497">
        <v>0</v>
      </c>
      <c r="F49" s="497">
        <v>0</v>
      </c>
      <c r="G49" s="497">
        <v>0</v>
      </c>
      <c r="H49" s="497">
        <v>0</v>
      </c>
      <c r="I49" s="497">
        <v>0.73</v>
      </c>
      <c r="J49" s="497">
        <v>0.7</v>
      </c>
      <c r="K49" s="497"/>
      <c r="L49" s="497" t="s">
        <v>581</v>
      </c>
    </row>
    <row r="50" spans="1:12" ht="17" x14ac:dyDescent="0.2">
      <c r="A50" s="497" t="s">
        <v>587</v>
      </c>
      <c r="B50" s="497" t="s">
        <v>568</v>
      </c>
      <c r="C50" s="497" t="s">
        <v>506</v>
      </c>
      <c r="D50" s="497" t="s">
        <v>489</v>
      </c>
      <c r="E50" s="497">
        <v>0</v>
      </c>
      <c r="F50" s="497">
        <v>0</v>
      </c>
      <c r="G50" s="497">
        <v>0.64</v>
      </c>
      <c r="H50" s="497">
        <v>3.2</v>
      </c>
      <c r="I50" s="497">
        <v>0.86</v>
      </c>
      <c r="J50" s="497">
        <v>4.3</v>
      </c>
      <c r="K50" s="497">
        <v>11</v>
      </c>
      <c r="L50" s="497" t="s">
        <v>588</v>
      </c>
    </row>
    <row r="51" spans="1:12" ht="17" x14ac:dyDescent="0.2">
      <c r="A51" s="497" t="s">
        <v>387</v>
      </c>
      <c r="B51" s="497" t="s">
        <v>579</v>
      </c>
      <c r="C51" s="497" t="s">
        <v>580</v>
      </c>
      <c r="D51" s="497" t="s">
        <v>387</v>
      </c>
      <c r="E51" s="497">
        <v>0</v>
      </c>
      <c r="F51" s="497">
        <v>0</v>
      </c>
      <c r="G51" s="497">
        <v>0</v>
      </c>
      <c r="H51" s="497">
        <v>0</v>
      </c>
      <c r="I51" s="497">
        <v>1.63</v>
      </c>
      <c r="J51" s="497">
        <v>1.6</v>
      </c>
      <c r="K51" s="497"/>
      <c r="L51" s="497" t="s">
        <v>581</v>
      </c>
    </row>
    <row r="52" spans="1:12" ht="17" x14ac:dyDescent="0.2">
      <c r="A52" s="497" t="s">
        <v>399</v>
      </c>
      <c r="B52" s="497" t="s">
        <v>579</v>
      </c>
      <c r="C52" s="497" t="s">
        <v>580</v>
      </c>
      <c r="D52" s="497" t="s">
        <v>399</v>
      </c>
      <c r="E52" s="497">
        <v>0</v>
      </c>
      <c r="F52" s="497">
        <v>0</v>
      </c>
      <c r="G52" s="497">
        <v>0</v>
      </c>
      <c r="H52" s="497">
        <v>0</v>
      </c>
      <c r="I52" s="497">
        <v>0.94</v>
      </c>
      <c r="J52" s="497">
        <v>0.9</v>
      </c>
      <c r="K52" s="497"/>
      <c r="L52" s="497" t="s">
        <v>581</v>
      </c>
    </row>
    <row r="53" spans="1:12" ht="17" x14ac:dyDescent="0.2">
      <c r="A53" s="497" t="s">
        <v>589</v>
      </c>
      <c r="B53" s="497" t="s">
        <v>571</v>
      </c>
      <c r="C53" s="497" t="s">
        <v>506</v>
      </c>
      <c r="D53" s="497" t="s">
        <v>488</v>
      </c>
      <c r="E53" s="497">
        <v>0</v>
      </c>
      <c r="F53" s="497">
        <v>0</v>
      </c>
      <c r="G53" s="497">
        <v>1.28</v>
      </c>
      <c r="H53" s="497">
        <v>6.4</v>
      </c>
      <c r="I53" s="497">
        <v>1.73</v>
      </c>
      <c r="J53" s="497">
        <v>8.6</v>
      </c>
      <c r="K53" s="497">
        <v>9</v>
      </c>
      <c r="L53" s="497"/>
    </row>
    <row r="54" spans="1:12" ht="17" x14ac:dyDescent="0.2">
      <c r="A54" s="497" t="s">
        <v>370</v>
      </c>
      <c r="B54" s="497" t="s">
        <v>579</v>
      </c>
      <c r="C54" s="497" t="s">
        <v>580</v>
      </c>
      <c r="D54" s="497" t="s">
        <v>370</v>
      </c>
      <c r="E54" s="497">
        <v>0</v>
      </c>
      <c r="F54" s="497">
        <v>0</v>
      </c>
      <c r="G54" s="497">
        <v>0</v>
      </c>
      <c r="H54" s="497">
        <v>0</v>
      </c>
      <c r="I54" s="497">
        <v>0.09</v>
      </c>
      <c r="J54" s="497">
        <v>0.1</v>
      </c>
      <c r="K54" s="497"/>
      <c r="L54" s="497" t="s">
        <v>581</v>
      </c>
    </row>
    <row r="55" spans="1:12" ht="17" x14ac:dyDescent="0.2">
      <c r="A55" s="497" t="s">
        <v>371</v>
      </c>
      <c r="B55" s="497" t="s">
        <v>579</v>
      </c>
      <c r="C55" s="497" t="s">
        <v>580</v>
      </c>
      <c r="D55" s="497" t="s">
        <v>371</v>
      </c>
      <c r="E55" s="497">
        <v>0</v>
      </c>
      <c r="F55" s="497">
        <v>0</v>
      </c>
      <c r="G55" s="497">
        <v>0</v>
      </c>
      <c r="H55" s="497">
        <v>0</v>
      </c>
      <c r="I55" s="497">
        <v>7.0000000000000007E-2</v>
      </c>
      <c r="J55" s="497">
        <v>0.1</v>
      </c>
      <c r="K55" s="497"/>
      <c r="L55" s="497" t="s">
        <v>581</v>
      </c>
    </row>
    <row r="56" spans="1:12" ht="17" x14ac:dyDescent="0.2">
      <c r="A56" s="497" t="s">
        <v>380</v>
      </c>
      <c r="B56" s="497" t="s">
        <v>520</v>
      </c>
      <c r="C56" s="497" t="s">
        <v>590</v>
      </c>
      <c r="D56" s="497" t="s">
        <v>484</v>
      </c>
      <c r="E56" s="497">
        <v>0</v>
      </c>
      <c r="F56" s="497">
        <v>0</v>
      </c>
      <c r="G56" s="497">
        <v>0.71</v>
      </c>
      <c r="H56" s="497">
        <v>2.8</v>
      </c>
      <c r="I56" s="497">
        <v>0.96</v>
      </c>
      <c r="J56" s="497">
        <v>3.8</v>
      </c>
      <c r="K56" s="497">
        <v>6</v>
      </c>
      <c r="L56" s="497" t="s">
        <v>591</v>
      </c>
    </row>
    <row r="57" spans="1:12" ht="17" x14ac:dyDescent="0.2">
      <c r="A57" s="497" t="s">
        <v>592</v>
      </c>
      <c r="B57" s="497" t="s">
        <v>512</v>
      </c>
      <c r="C57" s="497" t="s">
        <v>527</v>
      </c>
      <c r="D57" s="497" t="s">
        <v>446</v>
      </c>
      <c r="E57" s="497">
        <v>0</v>
      </c>
      <c r="F57" s="497">
        <v>0</v>
      </c>
      <c r="G57" s="497">
        <v>4.03</v>
      </c>
      <c r="H57" s="497">
        <v>32.299999999999997</v>
      </c>
      <c r="I57" s="497">
        <v>5.44</v>
      </c>
      <c r="J57" s="497">
        <v>43.5</v>
      </c>
      <c r="K57" s="497">
        <v>27</v>
      </c>
      <c r="L57" s="497"/>
    </row>
    <row r="58" spans="1:12" ht="17" x14ac:dyDescent="0.2">
      <c r="A58" s="497" t="s">
        <v>382</v>
      </c>
      <c r="B58" s="497" t="s">
        <v>579</v>
      </c>
      <c r="C58" s="497" t="s">
        <v>580</v>
      </c>
      <c r="D58" s="497" t="s">
        <v>382</v>
      </c>
      <c r="E58" s="497">
        <v>0</v>
      </c>
      <c r="F58" s="497">
        <v>0</v>
      </c>
      <c r="G58" s="497">
        <v>0</v>
      </c>
      <c r="H58" s="497">
        <v>0</v>
      </c>
      <c r="I58" s="497">
        <v>0.04</v>
      </c>
      <c r="J58" s="497">
        <v>0</v>
      </c>
      <c r="K58" s="497"/>
      <c r="L58" s="497" t="s">
        <v>581</v>
      </c>
    </row>
    <row r="59" spans="1:12" ht="17" x14ac:dyDescent="0.2">
      <c r="A59" s="497" t="s">
        <v>369</v>
      </c>
      <c r="B59" s="497" t="s">
        <v>579</v>
      </c>
      <c r="C59" s="497" t="s">
        <v>580</v>
      </c>
      <c r="D59" s="497" t="s">
        <v>369</v>
      </c>
      <c r="E59" s="497">
        <v>0</v>
      </c>
      <c r="F59" s="497">
        <v>0</v>
      </c>
      <c r="G59" s="497">
        <v>0</v>
      </c>
      <c r="H59" s="497">
        <v>0</v>
      </c>
      <c r="I59" s="497">
        <v>0.12</v>
      </c>
      <c r="J59" s="497">
        <v>0.1</v>
      </c>
      <c r="K59" s="497"/>
      <c r="L59" s="497" t="s">
        <v>581</v>
      </c>
    </row>
    <row r="60" spans="1:12" ht="17" x14ac:dyDescent="0.2">
      <c r="A60" s="497" t="s">
        <v>409</v>
      </c>
      <c r="B60" s="497" t="s">
        <v>579</v>
      </c>
      <c r="C60" s="497" t="s">
        <v>580</v>
      </c>
      <c r="D60" s="497" t="s">
        <v>409</v>
      </c>
      <c r="E60" s="497">
        <v>0</v>
      </c>
      <c r="F60" s="497">
        <v>0</v>
      </c>
      <c r="G60" s="497">
        <v>0</v>
      </c>
      <c r="H60" s="497">
        <v>0</v>
      </c>
      <c r="I60" s="497">
        <v>0.31</v>
      </c>
      <c r="J60" s="497">
        <v>0.3</v>
      </c>
      <c r="K60" s="497"/>
      <c r="L60" s="497" t="s">
        <v>581</v>
      </c>
    </row>
    <row r="61" spans="1:12" ht="17" x14ac:dyDescent="0.2">
      <c r="A61" s="497" t="s">
        <v>410</v>
      </c>
      <c r="B61" s="497" t="s">
        <v>579</v>
      </c>
      <c r="C61" s="497" t="s">
        <v>580</v>
      </c>
      <c r="D61" s="497" t="s">
        <v>410</v>
      </c>
      <c r="E61" s="497">
        <v>0</v>
      </c>
      <c r="F61" s="497">
        <v>0</v>
      </c>
      <c r="G61" s="497">
        <v>0</v>
      </c>
      <c r="H61" s="497">
        <v>0</v>
      </c>
      <c r="I61" s="497">
        <v>0.61</v>
      </c>
      <c r="J61" s="497">
        <v>0.6</v>
      </c>
      <c r="K61" s="497"/>
      <c r="L61" s="497" t="s">
        <v>581</v>
      </c>
    </row>
    <row r="62" spans="1:12" ht="17" x14ac:dyDescent="0.2">
      <c r="A62" s="497" t="s">
        <v>388</v>
      </c>
      <c r="B62" s="497" t="s">
        <v>579</v>
      </c>
      <c r="C62" s="497" t="s">
        <v>580</v>
      </c>
      <c r="D62" s="497" t="s">
        <v>388</v>
      </c>
      <c r="E62" s="497">
        <v>0</v>
      </c>
      <c r="F62" s="497">
        <v>0</v>
      </c>
      <c r="G62" s="497">
        <v>0</v>
      </c>
      <c r="H62" s="497">
        <v>0</v>
      </c>
      <c r="I62" s="497">
        <v>1.63</v>
      </c>
      <c r="J62" s="497">
        <v>1.6</v>
      </c>
      <c r="K62" s="497"/>
      <c r="L62" s="497" t="s">
        <v>581</v>
      </c>
    </row>
    <row r="63" spans="1:12" ht="17" x14ac:dyDescent="0.2">
      <c r="A63" s="497" t="s">
        <v>394</v>
      </c>
      <c r="B63" s="497" t="s">
        <v>579</v>
      </c>
      <c r="C63" s="497" t="s">
        <v>580</v>
      </c>
      <c r="D63" s="497" t="s">
        <v>394</v>
      </c>
      <c r="E63" s="497">
        <v>0</v>
      </c>
      <c r="F63" s="497">
        <v>0</v>
      </c>
      <c r="G63" s="497">
        <v>0</v>
      </c>
      <c r="H63" s="497">
        <v>0</v>
      </c>
      <c r="I63" s="497">
        <v>0.7</v>
      </c>
      <c r="J63" s="497">
        <v>0.7</v>
      </c>
      <c r="K63" s="497"/>
      <c r="L63" s="497" t="s">
        <v>581</v>
      </c>
    </row>
    <row r="64" spans="1:12" ht="17" x14ac:dyDescent="0.2">
      <c r="A64" s="497" t="s">
        <v>342</v>
      </c>
      <c r="B64" s="497" t="s">
        <v>579</v>
      </c>
      <c r="C64" s="497" t="s">
        <v>580</v>
      </c>
      <c r="D64" s="497" t="s">
        <v>342</v>
      </c>
      <c r="E64" s="497">
        <v>0</v>
      </c>
      <c r="F64" s="497">
        <v>0</v>
      </c>
      <c r="G64" s="497">
        <v>0</v>
      </c>
      <c r="H64" s="497">
        <v>0</v>
      </c>
      <c r="I64" s="497">
        <v>0.85</v>
      </c>
      <c r="J64" s="497">
        <v>0.9</v>
      </c>
      <c r="K64" s="497"/>
      <c r="L64" s="497" t="s">
        <v>581</v>
      </c>
    </row>
    <row r="65" spans="1:12" ht="17" x14ac:dyDescent="0.2">
      <c r="A65" s="497" t="s">
        <v>353</v>
      </c>
      <c r="B65" s="497" t="s">
        <v>579</v>
      </c>
      <c r="C65" s="497" t="s">
        <v>580</v>
      </c>
      <c r="D65" s="497" t="s">
        <v>353</v>
      </c>
      <c r="E65" s="497">
        <v>0</v>
      </c>
      <c r="F65" s="497">
        <v>0</v>
      </c>
      <c r="G65" s="497">
        <v>0</v>
      </c>
      <c r="H65" s="497">
        <v>0</v>
      </c>
      <c r="I65" s="497">
        <v>0.27</v>
      </c>
      <c r="J65" s="497">
        <v>0.3</v>
      </c>
      <c r="K65" s="497"/>
      <c r="L65" s="497" t="s">
        <v>581</v>
      </c>
    </row>
    <row r="66" spans="1:12" ht="17" x14ac:dyDescent="0.2">
      <c r="A66" s="497" t="s">
        <v>350</v>
      </c>
      <c r="B66" s="497" t="s">
        <v>579</v>
      </c>
      <c r="C66" s="497" t="s">
        <v>580</v>
      </c>
      <c r="D66" s="497" t="s">
        <v>350</v>
      </c>
      <c r="E66" s="497">
        <v>0</v>
      </c>
      <c r="F66" s="497">
        <v>0</v>
      </c>
      <c r="G66" s="497">
        <v>0</v>
      </c>
      <c r="H66" s="497">
        <v>0</v>
      </c>
      <c r="I66" s="497">
        <v>1.1499999999999999</v>
      </c>
      <c r="J66" s="497">
        <v>1.2</v>
      </c>
      <c r="K66" s="497"/>
      <c r="L66" s="497" t="s">
        <v>581</v>
      </c>
    </row>
    <row r="67" spans="1:12" ht="17" x14ac:dyDescent="0.2">
      <c r="A67" s="497" t="s">
        <v>356</v>
      </c>
      <c r="B67" s="497" t="s">
        <v>579</v>
      </c>
      <c r="C67" s="497" t="s">
        <v>580</v>
      </c>
      <c r="D67" s="497" t="s">
        <v>356</v>
      </c>
      <c r="E67" s="497">
        <v>0</v>
      </c>
      <c r="F67" s="497">
        <v>0</v>
      </c>
      <c r="G67" s="497">
        <v>0</v>
      </c>
      <c r="H67" s="497">
        <v>0</v>
      </c>
      <c r="I67" s="497">
        <v>0.84</v>
      </c>
      <c r="J67" s="497">
        <v>0.8</v>
      </c>
      <c r="K67" s="497"/>
      <c r="L67" s="497" t="s">
        <v>581</v>
      </c>
    </row>
    <row r="68" spans="1:12" ht="17" x14ac:dyDescent="0.2">
      <c r="A68" s="497" t="s">
        <v>593</v>
      </c>
      <c r="B68" s="497" t="s">
        <v>571</v>
      </c>
      <c r="C68" s="497" t="s">
        <v>590</v>
      </c>
      <c r="D68" s="497" t="s">
        <v>485</v>
      </c>
      <c r="E68" s="497">
        <v>0</v>
      </c>
      <c r="F68" s="497">
        <v>0</v>
      </c>
      <c r="G68" s="497">
        <v>0.71</v>
      </c>
      <c r="H68" s="497">
        <v>2.8</v>
      </c>
      <c r="I68" s="497">
        <v>0.96</v>
      </c>
      <c r="J68" s="497">
        <v>3.8</v>
      </c>
      <c r="K68" s="497">
        <v>19</v>
      </c>
      <c r="L68" s="497" t="s">
        <v>594</v>
      </c>
    </row>
    <row r="69" spans="1:12" ht="17" x14ac:dyDescent="0.2">
      <c r="A69" s="497" t="s">
        <v>397</v>
      </c>
      <c r="B69" s="497" t="s">
        <v>579</v>
      </c>
      <c r="C69" s="497" t="s">
        <v>580</v>
      </c>
      <c r="D69" s="497" t="s">
        <v>397</v>
      </c>
      <c r="E69" s="497">
        <v>0</v>
      </c>
      <c r="F69" s="497">
        <v>0</v>
      </c>
      <c r="G69" s="497">
        <v>0</v>
      </c>
      <c r="H69" s="497">
        <v>0</v>
      </c>
      <c r="I69" s="497">
        <v>2.58</v>
      </c>
      <c r="J69" s="497">
        <v>2.6</v>
      </c>
      <c r="K69" s="497"/>
      <c r="L69" s="497" t="s">
        <v>581</v>
      </c>
    </row>
    <row r="70" spans="1:12" ht="17" x14ac:dyDescent="0.2">
      <c r="A70" s="497" t="s">
        <v>445</v>
      </c>
      <c r="B70" s="497" t="s">
        <v>579</v>
      </c>
      <c r="C70" s="497" t="s">
        <v>580</v>
      </c>
      <c r="D70" s="497" t="s">
        <v>445</v>
      </c>
      <c r="E70" s="497">
        <v>0</v>
      </c>
      <c r="F70" s="497">
        <v>0</v>
      </c>
      <c r="G70" s="497">
        <v>0.57999999999999996</v>
      </c>
      <c r="H70" s="497">
        <v>0.6</v>
      </c>
      <c r="I70" s="497">
        <v>0.76</v>
      </c>
      <c r="J70" s="497">
        <v>0.8</v>
      </c>
      <c r="K70" s="497"/>
      <c r="L70" s="497" t="s">
        <v>581</v>
      </c>
    </row>
    <row r="71" spans="1:12" ht="17" x14ac:dyDescent="0.2">
      <c r="A71" s="497" t="s">
        <v>375</v>
      </c>
      <c r="B71" s="497" t="s">
        <v>579</v>
      </c>
      <c r="C71" s="497" t="s">
        <v>580</v>
      </c>
      <c r="D71" s="497" t="s">
        <v>375</v>
      </c>
      <c r="E71" s="497">
        <v>0</v>
      </c>
      <c r="F71" s="497">
        <v>0</v>
      </c>
      <c r="G71" s="497">
        <v>2.48</v>
      </c>
      <c r="H71" s="497">
        <v>2.5</v>
      </c>
      <c r="I71" s="497">
        <v>3.72</v>
      </c>
      <c r="J71" s="497">
        <v>3.7</v>
      </c>
      <c r="K71" s="497"/>
      <c r="L71" s="497" t="s">
        <v>581</v>
      </c>
    </row>
    <row r="72" spans="1:12" ht="17" x14ac:dyDescent="0.2">
      <c r="A72" s="497" t="s">
        <v>437</v>
      </c>
      <c r="B72" s="497" t="s">
        <v>579</v>
      </c>
      <c r="C72" s="497" t="s">
        <v>580</v>
      </c>
      <c r="D72" s="497" t="s">
        <v>437</v>
      </c>
      <c r="E72" s="497">
        <v>0</v>
      </c>
      <c r="F72" s="497">
        <v>0</v>
      </c>
      <c r="G72" s="497">
        <v>0</v>
      </c>
      <c r="H72" s="497">
        <v>0</v>
      </c>
      <c r="I72" s="497">
        <v>0.26</v>
      </c>
      <c r="J72" s="497">
        <v>0.3</v>
      </c>
      <c r="K72" s="497"/>
      <c r="L72" s="497" t="s">
        <v>581</v>
      </c>
    </row>
    <row r="73" spans="1:12" ht="17" x14ac:dyDescent="0.2">
      <c r="A73" s="498" t="s">
        <v>427</v>
      </c>
      <c r="B73" s="498" t="s">
        <v>595</v>
      </c>
      <c r="C73" s="498" t="s">
        <v>596</v>
      </c>
      <c r="D73" s="498" t="s">
        <v>427</v>
      </c>
      <c r="E73" s="498">
        <v>190.22</v>
      </c>
      <c r="F73" s="498">
        <v>190.2</v>
      </c>
      <c r="G73" s="498">
        <v>407.2</v>
      </c>
      <c r="H73" s="498">
        <v>407.2</v>
      </c>
      <c r="I73" s="498">
        <v>495.88</v>
      </c>
      <c r="J73" s="498">
        <v>495.9</v>
      </c>
      <c r="K73" s="498"/>
      <c r="L73" s="498" t="s">
        <v>597</v>
      </c>
    </row>
    <row r="74" spans="1:12" ht="17" x14ac:dyDescent="0.2">
      <c r="A74" s="498" t="s">
        <v>442</v>
      </c>
      <c r="B74" s="498" t="s">
        <v>598</v>
      </c>
      <c r="C74" s="498" t="s">
        <v>599</v>
      </c>
      <c r="D74" s="498" t="s">
        <v>442</v>
      </c>
      <c r="E74" s="498">
        <v>102.83</v>
      </c>
      <c r="F74" s="498">
        <v>102.8</v>
      </c>
      <c r="G74" s="498">
        <v>238.85</v>
      </c>
      <c r="H74" s="498">
        <v>238.9</v>
      </c>
      <c r="I74" s="498">
        <v>293.02</v>
      </c>
      <c r="J74" s="498">
        <v>293</v>
      </c>
      <c r="K74" s="498"/>
      <c r="L74" s="498" t="s">
        <v>600</v>
      </c>
    </row>
    <row r="75" spans="1:12" ht="17" x14ac:dyDescent="0.2">
      <c r="A75" s="498" t="s">
        <v>364</v>
      </c>
      <c r="B75" s="498" t="s">
        <v>598</v>
      </c>
      <c r="C75" s="498" t="s">
        <v>599</v>
      </c>
      <c r="D75" s="498" t="s">
        <v>364</v>
      </c>
      <c r="E75" s="498">
        <v>43.43</v>
      </c>
      <c r="F75" s="498">
        <v>43.4</v>
      </c>
      <c r="G75" s="498">
        <v>77.52</v>
      </c>
      <c r="H75" s="498">
        <v>77.5</v>
      </c>
      <c r="I75" s="498">
        <v>95.54</v>
      </c>
      <c r="J75" s="498">
        <v>95.5</v>
      </c>
      <c r="K75" s="498"/>
      <c r="L75" s="498" t="s">
        <v>601</v>
      </c>
    </row>
    <row r="76" spans="1:12" ht="17" x14ac:dyDescent="0.2">
      <c r="A76" s="498" t="s">
        <v>425</v>
      </c>
      <c r="B76" s="498" t="s">
        <v>602</v>
      </c>
      <c r="C76" s="498" t="s">
        <v>603</v>
      </c>
      <c r="D76" s="498" t="s">
        <v>425</v>
      </c>
      <c r="E76" s="498">
        <v>39.33</v>
      </c>
      <c r="F76" s="498">
        <v>39.299999999999997</v>
      </c>
      <c r="G76" s="498">
        <v>111.09</v>
      </c>
      <c r="H76" s="498">
        <v>111.1</v>
      </c>
      <c r="I76" s="498">
        <v>141.72999999999999</v>
      </c>
      <c r="J76" s="498">
        <v>141.69999999999999</v>
      </c>
      <c r="K76" s="498"/>
      <c r="L76" s="498" t="s">
        <v>604</v>
      </c>
    </row>
    <row r="77" spans="1:12" ht="17" x14ac:dyDescent="0.2">
      <c r="A77" s="498" t="s">
        <v>348</v>
      </c>
      <c r="B77" s="498" t="s">
        <v>598</v>
      </c>
      <c r="C77" s="498" t="s">
        <v>599</v>
      </c>
      <c r="D77" s="498" t="s">
        <v>348</v>
      </c>
      <c r="E77" s="498">
        <v>2.41</v>
      </c>
      <c r="F77" s="498">
        <v>2.4</v>
      </c>
      <c r="G77" s="498">
        <v>3.93</v>
      </c>
      <c r="H77" s="498">
        <v>3.9</v>
      </c>
      <c r="I77" s="498">
        <v>7.97</v>
      </c>
      <c r="J77" s="498">
        <v>8</v>
      </c>
      <c r="K77" s="498"/>
      <c r="L77" s="498" t="s">
        <v>605</v>
      </c>
    </row>
    <row r="79" spans="1:12" x14ac:dyDescent="0.2">
      <c r="A79" t="s">
        <v>606</v>
      </c>
    </row>
    <row r="80" spans="1:12" x14ac:dyDescent="0.2">
      <c r="A80" t="s">
        <v>607</v>
      </c>
    </row>
  </sheetData>
  <autoFilter ref="A3:L77" xr:uid="{00000000-0009-0000-0000-000003000000}"/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"/>
  <sheetViews>
    <sheetView workbookViewId="0">
      <pane xSplit="1" ySplit="3" topLeftCell="B4" activePane="bottomRight" state="frozen"/>
      <selection pane="topRight"/>
      <selection pane="bottomLeft"/>
      <selection pane="bottomRight" sqref="A1:N1"/>
    </sheetView>
  </sheetViews>
  <sheetFormatPr baseColWidth="10" defaultColWidth="8.83203125" defaultRowHeight="16" x14ac:dyDescent="0.2"/>
  <cols>
    <col min="1" max="1" width="28" customWidth="1"/>
    <col min="2" max="2" width="16" customWidth="1"/>
    <col min="3" max="4" width="15" customWidth="1"/>
    <col min="5" max="7" width="18" customWidth="1"/>
    <col min="8" max="8" width="25" customWidth="1"/>
    <col min="9" max="10" width="28" customWidth="1"/>
    <col min="11" max="12" width="17" customWidth="1"/>
    <col min="13" max="13" width="28" customWidth="1"/>
    <col min="14" max="14" width="40" customWidth="1"/>
  </cols>
  <sheetData>
    <row r="1" spans="1:14" ht="19" x14ac:dyDescent="0.25">
      <c r="A1" s="510" t="s">
        <v>608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09"/>
    </row>
    <row r="2" spans="1:14" ht="40" customHeight="1" x14ac:dyDescent="0.2">
      <c r="A2" s="508" t="s">
        <v>609</v>
      </c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09"/>
      <c r="M2" s="509"/>
      <c r="N2" s="509"/>
    </row>
    <row r="3" spans="1:14" x14ac:dyDescent="0.2">
      <c r="A3" s="495" t="s">
        <v>610</v>
      </c>
      <c r="B3" s="495" t="s">
        <v>493</v>
      </c>
      <c r="C3" s="495" t="s">
        <v>329</v>
      </c>
      <c r="D3" s="495" t="s">
        <v>611</v>
      </c>
      <c r="E3" s="495" t="s">
        <v>612</v>
      </c>
      <c r="F3" s="495" t="s">
        <v>613</v>
      </c>
      <c r="G3" s="495" t="s">
        <v>614</v>
      </c>
      <c r="H3" s="495" t="s">
        <v>615</v>
      </c>
      <c r="I3" s="495" t="s">
        <v>616</v>
      </c>
      <c r="J3" s="495" t="s">
        <v>617</v>
      </c>
      <c r="K3" s="495" t="s">
        <v>618</v>
      </c>
      <c r="L3" s="495" t="s">
        <v>619</v>
      </c>
      <c r="M3" s="495" t="s">
        <v>620</v>
      </c>
      <c r="N3" s="495" t="s">
        <v>503</v>
      </c>
    </row>
    <row r="4" spans="1:14" ht="17" x14ac:dyDescent="0.2">
      <c r="A4" s="497" t="s">
        <v>381</v>
      </c>
      <c r="B4" s="497" t="s">
        <v>520</v>
      </c>
      <c r="C4" s="497" t="s">
        <v>621</v>
      </c>
      <c r="D4" s="497">
        <v>1</v>
      </c>
      <c r="E4" s="496">
        <v>1500</v>
      </c>
      <c r="F4" s="497">
        <v>2000</v>
      </c>
      <c r="G4" s="497">
        <v>2500</v>
      </c>
      <c r="H4" s="497" t="s">
        <v>622</v>
      </c>
      <c r="I4" s="497" t="s">
        <v>623</v>
      </c>
      <c r="J4" s="497" t="s">
        <v>624</v>
      </c>
      <c r="K4" s="497">
        <v>18</v>
      </c>
      <c r="L4" s="497">
        <v>38</v>
      </c>
      <c r="M4" s="497" t="s">
        <v>625</v>
      </c>
      <c r="N4" s="497" t="s">
        <v>626</v>
      </c>
    </row>
    <row r="5" spans="1:14" ht="17" x14ac:dyDescent="0.2">
      <c r="A5" s="497" t="s">
        <v>417</v>
      </c>
      <c r="B5" s="497" t="s">
        <v>520</v>
      </c>
      <c r="C5" s="497" t="s">
        <v>621</v>
      </c>
      <c r="D5" s="497">
        <v>1</v>
      </c>
      <c r="E5" s="496">
        <v>2000</v>
      </c>
      <c r="F5" s="497">
        <v>2500</v>
      </c>
      <c r="G5" s="497">
        <v>3000</v>
      </c>
      <c r="H5" s="497" t="s">
        <v>627</v>
      </c>
      <c r="I5" s="497" t="s">
        <v>628</v>
      </c>
      <c r="J5" s="497" t="s">
        <v>629</v>
      </c>
      <c r="K5" s="497">
        <v>0.2</v>
      </c>
      <c r="L5" s="497">
        <v>2</v>
      </c>
      <c r="M5" s="497" t="s">
        <v>630</v>
      </c>
      <c r="N5" s="497" t="s">
        <v>631</v>
      </c>
    </row>
    <row r="6" spans="1:14" ht="17" x14ac:dyDescent="0.2">
      <c r="A6" s="497" t="s">
        <v>418</v>
      </c>
      <c r="B6" s="497" t="s">
        <v>520</v>
      </c>
      <c r="C6" s="497" t="s">
        <v>621</v>
      </c>
      <c r="D6" s="497">
        <v>1</v>
      </c>
      <c r="E6" s="496">
        <v>1000</v>
      </c>
      <c r="F6" s="497">
        <v>1500</v>
      </c>
      <c r="G6" s="497">
        <v>1500</v>
      </c>
      <c r="H6" s="497" t="s">
        <v>627</v>
      </c>
      <c r="I6" s="497" t="s">
        <v>632</v>
      </c>
      <c r="J6" s="497" t="s">
        <v>633</v>
      </c>
      <c r="K6" s="497">
        <v>0.2</v>
      </c>
      <c r="L6" s="497">
        <v>1.2</v>
      </c>
      <c r="M6" s="497" t="s">
        <v>634</v>
      </c>
      <c r="N6" s="497" t="s">
        <v>635</v>
      </c>
    </row>
    <row r="7" spans="1:14" ht="17" x14ac:dyDescent="0.2">
      <c r="A7" s="497" t="s">
        <v>411</v>
      </c>
      <c r="B7" s="497" t="s">
        <v>520</v>
      </c>
      <c r="C7" s="497" t="s">
        <v>621</v>
      </c>
      <c r="D7" s="497">
        <v>2</v>
      </c>
      <c r="E7" s="497">
        <v>0</v>
      </c>
      <c r="F7" s="499">
        <v>1500</v>
      </c>
      <c r="G7" s="497">
        <v>2000</v>
      </c>
      <c r="H7" s="497" t="s">
        <v>636</v>
      </c>
      <c r="I7" s="497" t="s">
        <v>637</v>
      </c>
      <c r="J7" s="497" t="s">
        <v>638</v>
      </c>
      <c r="K7" s="497">
        <v>0</v>
      </c>
      <c r="L7" s="497">
        <v>24</v>
      </c>
      <c r="M7" s="497" t="s">
        <v>639</v>
      </c>
      <c r="N7" s="497" t="s">
        <v>640</v>
      </c>
    </row>
    <row r="8" spans="1:14" ht="17" x14ac:dyDescent="0.2">
      <c r="A8" s="497" t="s">
        <v>412</v>
      </c>
      <c r="B8" s="497" t="s">
        <v>520</v>
      </c>
      <c r="C8" s="497" t="s">
        <v>621</v>
      </c>
      <c r="D8" s="497">
        <v>2</v>
      </c>
      <c r="E8" s="497">
        <v>0</v>
      </c>
      <c r="F8" s="499">
        <v>1000</v>
      </c>
      <c r="G8" s="497">
        <v>1500</v>
      </c>
      <c r="H8" s="497" t="s">
        <v>622</v>
      </c>
      <c r="I8" s="497" t="s">
        <v>632</v>
      </c>
      <c r="J8" s="497" t="s">
        <v>641</v>
      </c>
      <c r="K8" s="497">
        <v>0</v>
      </c>
      <c r="L8" s="497">
        <v>24</v>
      </c>
      <c r="M8" s="497" t="s">
        <v>639</v>
      </c>
      <c r="N8" s="497" t="s">
        <v>640</v>
      </c>
    </row>
    <row r="9" spans="1:14" ht="17" x14ac:dyDescent="0.2">
      <c r="A9" s="497" t="s">
        <v>392</v>
      </c>
      <c r="B9" s="497" t="s">
        <v>520</v>
      </c>
      <c r="C9" s="497" t="s">
        <v>621</v>
      </c>
      <c r="D9" s="497">
        <v>3</v>
      </c>
      <c r="E9" s="497">
        <v>0</v>
      </c>
      <c r="F9" s="497">
        <v>0</v>
      </c>
      <c r="G9" s="500">
        <v>1500</v>
      </c>
      <c r="H9" s="497" t="s">
        <v>622</v>
      </c>
      <c r="I9" s="497" t="s">
        <v>632</v>
      </c>
      <c r="J9" s="497" t="s">
        <v>641</v>
      </c>
      <c r="K9" s="497">
        <v>0</v>
      </c>
      <c r="L9" s="497">
        <v>35</v>
      </c>
      <c r="M9" s="497" t="s">
        <v>642</v>
      </c>
      <c r="N9" s="497" t="s">
        <v>643</v>
      </c>
    </row>
    <row r="10" spans="1:14" ht="17" x14ac:dyDescent="0.2">
      <c r="A10" s="497" t="s">
        <v>380</v>
      </c>
      <c r="B10" s="497" t="s">
        <v>520</v>
      </c>
      <c r="C10" s="497" t="s">
        <v>621</v>
      </c>
      <c r="D10" s="497">
        <v>2</v>
      </c>
      <c r="E10" s="497">
        <v>0</v>
      </c>
      <c r="F10" s="499">
        <v>500</v>
      </c>
      <c r="G10" s="497">
        <v>800</v>
      </c>
      <c r="H10" s="497" t="s">
        <v>627</v>
      </c>
      <c r="I10" s="497" t="s">
        <v>632</v>
      </c>
      <c r="J10" s="497" t="s">
        <v>644</v>
      </c>
      <c r="K10" s="497">
        <v>0</v>
      </c>
      <c r="L10" s="497">
        <v>2</v>
      </c>
      <c r="M10" s="497" t="s">
        <v>645</v>
      </c>
      <c r="N10" s="497"/>
    </row>
    <row r="11" spans="1:14" ht="17" x14ac:dyDescent="0.2">
      <c r="A11" s="497" t="s">
        <v>508</v>
      </c>
      <c r="B11" s="497" t="s">
        <v>509</v>
      </c>
      <c r="C11" s="497" t="s">
        <v>547</v>
      </c>
      <c r="D11" s="497">
        <v>1</v>
      </c>
      <c r="E11" s="496">
        <v>2000</v>
      </c>
      <c r="F11" s="497">
        <v>2500</v>
      </c>
      <c r="G11" s="497">
        <v>3000</v>
      </c>
      <c r="H11" s="497" t="s">
        <v>646</v>
      </c>
      <c r="I11" s="497" t="s">
        <v>647</v>
      </c>
      <c r="J11" s="497" t="s">
        <v>648</v>
      </c>
      <c r="K11" s="497">
        <v>161</v>
      </c>
      <c r="L11" s="497">
        <v>285</v>
      </c>
      <c r="M11" s="497" t="s">
        <v>649</v>
      </c>
      <c r="N11" s="497" t="s">
        <v>650</v>
      </c>
    </row>
    <row r="12" spans="1:14" ht="17" x14ac:dyDescent="0.2">
      <c r="A12" s="497" t="s">
        <v>515</v>
      </c>
      <c r="B12" s="497" t="s">
        <v>509</v>
      </c>
      <c r="C12" s="497" t="s">
        <v>547</v>
      </c>
      <c r="D12" s="497">
        <v>1</v>
      </c>
      <c r="E12" s="496">
        <v>800</v>
      </c>
      <c r="F12" s="497">
        <v>1000</v>
      </c>
      <c r="G12" s="497">
        <v>1200</v>
      </c>
      <c r="H12" s="497" t="s">
        <v>651</v>
      </c>
      <c r="I12" s="497" t="s">
        <v>652</v>
      </c>
      <c r="J12" s="497" t="s">
        <v>653</v>
      </c>
      <c r="K12" s="497">
        <v>55</v>
      </c>
      <c r="L12" s="497">
        <v>103</v>
      </c>
      <c r="M12" s="497" t="s">
        <v>654</v>
      </c>
      <c r="N12" s="497" t="s">
        <v>655</v>
      </c>
    </row>
    <row r="13" spans="1:14" ht="17" x14ac:dyDescent="0.2">
      <c r="A13" s="497" t="s">
        <v>526</v>
      </c>
      <c r="B13" s="497" t="s">
        <v>509</v>
      </c>
      <c r="C13" s="497" t="s">
        <v>656</v>
      </c>
      <c r="D13" s="497">
        <v>1</v>
      </c>
      <c r="E13" s="496">
        <v>400</v>
      </c>
      <c r="F13" s="497">
        <v>600</v>
      </c>
      <c r="G13" s="497">
        <v>800</v>
      </c>
      <c r="H13" s="497" t="s">
        <v>651</v>
      </c>
      <c r="I13" s="497" t="s">
        <v>657</v>
      </c>
      <c r="J13" s="497" t="s">
        <v>658</v>
      </c>
      <c r="K13" s="497">
        <v>5</v>
      </c>
      <c r="L13" s="497">
        <v>30</v>
      </c>
      <c r="M13" s="497" t="s">
        <v>659</v>
      </c>
      <c r="N13" s="497" t="s">
        <v>660</v>
      </c>
    </row>
    <row r="14" spans="1:14" ht="17" x14ac:dyDescent="0.2">
      <c r="A14" s="497" t="s">
        <v>545</v>
      </c>
      <c r="B14" s="497" t="s">
        <v>509</v>
      </c>
      <c r="C14" s="497" t="s">
        <v>547</v>
      </c>
      <c r="D14" s="497">
        <v>1</v>
      </c>
      <c r="E14" s="496">
        <v>100</v>
      </c>
      <c r="F14" s="497">
        <v>150</v>
      </c>
      <c r="G14" s="497">
        <v>200</v>
      </c>
      <c r="H14" s="497" t="s">
        <v>651</v>
      </c>
      <c r="I14" s="497" t="s">
        <v>661</v>
      </c>
      <c r="J14" s="497" t="s">
        <v>662</v>
      </c>
      <c r="K14" s="497">
        <v>2.5</v>
      </c>
      <c r="L14" s="497">
        <v>8</v>
      </c>
      <c r="M14" s="497" t="s">
        <v>663</v>
      </c>
      <c r="N14" s="497"/>
    </row>
    <row r="15" spans="1:14" ht="17" x14ac:dyDescent="0.2">
      <c r="A15" s="497" t="s">
        <v>378</v>
      </c>
      <c r="B15" s="497" t="s">
        <v>509</v>
      </c>
      <c r="C15" s="497" t="s">
        <v>547</v>
      </c>
      <c r="D15" s="497">
        <v>1</v>
      </c>
      <c r="E15" s="496">
        <v>50</v>
      </c>
      <c r="F15" s="497">
        <v>80</v>
      </c>
      <c r="G15" s="497">
        <v>100</v>
      </c>
      <c r="H15" s="497" t="s">
        <v>651</v>
      </c>
      <c r="I15" s="497" t="s">
        <v>664</v>
      </c>
      <c r="J15" s="497" t="s">
        <v>641</v>
      </c>
      <c r="K15" s="497">
        <v>0.8</v>
      </c>
      <c r="L15" s="497">
        <v>1.5</v>
      </c>
      <c r="M15" s="497" t="s">
        <v>665</v>
      </c>
      <c r="N15" s="497"/>
    </row>
    <row r="16" spans="1:14" ht="17" x14ac:dyDescent="0.2">
      <c r="A16" s="497" t="s">
        <v>586</v>
      </c>
      <c r="B16" s="497" t="s">
        <v>509</v>
      </c>
      <c r="C16" s="497" t="s">
        <v>666</v>
      </c>
      <c r="D16" s="497">
        <v>1</v>
      </c>
      <c r="E16" s="496">
        <v>50</v>
      </c>
      <c r="F16" s="497">
        <v>100</v>
      </c>
      <c r="G16" s="497">
        <v>150</v>
      </c>
      <c r="H16" s="497" t="s">
        <v>651</v>
      </c>
      <c r="I16" s="497" t="s">
        <v>664</v>
      </c>
      <c r="J16" s="497" t="s">
        <v>667</v>
      </c>
      <c r="K16" s="497">
        <v>0</v>
      </c>
      <c r="L16" s="497">
        <v>2</v>
      </c>
      <c r="M16" s="497" t="s">
        <v>668</v>
      </c>
      <c r="N16" s="497" t="s">
        <v>669</v>
      </c>
    </row>
    <row r="17" spans="1:14" ht="17" x14ac:dyDescent="0.2">
      <c r="A17" s="497" t="s">
        <v>573</v>
      </c>
      <c r="B17" s="497" t="s">
        <v>509</v>
      </c>
      <c r="C17" s="497" t="s">
        <v>547</v>
      </c>
      <c r="D17" s="497">
        <v>1</v>
      </c>
      <c r="E17" s="496">
        <v>50</v>
      </c>
      <c r="F17" s="497">
        <v>100</v>
      </c>
      <c r="G17" s="497">
        <v>150</v>
      </c>
      <c r="H17" s="497" t="s">
        <v>651</v>
      </c>
      <c r="I17" s="497" t="s">
        <v>670</v>
      </c>
      <c r="J17" s="497" t="s">
        <v>671</v>
      </c>
      <c r="K17" s="497">
        <v>0.2</v>
      </c>
      <c r="L17" s="497">
        <v>2</v>
      </c>
      <c r="M17" s="497" t="s">
        <v>672</v>
      </c>
      <c r="N17" s="497"/>
    </row>
    <row r="18" spans="1:14" ht="17" x14ac:dyDescent="0.2">
      <c r="A18" s="497" t="s">
        <v>574</v>
      </c>
      <c r="B18" s="497" t="s">
        <v>509</v>
      </c>
      <c r="C18" s="497" t="s">
        <v>547</v>
      </c>
      <c r="D18" s="497">
        <v>1</v>
      </c>
      <c r="E18" s="496">
        <v>50</v>
      </c>
      <c r="F18" s="497">
        <v>80</v>
      </c>
      <c r="G18" s="497">
        <v>100</v>
      </c>
      <c r="H18" s="497" t="s">
        <v>651</v>
      </c>
      <c r="I18" s="497" t="s">
        <v>673</v>
      </c>
      <c r="J18" s="497" t="s">
        <v>674</v>
      </c>
      <c r="K18" s="497">
        <v>0.2</v>
      </c>
      <c r="L18" s="497">
        <v>0.5</v>
      </c>
      <c r="M18" s="497" t="s">
        <v>630</v>
      </c>
      <c r="N18" s="497"/>
    </row>
    <row r="19" spans="1:14" ht="17" x14ac:dyDescent="0.2">
      <c r="A19" s="497" t="s">
        <v>562</v>
      </c>
      <c r="B19" s="497" t="s">
        <v>509</v>
      </c>
      <c r="C19" s="497" t="s">
        <v>547</v>
      </c>
      <c r="D19" s="497">
        <v>1</v>
      </c>
      <c r="E19" s="496">
        <v>30</v>
      </c>
      <c r="F19" s="497">
        <v>50</v>
      </c>
      <c r="G19" s="497">
        <v>80</v>
      </c>
      <c r="H19" s="497" t="s">
        <v>651</v>
      </c>
      <c r="I19" s="497" t="s">
        <v>670</v>
      </c>
      <c r="J19" s="497" t="s">
        <v>641</v>
      </c>
      <c r="K19" s="497">
        <v>0.2</v>
      </c>
      <c r="L19" s="497">
        <v>0.3</v>
      </c>
      <c r="M19" s="497" t="s">
        <v>675</v>
      </c>
      <c r="N19" s="497"/>
    </row>
    <row r="20" spans="1:14" ht="17" x14ac:dyDescent="0.2">
      <c r="A20" s="497" t="s">
        <v>408</v>
      </c>
      <c r="B20" s="497" t="s">
        <v>505</v>
      </c>
      <c r="C20" s="497" t="s">
        <v>676</v>
      </c>
      <c r="D20" s="497">
        <v>1</v>
      </c>
      <c r="E20" s="496">
        <v>100</v>
      </c>
      <c r="F20" s="497">
        <v>150</v>
      </c>
      <c r="G20" s="497">
        <v>200</v>
      </c>
      <c r="H20" s="497" t="s">
        <v>677</v>
      </c>
      <c r="I20" s="497" t="s">
        <v>678</v>
      </c>
      <c r="J20" s="497" t="s">
        <v>644</v>
      </c>
      <c r="K20" s="497">
        <v>21</v>
      </c>
      <c r="L20" s="497">
        <v>38</v>
      </c>
      <c r="M20" s="497" t="s">
        <v>679</v>
      </c>
      <c r="N20" s="497" t="s">
        <v>680</v>
      </c>
    </row>
    <row r="21" spans="1:14" ht="17" x14ac:dyDescent="0.2">
      <c r="A21" s="497" t="s">
        <v>681</v>
      </c>
      <c r="B21" s="497" t="s">
        <v>505</v>
      </c>
      <c r="C21" s="497" t="s">
        <v>547</v>
      </c>
      <c r="D21" s="497">
        <v>1</v>
      </c>
      <c r="E21" s="496">
        <v>300</v>
      </c>
      <c r="F21" s="497">
        <v>400</v>
      </c>
      <c r="G21" s="497">
        <v>500</v>
      </c>
      <c r="H21" s="497" t="s">
        <v>682</v>
      </c>
      <c r="I21" s="497" t="s">
        <v>683</v>
      </c>
      <c r="J21" s="497" t="s">
        <v>684</v>
      </c>
      <c r="K21" s="497">
        <v>439</v>
      </c>
      <c r="L21" s="497">
        <v>768</v>
      </c>
      <c r="M21" s="497" t="s">
        <v>685</v>
      </c>
      <c r="N21" s="497" t="s">
        <v>686</v>
      </c>
    </row>
    <row r="22" spans="1:14" ht="17" x14ac:dyDescent="0.2">
      <c r="A22" s="497" t="s">
        <v>428</v>
      </c>
      <c r="B22" s="497" t="s">
        <v>505</v>
      </c>
      <c r="C22" s="497" t="s">
        <v>621</v>
      </c>
      <c r="D22" s="497">
        <v>1</v>
      </c>
      <c r="E22" s="496">
        <v>30</v>
      </c>
      <c r="F22" s="497">
        <v>40</v>
      </c>
      <c r="G22" s="497">
        <v>50</v>
      </c>
      <c r="H22" s="497" t="s">
        <v>687</v>
      </c>
      <c r="I22" s="497" t="s">
        <v>632</v>
      </c>
      <c r="J22" s="497" t="s">
        <v>638</v>
      </c>
      <c r="K22" s="497">
        <v>3</v>
      </c>
      <c r="L22" s="497">
        <v>5</v>
      </c>
      <c r="M22" s="497" t="s">
        <v>688</v>
      </c>
      <c r="N22" s="497"/>
    </row>
    <row r="23" spans="1:14" ht="17" x14ac:dyDescent="0.2">
      <c r="A23" s="497" t="s">
        <v>532</v>
      </c>
      <c r="B23" s="497" t="s">
        <v>571</v>
      </c>
      <c r="C23" s="497" t="s">
        <v>621</v>
      </c>
      <c r="D23" s="497">
        <v>1</v>
      </c>
      <c r="E23" s="496">
        <v>40</v>
      </c>
      <c r="F23" s="497">
        <v>60</v>
      </c>
      <c r="G23" s="497">
        <v>80</v>
      </c>
      <c r="H23" s="497" t="s">
        <v>689</v>
      </c>
      <c r="I23" s="497" t="s">
        <v>670</v>
      </c>
      <c r="J23" s="497" t="s">
        <v>690</v>
      </c>
      <c r="K23" s="497">
        <v>12</v>
      </c>
      <c r="L23" s="497">
        <v>20</v>
      </c>
      <c r="M23" s="497" t="s">
        <v>691</v>
      </c>
      <c r="N23" s="497" t="s">
        <v>692</v>
      </c>
    </row>
    <row r="24" spans="1:14" ht="17" x14ac:dyDescent="0.2">
      <c r="A24" s="497" t="s">
        <v>589</v>
      </c>
      <c r="B24" s="497" t="s">
        <v>571</v>
      </c>
      <c r="C24" s="497" t="s">
        <v>621</v>
      </c>
      <c r="D24" s="497">
        <v>1</v>
      </c>
      <c r="E24" s="496">
        <v>20</v>
      </c>
      <c r="F24" s="497">
        <v>40</v>
      </c>
      <c r="G24" s="497">
        <v>60</v>
      </c>
      <c r="H24" s="497" t="s">
        <v>687</v>
      </c>
      <c r="I24" s="497" t="s">
        <v>664</v>
      </c>
      <c r="J24" s="497" t="s">
        <v>638</v>
      </c>
      <c r="K24" s="497">
        <v>0</v>
      </c>
      <c r="L24" s="497">
        <v>2</v>
      </c>
      <c r="M24" s="497" t="s">
        <v>668</v>
      </c>
      <c r="N24" s="497"/>
    </row>
    <row r="25" spans="1:14" ht="17" x14ac:dyDescent="0.2">
      <c r="A25" s="497" t="s">
        <v>570</v>
      </c>
      <c r="B25" s="497" t="s">
        <v>571</v>
      </c>
      <c r="C25" s="497" t="s">
        <v>693</v>
      </c>
      <c r="D25" s="497">
        <v>1</v>
      </c>
      <c r="E25" s="496">
        <v>50</v>
      </c>
      <c r="F25" s="497">
        <v>100</v>
      </c>
      <c r="G25" s="497">
        <v>150</v>
      </c>
      <c r="H25" s="497" t="s">
        <v>694</v>
      </c>
      <c r="I25" s="497" t="s">
        <v>695</v>
      </c>
      <c r="J25" s="497" t="s">
        <v>696</v>
      </c>
      <c r="K25" s="497">
        <v>0.2</v>
      </c>
      <c r="L25" s="497">
        <v>3</v>
      </c>
      <c r="M25" s="497" t="s">
        <v>697</v>
      </c>
      <c r="N25" s="497" t="s">
        <v>698</v>
      </c>
    </row>
    <row r="26" spans="1:14" ht="17" x14ac:dyDescent="0.2">
      <c r="A26" s="497" t="s">
        <v>699</v>
      </c>
      <c r="B26" s="497" t="s">
        <v>512</v>
      </c>
      <c r="C26" s="497" t="s">
        <v>547</v>
      </c>
      <c r="D26" s="497">
        <v>1</v>
      </c>
      <c r="E26" s="496">
        <v>80</v>
      </c>
      <c r="F26" s="497">
        <v>100</v>
      </c>
      <c r="G26" s="497">
        <v>120</v>
      </c>
      <c r="H26" s="497" t="s">
        <v>700</v>
      </c>
      <c r="I26" s="497" t="s">
        <v>701</v>
      </c>
      <c r="J26" s="497" t="s">
        <v>702</v>
      </c>
      <c r="K26" s="497">
        <v>62</v>
      </c>
      <c r="L26" s="497">
        <v>109</v>
      </c>
      <c r="M26" s="497" t="s">
        <v>703</v>
      </c>
      <c r="N26" s="497" t="s">
        <v>704</v>
      </c>
    </row>
    <row r="27" spans="1:14" ht="17" x14ac:dyDescent="0.2">
      <c r="A27" s="497" t="s">
        <v>705</v>
      </c>
      <c r="B27" s="497" t="s">
        <v>512</v>
      </c>
      <c r="C27" s="497" t="s">
        <v>547</v>
      </c>
      <c r="D27" s="497">
        <v>1</v>
      </c>
      <c r="E27" s="496">
        <v>20</v>
      </c>
      <c r="F27" s="497">
        <v>40</v>
      </c>
      <c r="G27" s="497">
        <v>50</v>
      </c>
      <c r="H27" s="497" t="s">
        <v>706</v>
      </c>
      <c r="I27" s="497" t="s">
        <v>707</v>
      </c>
      <c r="J27" s="497" t="s">
        <v>708</v>
      </c>
      <c r="K27" s="497">
        <v>1.6</v>
      </c>
      <c r="L27" s="497">
        <v>8</v>
      </c>
      <c r="M27" s="497" t="s">
        <v>709</v>
      </c>
      <c r="N27" s="497"/>
    </row>
    <row r="28" spans="1:14" ht="17" x14ac:dyDescent="0.2">
      <c r="A28" s="497" t="s">
        <v>558</v>
      </c>
      <c r="B28" s="497" t="s">
        <v>512</v>
      </c>
      <c r="C28" s="497" t="s">
        <v>547</v>
      </c>
      <c r="D28" s="497">
        <v>1</v>
      </c>
      <c r="E28" s="496">
        <v>10</v>
      </c>
      <c r="F28" s="497">
        <v>20</v>
      </c>
      <c r="G28" s="497">
        <v>30</v>
      </c>
      <c r="H28" s="497" t="s">
        <v>687</v>
      </c>
      <c r="I28" s="497" t="s">
        <v>710</v>
      </c>
      <c r="J28" s="497" t="s">
        <v>702</v>
      </c>
      <c r="K28" s="497">
        <v>0.8</v>
      </c>
      <c r="L28" s="497">
        <v>2</v>
      </c>
      <c r="M28" s="497" t="s">
        <v>711</v>
      </c>
      <c r="N28" s="497"/>
    </row>
    <row r="29" spans="1:14" ht="17" x14ac:dyDescent="0.2">
      <c r="A29" s="497" t="s">
        <v>76</v>
      </c>
      <c r="B29" s="497" t="s">
        <v>512</v>
      </c>
      <c r="C29" s="497" t="s">
        <v>712</v>
      </c>
      <c r="D29" s="497">
        <v>1</v>
      </c>
      <c r="E29" s="496">
        <v>10</v>
      </c>
      <c r="F29" s="497">
        <v>20</v>
      </c>
      <c r="G29" s="497">
        <v>30</v>
      </c>
      <c r="H29" s="497" t="s">
        <v>713</v>
      </c>
      <c r="I29" s="497" t="s">
        <v>714</v>
      </c>
      <c r="J29" s="497" t="s">
        <v>715</v>
      </c>
      <c r="K29" s="497">
        <v>0.5</v>
      </c>
      <c r="L29" s="497">
        <v>18</v>
      </c>
      <c r="M29" s="497" t="s">
        <v>716</v>
      </c>
      <c r="N29" s="497" t="s">
        <v>717</v>
      </c>
    </row>
    <row r="30" spans="1:14" ht="17" x14ac:dyDescent="0.2">
      <c r="A30" s="497" t="s">
        <v>86</v>
      </c>
      <c r="B30" s="497" t="s">
        <v>512</v>
      </c>
      <c r="C30" s="497" t="s">
        <v>712</v>
      </c>
      <c r="D30" s="497">
        <v>1</v>
      </c>
      <c r="E30" s="496">
        <v>10</v>
      </c>
      <c r="F30" s="497">
        <v>20</v>
      </c>
      <c r="G30" s="497">
        <v>30</v>
      </c>
      <c r="H30" s="497" t="s">
        <v>713</v>
      </c>
      <c r="I30" s="497" t="s">
        <v>714</v>
      </c>
      <c r="J30" s="497" t="s">
        <v>715</v>
      </c>
      <c r="K30" s="497">
        <v>1</v>
      </c>
      <c r="L30" s="497">
        <v>23</v>
      </c>
      <c r="M30" s="497" t="s">
        <v>716</v>
      </c>
      <c r="N30" s="497" t="s">
        <v>717</v>
      </c>
    </row>
    <row r="31" spans="1:14" ht="17" x14ac:dyDescent="0.2">
      <c r="A31" s="497" t="s">
        <v>587</v>
      </c>
      <c r="B31" s="497" t="s">
        <v>568</v>
      </c>
      <c r="C31" s="497" t="s">
        <v>718</v>
      </c>
      <c r="D31" s="497">
        <v>1</v>
      </c>
      <c r="E31" s="496">
        <v>5</v>
      </c>
      <c r="F31" s="497">
        <v>10</v>
      </c>
      <c r="G31" s="497">
        <v>15</v>
      </c>
      <c r="H31" s="497" t="s">
        <v>719</v>
      </c>
      <c r="I31" s="497" t="s">
        <v>664</v>
      </c>
      <c r="J31" s="497" t="s">
        <v>638</v>
      </c>
      <c r="K31" s="497">
        <v>0</v>
      </c>
      <c r="L31" s="497">
        <v>2</v>
      </c>
      <c r="M31" s="497" t="s">
        <v>720</v>
      </c>
      <c r="N31" s="497" t="s">
        <v>721</v>
      </c>
    </row>
    <row r="33" spans="1:7" x14ac:dyDescent="0.2">
      <c r="A33" s="501" t="s">
        <v>722</v>
      </c>
      <c r="E33">
        <v>8705</v>
      </c>
      <c r="F33">
        <v>14660</v>
      </c>
      <c r="G33">
        <v>19895</v>
      </c>
    </row>
    <row r="34" spans="1:7" x14ac:dyDescent="0.2">
      <c r="A34" t="s">
        <v>723</v>
      </c>
    </row>
    <row r="35" spans="1:7" x14ac:dyDescent="0.2">
      <c r="A35" t="s">
        <v>724</v>
      </c>
    </row>
    <row r="36" spans="1:7" x14ac:dyDescent="0.2">
      <c r="A36" t="s">
        <v>725</v>
      </c>
    </row>
  </sheetData>
  <autoFilter ref="A3:N31" xr:uid="{00000000-0009-0000-0000-000004000000}"/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T12" sqref="T12"/>
    </sheetView>
  </sheetViews>
  <sheetFormatPr baseColWidth="10" defaultColWidth="8.83203125" defaultRowHeight="16" x14ac:dyDescent="0.2"/>
  <cols>
    <col min="1" max="1" width="26" customWidth="1"/>
    <col min="2" max="14" width="10" customWidth="1"/>
  </cols>
  <sheetData>
    <row r="1" spans="1:14" ht="19" x14ac:dyDescent="0.25">
      <c r="A1" s="510" t="s">
        <v>726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09"/>
    </row>
    <row r="2" spans="1:14" x14ac:dyDescent="0.2">
      <c r="A2" s="509" t="s">
        <v>727</v>
      </c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09"/>
      <c r="M2" s="509"/>
      <c r="N2" s="509"/>
    </row>
    <row r="3" spans="1:14" x14ac:dyDescent="0.2">
      <c r="A3" s="495" t="s">
        <v>610</v>
      </c>
      <c r="B3" s="495" t="s">
        <v>493</v>
      </c>
      <c r="C3" s="495" t="s">
        <v>728</v>
      </c>
      <c r="D3" s="495" t="s">
        <v>729</v>
      </c>
      <c r="E3" s="495" t="s">
        <v>730</v>
      </c>
      <c r="F3" s="495" t="s">
        <v>664</v>
      </c>
      <c r="G3" s="495" t="s">
        <v>731</v>
      </c>
      <c r="H3" s="495" t="s">
        <v>732</v>
      </c>
      <c r="I3" s="495" t="s">
        <v>733</v>
      </c>
      <c r="J3" s="495" t="s">
        <v>734</v>
      </c>
      <c r="K3" s="495" t="s">
        <v>735</v>
      </c>
      <c r="L3" s="495" t="s">
        <v>736</v>
      </c>
      <c r="M3" s="495" t="s">
        <v>737</v>
      </c>
      <c r="N3" s="495" t="s">
        <v>738</v>
      </c>
    </row>
    <row r="4" spans="1:14" x14ac:dyDescent="0.2">
      <c r="A4" s="502" t="s">
        <v>381</v>
      </c>
      <c r="B4" s="502" t="s">
        <v>739</v>
      </c>
      <c r="E4" s="503" t="s">
        <v>740</v>
      </c>
      <c r="F4" s="503" t="s">
        <v>741</v>
      </c>
      <c r="H4" s="504" t="s">
        <v>742</v>
      </c>
      <c r="I4" s="504" t="s">
        <v>743</v>
      </c>
      <c r="K4" s="504" t="s">
        <v>742</v>
      </c>
      <c r="L4" s="505" t="s">
        <v>744</v>
      </c>
    </row>
    <row r="5" spans="1:14" x14ac:dyDescent="0.2">
      <c r="A5" s="502" t="s">
        <v>417</v>
      </c>
      <c r="B5" s="502" t="s">
        <v>739</v>
      </c>
      <c r="E5" s="503" t="s">
        <v>740</v>
      </c>
      <c r="F5" s="503" t="s">
        <v>741</v>
      </c>
      <c r="I5" s="504" t="s">
        <v>743</v>
      </c>
      <c r="J5" s="504" t="s">
        <v>743</v>
      </c>
      <c r="L5" s="505" t="s">
        <v>744</v>
      </c>
    </row>
    <row r="6" spans="1:14" x14ac:dyDescent="0.2">
      <c r="A6" s="502" t="s">
        <v>418</v>
      </c>
      <c r="B6" s="502" t="s">
        <v>739</v>
      </c>
      <c r="F6" s="503" t="s">
        <v>740</v>
      </c>
      <c r="I6" s="504" t="s">
        <v>743</v>
      </c>
      <c r="J6" s="504" t="s">
        <v>743</v>
      </c>
    </row>
    <row r="7" spans="1:14" x14ac:dyDescent="0.2">
      <c r="A7" s="502" t="s">
        <v>411</v>
      </c>
      <c r="B7" s="502" t="s">
        <v>739</v>
      </c>
      <c r="E7" s="503" t="s">
        <v>745</v>
      </c>
      <c r="H7" s="504" t="s">
        <v>742</v>
      </c>
      <c r="I7" s="504" t="s">
        <v>743</v>
      </c>
      <c r="K7" s="504" t="s">
        <v>742</v>
      </c>
    </row>
    <row r="8" spans="1:14" x14ac:dyDescent="0.2">
      <c r="A8" s="502" t="s">
        <v>412</v>
      </c>
      <c r="B8" s="502" t="s">
        <v>739</v>
      </c>
      <c r="F8" s="503" t="s">
        <v>745</v>
      </c>
      <c r="I8" s="504" t="s">
        <v>743</v>
      </c>
      <c r="J8" s="504" t="s">
        <v>743</v>
      </c>
    </row>
    <row r="9" spans="1:14" x14ac:dyDescent="0.2">
      <c r="A9" s="502" t="s">
        <v>392</v>
      </c>
      <c r="B9" s="502" t="s">
        <v>739</v>
      </c>
      <c r="F9" s="503" t="s">
        <v>746</v>
      </c>
      <c r="I9" s="504" t="s">
        <v>743</v>
      </c>
      <c r="J9" s="504" t="s">
        <v>743</v>
      </c>
    </row>
    <row r="10" spans="1:14" x14ac:dyDescent="0.2">
      <c r="A10" s="502" t="s">
        <v>747</v>
      </c>
      <c r="B10" s="502" t="s">
        <v>748</v>
      </c>
      <c r="E10" s="506" t="s">
        <v>749</v>
      </c>
      <c r="F10" s="506" t="s">
        <v>749</v>
      </c>
      <c r="I10" s="504" t="s">
        <v>742</v>
      </c>
      <c r="J10" s="504" t="s">
        <v>743</v>
      </c>
    </row>
    <row r="11" spans="1:14" x14ac:dyDescent="0.2">
      <c r="A11" s="502" t="s">
        <v>515</v>
      </c>
      <c r="B11" s="502" t="s">
        <v>748</v>
      </c>
      <c r="F11" s="506" t="s">
        <v>749</v>
      </c>
      <c r="G11" s="505" t="s">
        <v>744</v>
      </c>
      <c r="J11" s="504" t="s">
        <v>742</v>
      </c>
      <c r="K11" s="504" t="s">
        <v>743</v>
      </c>
    </row>
    <row r="12" spans="1:14" x14ac:dyDescent="0.2">
      <c r="A12" s="502" t="s">
        <v>526</v>
      </c>
      <c r="B12" s="502" t="s">
        <v>748</v>
      </c>
      <c r="G12" s="506" t="s">
        <v>749</v>
      </c>
      <c r="H12" s="506" t="s">
        <v>749</v>
      </c>
      <c r="I12" s="504" t="s">
        <v>750</v>
      </c>
      <c r="J12" s="504" t="s">
        <v>751</v>
      </c>
    </row>
    <row r="13" spans="1:14" x14ac:dyDescent="0.2">
      <c r="A13" s="502" t="s">
        <v>545</v>
      </c>
      <c r="B13" s="502" t="s">
        <v>748</v>
      </c>
      <c r="E13" s="506" t="s">
        <v>749</v>
      </c>
      <c r="F13" s="506" t="s">
        <v>749</v>
      </c>
      <c r="H13" s="504" t="s">
        <v>742</v>
      </c>
      <c r="I13" s="504" t="s">
        <v>752</v>
      </c>
      <c r="J13" s="504" t="s">
        <v>742</v>
      </c>
      <c r="K13" s="506" t="s">
        <v>749</v>
      </c>
    </row>
    <row r="14" spans="1:14" x14ac:dyDescent="0.2">
      <c r="A14" s="502" t="s">
        <v>408</v>
      </c>
      <c r="B14" s="502" t="s">
        <v>753</v>
      </c>
      <c r="H14" s="504" t="s">
        <v>743</v>
      </c>
      <c r="I14" s="507" t="s">
        <v>754</v>
      </c>
      <c r="L14" s="503" t="s">
        <v>740</v>
      </c>
      <c r="M14" s="503" t="s">
        <v>740</v>
      </c>
    </row>
    <row r="15" spans="1:14" x14ac:dyDescent="0.2">
      <c r="A15" s="502" t="s">
        <v>755</v>
      </c>
      <c r="B15" s="502" t="s">
        <v>753</v>
      </c>
      <c r="G15" s="506" t="s">
        <v>756</v>
      </c>
      <c r="H15" s="503" t="s">
        <v>740</v>
      </c>
      <c r="K15" s="504" t="s">
        <v>742</v>
      </c>
      <c r="L15" s="504" t="s">
        <v>742</v>
      </c>
      <c r="M15" s="504" t="s">
        <v>742</v>
      </c>
    </row>
    <row r="16" spans="1:14" x14ac:dyDescent="0.2">
      <c r="A16" s="502" t="s">
        <v>428</v>
      </c>
      <c r="B16" s="502" t="s">
        <v>753</v>
      </c>
      <c r="F16" s="503" t="s">
        <v>740</v>
      </c>
      <c r="H16" s="504" t="s">
        <v>742</v>
      </c>
      <c r="I16" s="504" t="s">
        <v>743</v>
      </c>
      <c r="J16" s="504" t="s">
        <v>742</v>
      </c>
    </row>
    <row r="17" spans="1:14" x14ac:dyDescent="0.2">
      <c r="A17" s="502" t="s">
        <v>532</v>
      </c>
      <c r="B17" s="502" t="s">
        <v>757</v>
      </c>
      <c r="E17" s="503" t="s">
        <v>740</v>
      </c>
      <c r="G17" s="504" t="s">
        <v>742</v>
      </c>
      <c r="H17" s="504" t="s">
        <v>743</v>
      </c>
      <c r="I17" s="504" t="s">
        <v>743</v>
      </c>
      <c r="J17" s="504" t="s">
        <v>742</v>
      </c>
      <c r="K17" s="504" t="s">
        <v>742</v>
      </c>
    </row>
    <row r="18" spans="1:14" x14ac:dyDescent="0.2">
      <c r="A18" s="502" t="s">
        <v>570</v>
      </c>
      <c r="B18" s="502" t="s">
        <v>757</v>
      </c>
      <c r="C18" s="503" t="s">
        <v>740</v>
      </c>
      <c r="D18" s="503" t="s">
        <v>740</v>
      </c>
      <c r="G18" s="504" t="s">
        <v>758</v>
      </c>
      <c r="H18" s="504" t="s">
        <v>759</v>
      </c>
      <c r="M18" s="503" t="s">
        <v>740</v>
      </c>
    </row>
    <row r="19" spans="1:14" x14ac:dyDescent="0.2">
      <c r="A19" s="502" t="s">
        <v>760</v>
      </c>
      <c r="B19" s="502" t="s">
        <v>512</v>
      </c>
      <c r="C19" s="506" t="s">
        <v>761</v>
      </c>
      <c r="D19" s="506" t="s">
        <v>761</v>
      </c>
      <c r="E19" s="506" t="s">
        <v>761</v>
      </c>
      <c r="G19" s="503" t="s">
        <v>740</v>
      </c>
      <c r="J19" s="504" t="s">
        <v>742</v>
      </c>
      <c r="K19" s="504" t="s">
        <v>743</v>
      </c>
      <c r="L19" s="504" t="s">
        <v>743</v>
      </c>
    </row>
    <row r="20" spans="1:14" x14ac:dyDescent="0.2">
      <c r="A20" s="502" t="s">
        <v>549</v>
      </c>
      <c r="B20" s="502" t="s">
        <v>512</v>
      </c>
      <c r="E20" s="506" t="s">
        <v>761</v>
      </c>
      <c r="F20" s="506" t="s">
        <v>756</v>
      </c>
      <c r="G20" s="504" t="s">
        <v>742</v>
      </c>
      <c r="H20" s="504" t="s">
        <v>743</v>
      </c>
      <c r="I20" s="504" t="s">
        <v>752</v>
      </c>
      <c r="J20" s="504" t="s">
        <v>742</v>
      </c>
      <c r="K20" s="504" t="s">
        <v>742</v>
      </c>
    </row>
    <row r="21" spans="1:14" x14ac:dyDescent="0.2">
      <c r="A21" s="502" t="s">
        <v>762</v>
      </c>
      <c r="B21" s="502" t="s">
        <v>512</v>
      </c>
      <c r="E21" s="503" t="s">
        <v>740</v>
      </c>
      <c r="F21" s="505" t="s">
        <v>744</v>
      </c>
      <c r="L21" s="504" t="s">
        <v>742</v>
      </c>
      <c r="M21" s="504" t="s">
        <v>743</v>
      </c>
    </row>
    <row r="22" spans="1:14" x14ac:dyDescent="0.2">
      <c r="A22" s="502" t="s">
        <v>763</v>
      </c>
      <c r="B22" s="502" t="s">
        <v>748</v>
      </c>
      <c r="E22" s="506" t="s">
        <v>749</v>
      </c>
      <c r="F22" s="506" t="s">
        <v>749</v>
      </c>
      <c r="H22" s="504" t="s">
        <v>743</v>
      </c>
      <c r="I22" s="504" t="s">
        <v>743</v>
      </c>
      <c r="J22" s="504" t="s">
        <v>742</v>
      </c>
    </row>
    <row r="23" spans="1:14" x14ac:dyDescent="0.2">
      <c r="A23" s="502" t="s">
        <v>764</v>
      </c>
      <c r="B23" s="502" t="s">
        <v>739</v>
      </c>
      <c r="D23" s="505" t="s">
        <v>744</v>
      </c>
      <c r="E23" s="505" t="s">
        <v>744</v>
      </c>
      <c r="F23" s="505" t="s">
        <v>744</v>
      </c>
      <c r="L23" s="505" t="s">
        <v>744</v>
      </c>
      <c r="M23" s="505" t="s">
        <v>744</v>
      </c>
    </row>
    <row r="26" spans="1:14" x14ac:dyDescent="0.2">
      <c r="A26" s="509" t="s">
        <v>765</v>
      </c>
      <c r="B26" s="509"/>
      <c r="C26" s="509"/>
      <c r="D26" s="509"/>
      <c r="E26" s="509"/>
      <c r="F26" s="509"/>
      <c r="G26" s="509"/>
      <c r="H26" s="509"/>
      <c r="I26" s="509"/>
      <c r="J26" s="509"/>
      <c r="K26" s="509"/>
      <c r="L26" s="509"/>
      <c r="M26" s="509"/>
      <c r="N26" s="509"/>
    </row>
    <row r="28" spans="1:14" x14ac:dyDescent="0.2">
      <c r="A28" s="509" t="s">
        <v>766</v>
      </c>
      <c r="B28" s="509"/>
      <c r="C28" s="509"/>
      <c r="D28" s="509"/>
      <c r="E28" s="509"/>
      <c r="F28" s="509"/>
      <c r="G28" s="509"/>
      <c r="H28" s="509"/>
      <c r="I28" s="509"/>
      <c r="J28" s="509"/>
      <c r="K28" s="509"/>
      <c r="L28" s="509"/>
      <c r="M28" s="509"/>
      <c r="N28" s="509"/>
    </row>
  </sheetData>
  <mergeCells count="4">
    <mergeCell ref="A28:N28"/>
    <mergeCell ref="A26:N26"/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6"/>
  <dimension ref="A1:J220"/>
  <sheetViews>
    <sheetView workbookViewId="0">
      <pane ySplit="1" topLeftCell="A2" activePane="bottomLeft" state="frozen"/>
      <selection pane="bottomLeft" activeCell="K1" sqref="K1:L1048576"/>
    </sheetView>
  </sheetViews>
  <sheetFormatPr baseColWidth="10" defaultColWidth="11" defaultRowHeight="16" x14ac:dyDescent="0.2"/>
  <cols>
    <col min="1" max="1" width="31.6640625" customWidth="1"/>
    <col min="2" max="10" width="13.1640625" customWidth="1"/>
  </cols>
  <sheetData>
    <row r="1" spans="1:10" ht="57" customHeight="1" x14ac:dyDescent="0.2">
      <c r="A1" s="4" t="s">
        <v>767</v>
      </c>
      <c r="B1" s="4" t="s">
        <v>768</v>
      </c>
      <c r="C1" s="4" t="s">
        <v>769</v>
      </c>
      <c r="D1" s="4" t="s">
        <v>770</v>
      </c>
      <c r="E1" s="4" t="s">
        <v>771</v>
      </c>
      <c r="F1" s="4" t="s">
        <v>772</v>
      </c>
      <c r="G1" s="4" t="s">
        <v>773</v>
      </c>
      <c r="H1" s="4" t="s">
        <v>774</v>
      </c>
      <c r="I1" s="4" t="s">
        <v>775</v>
      </c>
      <c r="J1" s="4" t="s">
        <v>776</v>
      </c>
    </row>
    <row r="2" spans="1:10" x14ac:dyDescent="0.2">
      <c r="A2" s="235" t="s">
        <v>311</v>
      </c>
      <c r="B2" s="329">
        <v>203.7757848519914</v>
      </c>
      <c r="C2" s="236">
        <v>203.7757848519914</v>
      </c>
      <c r="D2" s="236">
        <v>0</v>
      </c>
      <c r="E2" s="236">
        <v>0</v>
      </c>
      <c r="F2" s="236">
        <v>0</v>
      </c>
      <c r="G2" s="236">
        <v>0</v>
      </c>
      <c r="H2" s="236">
        <v>0</v>
      </c>
      <c r="I2" s="236">
        <v>0</v>
      </c>
      <c r="J2" s="236">
        <v>0</v>
      </c>
    </row>
    <row r="3" spans="1:10" x14ac:dyDescent="0.2">
      <c r="A3" s="482" t="s">
        <v>315</v>
      </c>
      <c r="B3" s="483">
        <v>201.4208222410447</v>
      </c>
      <c r="C3" s="484">
        <v>201.4208222410447</v>
      </c>
      <c r="D3" s="484">
        <v>0</v>
      </c>
      <c r="E3" s="484">
        <v>0</v>
      </c>
      <c r="F3" s="484">
        <v>0</v>
      </c>
      <c r="G3" s="484">
        <v>0</v>
      </c>
      <c r="H3" s="484">
        <v>0</v>
      </c>
      <c r="I3" s="484">
        <v>0</v>
      </c>
      <c r="J3" s="484">
        <v>0</v>
      </c>
    </row>
    <row r="4" spans="1:10" x14ac:dyDescent="0.2">
      <c r="A4" s="76" t="s">
        <v>191</v>
      </c>
      <c r="B4" s="268">
        <v>37.608342751609712</v>
      </c>
      <c r="C4" s="146">
        <v>37.608342751609712</v>
      </c>
      <c r="D4" s="146">
        <v>0</v>
      </c>
      <c r="E4" s="146">
        <v>0</v>
      </c>
      <c r="F4" s="146">
        <v>0</v>
      </c>
      <c r="G4" s="146">
        <v>0</v>
      </c>
      <c r="H4" s="146">
        <v>0</v>
      </c>
      <c r="I4" s="146">
        <v>0</v>
      </c>
      <c r="J4" s="146">
        <v>0</v>
      </c>
    </row>
    <row r="5" spans="1:10" x14ac:dyDescent="0.2">
      <c r="A5" s="229" t="s">
        <v>300</v>
      </c>
      <c r="B5" s="323">
        <v>34.276215097351411</v>
      </c>
      <c r="C5" s="230">
        <v>34.276215097351411</v>
      </c>
      <c r="D5" s="230">
        <v>0</v>
      </c>
      <c r="E5" s="230">
        <v>0</v>
      </c>
      <c r="F5" s="230">
        <v>0</v>
      </c>
      <c r="G5" s="230">
        <v>0</v>
      </c>
      <c r="H5" s="230">
        <v>0</v>
      </c>
      <c r="I5" s="230">
        <v>0</v>
      </c>
      <c r="J5" s="230">
        <v>0</v>
      </c>
    </row>
    <row r="6" spans="1:10" x14ac:dyDescent="0.2">
      <c r="A6" s="75" t="s">
        <v>210</v>
      </c>
      <c r="B6" s="267">
        <v>23.513690569087561</v>
      </c>
      <c r="C6" s="145">
        <v>23.513690569087561</v>
      </c>
      <c r="D6" s="145">
        <v>0</v>
      </c>
      <c r="E6" s="145">
        <v>0</v>
      </c>
      <c r="F6" s="145">
        <v>0</v>
      </c>
      <c r="G6" s="145">
        <v>0</v>
      </c>
      <c r="H6" s="145">
        <v>0</v>
      </c>
      <c r="I6" s="145">
        <v>0</v>
      </c>
      <c r="J6" s="145">
        <v>0</v>
      </c>
    </row>
    <row r="7" spans="1:10" x14ac:dyDescent="0.2">
      <c r="A7" s="197" t="s">
        <v>197</v>
      </c>
      <c r="B7" s="260">
        <v>23.420100860477401</v>
      </c>
      <c r="C7" s="198">
        <v>23.420100860477401</v>
      </c>
      <c r="D7" s="198">
        <v>0</v>
      </c>
      <c r="E7" s="198">
        <v>0</v>
      </c>
      <c r="F7" s="198">
        <v>0</v>
      </c>
      <c r="G7" s="198">
        <v>0</v>
      </c>
      <c r="H7" s="198">
        <v>0</v>
      </c>
      <c r="I7" s="198">
        <v>0</v>
      </c>
      <c r="J7" s="198">
        <v>0</v>
      </c>
    </row>
    <row r="8" spans="1:10" x14ac:dyDescent="0.2">
      <c r="A8" s="71" t="s">
        <v>195</v>
      </c>
      <c r="B8" s="259">
        <v>14.984437322334321</v>
      </c>
      <c r="C8" s="141">
        <v>14.984437322334321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</row>
    <row r="9" spans="1:10" x14ac:dyDescent="0.2">
      <c r="A9" s="104" t="s">
        <v>278</v>
      </c>
      <c r="B9" s="305">
        <v>12.76595744680851</v>
      </c>
      <c r="C9" s="176">
        <v>12.76595744680851</v>
      </c>
      <c r="D9" s="176">
        <v>0</v>
      </c>
      <c r="E9" s="176">
        <v>0</v>
      </c>
      <c r="F9" s="176">
        <v>0</v>
      </c>
      <c r="G9" s="176">
        <v>0</v>
      </c>
      <c r="H9" s="176">
        <v>0</v>
      </c>
      <c r="I9" s="176">
        <v>0</v>
      </c>
      <c r="J9" s="176">
        <v>0</v>
      </c>
    </row>
    <row r="10" spans="1:10" x14ac:dyDescent="0.2">
      <c r="A10" s="82" t="s">
        <v>218</v>
      </c>
      <c r="B10" s="274">
        <v>12.28728757979917</v>
      </c>
      <c r="C10" s="152">
        <v>12.28728757979917</v>
      </c>
      <c r="D10" s="152">
        <v>0</v>
      </c>
      <c r="E10" s="152">
        <v>0</v>
      </c>
      <c r="F10" s="152">
        <v>0</v>
      </c>
      <c r="G10" s="152">
        <v>0</v>
      </c>
      <c r="H10" s="152">
        <v>0</v>
      </c>
      <c r="I10" s="152">
        <v>0</v>
      </c>
      <c r="J10" s="152">
        <v>0</v>
      </c>
    </row>
    <row r="11" spans="1:10" x14ac:dyDescent="0.2">
      <c r="A11" s="70" t="s">
        <v>189</v>
      </c>
      <c r="B11" s="258">
        <v>11.892766854045581</v>
      </c>
      <c r="C11" s="140">
        <v>11.892766854045581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</row>
    <row r="12" spans="1:10" x14ac:dyDescent="0.2">
      <c r="A12" s="351" t="s">
        <v>267</v>
      </c>
      <c r="B12" s="303">
        <v>9.2134696970210221</v>
      </c>
      <c r="C12" s="174">
        <v>9.2134696970210221</v>
      </c>
      <c r="D12" s="174">
        <v>0</v>
      </c>
      <c r="E12" s="174">
        <v>0</v>
      </c>
      <c r="F12" s="174">
        <v>0</v>
      </c>
      <c r="G12" s="174">
        <v>0</v>
      </c>
      <c r="H12" s="174">
        <v>0</v>
      </c>
      <c r="I12" s="174">
        <v>0</v>
      </c>
      <c r="J12" s="174">
        <v>0</v>
      </c>
    </row>
    <row r="13" spans="1:10" x14ac:dyDescent="0.2">
      <c r="A13" s="101" t="s">
        <v>273</v>
      </c>
      <c r="B13" s="301">
        <v>6.7164179104477606</v>
      </c>
      <c r="C13" s="172">
        <v>6.7164179104477606</v>
      </c>
      <c r="D13" s="172">
        <v>0</v>
      </c>
      <c r="E13" s="172">
        <v>0</v>
      </c>
      <c r="F13" s="172">
        <v>0</v>
      </c>
      <c r="G13" s="172">
        <v>0</v>
      </c>
      <c r="H13" s="172">
        <v>0</v>
      </c>
      <c r="I13" s="172">
        <v>0</v>
      </c>
      <c r="J13" s="172">
        <v>0</v>
      </c>
    </row>
    <row r="14" spans="1:10" x14ac:dyDescent="0.2">
      <c r="A14" s="107" t="s">
        <v>777</v>
      </c>
      <c r="B14" s="309">
        <v>6.3380281690140841</v>
      </c>
      <c r="C14" s="179">
        <v>6.3380281690140841</v>
      </c>
      <c r="D14" s="179">
        <v>0</v>
      </c>
      <c r="E14" s="179">
        <v>0</v>
      </c>
      <c r="F14" s="179">
        <v>0</v>
      </c>
      <c r="G14" s="179">
        <v>0</v>
      </c>
      <c r="H14" s="179">
        <v>0</v>
      </c>
      <c r="I14" s="179">
        <v>0</v>
      </c>
      <c r="J14" s="179">
        <v>0</v>
      </c>
    </row>
    <row r="15" spans="1:10" x14ac:dyDescent="0.2">
      <c r="A15" s="79" t="s">
        <v>173</v>
      </c>
      <c r="B15" s="271">
        <v>5.669999999999999</v>
      </c>
      <c r="C15" s="149">
        <v>5.669999999999999</v>
      </c>
      <c r="D15" s="149">
        <v>0</v>
      </c>
      <c r="E15" s="149">
        <v>0</v>
      </c>
      <c r="F15" s="149">
        <v>0</v>
      </c>
      <c r="G15" s="149">
        <v>0</v>
      </c>
      <c r="H15" s="149">
        <v>0</v>
      </c>
      <c r="I15" s="149">
        <v>0</v>
      </c>
      <c r="J15" s="149">
        <v>0</v>
      </c>
    </row>
    <row r="16" spans="1:10" x14ac:dyDescent="0.2">
      <c r="A16" s="485" t="s">
        <v>316</v>
      </c>
      <c r="B16" s="486">
        <v>5.542359461599367</v>
      </c>
      <c r="C16" s="487">
        <v>5.542359461599367</v>
      </c>
      <c r="D16" s="487">
        <v>0</v>
      </c>
      <c r="E16" s="487">
        <v>0</v>
      </c>
      <c r="F16" s="487">
        <v>0</v>
      </c>
      <c r="G16" s="487">
        <v>0</v>
      </c>
      <c r="H16" s="487">
        <v>0</v>
      </c>
      <c r="I16" s="487">
        <v>0</v>
      </c>
      <c r="J16" s="487">
        <v>0</v>
      </c>
    </row>
    <row r="17" spans="1:10" x14ac:dyDescent="0.2">
      <c r="A17" s="97" t="s">
        <v>264</v>
      </c>
      <c r="B17" s="296">
        <v>3.0984484231524432</v>
      </c>
      <c r="C17" s="168">
        <v>3.0984484231524432</v>
      </c>
      <c r="D17" s="168">
        <v>0</v>
      </c>
      <c r="E17" s="168">
        <v>0</v>
      </c>
      <c r="F17" s="168">
        <v>0</v>
      </c>
      <c r="G17" s="168">
        <v>0</v>
      </c>
      <c r="H17" s="168">
        <v>0</v>
      </c>
      <c r="I17" s="168">
        <v>0</v>
      </c>
      <c r="J17" s="168">
        <v>0</v>
      </c>
    </row>
    <row r="18" spans="1:10" x14ac:dyDescent="0.2">
      <c r="A18" s="118" t="s">
        <v>309</v>
      </c>
      <c r="B18" s="326">
        <v>2.4364640883977899</v>
      </c>
      <c r="C18" s="190">
        <v>2.4364640883977899</v>
      </c>
      <c r="D18" s="190">
        <v>0</v>
      </c>
      <c r="E18" s="190">
        <v>0</v>
      </c>
      <c r="F18" s="190">
        <v>0</v>
      </c>
      <c r="G18" s="190">
        <v>0</v>
      </c>
      <c r="H18" s="190">
        <v>0</v>
      </c>
      <c r="I18" s="190">
        <v>0</v>
      </c>
      <c r="J18" s="190">
        <v>0</v>
      </c>
    </row>
    <row r="19" spans="1:10" x14ac:dyDescent="0.2">
      <c r="A19" s="117" t="s">
        <v>307</v>
      </c>
      <c r="B19" s="325">
        <v>1.8</v>
      </c>
      <c r="C19" s="189">
        <v>1.8</v>
      </c>
      <c r="D19" s="189">
        <v>0</v>
      </c>
      <c r="E19" s="189">
        <v>0</v>
      </c>
      <c r="F19" s="189">
        <v>0</v>
      </c>
      <c r="G19" s="189">
        <v>0</v>
      </c>
      <c r="H19" s="189">
        <v>0</v>
      </c>
      <c r="I19" s="189">
        <v>0</v>
      </c>
      <c r="J19" s="189">
        <v>0</v>
      </c>
    </row>
    <row r="20" spans="1:10" x14ac:dyDescent="0.2">
      <c r="A20" s="61" t="s">
        <v>165</v>
      </c>
      <c r="B20" s="246">
        <v>1.6595744680851059</v>
      </c>
      <c r="C20" s="130">
        <v>1.6595744680851059</v>
      </c>
      <c r="D20" s="130">
        <v>0</v>
      </c>
      <c r="E20" s="130">
        <v>0</v>
      </c>
      <c r="F20" s="130">
        <v>0</v>
      </c>
      <c r="G20" s="130">
        <v>0</v>
      </c>
      <c r="H20" s="130">
        <v>0</v>
      </c>
      <c r="I20" s="130">
        <v>0</v>
      </c>
      <c r="J20" s="130">
        <v>0</v>
      </c>
    </row>
    <row r="21" spans="1:10" x14ac:dyDescent="0.2">
      <c r="A21" s="479" t="s">
        <v>314</v>
      </c>
      <c r="B21" s="480">
        <v>1.330166270783848</v>
      </c>
      <c r="C21" s="481">
        <v>1.330166270783848</v>
      </c>
      <c r="D21" s="481">
        <v>0</v>
      </c>
      <c r="E21" s="481">
        <v>0</v>
      </c>
      <c r="F21" s="481">
        <v>0</v>
      </c>
      <c r="G21" s="481">
        <v>0</v>
      </c>
      <c r="H21" s="481">
        <v>0</v>
      </c>
      <c r="I21" s="481">
        <v>0</v>
      </c>
      <c r="J21" s="481">
        <v>0</v>
      </c>
    </row>
    <row r="22" spans="1:10" x14ac:dyDescent="0.2">
      <c r="A22" s="103" t="s">
        <v>276</v>
      </c>
      <c r="B22" s="304">
        <v>1.140845070422535</v>
      </c>
      <c r="C22" s="175">
        <v>1.140845070422535</v>
      </c>
      <c r="D22" s="175">
        <v>0</v>
      </c>
      <c r="E22" s="175">
        <v>0</v>
      </c>
      <c r="F22" s="175">
        <v>0</v>
      </c>
      <c r="G22" s="175">
        <v>0</v>
      </c>
      <c r="H22" s="175">
        <v>0</v>
      </c>
      <c r="I22" s="175">
        <v>0</v>
      </c>
      <c r="J22" s="175">
        <v>0</v>
      </c>
    </row>
    <row r="23" spans="1:10" x14ac:dyDescent="0.2">
      <c r="A23" s="98" t="s">
        <v>265</v>
      </c>
      <c r="B23" s="297">
        <v>0.95408839779005528</v>
      </c>
      <c r="C23" s="169">
        <v>0.95408839779005528</v>
      </c>
      <c r="D23" s="169">
        <v>0</v>
      </c>
      <c r="E23" s="169">
        <v>0</v>
      </c>
      <c r="F23" s="169">
        <v>0</v>
      </c>
      <c r="G23" s="169">
        <v>0</v>
      </c>
      <c r="H23" s="169">
        <v>0</v>
      </c>
      <c r="I23" s="169">
        <v>0</v>
      </c>
      <c r="J23" s="169">
        <v>0</v>
      </c>
    </row>
    <row r="24" spans="1:10" x14ac:dyDescent="0.2">
      <c r="A24" s="55" t="s">
        <v>155</v>
      </c>
      <c r="B24" s="239">
        <v>0.85932310279587976</v>
      </c>
      <c r="C24" s="123">
        <v>0.85932310279587976</v>
      </c>
      <c r="D24" s="123">
        <v>0</v>
      </c>
      <c r="E24" s="123">
        <v>0</v>
      </c>
      <c r="F24" s="123">
        <v>0</v>
      </c>
      <c r="G24" s="123">
        <v>0</v>
      </c>
      <c r="H24" s="123">
        <v>0</v>
      </c>
      <c r="I24" s="123">
        <v>0</v>
      </c>
      <c r="J24" s="123">
        <v>0</v>
      </c>
    </row>
    <row r="25" spans="1:10" x14ac:dyDescent="0.2">
      <c r="A25" s="73" t="s">
        <v>207</v>
      </c>
      <c r="B25" s="265">
        <v>0.76056338028169024</v>
      </c>
      <c r="C25" s="143">
        <v>0.76056338028169024</v>
      </c>
      <c r="D25" s="143">
        <v>0</v>
      </c>
      <c r="E25" s="143">
        <v>0</v>
      </c>
      <c r="F25" s="143">
        <v>0</v>
      </c>
      <c r="G25" s="143">
        <v>0</v>
      </c>
      <c r="H25" s="143">
        <v>0</v>
      </c>
      <c r="I25" s="143">
        <v>0</v>
      </c>
      <c r="J25" s="143">
        <v>0</v>
      </c>
    </row>
    <row r="26" spans="1:10" x14ac:dyDescent="0.2">
      <c r="A26" s="112" t="s">
        <v>289</v>
      </c>
      <c r="B26" s="316">
        <v>0.41762011593556658</v>
      </c>
      <c r="C26" s="184">
        <v>0.41762011593556658</v>
      </c>
      <c r="D26" s="184">
        <v>0</v>
      </c>
      <c r="E26" s="184">
        <v>0</v>
      </c>
      <c r="F26" s="184">
        <v>0</v>
      </c>
      <c r="G26" s="184">
        <v>0</v>
      </c>
      <c r="H26" s="184">
        <v>0</v>
      </c>
      <c r="I26" s="184">
        <v>0</v>
      </c>
      <c r="J26" s="184">
        <v>0</v>
      </c>
    </row>
    <row r="27" spans="1:10" x14ac:dyDescent="0.2">
      <c r="A27" s="105" t="s">
        <v>280</v>
      </c>
      <c r="B27" s="306">
        <v>0.3214285714285714</v>
      </c>
      <c r="C27" s="177">
        <v>0.3214285714285714</v>
      </c>
      <c r="D27" s="177">
        <v>0</v>
      </c>
      <c r="E27" s="177">
        <v>0</v>
      </c>
      <c r="F27" s="177">
        <v>0</v>
      </c>
      <c r="G27" s="177">
        <v>0</v>
      </c>
      <c r="H27" s="177">
        <v>0</v>
      </c>
      <c r="I27" s="177">
        <v>0</v>
      </c>
      <c r="J27" s="177">
        <v>0</v>
      </c>
    </row>
    <row r="28" spans="1:10" x14ac:dyDescent="0.2">
      <c r="A28" s="72" t="s">
        <v>205</v>
      </c>
      <c r="B28" s="264">
        <v>0.29104651443836832</v>
      </c>
      <c r="C28" s="142">
        <v>0.29104651443836832</v>
      </c>
      <c r="D28" s="142">
        <v>0</v>
      </c>
      <c r="E28" s="142">
        <v>0</v>
      </c>
      <c r="F28" s="142">
        <v>0</v>
      </c>
      <c r="G28" s="142">
        <v>0</v>
      </c>
      <c r="H28" s="142">
        <v>0</v>
      </c>
      <c r="I28" s="142">
        <v>0</v>
      </c>
      <c r="J28" s="142">
        <v>0</v>
      </c>
    </row>
    <row r="29" spans="1:10" x14ac:dyDescent="0.2">
      <c r="A29" s="81" t="s">
        <v>199</v>
      </c>
      <c r="B29" s="273">
        <v>0.28928571428571431</v>
      </c>
      <c r="C29" s="151">
        <v>0.28928571428571431</v>
      </c>
      <c r="D29" s="151">
        <v>0</v>
      </c>
      <c r="E29" s="151">
        <v>0</v>
      </c>
      <c r="F29" s="151">
        <v>0</v>
      </c>
      <c r="G29" s="151">
        <v>0</v>
      </c>
      <c r="H29" s="151">
        <v>0</v>
      </c>
      <c r="I29" s="151">
        <v>0</v>
      </c>
      <c r="J29" s="151">
        <v>0</v>
      </c>
    </row>
    <row r="30" spans="1:10" x14ac:dyDescent="0.2">
      <c r="A30" s="219" t="s">
        <v>778</v>
      </c>
      <c r="B30" s="307">
        <v>0.12676056338028169</v>
      </c>
      <c r="C30" s="220">
        <v>0.12676056338028169</v>
      </c>
      <c r="D30" s="220">
        <v>0</v>
      </c>
      <c r="E30" s="220">
        <v>0</v>
      </c>
      <c r="F30" s="220">
        <v>0</v>
      </c>
      <c r="G30" s="220">
        <v>0</v>
      </c>
      <c r="H30" s="220">
        <v>0</v>
      </c>
      <c r="I30" s="220">
        <v>0</v>
      </c>
      <c r="J30" s="220">
        <v>0</v>
      </c>
    </row>
    <row r="31" spans="1:10" x14ac:dyDescent="0.2">
      <c r="A31" s="109" t="s">
        <v>286</v>
      </c>
      <c r="B31" s="313">
        <v>0.1132170412613217</v>
      </c>
      <c r="C31" s="181">
        <v>0.1132170412613217</v>
      </c>
      <c r="D31" s="181">
        <v>0</v>
      </c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>
        <v>0</v>
      </c>
    </row>
    <row r="32" spans="1:10" x14ac:dyDescent="0.2">
      <c r="A32" s="233" t="s">
        <v>310</v>
      </c>
      <c r="B32" s="327">
        <v>0.1132170412613217</v>
      </c>
      <c r="C32" s="234">
        <v>0.1132170412613217</v>
      </c>
      <c r="D32" s="234">
        <v>0</v>
      </c>
      <c r="E32" s="234">
        <v>0</v>
      </c>
      <c r="F32" s="234">
        <v>0</v>
      </c>
      <c r="G32" s="234">
        <v>0</v>
      </c>
      <c r="H32" s="234">
        <v>0</v>
      </c>
      <c r="I32" s="234">
        <v>0</v>
      </c>
      <c r="J32" s="234">
        <v>0</v>
      </c>
    </row>
    <row r="33" spans="1:10" x14ac:dyDescent="0.2">
      <c r="A33" s="121" t="s">
        <v>160</v>
      </c>
      <c r="B33" s="242">
        <v>4.5286816504528683E-2</v>
      </c>
      <c r="C33" s="126">
        <v>4.5286816504528683E-2</v>
      </c>
      <c r="D33" s="126">
        <v>0</v>
      </c>
      <c r="E33" s="126">
        <v>0</v>
      </c>
      <c r="F33" s="126">
        <v>0</v>
      </c>
      <c r="G33" s="126">
        <v>0</v>
      </c>
      <c r="H33" s="126">
        <v>0</v>
      </c>
      <c r="I33" s="126">
        <v>0</v>
      </c>
      <c r="J33" s="126">
        <v>0</v>
      </c>
    </row>
    <row r="34" spans="1:10" x14ac:dyDescent="0.2">
      <c r="A34" s="63" t="s">
        <v>166</v>
      </c>
      <c r="B34" s="248">
        <v>3.8626609442060103E-2</v>
      </c>
      <c r="C34" s="132">
        <v>3.8626609442060103E-2</v>
      </c>
      <c r="D34" s="132">
        <v>0</v>
      </c>
      <c r="E34" s="132">
        <v>0</v>
      </c>
      <c r="F34" s="132">
        <v>0</v>
      </c>
      <c r="G34" s="132">
        <v>0</v>
      </c>
      <c r="H34" s="132">
        <v>0</v>
      </c>
      <c r="I34" s="132">
        <v>0</v>
      </c>
      <c r="J34" s="132">
        <v>0</v>
      </c>
    </row>
    <row r="35" spans="1:10" x14ac:dyDescent="0.2">
      <c r="A35" s="78" t="s">
        <v>212</v>
      </c>
      <c r="B35" s="270">
        <v>3.0901287553648071E-2</v>
      </c>
      <c r="C35" s="148">
        <v>3.0901287553648071E-2</v>
      </c>
      <c r="D35" s="148">
        <v>0</v>
      </c>
      <c r="E35" s="148">
        <v>0</v>
      </c>
      <c r="F35" s="148">
        <v>0</v>
      </c>
      <c r="G35" s="148">
        <v>0</v>
      </c>
      <c r="H35" s="148">
        <v>0</v>
      </c>
      <c r="I35" s="148">
        <v>0</v>
      </c>
      <c r="J35" s="148">
        <v>0</v>
      </c>
    </row>
    <row r="36" spans="1:10" x14ac:dyDescent="0.2">
      <c r="A36" s="68" t="s">
        <v>185</v>
      </c>
      <c r="B36" s="256">
        <v>1.9313304721030052E-2</v>
      </c>
      <c r="C36" s="138">
        <v>1.9313304721030052E-2</v>
      </c>
      <c r="D36" s="138">
        <v>0</v>
      </c>
      <c r="E36" s="138">
        <v>0</v>
      </c>
      <c r="F36" s="138">
        <v>0</v>
      </c>
      <c r="G36" s="138">
        <v>0</v>
      </c>
      <c r="H36" s="138">
        <v>0</v>
      </c>
      <c r="I36" s="138">
        <v>0</v>
      </c>
      <c r="J36" s="138">
        <v>0</v>
      </c>
    </row>
    <row r="37" spans="1:10" x14ac:dyDescent="0.2">
      <c r="A37" s="119" t="s">
        <v>187</v>
      </c>
      <c r="B37" s="328">
        <v>0</v>
      </c>
      <c r="C37" s="191">
        <v>0</v>
      </c>
      <c r="D37" s="191">
        <v>0</v>
      </c>
      <c r="E37" s="191">
        <v>0</v>
      </c>
      <c r="F37" s="191">
        <v>0</v>
      </c>
      <c r="G37" s="191">
        <v>0</v>
      </c>
      <c r="H37" s="191">
        <v>0</v>
      </c>
      <c r="I37" s="191">
        <v>0</v>
      </c>
      <c r="J37" s="191">
        <v>0</v>
      </c>
    </row>
    <row r="38" spans="1:10" x14ac:dyDescent="0.2">
      <c r="A38" s="110" t="s">
        <v>287</v>
      </c>
      <c r="B38" s="314">
        <v>0</v>
      </c>
      <c r="C38" s="182">
        <v>0</v>
      </c>
      <c r="D38" s="182">
        <v>0</v>
      </c>
      <c r="E38" s="182">
        <v>0</v>
      </c>
      <c r="F38" s="182">
        <v>0</v>
      </c>
      <c r="G38" s="182">
        <v>0</v>
      </c>
      <c r="H38" s="182">
        <v>0</v>
      </c>
      <c r="I38" s="182">
        <v>0</v>
      </c>
      <c r="J38" s="182">
        <v>0</v>
      </c>
    </row>
    <row r="39" spans="1:10" x14ac:dyDescent="0.2">
      <c r="A39" s="111" t="s">
        <v>288</v>
      </c>
      <c r="B39" s="315">
        <v>0</v>
      </c>
      <c r="C39" s="183">
        <v>0</v>
      </c>
      <c r="D39" s="183">
        <v>0</v>
      </c>
      <c r="E39" s="183">
        <v>0</v>
      </c>
      <c r="F39" s="183">
        <v>0</v>
      </c>
      <c r="G39" s="183">
        <v>0</v>
      </c>
      <c r="H39" s="183">
        <v>0</v>
      </c>
      <c r="I39" s="183">
        <v>0</v>
      </c>
      <c r="J39" s="183">
        <v>0</v>
      </c>
    </row>
    <row r="40" spans="1:10" x14ac:dyDescent="0.2">
      <c r="A40" s="56" t="s">
        <v>156</v>
      </c>
      <c r="B40" s="240">
        <v>0</v>
      </c>
      <c r="C40" s="124">
        <v>0</v>
      </c>
      <c r="D40" s="124">
        <v>0</v>
      </c>
      <c r="E40" s="124">
        <v>0</v>
      </c>
      <c r="F40" s="124">
        <v>0</v>
      </c>
      <c r="G40" s="124">
        <v>0</v>
      </c>
      <c r="H40" s="124">
        <v>0</v>
      </c>
      <c r="I40" s="124">
        <v>0</v>
      </c>
      <c r="J40" s="124">
        <v>0</v>
      </c>
    </row>
    <row r="41" spans="1:10" x14ac:dyDescent="0.2">
      <c r="A41" s="57" t="s">
        <v>158</v>
      </c>
      <c r="B41" s="241">
        <v>0</v>
      </c>
      <c r="C41" s="125">
        <v>0</v>
      </c>
      <c r="D41" s="125">
        <v>0</v>
      </c>
      <c r="E41" s="125">
        <v>0</v>
      </c>
      <c r="F41" s="125">
        <v>0</v>
      </c>
      <c r="G41" s="125">
        <v>0</v>
      </c>
      <c r="H41" s="125">
        <v>0</v>
      </c>
      <c r="I41" s="125">
        <v>0</v>
      </c>
      <c r="J41" s="125">
        <v>0</v>
      </c>
    </row>
    <row r="42" spans="1:10" x14ac:dyDescent="0.2">
      <c r="A42" s="58" t="s">
        <v>161</v>
      </c>
      <c r="B42" s="243">
        <v>0</v>
      </c>
      <c r="C42" s="127">
        <v>0</v>
      </c>
      <c r="D42" s="127">
        <v>0</v>
      </c>
      <c r="E42" s="127">
        <v>0</v>
      </c>
      <c r="F42" s="127">
        <v>0</v>
      </c>
      <c r="G42" s="127">
        <v>0</v>
      </c>
      <c r="H42" s="127">
        <v>0</v>
      </c>
      <c r="I42" s="127">
        <v>0</v>
      </c>
      <c r="J42" s="127">
        <v>0</v>
      </c>
    </row>
    <row r="43" spans="1:10" x14ac:dyDescent="0.2">
      <c r="A43" s="59" t="s">
        <v>163</v>
      </c>
      <c r="B43" s="244">
        <v>0</v>
      </c>
      <c r="C43" s="128">
        <v>0</v>
      </c>
      <c r="D43" s="128">
        <v>0</v>
      </c>
      <c r="E43" s="128">
        <v>0</v>
      </c>
      <c r="F43" s="128">
        <v>0</v>
      </c>
      <c r="G43" s="128">
        <v>0</v>
      </c>
      <c r="H43" s="128">
        <v>0</v>
      </c>
      <c r="I43" s="128">
        <v>0</v>
      </c>
      <c r="J43" s="128">
        <v>0</v>
      </c>
    </row>
    <row r="44" spans="1:10" x14ac:dyDescent="0.2">
      <c r="A44" s="60" t="s">
        <v>164</v>
      </c>
      <c r="B44" s="245">
        <v>0</v>
      </c>
      <c r="C44" s="129">
        <v>0</v>
      </c>
      <c r="D44" s="129">
        <v>0</v>
      </c>
      <c r="E44" s="129">
        <v>0</v>
      </c>
      <c r="F44" s="129">
        <v>0</v>
      </c>
      <c r="G44" s="129">
        <v>0</v>
      </c>
      <c r="H44" s="129">
        <v>0</v>
      </c>
      <c r="I44" s="129">
        <v>0</v>
      </c>
      <c r="J44" s="129">
        <v>0</v>
      </c>
    </row>
    <row r="45" spans="1:10" x14ac:dyDescent="0.2">
      <c r="A45" s="62" t="s">
        <v>169</v>
      </c>
      <c r="B45" s="247">
        <v>0</v>
      </c>
      <c r="C45" s="131">
        <v>0</v>
      </c>
      <c r="D45" s="131">
        <v>0</v>
      </c>
      <c r="E45" s="131">
        <v>0</v>
      </c>
      <c r="F45" s="131">
        <v>0</v>
      </c>
      <c r="G45" s="131">
        <v>0</v>
      </c>
      <c r="H45" s="131">
        <v>0</v>
      </c>
      <c r="I45" s="131">
        <v>0</v>
      </c>
      <c r="J45" s="131">
        <v>0</v>
      </c>
    </row>
    <row r="46" spans="1:10" x14ac:dyDescent="0.2">
      <c r="A46" s="64" t="s">
        <v>175</v>
      </c>
      <c r="B46" s="249">
        <v>0</v>
      </c>
      <c r="C46" s="133">
        <v>0</v>
      </c>
      <c r="D46" s="133">
        <v>0</v>
      </c>
      <c r="E46" s="133">
        <v>0</v>
      </c>
      <c r="F46" s="133">
        <v>0</v>
      </c>
      <c r="G46" s="133">
        <v>0</v>
      </c>
      <c r="H46" s="133">
        <v>0</v>
      </c>
      <c r="I46" s="133">
        <v>0</v>
      </c>
      <c r="J46" s="133">
        <v>0</v>
      </c>
    </row>
    <row r="47" spans="1:10" x14ac:dyDescent="0.2">
      <c r="A47" s="193" t="s">
        <v>176</v>
      </c>
      <c r="B47" s="250">
        <v>0</v>
      </c>
      <c r="C47" s="194">
        <v>0</v>
      </c>
      <c r="D47" s="194">
        <v>0</v>
      </c>
      <c r="E47" s="194">
        <v>0</v>
      </c>
      <c r="F47" s="194">
        <v>0</v>
      </c>
      <c r="G47" s="194">
        <v>0</v>
      </c>
      <c r="H47" s="194">
        <v>0</v>
      </c>
      <c r="I47" s="194">
        <v>0</v>
      </c>
      <c r="J47" s="194">
        <v>0</v>
      </c>
    </row>
    <row r="48" spans="1:10" x14ac:dyDescent="0.2">
      <c r="A48" s="120" t="s">
        <v>177</v>
      </c>
      <c r="B48" s="251">
        <v>0</v>
      </c>
      <c r="C48" s="134">
        <v>0</v>
      </c>
      <c r="D48" s="134">
        <v>0</v>
      </c>
      <c r="E48" s="134">
        <v>0</v>
      </c>
      <c r="F48" s="134">
        <v>0</v>
      </c>
      <c r="G48" s="134">
        <v>0</v>
      </c>
      <c r="H48" s="134">
        <v>0</v>
      </c>
      <c r="I48" s="134">
        <v>0</v>
      </c>
      <c r="J48" s="134">
        <v>0</v>
      </c>
    </row>
    <row r="49" spans="1:10" x14ac:dyDescent="0.2">
      <c r="A49" s="195" t="s">
        <v>178</v>
      </c>
      <c r="B49" s="252">
        <v>0</v>
      </c>
      <c r="C49" s="196">
        <v>0</v>
      </c>
      <c r="D49" s="196">
        <v>0</v>
      </c>
      <c r="E49" s="196">
        <v>0</v>
      </c>
      <c r="F49" s="196">
        <v>0</v>
      </c>
      <c r="G49" s="196">
        <v>0</v>
      </c>
      <c r="H49" s="196">
        <v>0</v>
      </c>
      <c r="I49" s="196">
        <v>0</v>
      </c>
      <c r="J49" s="196">
        <v>0</v>
      </c>
    </row>
    <row r="50" spans="1:10" x14ac:dyDescent="0.2">
      <c r="A50" s="65" t="s">
        <v>179</v>
      </c>
      <c r="B50" s="253">
        <v>0</v>
      </c>
      <c r="C50" s="135">
        <v>0</v>
      </c>
      <c r="D50" s="135">
        <v>0</v>
      </c>
      <c r="E50" s="135">
        <v>0</v>
      </c>
      <c r="F50" s="135">
        <v>0</v>
      </c>
      <c r="G50" s="135">
        <v>0</v>
      </c>
      <c r="H50" s="135">
        <v>0</v>
      </c>
      <c r="I50" s="135">
        <v>0</v>
      </c>
      <c r="J50" s="135">
        <v>0</v>
      </c>
    </row>
    <row r="51" spans="1:10" x14ac:dyDescent="0.2">
      <c r="A51" s="66" t="s">
        <v>181</v>
      </c>
      <c r="B51" s="254">
        <v>0</v>
      </c>
      <c r="C51" s="136">
        <v>0</v>
      </c>
      <c r="D51" s="136">
        <v>0</v>
      </c>
      <c r="E51" s="136">
        <v>0</v>
      </c>
      <c r="F51" s="136">
        <v>0</v>
      </c>
      <c r="G51" s="136">
        <v>0</v>
      </c>
      <c r="H51" s="136">
        <v>0</v>
      </c>
      <c r="I51" s="136">
        <v>0</v>
      </c>
      <c r="J51" s="136">
        <v>0</v>
      </c>
    </row>
    <row r="52" spans="1:10" x14ac:dyDescent="0.2">
      <c r="A52" s="67" t="s">
        <v>183</v>
      </c>
      <c r="B52" s="255">
        <v>0</v>
      </c>
      <c r="C52" s="137">
        <v>0</v>
      </c>
      <c r="D52" s="137">
        <v>0</v>
      </c>
      <c r="E52" s="137">
        <v>0</v>
      </c>
      <c r="F52" s="137">
        <v>0</v>
      </c>
      <c r="G52" s="137">
        <v>0</v>
      </c>
      <c r="H52" s="137">
        <v>0</v>
      </c>
      <c r="I52" s="137">
        <v>0</v>
      </c>
      <c r="J52" s="137">
        <v>0</v>
      </c>
    </row>
    <row r="53" spans="1:10" x14ac:dyDescent="0.2">
      <c r="A53" s="69" t="s">
        <v>188</v>
      </c>
      <c r="B53" s="257">
        <v>0</v>
      </c>
      <c r="C53" s="139">
        <v>0</v>
      </c>
      <c r="D53" s="139">
        <v>0</v>
      </c>
      <c r="E53" s="139">
        <v>0</v>
      </c>
      <c r="F53" s="139">
        <v>0</v>
      </c>
      <c r="G53" s="139">
        <v>0</v>
      </c>
      <c r="H53" s="139">
        <v>0</v>
      </c>
      <c r="I53" s="139">
        <v>0</v>
      </c>
      <c r="J53" s="139">
        <v>0</v>
      </c>
    </row>
    <row r="54" spans="1:10" x14ac:dyDescent="0.2">
      <c r="A54" s="199" t="s">
        <v>201</v>
      </c>
      <c r="B54" s="261">
        <v>0</v>
      </c>
      <c r="C54" s="200">
        <v>0</v>
      </c>
      <c r="D54" s="200">
        <v>0</v>
      </c>
      <c r="E54" s="200">
        <v>0</v>
      </c>
      <c r="F54" s="200">
        <v>0</v>
      </c>
      <c r="G54" s="200">
        <v>0</v>
      </c>
      <c r="H54" s="200">
        <v>0</v>
      </c>
      <c r="I54" s="200">
        <v>0</v>
      </c>
      <c r="J54" s="200">
        <v>0</v>
      </c>
    </row>
    <row r="55" spans="1:10" x14ac:dyDescent="0.2">
      <c r="A55" s="201" t="s">
        <v>779</v>
      </c>
      <c r="B55" s="262">
        <v>0</v>
      </c>
      <c r="C55" s="202">
        <v>0</v>
      </c>
      <c r="D55" s="202">
        <v>0</v>
      </c>
      <c r="E55" s="202">
        <v>0</v>
      </c>
      <c r="F55" s="202">
        <v>0</v>
      </c>
      <c r="G55" s="202">
        <v>0</v>
      </c>
      <c r="H55" s="202">
        <v>0</v>
      </c>
      <c r="I55" s="202">
        <v>0</v>
      </c>
      <c r="J55" s="202">
        <v>0</v>
      </c>
    </row>
    <row r="56" spans="1:10" x14ac:dyDescent="0.2">
      <c r="A56" s="203" t="s">
        <v>204</v>
      </c>
      <c r="B56" s="263">
        <v>0</v>
      </c>
      <c r="C56" s="204">
        <v>0</v>
      </c>
      <c r="D56" s="204">
        <v>0</v>
      </c>
      <c r="E56" s="204">
        <v>0</v>
      </c>
      <c r="F56" s="204">
        <v>0</v>
      </c>
      <c r="G56" s="204">
        <v>0</v>
      </c>
      <c r="H56" s="204">
        <v>0</v>
      </c>
      <c r="I56" s="204">
        <v>0</v>
      </c>
      <c r="J56" s="204">
        <v>0</v>
      </c>
    </row>
    <row r="57" spans="1:10" x14ac:dyDescent="0.2">
      <c r="A57" s="74" t="s">
        <v>780</v>
      </c>
      <c r="B57" s="266">
        <v>0</v>
      </c>
      <c r="C57" s="144">
        <v>0</v>
      </c>
      <c r="D57" s="144">
        <v>0</v>
      </c>
      <c r="E57" s="144">
        <v>0</v>
      </c>
      <c r="F57" s="144">
        <v>0</v>
      </c>
      <c r="G57" s="144">
        <v>0</v>
      </c>
      <c r="H57" s="144">
        <v>0</v>
      </c>
      <c r="I57" s="144">
        <v>0</v>
      </c>
      <c r="J57" s="144">
        <v>0</v>
      </c>
    </row>
    <row r="58" spans="1:10" x14ac:dyDescent="0.2">
      <c r="A58" s="77" t="s">
        <v>193</v>
      </c>
      <c r="B58" s="269">
        <v>0</v>
      </c>
      <c r="C58" s="147">
        <v>0</v>
      </c>
      <c r="D58" s="147">
        <v>0</v>
      </c>
      <c r="E58" s="147">
        <v>0</v>
      </c>
      <c r="F58" s="147">
        <v>0</v>
      </c>
      <c r="G58" s="147">
        <v>0</v>
      </c>
      <c r="H58" s="147">
        <v>0</v>
      </c>
      <c r="I58" s="147">
        <v>0</v>
      </c>
      <c r="J58" s="147">
        <v>0</v>
      </c>
    </row>
    <row r="59" spans="1:10" x14ac:dyDescent="0.2">
      <c r="A59" s="80" t="s">
        <v>215</v>
      </c>
      <c r="B59" s="272">
        <v>0</v>
      </c>
      <c r="C59" s="150">
        <v>0</v>
      </c>
      <c r="D59" s="150">
        <v>0</v>
      </c>
      <c r="E59" s="150">
        <v>0</v>
      </c>
      <c r="F59" s="150">
        <v>0</v>
      </c>
      <c r="G59" s="150">
        <v>0</v>
      </c>
      <c r="H59" s="150">
        <v>0</v>
      </c>
      <c r="I59" s="150">
        <v>0</v>
      </c>
      <c r="J59" s="150">
        <v>0</v>
      </c>
    </row>
    <row r="60" spans="1:10" x14ac:dyDescent="0.2">
      <c r="A60" s="83" t="s">
        <v>220</v>
      </c>
      <c r="B60" s="275">
        <v>0</v>
      </c>
      <c r="C60" s="153">
        <v>0</v>
      </c>
      <c r="D60" s="153">
        <v>0</v>
      </c>
      <c r="E60" s="153">
        <v>0</v>
      </c>
      <c r="F60" s="153">
        <v>0</v>
      </c>
      <c r="G60" s="153">
        <v>0</v>
      </c>
      <c r="H60" s="153">
        <v>0</v>
      </c>
      <c r="I60" s="153">
        <v>0</v>
      </c>
      <c r="J60" s="153">
        <v>0</v>
      </c>
    </row>
    <row r="61" spans="1:10" x14ac:dyDescent="0.2">
      <c r="A61" s="84" t="s">
        <v>222</v>
      </c>
      <c r="B61" s="276">
        <v>0</v>
      </c>
      <c r="C61" s="154">
        <v>0</v>
      </c>
      <c r="D61" s="154">
        <v>0</v>
      </c>
      <c r="E61" s="154">
        <v>0</v>
      </c>
      <c r="F61" s="154">
        <v>0</v>
      </c>
      <c r="G61" s="154">
        <v>0</v>
      </c>
      <c r="H61" s="154">
        <v>0</v>
      </c>
      <c r="I61" s="154">
        <v>0</v>
      </c>
      <c r="J61" s="154">
        <v>0</v>
      </c>
    </row>
    <row r="62" spans="1:10" x14ac:dyDescent="0.2">
      <c r="A62" s="85" t="s">
        <v>225</v>
      </c>
      <c r="B62" s="277">
        <v>0</v>
      </c>
      <c r="C62" s="155">
        <v>0</v>
      </c>
      <c r="D62" s="155">
        <v>0</v>
      </c>
      <c r="E62" s="155">
        <v>0</v>
      </c>
      <c r="F62" s="155">
        <v>0</v>
      </c>
      <c r="G62" s="155">
        <v>0</v>
      </c>
      <c r="H62" s="155">
        <v>0</v>
      </c>
      <c r="I62" s="155">
        <v>0</v>
      </c>
      <c r="J62" s="155">
        <v>0</v>
      </c>
    </row>
    <row r="63" spans="1:10" x14ac:dyDescent="0.2">
      <c r="A63" s="205" t="s">
        <v>224</v>
      </c>
      <c r="B63" s="278">
        <v>0</v>
      </c>
      <c r="C63" s="206">
        <v>0</v>
      </c>
      <c r="D63" s="206">
        <v>0</v>
      </c>
      <c r="E63" s="206">
        <v>0</v>
      </c>
      <c r="F63" s="206">
        <v>0</v>
      </c>
      <c r="G63" s="206">
        <v>0</v>
      </c>
      <c r="H63" s="206">
        <v>0</v>
      </c>
      <c r="I63" s="206">
        <v>0</v>
      </c>
      <c r="J63" s="206">
        <v>0</v>
      </c>
    </row>
    <row r="64" spans="1:10" x14ac:dyDescent="0.2">
      <c r="A64" s="207" t="s">
        <v>302</v>
      </c>
      <c r="B64" s="279">
        <v>0</v>
      </c>
      <c r="C64" s="208">
        <v>0</v>
      </c>
      <c r="D64" s="208">
        <v>0</v>
      </c>
      <c r="E64" s="208">
        <v>0</v>
      </c>
      <c r="F64" s="208">
        <v>0</v>
      </c>
      <c r="G64" s="208">
        <v>0</v>
      </c>
      <c r="H64" s="208">
        <v>0</v>
      </c>
      <c r="I64" s="208">
        <v>0</v>
      </c>
      <c r="J64" s="208">
        <v>0</v>
      </c>
    </row>
    <row r="65" spans="1:10" x14ac:dyDescent="0.2">
      <c r="A65" s="86" t="s">
        <v>226</v>
      </c>
      <c r="B65" s="280">
        <v>0</v>
      </c>
      <c r="C65" s="156">
        <v>0</v>
      </c>
      <c r="D65" s="156">
        <v>0</v>
      </c>
      <c r="E65" s="156">
        <v>0</v>
      </c>
      <c r="F65" s="156">
        <v>0</v>
      </c>
      <c r="G65" s="156">
        <v>0</v>
      </c>
      <c r="H65" s="156">
        <v>0</v>
      </c>
      <c r="I65" s="156">
        <v>0</v>
      </c>
      <c r="J65" s="156">
        <v>0</v>
      </c>
    </row>
    <row r="66" spans="1:10" x14ac:dyDescent="0.2">
      <c r="A66" s="87" t="s">
        <v>231</v>
      </c>
      <c r="B66" s="281">
        <v>0</v>
      </c>
      <c r="C66" s="157">
        <v>0</v>
      </c>
      <c r="D66" s="157">
        <v>0</v>
      </c>
      <c r="E66" s="157">
        <v>0</v>
      </c>
      <c r="F66" s="157">
        <v>0</v>
      </c>
      <c r="G66" s="157">
        <v>0</v>
      </c>
      <c r="H66" s="157">
        <v>0</v>
      </c>
      <c r="I66" s="157">
        <v>0</v>
      </c>
      <c r="J66" s="157">
        <v>0</v>
      </c>
    </row>
    <row r="67" spans="1:10" x14ac:dyDescent="0.2">
      <c r="A67" s="88" t="s">
        <v>233</v>
      </c>
      <c r="B67" s="282">
        <v>0</v>
      </c>
      <c r="C67" s="158">
        <v>0</v>
      </c>
      <c r="D67" s="158">
        <v>0</v>
      </c>
      <c r="E67" s="158">
        <v>0</v>
      </c>
      <c r="F67" s="158">
        <v>0</v>
      </c>
      <c r="G67" s="158">
        <v>0</v>
      </c>
      <c r="H67" s="158">
        <v>0</v>
      </c>
      <c r="I67" s="158">
        <v>0</v>
      </c>
      <c r="J67" s="158">
        <v>0</v>
      </c>
    </row>
    <row r="68" spans="1:10" x14ac:dyDescent="0.2">
      <c r="A68" s="209" t="s">
        <v>237</v>
      </c>
      <c r="B68" s="283">
        <v>0</v>
      </c>
      <c r="C68" s="210">
        <v>0</v>
      </c>
      <c r="D68" s="210">
        <v>0</v>
      </c>
      <c r="E68" s="210">
        <v>0</v>
      </c>
      <c r="F68" s="210">
        <v>0</v>
      </c>
      <c r="G68" s="210">
        <v>0</v>
      </c>
      <c r="H68" s="210">
        <v>0</v>
      </c>
      <c r="I68" s="210">
        <v>0</v>
      </c>
      <c r="J68" s="210">
        <v>0</v>
      </c>
    </row>
    <row r="69" spans="1:10" x14ac:dyDescent="0.2">
      <c r="A69" s="89" t="s">
        <v>238</v>
      </c>
      <c r="B69" s="284">
        <v>0</v>
      </c>
      <c r="C69" s="159">
        <v>0</v>
      </c>
      <c r="D69" s="159">
        <v>0</v>
      </c>
      <c r="E69" s="159">
        <v>0</v>
      </c>
      <c r="F69" s="159">
        <v>0</v>
      </c>
      <c r="G69" s="159">
        <v>0</v>
      </c>
      <c r="H69" s="159">
        <v>0</v>
      </c>
      <c r="I69" s="159">
        <v>0</v>
      </c>
      <c r="J69" s="159">
        <v>0</v>
      </c>
    </row>
    <row r="70" spans="1:10" x14ac:dyDescent="0.2">
      <c r="A70" s="211" t="s">
        <v>239</v>
      </c>
      <c r="B70" s="285">
        <v>0</v>
      </c>
      <c r="C70" s="212">
        <v>0</v>
      </c>
      <c r="D70" s="212">
        <v>0</v>
      </c>
      <c r="E70" s="212">
        <v>0</v>
      </c>
      <c r="F70" s="212">
        <v>0</v>
      </c>
      <c r="G70" s="212">
        <v>0</v>
      </c>
      <c r="H70" s="212">
        <v>0</v>
      </c>
      <c r="I70" s="212">
        <v>0</v>
      </c>
      <c r="J70" s="212">
        <v>0</v>
      </c>
    </row>
    <row r="71" spans="1:10" x14ac:dyDescent="0.2">
      <c r="A71" s="90" t="s">
        <v>240</v>
      </c>
      <c r="B71" s="286">
        <v>0</v>
      </c>
      <c r="C71" s="160">
        <v>0</v>
      </c>
      <c r="D71" s="160">
        <v>0</v>
      </c>
      <c r="E71" s="160">
        <v>0</v>
      </c>
      <c r="F71" s="160">
        <v>0</v>
      </c>
      <c r="G71" s="160">
        <v>0</v>
      </c>
      <c r="H71" s="160">
        <v>0</v>
      </c>
      <c r="I71" s="160">
        <v>0</v>
      </c>
      <c r="J71" s="160">
        <v>0</v>
      </c>
    </row>
    <row r="72" spans="1:10" x14ac:dyDescent="0.2">
      <c r="A72" s="91" t="s">
        <v>241</v>
      </c>
      <c r="B72" s="287">
        <v>0</v>
      </c>
      <c r="C72" s="161">
        <v>0</v>
      </c>
      <c r="D72" s="161">
        <v>0</v>
      </c>
      <c r="E72" s="161">
        <v>0</v>
      </c>
      <c r="F72" s="161">
        <v>0</v>
      </c>
      <c r="G72" s="161">
        <v>0</v>
      </c>
      <c r="H72" s="161">
        <v>0</v>
      </c>
      <c r="I72" s="161">
        <v>0</v>
      </c>
      <c r="J72" s="161">
        <v>0</v>
      </c>
    </row>
    <row r="73" spans="1:10" x14ac:dyDescent="0.2">
      <c r="A73" s="92" t="s">
        <v>245</v>
      </c>
      <c r="B73" s="288">
        <v>0</v>
      </c>
      <c r="C73" s="162">
        <v>0</v>
      </c>
      <c r="D73" s="162">
        <v>0</v>
      </c>
      <c r="E73" s="162">
        <v>0</v>
      </c>
      <c r="F73" s="162">
        <v>0</v>
      </c>
      <c r="G73" s="162">
        <v>0</v>
      </c>
      <c r="H73" s="162">
        <v>0</v>
      </c>
      <c r="I73" s="162">
        <v>0</v>
      </c>
      <c r="J73" s="162">
        <v>0</v>
      </c>
    </row>
    <row r="74" spans="1:10" x14ac:dyDescent="0.2">
      <c r="A74" s="93" t="s">
        <v>248</v>
      </c>
      <c r="B74" s="289">
        <v>0</v>
      </c>
      <c r="C74" s="163">
        <v>0</v>
      </c>
      <c r="D74" s="163">
        <v>0</v>
      </c>
      <c r="E74" s="163">
        <v>0</v>
      </c>
      <c r="F74" s="163">
        <v>0</v>
      </c>
      <c r="G74" s="163">
        <v>0</v>
      </c>
      <c r="H74" s="163">
        <v>0</v>
      </c>
      <c r="I74" s="163">
        <v>0</v>
      </c>
      <c r="J74" s="163">
        <v>0</v>
      </c>
    </row>
    <row r="75" spans="1:10" x14ac:dyDescent="0.2">
      <c r="A75" s="122" t="s">
        <v>249</v>
      </c>
      <c r="B75" s="290">
        <v>0</v>
      </c>
      <c r="C75" s="164">
        <v>0</v>
      </c>
      <c r="D75" s="164">
        <v>0</v>
      </c>
      <c r="E75" s="164">
        <v>0</v>
      </c>
      <c r="F75" s="164">
        <v>0</v>
      </c>
      <c r="G75" s="164">
        <v>0</v>
      </c>
      <c r="H75" s="164">
        <v>0</v>
      </c>
      <c r="I75" s="164">
        <v>0</v>
      </c>
      <c r="J75" s="164">
        <v>0</v>
      </c>
    </row>
    <row r="76" spans="1:10" x14ac:dyDescent="0.2">
      <c r="A76" s="94" t="s">
        <v>253</v>
      </c>
      <c r="B76" s="291">
        <v>0</v>
      </c>
      <c r="C76" s="165">
        <v>0</v>
      </c>
      <c r="D76" s="165">
        <v>0</v>
      </c>
      <c r="E76" s="165">
        <v>0</v>
      </c>
      <c r="F76" s="165">
        <v>0</v>
      </c>
      <c r="G76" s="165">
        <v>0</v>
      </c>
      <c r="H76" s="165">
        <v>0</v>
      </c>
      <c r="I76" s="165">
        <v>0</v>
      </c>
      <c r="J76" s="165">
        <v>0</v>
      </c>
    </row>
    <row r="77" spans="1:10" x14ac:dyDescent="0.2">
      <c r="A77" s="213" t="s">
        <v>254</v>
      </c>
      <c r="B77" s="292">
        <v>0</v>
      </c>
      <c r="C77" s="214">
        <v>0</v>
      </c>
      <c r="D77" s="214">
        <v>0</v>
      </c>
      <c r="E77" s="214">
        <v>0</v>
      </c>
      <c r="F77" s="214">
        <v>0</v>
      </c>
      <c r="G77" s="214">
        <v>0</v>
      </c>
      <c r="H77" s="214">
        <v>0</v>
      </c>
      <c r="I77" s="214">
        <v>0</v>
      </c>
      <c r="J77" s="214">
        <v>0</v>
      </c>
    </row>
    <row r="78" spans="1:10" x14ac:dyDescent="0.2">
      <c r="A78" s="95" t="s">
        <v>257</v>
      </c>
      <c r="B78" s="293">
        <v>0</v>
      </c>
      <c r="C78" s="166">
        <v>0</v>
      </c>
      <c r="D78" s="166">
        <v>0</v>
      </c>
      <c r="E78" s="166">
        <v>0</v>
      </c>
      <c r="F78" s="166">
        <v>0</v>
      </c>
      <c r="G78" s="166">
        <v>0</v>
      </c>
      <c r="H78" s="166">
        <v>0</v>
      </c>
      <c r="I78" s="166">
        <v>0</v>
      </c>
      <c r="J78" s="166">
        <v>0</v>
      </c>
    </row>
    <row r="79" spans="1:10" x14ac:dyDescent="0.2">
      <c r="A79" s="96" t="s">
        <v>259</v>
      </c>
      <c r="B79" s="294">
        <v>0</v>
      </c>
      <c r="C79" s="167">
        <v>0</v>
      </c>
      <c r="D79" s="167">
        <v>0</v>
      </c>
      <c r="E79" s="167">
        <v>0</v>
      </c>
      <c r="F79" s="167">
        <v>0</v>
      </c>
      <c r="G79" s="167">
        <v>0</v>
      </c>
      <c r="H79" s="167">
        <v>0</v>
      </c>
      <c r="I79" s="167">
        <v>0</v>
      </c>
      <c r="J79" s="167">
        <v>0</v>
      </c>
    </row>
    <row r="80" spans="1:10" x14ac:dyDescent="0.2">
      <c r="A80" s="215" t="s">
        <v>261</v>
      </c>
      <c r="B80" s="295">
        <v>0</v>
      </c>
      <c r="C80" s="216">
        <v>0</v>
      </c>
      <c r="D80" s="216">
        <v>0</v>
      </c>
      <c r="E80" s="216">
        <v>0</v>
      </c>
      <c r="F80" s="216">
        <v>0</v>
      </c>
      <c r="G80" s="216">
        <v>0</v>
      </c>
      <c r="H80" s="216">
        <v>0</v>
      </c>
      <c r="I80" s="216">
        <v>0</v>
      </c>
      <c r="J80" s="216">
        <v>0</v>
      </c>
    </row>
    <row r="81" spans="1:10" x14ac:dyDescent="0.2">
      <c r="A81" s="99" t="s">
        <v>269</v>
      </c>
      <c r="B81" s="298">
        <v>0</v>
      </c>
      <c r="C81" s="170">
        <v>0</v>
      </c>
      <c r="D81" s="170">
        <v>0</v>
      </c>
      <c r="E81" s="170">
        <v>0</v>
      </c>
      <c r="F81" s="170">
        <v>0</v>
      </c>
      <c r="G81" s="170">
        <v>0</v>
      </c>
      <c r="H81" s="170">
        <v>0</v>
      </c>
      <c r="I81" s="170">
        <v>0</v>
      </c>
      <c r="J81" s="170">
        <v>0</v>
      </c>
    </row>
    <row r="82" spans="1:10" x14ac:dyDescent="0.2">
      <c r="A82" s="100" t="s">
        <v>270</v>
      </c>
      <c r="B82" s="299">
        <v>0</v>
      </c>
      <c r="C82" s="171">
        <v>0</v>
      </c>
      <c r="D82" s="171">
        <v>0</v>
      </c>
      <c r="E82" s="171">
        <v>0</v>
      </c>
      <c r="F82" s="171">
        <v>0</v>
      </c>
      <c r="G82" s="171">
        <v>0</v>
      </c>
      <c r="H82" s="171">
        <v>0</v>
      </c>
      <c r="I82" s="171">
        <v>0</v>
      </c>
      <c r="J82" s="171">
        <v>0</v>
      </c>
    </row>
    <row r="83" spans="1:10" x14ac:dyDescent="0.2">
      <c r="A83" s="217" t="s">
        <v>271</v>
      </c>
      <c r="B83" s="300">
        <v>0</v>
      </c>
      <c r="C83" s="218">
        <v>0</v>
      </c>
      <c r="D83" s="218">
        <v>0</v>
      </c>
      <c r="E83" s="218">
        <v>0</v>
      </c>
      <c r="F83" s="218">
        <v>0</v>
      </c>
      <c r="G83" s="218">
        <v>0</v>
      </c>
      <c r="H83" s="218">
        <v>0</v>
      </c>
      <c r="I83" s="218">
        <v>0</v>
      </c>
      <c r="J83" s="218">
        <v>0</v>
      </c>
    </row>
    <row r="84" spans="1:10" x14ac:dyDescent="0.2">
      <c r="A84" s="102" t="s">
        <v>274</v>
      </c>
      <c r="B84" s="302">
        <v>0</v>
      </c>
      <c r="C84" s="173">
        <v>0</v>
      </c>
      <c r="D84" s="173">
        <v>0</v>
      </c>
      <c r="E84" s="173">
        <v>0</v>
      </c>
      <c r="F84" s="173">
        <v>0</v>
      </c>
      <c r="G84" s="173">
        <v>0</v>
      </c>
      <c r="H84" s="173">
        <v>0</v>
      </c>
      <c r="I84" s="173">
        <v>0</v>
      </c>
      <c r="J84" s="173">
        <v>0</v>
      </c>
    </row>
    <row r="85" spans="1:10" x14ac:dyDescent="0.2">
      <c r="A85" s="106" t="s">
        <v>282</v>
      </c>
      <c r="B85" s="308">
        <v>0</v>
      </c>
      <c r="C85" s="178">
        <v>0</v>
      </c>
      <c r="D85" s="178">
        <v>0</v>
      </c>
      <c r="E85" s="178">
        <v>0</v>
      </c>
      <c r="F85" s="178">
        <v>0</v>
      </c>
      <c r="G85" s="178">
        <v>0</v>
      </c>
      <c r="H85" s="178">
        <v>0</v>
      </c>
      <c r="I85" s="178">
        <v>0</v>
      </c>
      <c r="J85" s="178">
        <v>0</v>
      </c>
    </row>
    <row r="86" spans="1:10" x14ac:dyDescent="0.2">
      <c r="A86" s="108" t="s">
        <v>283</v>
      </c>
      <c r="B86" s="310">
        <v>0</v>
      </c>
      <c r="C86" s="180">
        <v>0</v>
      </c>
      <c r="D86" s="180">
        <v>0</v>
      </c>
      <c r="E86" s="180">
        <v>0</v>
      </c>
      <c r="F86" s="180">
        <v>0</v>
      </c>
      <c r="G86" s="180">
        <v>0</v>
      </c>
      <c r="H86" s="180">
        <v>0</v>
      </c>
      <c r="I86" s="180">
        <v>0</v>
      </c>
      <c r="J86" s="180">
        <v>0</v>
      </c>
    </row>
    <row r="87" spans="1:10" x14ac:dyDescent="0.2">
      <c r="A87" s="221" t="s">
        <v>284</v>
      </c>
      <c r="B87" s="311">
        <v>0</v>
      </c>
      <c r="C87" s="222">
        <v>0</v>
      </c>
      <c r="D87" s="222">
        <v>0</v>
      </c>
      <c r="E87" s="222">
        <v>0</v>
      </c>
      <c r="F87" s="222">
        <v>0</v>
      </c>
      <c r="G87" s="222">
        <v>0</v>
      </c>
      <c r="H87" s="222">
        <v>0</v>
      </c>
      <c r="I87" s="222">
        <v>0</v>
      </c>
      <c r="J87" s="222">
        <v>0</v>
      </c>
    </row>
    <row r="88" spans="1:10" x14ac:dyDescent="0.2">
      <c r="A88" s="223" t="s">
        <v>781</v>
      </c>
      <c r="B88" s="312">
        <v>0</v>
      </c>
      <c r="C88" s="224">
        <v>0</v>
      </c>
      <c r="D88" s="224">
        <v>0</v>
      </c>
      <c r="E88" s="224">
        <v>0</v>
      </c>
      <c r="F88" s="224">
        <v>0</v>
      </c>
      <c r="G88" s="224">
        <v>0</v>
      </c>
      <c r="H88" s="224">
        <v>0</v>
      </c>
      <c r="I88" s="224">
        <v>0</v>
      </c>
      <c r="J88" s="224">
        <v>0</v>
      </c>
    </row>
    <row r="89" spans="1:10" x14ac:dyDescent="0.2">
      <c r="A89" s="225" t="s">
        <v>291</v>
      </c>
      <c r="B89" s="317">
        <v>0</v>
      </c>
      <c r="C89" s="226">
        <v>0</v>
      </c>
      <c r="D89" s="226">
        <v>0</v>
      </c>
      <c r="E89" s="226">
        <v>0</v>
      </c>
      <c r="F89" s="226">
        <v>0</v>
      </c>
      <c r="G89" s="226">
        <v>0</v>
      </c>
      <c r="H89" s="226">
        <v>0</v>
      </c>
      <c r="I89" s="226">
        <v>0</v>
      </c>
      <c r="J89" s="226">
        <v>0</v>
      </c>
    </row>
    <row r="90" spans="1:10" x14ac:dyDescent="0.2">
      <c r="A90" s="113" t="s">
        <v>292</v>
      </c>
      <c r="B90" s="318">
        <v>0</v>
      </c>
      <c r="C90" s="185">
        <v>0</v>
      </c>
      <c r="D90" s="185">
        <v>0</v>
      </c>
      <c r="E90" s="185">
        <v>0</v>
      </c>
      <c r="F90" s="185">
        <v>0</v>
      </c>
      <c r="G90" s="185">
        <v>0</v>
      </c>
      <c r="H90" s="185">
        <v>0</v>
      </c>
      <c r="I90" s="185">
        <v>0</v>
      </c>
      <c r="J90" s="185">
        <v>0</v>
      </c>
    </row>
    <row r="91" spans="1:10" x14ac:dyDescent="0.2">
      <c r="A91" s="227" t="s">
        <v>294</v>
      </c>
      <c r="B91" s="319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</row>
    <row r="92" spans="1:10" x14ac:dyDescent="0.2">
      <c r="A92" s="114" t="s">
        <v>295</v>
      </c>
      <c r="B92" s="320">
        <v>0</v>
      </c>
      <c r="C92" s="186">
        <v>0</v>
      </c>
      <c r="D92" s="186">
        <v>0</v>
      </c>
      <c r="E92" s="186">
        <v>0</v>
      </c>
      <c r="F92" s="186">
        <v>0</v>
      </c>
      <c r="G92" s="186">
        <v>0</v>
      </c>
      <c r="H92" s="186">
        <v>0</v>
      </c>
      <c r="I92" s="186">
        <v>0</v>
      </c>
      <c r="J92" s="186">
        <v>0</v>
      </c>
    </row>
    <row r="93" spans="1:10" x14ac:dyDescent="0.2">
      <c r="A93" s="115" t="s">
        <v>296</v>
      </c>
      <c r="B93" s="321">
        <v>0</v>
      </c>
      <c r="C93" s="187">
        <v>0</v>
      </c>
      <c r="D93" s="187">
        <v>0</v>
      </c>
      <c r="E93" s="187">
        <v>0</v>
      </c>
      <c r="F93" s="187">
        <v>0</v>
      </c>
      <c r="G93" s="187">
        <v>0</v>
      </c>
      <c r="H93" s="187">
        <v>0</v>
      </c>
      <c r="I93" s="187">
        <v>0</v>
      </c>
      <c r="J93" s="187">
        <v>0</v>
      </c>
    </row>
    <row r="94" spans="1:10" x14ac:dyDescent="0.2">
      <c r="A94" s="116" t="s">
        <v>298</v>
      </c>
      <c r="B94" s="322">
        <v>0</v>
      </c>
      <c r="C94" s="188">
        <v>0</v>
      </c>
      <c r="D94" s="188">
        <v>0</v>
      </c>
      <c r="E94" s="188">
        <v>0</v>
      </c>
      <c r="F94" s="188">
        <v>0</v>
      </c>
      <c r="G94" s="188">
        <v>0</v>
      </c>
      <c r="H94" s="188">
        <v>0</v>
      </c>
      <c r="I94" s="188">
        <v>0</v>
      </c>
      <c r="J94" s="188">
        <v>0</v>
      </c>
    </row>
    <row r="95" spans="1:10" x14ac:dyDescent="0.2">
      <c r="A95" s="231" t="s">
        <v>305</v>
      </c>
      <c r="B95" s="324">
        <v>0</v>
      </c>
      <c r="C95" s="232">
        <v>0</v>
      </c>
      <c r="D95" s="232">
        <v>0</v>
      </c>
      <c r="E95" s="232">
        <v>0</v>
      </c>
      <c r="F95" s="232">
        <v>0</v>
      </c>
      <c r="G95" s="232">
        <v>0</v>
      </c>
      <c r="H95" s="232">
        <v>0</v>
      </c>
      <c r="I95" s="232">
        <v>0</v>
      </c>
      <c r="J95" s="232">
        <v>0</v>
      </c>
    </row>
    <row r="96" spans="1:10" x14ac:dyDescent="0.2">
      <c r="A96" s="237" t="s">
        <v>313</v>
      </c>
      <c r="B96" s="330">
        <v>0</v>
      </c>
      <c r="C96" s="238">
        <v>0</v>
      </c>
      <c r="D96" s="238">
        <v>0</v>
      </c>
      <c r="E96" s="238">
        <v>0</v>
      </c>
      <c r="F96" s="238">
        <v>0</v>
      </c>
      <c r="G96" s="238">
        <v>0</v>
      </c>
      <c r="H96" s="238">
        <v>0</v>
      </c>
      <c r="I96" s="238">
        <v>0</v>
      </c>
      <c r="J96" s="238">
        <v>0</v>
      </c>
    </row>
    <row r="97" spans="1:10" x14ac:dyDescent="0.2">
      <c r="A97" s="352" t="s">
        <v>256</v>
      </c>
      <c r="B97" s="353">
        <v>0</v>
      </c>
      <c r="C97" s="354">
        <v>0</v>
      </c>
      <c r="D97" s="354">
        <v>0</v>
      </c>
      <c r="E97" s="354">
        <v>0</v>
      </c>
      <c r="F97" s="354">
        <v>0</v>
      </c>
      <c r="G97" s="354">
        <v>0</v>
      </c>
      <c r="H97" s="354">
        <v>0</v>
      </c>
      <c r="I97" s="354">
        <v>0</v>
      </c>
      <c r="J97" s="354">
        <v>0</v>
      </c>
    </row>
    <row r="98" spans="1:10" x14ac:dyDescent="0.2">
      <c r="A98" s="355" t="s">
        <v>251</v>
      </c>
      <c r="B98" s="356">
        <v>0</v>
      </c>
      <c r="C98" s="357">
        <v>0</v>
      </c>
      <c r="D98" s="357">
        <v>0</v>
      </c>
      <c r="E98" s="357">
        <v>0</v>
      </c>
      <c r="F98" s="357">
        <v>0</v>
      </c>
      <c r="G98" s="357">
        <v>0</v>
      </c>
      <c r="H98" s="357">
        <v>0</v>
      </c>
      <c r="I98" s="357">
        <v>0</v>
      </c>
      <c r="J98" s="357">
        <v>0</v>
      </c>
    </row>
    <row r="99" spans="1:10" x14ac:dyDescent="0.2">
      <c r="A99" s="358" t="s">
        <v>308</v>
      </c>
      <c r="B99" s="359">
        <v>0</v>
      </c>
      <c r="C99" s="360">
        <v>0</v>
      </c>
      <c r="D99" s="360">
        <v>0</v>
      </c>
      <c r="E99" s="360">
        <v>0</v>
      </c>
      <c r="F99" s="360">
        <v>0</v>
      </c>
      <c r="G99" s="360">
        <v>0</v>
      </c>
      <c r="H99" s="360">
        <v>0</v>
      </c>
      <c r="I99" s="360">
        <v>0</v>
      </c>
      <c r="J99" s="360">
        <v>0</v>
      </c>
    </row>
    <row r="100" spans="1:10" x14ac:dyDescent="0.2">
      <c r="A100" s="361" t="s">
        <v>171</v>
      </c>
      <c r="B100" s="362">
        <v>0</v>
      </c>
      <c r="C100" s="363">
        <v>0</v>
      </c>
      <c r="D100" s="363">
        <v>0</v>
      </c>
      <c r="E100" s="363">
        <v>0</v>
      </c>
      <c r="F100" s="363">
        <v>0</v>
      </c>
      <c r="G100" s="363">
        <v>0</v>
      </c>
      <c r="H100" s="363">
        <v>0</v>
      </c>
      <c r="I100" s="363">
        <v>0</v>
      </c>
      <c r="J100" s="363">
        <v>0</v>
      </c>
    </row>
    <row r="101" spans="1:10" x14ac:dyDescent="0.2">
      <c r="A101" s="364" t="s">
        <v>167</v>
      </c>
      <c r="B101" s="365">
        <v>0</v>
      </c>
      <c r="C101" s="366">
        <v>0</v>
      </c>
      <c r="D101" s="366">
        <v>0</v>
      </c>
      <c r="E101" s="366">
        <v>0</v>
      </c>
      <c r="F101" s="366">
        <v>0</v>
      </c>
      <c r="G101" s="366">
        <v>0</v>
      </c>
      <c r="H101" s="366">
        <v>0</v>
      </c>
      <c r="I101" s="366">
        <v>0</v>
      </c>
      <c r="J101" s="366">
        <v>0</v>
      </c>
    </row>
    <row r="102" spans="1:10" x14ac:dyDescent="0.2">
      <c r="A102" s="367" t="s">
        <v>244</v>
      </c>
      <c r="B102" s="368">
        <v>0</v>
      </c>
      <c r="C102" s="369">
        <v>0</v>
      </c>
      <c r="D102" s="369">
        <v>0</v>
      </c>
      <c r="E102" s="369">
        <v>0</v>
      </c>
      <c r="F102" s="369">
        <v>0</v>
      </c>
      <c r="G102" s="369">
        <v>0</v>
      </c>
      <c r="H102" s="369">
        <v>0</v>
      </c>
      <c r="I102" s="369">
        <v>0</v>
      </c>
      <c r="J102" s="369">
        <v>0</v>
      </c>
    </row>
    <row r="103" spans="1:10" x14ac:dyDescent="0.2">
      <c r="A103" s="370" t="s">
        <v>782</v>
      </c>
      <c r="B103" s="371">
        <v>0</v>
      </c>
      <c r="C103" s="372">
        <v>0</v>
      </c>
      <c r="D103" s="372">
        <v>0</v>
      </c>
      <c r="E103" s="372">
        <v>0</v>
      </c>
      <c r="F103" s="372">
        <v>0</v>
      </c>
      <c r="G103" s="372">
        <v>0</v>
      </c>
      <c r="H103" s="372">
        <v>0</v>
      </c>
      <c r="I103" s="372">
        <v>0</v>
      </c>
      <c r="J103" s="372">
        <v>0</v>
      </c>
    </row>
    <row r="104" spans="1:10" x14ac:dyDescent="0.2">
      <c r="A104" s="373" t="s">
        <v>235</v>
      </c>
      <c r="B104" s="374">
        <v>0</v>
      </c>
      <c r="C104" s="375">
        <v>0</v>
      </c>
      <c r="D104" s="375">
        <v>0</v>
      </c>
      <c r="E104" s="375">
        <v>0</v>
      </c>
      <c r="F104" s="375">
        <v>0</v>
      </c>
      <c r="G104" s="375">
        <v>0</v>
      </c>
      <c r="H104" s="375">
        <v>0</v>
      </c>
      <c r="I104" s="375">
        <v>0</v>
      </c>
      <c r="J104" s="375">
        <v>0</v>
      </c>
    </row>
    <row r="105" spans="1:10" x14ac:dyDescent="0.2">
      <c r="A105" s="376" t="s">
        <v>303</v>
      </c>
      <c r="B105" s="377">
        <v>0</v>
      </c>
      <c r="C105" s="378">
        <v>0</v>
      </c>
      <c r="D105" s="378">
        <v>0</v>
      </c>
      <c r="E105" s="378">
        <v>0</v>
      </c>
      <c r="F105" s="378">
        <v>0</v>
      </c>
      <c r="G105" s="378">
        <v>0</v>
      </c>
      <c r="H105" s="378">
        <v>0</v>
      </c>
      <c r="I105" s="378">
        <v>0</v>
      </c>
      <c r="J105" s="378">
        <v>0</v>
      </c>
    </row>
    <row r="106" spans="1:10" x14ac:dyDescent="0.2">
      <c r="A106" s="379" t="s">
        <v>293</v>
      </c>
      <c r="B106" s="380">
        <v>0</v>
      </c>
      <c r="C106" s="381">
        <v>0</v>
      </c>
      <c r="D106" s="381">
        <v>0</v>
      </c>
      <c r="E106" s="381">
        <v>0</v>
      </c>
      <c r="F106" s="381">
        <v>0</v>
      </c>
      <c r="G106" s="381">
        <v>0</v>
      </c>
      <c r="H106" s="381">
        <v>0</v>
      </c>
      <c r="I106" s="381">
        <v>0</v>
      </c>
      <c r="J106" s="381">
        <v>0</v>
      </c>
    </row>
    <row r="107" spans="1:10" x14ac:dyDescent="0.2">
      <c r="A107" s="382" t="s">
        <v>268</v>
      </c>
      <c r="B107" s="383">
        <v>0</v>
      </c>
      <c r="C107" s="384">
        <v>0</v>
      </c>
      <c r="D107" s="384">
        <v>0</v>
      </c>
      <c r="E107" s="384">
        <v>0</v>
      </c>
      <c r="F107" s="384">
        <v>0</v>
      </c>
      <c r="G107" s="384">
        <v>0</v>
      </c>
      <c r="H107" s="384">
        <v>0</v>
      </c>
      <c r="I107" s="384">
        <v>0</v>
      </c>
      <c r="J107" s="384">
        <v>0</v>
      </c>
    </row>
    <row r="108" spans="1:10" x14ac:dyDescent="0.2">
      <c r="A108" s="385" t="s">
        <v>783</v>
      </c>
      <c r="B108" s="386">
        <v>0</v>
      </c>
      <c r="C108" s="387">
        <v>0</v>
      </c>
      <c r="D108" s="387">
        <v>0</v>
      </c>
      <c r="E108" s="387">
        <v>0</v>
      </c>
      <c r="F108" s="387">
        <v>0</v>
      </c>
      <c r="G108" s="387">
        <v>0</v>
      </c>
      <c r="H108" s="387">
        <v>0</v>
      </c>
      <c r="I108" s="387">
        <v>0</v>
      </c>
      <c r="J108" s="387">
        <v>0</v>
      </c>
    </row>
    <row r="109" spans="1:10" x14ac:dyDescent="0.2">
      <c r="A109" s="388" t="s">
        <v>236</v>
      </c>
      <c r="B109" s="389">
        <v>0</v>
      </c>
      <c r="C109" s="390">
        <v>0</v>
      </c>
      <c r="D109" s="390">
        <v>0</v>
      </c>
      <c r="E109" s="390">
        <v>0</v>
      </c>
      <c r="F109" s="390">
        <v>0</v>
      </c>
      <c r="G109" s="390">
        <v>0</v>
      </c>
      <c r="H109" s="390">
        <v>0</v>
      </c>
      <c r="I109" s="390">
        <v>0</v>
      </c>
      <c r="J109" s="390">
        <v>0</v>
      </c>
    </row>
    <row r="110" spans="1:10" x14ac:dyDescent="0.2">
      <c r="A110" s="391" t="s">
        <v>243</v>
      </c>
      <c r="B110" s="392">
        <v>0</v>
      </c>
      <c r="C110" s="393">
        <v>0</v>
      </c>
      <c r="D110" s="393">
        <v>0</v>
      </c>
      <c r="E110" s="393">
        <v>0</v>
      </c>
      <c r="F110" s="393">
        <v>0</v>
      </c>
      <c r="G110" s="393">
        <v>0</v>
      </c>
      <c r="H110" s="393">
        <v>0</v>
      </c>
      <c r="I110" s="393">
        <v>0</v>
      </c>
      <c r="J110" s="393">
        <v>0</v>
      </c>
    </row>
    <row r="111" spans="1:10" x14ac:dyDescent="0.2">
      <c r="A111" s="476" t="s">
        <v>247</v>
      </c>
      <c r="B111" s="477">
        <v>0</v>
      </c>
      <c r="C111" s="478">
        <v>0</v>
      </c>
      <c r="D111" s="478">
        <v>0</v>
      </c>
      <c r="E111" s="478">
        <v>0</v>
      </c>
      <c r="F111" s="478">
        <v>0</v>
      </c>
      <c r="G111" s="478">
        <v>0</v>
      </c>
      <c r="H111" s="478">
        <v>0</v>
      </c>
      <c r="I111" s="478">
        <v>0</v>
      </c>
      <c r="J111" s="478">
        <v>0</v>
      </c>
    </row>
    <row r="112" spans="1:10" x14ac:dyDescent="0.2">
      <c r="A112" s="82" t="s">
        <v>317</v>
      </c>
      <c r="B112" s="274">
        <v>0</v>
      </c>
      <c r="C112" s="152">
        <v>0</v>
      </c>
      <c r="D112" s="152">
        <v>0</v>
      </c>
      <c r="E112" s="152">
        <v>0</v>
      </c>
      <c r="F112" s="152">
        <v>0</v>
      </c>
      <c r="G112" s="152">
        <v>0</v>
      </c>
      <c r="H112" s="152">
        <v>0</v>
      </c>
      <c r="I112" s="152">
        <v>0</v>
      </c>
      <c r="J112" s="152">
        <v>0</v>
      </c>
    </row>
    <row r="113" spans="1:10" x14ac:dyDescent="0.2">
      <c r="A113" s="485"/>
      <c r="B113" s="485"/>
      <c r="C113" s="485"/>
      <c r="D113" s="485"/>
      <c r="E113" s="485"/>
      <c r="F113" s="485"/>
      <c r="G113" s="485"/>
      <c r="H113" s="485"/>
      <c r="I113" s="485"/>
      <c r="J113" s="485"/>
    </row>
    <row r="114" spans="1:10" x14ac:dyDescent="0.2">
      <c r="A114" s="485"/>
      <c r="B114" s="485"/>
      <c r="C114" s="485"/>
      <c r="D114" s="485"/>
      <c r="E114" s="485"/>
      <c r="F114" s="485"/>
      <c r="G114" s="485"/>
      <c r="H114" s="485"/>
      <c r="I114" s="485"/>
      <c r="J114" s="485"/>
    </row>
    <row r="115" spans="1:10" x14ac:dyDescent="0.2">
      <c r="A115" s="485"/>
      <c r="B115" s="485"/>
      <c r="C115" s="485"/>
      <c r="D115" s="485"/>
      <c r="E115" s="485"/>
      <c r="F115" s="485"/>
      <c r="G115" s="485"/>
      <c r="H115" s="485"/>
      <c r="I115" s="485"/>
      <c r="J115" s="485"/>
    </row>
    <row r="116" spans="1:10" x14ac:dyDescent="0.2">
      <c r="A116" s="485"/>
      <c r="B116" s="485"/>
      <c r="C116" s="485"/>
      <c r="D116" s="485"/>
      <c r="E116" s="485"/>
      <c r="F116" s="485"/>
      <c r="G116" s="485"/>
      <c r="H116" s="485"/>
      <c r="I116" s="485"/>
      <c r="J116" s="485"/>
    </row>
    <row r="117" spans="1:10" x14ac:dyDescent="0.2">
      <c r="A117" s="485"/>
      <c r="B117" s="485"/>
      <c r="C117" s="485"/>
      <c r="D117" s="485"/>
      <c r="E117" s="485"/>
      <c r="F117" s="485"/>
      <c r="G117" s="485"/>
      <c r="H117" s="485"/>
      <c r="I117" s="485"/>
      <c r="J117" s="485"/>
    </row>
    <row r="118" spans="1:10" x14ac:dyDescent="0.2">
      <c r="A118" s="485"/>
      <c r="B118" s="485"/>
      <c r="C118" s="485"/>
      <c r="D118" s="485"/>
      <c r="E118" s="485"/>
      <c r="F118" s="485"/>
      <c r="G118" s="485"/>
      <c r="H118" s="485"/>
      <c r="I118" s="485"/>
      <c r="J118" s="485"/>
    </row>
    <row r="119" spans="1:10" x14ac:dyDescent="0.2">
      <c r="A119" s="485"/>
      <c r="B119" s="485"/>
      <c r="C119" s="485"/>
      <c r="D119" s="485"/>
      <c r="E119" s="485"/>
      <c r="F119" s="485"/>
      <c r="G119" s="485"/>
      <c r="H119" s="485"/>
      <c r="I119" s="485"/>
      <c r="J119" s="485"/>
    </row>
    <row r="120" spans="1:10" x14ac:dyDescent="0.2">
      <c r="A120" s="485"/>
      <c r="B120" s="485"/>
      <c r="C120" s="485"/>
      <c r="D120" s="485"/>
      <c r="E120" s="485"/>
      <c r="F120" s="485"/>
      <c r="G120" s="485"/>
      <c r="H120" s="485"/>
      <c r="I120" s="485"/>
      <c r="J120" s="485"/>
    </row>
    <row r="121" spans="1:10" x14ac:dyDescent="0.2">
      <c r="A121" s="485"/>
      <c r="B121" s="485"/>
      <c r="C121" s="485"/>
      <c r="D121" s="485"/>
      <c r="E121" s="485"/>
      <c r="F121" s="485"/>
      <c r="G121" s="485"/>
      <c r="H121" s="485"/>
      <c r="I121" s="485"/>
      <c r="J121" s="485"/>
    </row>
    <row r="122" spans="1:10" x14ac:dyDescent="0.2">
      <c r="A122" s="485"/>
      <c r="B122" s="485"/>
      <c r="C122" s="485"/>
      <c r="D122" s="485"/>
      <c r="E122" s="485"/>
      <c r="F122" s="485"/>
      <c r="G122" s="485"/>
      <c r="H122" s="485"/>
      <c r="I122" s="485"/>
      <c r="J122" s="485"/>
    </row>
    <row r="123" spans="1:10" x14ac:dyDescent="0.2">
      <c r="A123" s="485"/>
      <c r="B123" s="485"/>
      <c r="C123" s="485"/>
      <c r="D123" s="485"/>
      <c r="E123" s="485"/>
      <c r="F123" s="485"/>
      <c r="G123" s="485"/>
      <c r="H123" s="485"/>
      <c r="I123" s="485"/>
      <c r="J123" s="485"/>
    </row>
    <row r="124" spans="1:10" x14ac:dyDescent="0.2">
      <c r="A124" s="485"/>
      <c r="B124" s="485"/>
      <c r="C124" s="485"/>
      <c r="D124" s="485"/>
      <c r="E124" s="485"/>
      <c r="F124" s="485"/>
      <c r="G124" s="485"/>
      <c r="H124" s="485"/>
      <c r="I124" s="485"/>
      <c r="J124" s="485"/>
    </row>
    <row r="125" spans="1:10" x14ac:dyDescent="0.2">
      <c r="A125" s="485"/>
      <c r="B125" s="485"/>
      <c r="C125" s="485"/>
      <c r="D125" s="485"/>
      <c r="E125" s="485"/>
      <c r="F125" s="485"/>
      <c r="G125" s="485"/>
      <c r="H125" s="485"/>
      <c r="I125" s="485"/>
      <c r="J125" s="485"/>
    </row>
    <row r="126" spans="1:10" x14ac:dyDescent="0.2">
      <c r="A126" s="485"/>
      <c r="B126" s="485"/>
      <c r="C126" s="485"/>
      <c r="D126" s="485"/>
      <c r="E126" s="485"/>
      <c r="F126" s="485"/>
      <c r="G126" s="485"/>
      <c r="H126" s="485"/>
      <c r="I126" s="485"/>
      <c r="J126" s="485"/>
    </row>
    <row r="127" spans="1:10" x14ac:dyDescent="0.2">
      <c r="A127" s="485"/>
      <c r="B127" s="485"/>
      <c r="C127" s="485"/>
      <c r="D127" s="485"/>
      <c r="E127" s="485"/>
      <c r="F127" s="485"/>
      <c r="G127" s="485"/>
      <c r="H127" s="485"/>
      <c r="I127" s="485"/>
      <c r="J127" s="485"/>
    </row>
    <row r="128" spans="1:10" x14ac:dyDescent="0.2">
      <c r="A128" s="485"/>
      <c r="B128" s="485"/>
      <c r="C128" s="485"/>
      <c r="D128" s="485"/>
      <c r="E128" s="485"/>
      <c r="F128" s="485"/>
      <c r="G128" s="485"/>
      <c r="H128" s="485"/>
      <c r="I128" s="485"/>
      <c r="J128" s="485"/>
    </row>
    <row r="129" spans="1:10" x14ac:dyDescent="0.2">
      <c r="A129" s="485"/>
      <c r="B129" s="485"/>
      <c r="C129" s="485"/>
      <c r="D129" s="485"/>
      <c r="E129" s="485"/>
      <c r="F129" s="485"/>
      <c r="G129" s="485"/>
      <c r="H129" s="485"/>
      <c r="I129" s="485"/>
      <c r="J129" s="485"/>
    </row>
    <row r="130" spans="1:10" x14ac:dyDescent="0.2">
      <c r="A130" s="485"/>
      <c r="B130" s="485"/>
      <c r="C130" s="485"/>
      <c r="D130" s="485"/>
      <c r="E130" s="485"/>
      <c r="F130" s="485"/>
      <c r="G130" s="485"/>
      <c r="H130" s="485"/>
      <c r="I130" s="485"/>
      <c r="J130" s="485"/>
    </row>
    <row r="131" spans="1:10" x14ac:dyDescent="0.2">
      <c r="A131" s="485"/>
      <c r="B131" s="485"/>
      <c r="C131" s="485"/>
      <c r="D131" s="485"/>
      <c r="E131" s="485"/>
      <c r="F131" s="485"/>
      <c r="G131" s="485"/>
      <c r="H131" s="485"/>
      <c r="I131" s="485"/>
      <c r="J131" s="485"/>
    </row>
    <row r="132" spans="1:10" x14ac:dyDescent="0.2">
      <c r="A132" s="485"/>
      <c r="B132" s="485"/>
      <c r="C132" s="485"/>
      <c r="D132" s="485"/>
      <c r="E132" s="485"/>
      <c r="F132" s="485"/>
      <c r="G132" s="485"/>
      <c r="H132" s="485"/>
      <c r="I132" s="485"/>
      <c r="J132" s="485"/>
    </row>
    <row r="133" spans="1:10" x14ac:dyDescent="0.2">
      <c r="A133" s="485"/>
      <c r="B133" s="485"/>
      <c r="C133" s="485"/>
      <c r="D133" s="485"/>
      <c r="E133" s="485"/>
      <c r="F133" s="485"/>
      <c r="G133" s="485"/>
      <c r="H133" s="485"/>
      <c r="I133" s="485"/>
      <c r="J133" s="485"/>
    </row>
    <row r="134" spans="1:10" x14ac:dyDescent="0.2">
      <c r="A134" s="485"/>
      <c r="B134" s="485"/>
      <c r="C134" s="485"/>
      <c r="D134" s="485"/>
      <c r="E134" s="485"/>
      <c r="F134" s="485"/>
      <c r="G134" s="485"/>
      <c r="H134" s="485"/>
      <c r="I134" s="485"/>
      <c r="J134" s="485"/>
    </row>
    <row r="135" spans="1:10" x14ac:dyDescent="0.2">
      <c r="A135" s="485"/>
      <c r="B135" s="485"/>
      <c r="C135" s="485"/>
      <c r="D135" s="485"/>
      <c r="E135" s="485"/>
      <c r="F135" s="485"/>
      <c r="G135" s="485"/>
      <c r="H135" s="485"/>
      <c r="I135" s="485"/>
      <c r="J135" s="485"/>
    </row>
    <row r="136" spans="1:10" x14ac:dyDescent="0.2">
      <c r="A136" s="485"/>
      <c r="B136" s="485"/>
      <c r="C136" s="485"/>
      <c r="D136" s="485"/>
      <c r="E136" s="485"/>
      <c r="F136" s="485"/>
      <c r="G136" s="485"/>
      <c r="H136" s="485"/>
      <c r="I136" s="485"/>
      <c r="J136" s="485"/>
    </row>
    <row r="137" spans="1:10" x14ac:dyDescent="0.2">
      <c r="A137" s="485"/>
      <c r="B137" s="485"/>
      <c r="C137" s="485"/>
      <c r="D137" s="485"/>
      <c r="E137" s="485"/>
      <c r="F137" s="485"/>
      <c r="G137" s="485"/>
      <c r="H137" s="485"/>
      <c r="I137" s="485"/>
      <c r="J137" s="485"/>
    </row>
    <row r="138" spans="1:10" x14ac:dyDescent="0.2">
      <c r="A138" s="485"/>
      <c r="B138" s="485"/>
      <c r="C138" s="485"/>
      <c r="D138" s="485"/>
      <c r="E138" s="485"/>
      <c r="F138" s="485"/>
      <c r="G138" s="485"/>
      <c r="H138" s="485"/>
      <c r="I138" s="485"/>
      <c r="J138" s="485"/>
    </row>
    <row r="139" spans="1:10" x14ac:dyDescent="0.2">
      <c r="A139" s="485"/>
      <c r="B139" s="485"/>
      <c r="C139" s="485"/>
      <c r="D139" s="485"/>
      <c r="E139" s="485"/>
      <c r="F139" s="485"/>
      <c r="G139" s="485"/>
      <c r="H139" s="485"/>
      <c r="I139" s="485"/>
      <c r="J139" s="485"/>
    </row>
    <row r="140" spans="1:10" x14ac:dyDescent="0.2">
      <c r="A140" s="485"/>
      <c r="B140" s="485"/>
      <c r="C140" s="485"/>
      <c r="D140" s="485"/>
      <c r="E140" s="485"/>
      <c r="F140" s="485"/>
      <c r="G140" s="485"/>
      <c r="H140" s="485"/>
      <c r="I140" s="485"/>
      <c r="J140" s="485"/>
    </row>
    <row r="141" spans="1:10" x14ac:dyDescent="0.2">
      <c r="A141" s="485"/>
      <c r="B141" s="485"/>
      <c r="C141" s="485"/>
      <c r="D141" s="485"/>
      <c r="E141" s="485"/>
      <c r="F141" s="485"/>
      <c r="G141" s="485"/>
      <c r="H141" s="485"/>
      <c r="I141" s="485"/>
      <c r="J141" s="485"/>
    </row>
    <row r="142" spans="1:10" x14ac:dyDescent="0.2">
      <c r="A142" s="485"/>
      <c r="B142" s="485"/>
      <c r="C142" s="485"/>
      <c r="D142" s="485"/>
      <c r="E142" s="485"/>
      <c r="F142" s="485"/>
      <c r="G142" s="485"/>
      <c r="H142" s="485"/>
      <c r="I142" s="485"/>
      <c r="J142" s="485"/>
    </row>
    <row r="143" spans="1:10" x14ac:dyDescent="0.2">
      <c r="A143" s="485"/>
      <c r="B143" s="485"/>
      <c r="C143" s="485"/>
      <c r="D143" s="485"/>
      <c r="E143" s="485"/>
      <c r="F143" s="485"/>
      <c r="G143" s="485"/>
      <c r="H143" s="485"/>
      <c r="I143" s="485"/>
      <c r="J143" s="485"/>
    </row>
    <row r="144" spans="1:10" x14ac:dyDescent="0.2">
      <c r="A144" s="485"/>
      <c r="B144" s="485"/>
      <c r="C144" s="485"/>
      <c r="D144" s="485"/>
      <c r="E144" s="485"/>
      <c r="F144" s="485"/>
      <c r="G144" s="485"/>
      <c r="H144" s="485"/>
      <c r="I144" s="485"/>
      <c r="J144" s="485"/>
    </row>
    <row r="145" spans="1:10" x14ac:dyDescent="0.2">
      <c r="A145" s="485"/>
      <c r="B145" s="485"/>
      <c r="C145" s="485"/>
      <c r="D145" s="485"/>
      <c r="E145" s="485"/>
      <c r="F145" s="485"/>
      <c r="G145" s="485"/>
      <c r="H145" s="485"/>
      <c r="I145" s="485"/>
      <c r="J145" s="485"/>
    </row>
    <row r="146" spans="1:10" x14ac:dyDescent="0.2">
      <c r="A146" s="485"/>
      <c r="B146" s="485"/>
      <c r="C146" s="485"/>
      <c r="D146" s="485"/>
      <c r="E146" s="485"/>
      <c r="F146" s="485"/>
      <c r="G146" s="485"/>
      <c r="H146" s="485"/>
      <c r="I146" s="485"/>
      <c r="J146" s="485"/>
    </row>
    <row r="147" spans="1:10" x14ac:dyDescent="0.2">
      <c r="A147" s="485"/>
      <c r="B147" s="485"/>
      <c r="C147" s="485"/>
      <c r="D147" s="485"/>
      <c r="E147" s="485"/>
      <c r="F147" s="485"/>
      <c r="G147" s="485"/>
      <c r="H147" s="485"/>
      <c r="I147" s="485"/>
      <c r="J147" s="485"/>
    </row>
    <row r="148" spans="1:10" x14ac:dyDescent="0.2">
      <c r="A148" s="485"/>
      <c r="B148" s="485"/>
      <c r="C148" s="485"/>
      <c r="D148" s="485"/>
      <c r="E148" s="485"/>
      <c r="F148" s="485"/>
      <c r="G148" s="485"/>
      <c r="H148" s="485"/>
      <c r="I148" s="485"/>
      <c r="J148" s="485"/>
    </row>
    <row r="149" spans="1:10" x14ac:dyDescent="0.2">
      <c r="A149" s="485"/>
      <c r="B149" s="485"/>
      <c r="C149" s="485"/>
      <c r="D149" s="485"/>
      <c r="E149" s="485"/>
      <c r="F149" s="485"/>
      <c r="G149" s="485"/>
      <c r="H149" s="485"/>
      <c r="I149" s="485"/>
      <c r="J149" s="485"/>
    </row>
    <row r="150" spans="1:10" x14ac:dyDescent="0.2">
      <c r="A150" s="485"/>
      <c r="B150" s="485"/>
      <c r="C150" s="485"/>
      <c r="D150" s="485"/>
      <c r="E150" s="485"/>
      <c r="F150" s="485"/>
      <c r="G150" s="485"/>
      <c r="H150" s="485"/>
      <c r="I150" s="485"/>
      <c r="J150" s="485"/>
    </row>
    <row r="151" spans="1:10" x14ac:dyDescent="0.2">
      <c r="A151" s="485"/>
      <c r="B151" s="485"/>
      <c r="C151" s="485"/>
      <c r="D151" s="485"/>
      <c r="E151" s="485"/>
      <c r="F151" s="485"/>
      <c r="G151" s="485"/>
      <c r="H151" s="485"/>
      <c r="I151" s="485"/>
      <c r="J151" s="485"/>
    </row>
    <row r="152" spans="1:10" x14ac:dyDescent="0.2">
      <c r="A152" s="485"/>
      <c r="B152" s="485"/>
      <c r="C152" s="485"/>
      <c r="D152" s="485"/>
      <c r="E152" s="485"/>
      <c r="F152" s="485"/>
      <c r="G152" s="485"/>
      <c r="H152" s="485"/>
      <c r="I152" s="485"/>
      <c r="J152" s="485"/>
    </row>
    <row r="153" spans="1:10" x14ac:dyDescent="0.2">
      <c r="A153" s="485"/>
      <c r="B153" s="485"/>
      <c r="C153" s="485"/>
      <c r="D153" s="485"/>
      <c r="E153" s="485"/>
      <c r="F153" s="485"/>
      <c r="G153" s="485"/>
      <c r="H153" s="485"/>
      <c r="I153" s="485"/>
      <c r="J153" s="485"/>
    </row>
    <row r="154" spans="1:10" x14ac:dyDescent="0.2">
      <c r="A154" s="485"/>
      <c r="B154" s="485"/>
      <c r="C154" s="485"/>
      <c r="D154" s="485"/>
      <c r="E154" s="485"/>
      <c r="F154" s="485"/>
      <c r="G154" s="485"/>
      <c r="H154" s="485"/>
      <c r="I154" s="485"/>
      <c r="J154" s="485"/>
    </row>
    <row r="155" spans="1:10" x14ac:dyDescent="0.2">
      <c r="A155" s="485"/>
      <c r="B155" s="485"/>
      <c r="C155" s="485"/>
      <c r="D155" s="485"/>
      <c r="E155" s="485"/>
      <c r="F155" s="485"/>
      <c r="G155" s="485"/>
      <c r="H155" s="485"/>
      <c r="I155" s="485"/>
      <c r="J155" s="485"/>
    </row>
    <row r="156" spans="1:10" x14ac:dyDescent="0.2">
      <c r="A156" s="485"/>
      <c r="B156" s="485"/>
      <c r="C156" s="485"/>
      <c r="D156" s="485"/>
      <c r="E156" s="485"/>
      <c r="F156" s="485"/>
      <c r="G156" s="485"/>
      <c r="H156" s="485"/>
      <c r="I156" s="485"/>
      <c r="J156" s="485"/>
    </row>
    <row r="157" spans="1:10" x14ac:dyDescent="0.2">
      <c r="A157" s="485"/>
      <c r="B157" s="485"/>
      <c r="C157" s="485"/>
      <c r="D157" s="485"/>
      <c r="E157" s="485"/>
      <c r="F157" s="485"/>
      <c r="G157" s="485"/>
      <c r="H157" s="485"/>
      <c r="I157" s="485"/>
      <c r="J157" s="485"/>
    </row>
    <row r="158" spans="1:10" x14ac:dyDescent="0.2">
      <c r="A158" s="485"/>
      <c r="B158" s="485"/>
      <c r="C158" s="485"/>
      <c r="D158" s="485"/>
      <c r="E158" s="485"/>
      <c r="F158" s="485"/>
      <c r="G158" s="485"/>
      <c r="H158" s="485"/>
      <c r="I158" s="485"/>
      <c r="J158" s="485"/>
    </row>
    <row r="159" spans="1:10" x14ac:dyDescent="0.2">
      <c r="A159" s="485"/>
      <c r="B159" s="485"/>
      <c r="C159" s="485"/>
      <c r="D159" s="485"/>
      <c r="E159" s="485"/>
      <c r="F159" s="485"/>
      <c r="G159" s="485"/>
      <c r="H159" s="485"/>
      <c r="I159" s="485"/>
      <c r="J159" s="485"/>
    </row>
    <row r="160" spans="1:10" x14ac:dyDescent="0.2">
      <c r="A160" s="485"/>
      <c r="B160" s="485"/>
      <c r="C160" s="485"/>
      <c r="D160" s="485"/>
      <c r="E160" s="485"/>
      <c r="F160" s="485"/>
      <c r="G160" s="485"/>
      <c r="H160" s="485"/>
      <c r="I160" s="485"/>
      <c r="J160" s="485"/>
    </row>
    <row r="161" spans="1:10" x14ac:dyDescent="0.2">
      <c r="A161" s="485"/>
      <c r="B161" s="485"/>
      <c r="C161" s="485"/>
      <c r="D161" s="485"/>
      <c r="E161" s="485"/>
      <c r="F161" s="485"/>
      <c r="G161" s="485"/>
      <c r="H161" s="485"/>
      <c r="I161" s="485"/>
      <c r="J161" s="485"/>
    </row>
    <row r="162" spans="1:10" x14ac:dyDescent="0.2">
      <c r="A162" s="485"/>
      <c r="B162" s="485"/>
      <c r="C162" s="485"/>
      <c r="D162" s="485"/>
      <c r="E162" s="485"/>
      <c r="F162" s="485"/>
      <c r="G162" s="485"/>
      <c r="H162" s="485"/>
      <c r="I162" s="485"/>
      <c r="J162" s="485"/>
    </row>
    <row r="163" spans="1:10" x14ac:dyDescent="0.2">
      <c r="A163" s="485"/>
      <c r="B163" s="485"/>
      <c r="C163" s="485"/>
      <c r="D163" s="485"/>
      <c r="E163" s="485"/>
      <c r="F163" s="485"/>
      <c r="G163" s="485"/>
      <c r="H163" s="485"/>
      <c r="I163" s="485"/>
      <c r="J163" s="485"/>
    </row>
    <row r="164" spans="1:10" x14ac:dyDescent="0.2">
      <c r="A164" s="485"/>
      <c r="B164" s="485"/>
      <c r="C164" s="485"/>
      <c r="D164" s="485"/>
      <c r="E164" s="485"/>
      <c r="F164" s="485"/>
      <c r="G164" s="485"/>
      <c r="H164" s="485"/>
      <c r="I164" s="485"/>
      <c r="J164" s="485"/>
    </row>
    <row r="165" spans="1:10" x14ac:dyDescent="0.2">
      <c r="A165" s="485"/>
      <c r="B165" s="485"/>
      <c r="C165" s="485"/>
      <c r="D165" s="485"/>
      <c r="E165" s="485"/>
      <c r="F165" s="485"/>
      <c r="G165" s="485"/>
      <c r="H165" s="485"/>
      <c r="I165" s="485"/>
      <c r="J165" s="485"/>
    </row>
    <row r="166" spans="1:10" x14ac:dyDescent="0.2">
      <c r="A166" s="485"/>
      <c r="B166" s="485"/>
      <c r="C166" s="485"/>
      <c r="D166" s="485"/>
      <c r="E166" s="485"/>
      <c r="F166" s="485"/>
      <c r="G166" s="485"/>
      <c r="H166" s="485"/>
      <c r="I166" s="485"/>
      <c r="J166" s="485"/>
    </row>
    <row r="167" spans="1:10" x14ac:dyDescent="0.2">
      <c r="A167" s="485"/>
      <c r="B167" s="485"/>
      <c r="C167" s="485"/>
      <c r="D167" s="485"/>
      <c r="E167" s="485"/>
      <c r="F167" s="485"/>
      <c r="G167" s="485"/>
      <c r="H167" s="485"/>
      <c r="I167" s="485"/>
      <c r="J167" s="485"/>
    </row>
    <row r="168" spans="1:10" x14ac:dyDescent="0.2">
      <c r="A168" s="485"/>
      <c r="B168" s="485"/>
      <c r="C168" s="485"/>
      <c r="D168" s="485"/>
      <c r="E168" s="485"/>
      <c r="F168" s="485"/>
      <c r="G168" s="485"/>
      <c r="H168" s="485"/>
      <c r="I168" s="485"/>
      <c r="J168" s="485"/>
    </row>
    <row r="169" spans="1:10" x14ac:dyDescent="0.2">
      <c r="A169" s="485"/>
      <c r="B169" s="485"/>
      <c r="C169" s="485"/>
      <c r="D169" s="485"/>
      <c r="E169" s="485"/>
      <c r="F169" s="485"/>
      <c r="G169" s="485"/>
      <c r="H169" s="485"/>
      <c r="I169" s="485"/>
      <c r="J169" s="485"/>
    </row>
    <row r="170" spans="1:10" x14ac:dyDescent="0.2">
      <c r="A170" s="485"/>
      <c r="B170" s="485"/>
      <c r="C170" s="485"/>
      <c r="D170" s="485"/>
      <c r="E170" s="485"/>
      <c r="F170" s="485"/>
      <c r="G170" s="485"/>
      <c r="H170" s="485"/>
      <c r="I170" s="485"/>
      <c r="J170" s="485"/>
    </row>
    <row r="171" spans="1:10" x14ac:dyDescent="0.2">
      <c r="A171" s="485"/>
      <c r="B171" s="485"/>
      <c r="C171" s="485"/>
      <c r="D171" s="485"/>
      <c r="E171" s="485"/>
      <c r="F171" s="485"/>
      <c r="G171" s="485"/>
      <c r="H171" s="485"/>
      <c r="I171" s="485"/>
      <c r="J171" s="485"/>
    </row>
    <row r="172" spans="1:10" x14ac:dyDescent="0.2">
      <c r="A172" s="485"/>
      <c r="B172" s="485"/>
      <c r="C172" s="485"/>
      <c r="D172" s="485"/>
      <c r="E172" s="485"/>
      <c r="F172" s="485"/>
      <c r="G172" s="485"/>
      <c r="H172" s="485"/>
      <c r="I172" s="485"/>
      <c r="J172" s="485"/>
    </row>
    <row r="173" spans="1:10" x14ac:dyDescent="0.2">
      <c r="A173" s="485"/>
      <c r="B173" s="485"/>
      <c r="C173" s="485"/>
      <c r="D173" s="485"/>
      <c r="E173" s="485"/>
      <c r="F173" s="485"/>
      <c r="G173" s="485"/>
      <c r="H173" s="485"/>
      <c r="I173" s="485"/>
      <c r="J173" s="485"/>
    </row>
    <row r="174" spans="1:10" x14ac:dyDescent="0.2">
      <c r="A174" s="485"/>
      <c r="B174" s="485"/>
      <c r="C174" s="485"/>
      <c r="D174" s="485"/>
      <c r="E174" s="485"/>
      <c r="F174" s="485"/>
      <c r="G174" s="485"/>
      <c r="H174" s="485"/>
      <c r="I174" s="485"/>
      <c r="J174" s="485"/>
    </row>
    <row r="175" spans="1:10" x14ac:dyDescent="0.2">
      <c r="A175" s="485"/>
      <c r="B175" s="485"/>
      <c r="C175" s="485"/>
      <c r="D175" s="485"/>
      <c r="E175" s="485"/>
      <c r="F175" s="485"/>
      <c r="G175" s="485"/>
      <c r="H175" s="485"/>
      <c r="I175" s="485"/>
      <c r="J175" s="485"/>
    </row>
    <row r="176" spans="1:10" x14ac:dyDescent="0.2">
      <c r="A176" s="485"/>
      <c r="B176" s="485"/>
      <c r="C176" s="485"/>
      <c r="D176" s="485"/>
      <c r="E176" s="485"/>
      <c r="F176" s="485"/>
      <c r="G176" s="485"/>
      <c r="H176" s="485"/>
      <c r="I176" s="485"/>
      <c r="J176" s="485"/>
    </row>
    <row r="177" spans="1:10" x14ac:dyDescent="0.2">
      <c r="A177" s="485"/>
      <c r="B177" s="485"/>
      <c r="C177" s="485"/>
      <c r="D177" s="485"/>
      <c r="E177" s="485"/>
      <c r="F177" s="485"/>
      <c r="G177" s="485"/>
      <c r="H177" s="485"/>
      <c r="I177" s="485"/>
      <c r="J177" s="485"/>
    </row>
    <row r="178" spans="1:10" x14ac:dyDescent="0.2">
      <c r="A178" s="485"/>
      <c r="B178" s="485"/>
      <c r="C178" s="485"/>
      <c r="D178" s="485"/>
      <c r="E178" s="485"/>
      <c r="F178" s="485"/>
      <c r="G178" s="485"/>
      <c r="H178" s="485"/>
      <c r="I178" s="485"/>
      <c r="J178" s="485"/>
    </row>
    <row r="179" spans="1:10" x14ac:dyDescent="0.2">
      <c r="A179" s="485"/>
      <c r="B179" s="485"/>
      <c r="C179" s="485"/>
      <c r="D179" s="485"/>
      <c r="E179" s="485"/>
      <c r="F179" s="485"/>
      <c r="G179" s="485"/>
      <c r="H179" s="485"/>
      <c r="I179" s="485"/>
      <c r="J179" s="485"/>
    </row>
    <row r="180" spans="1:10" x14ac:dyDescent="0.2">
      <c r="A180" s="485"/>
      <c r="B180" s="485"/>
      <c r="C180" s="485"/>
      <c r="D180" s="485"/>
      <c r="E180" s="485"/>
      <c r="F180" s="485"/>
      <c r="G180" s="485"/>
      <c r="H180" s="485"/>
      <c r="I180" s="485"/>
      <c r="J180" s="485"/>
    </row>
    <row r="181" spans="1:10" x14ac:dyDescent="0.2">
      <c r="A181" s="485"/>
      <c r="B181" s="485"/>
      <c r="C181" s="485"/>
      <c r="D181" s="485"/>
      <c r="E181" s="485"/>
      <c r="F181" s="485"/>
      <c r="G181" s="485"/>
      <c r="H181" s="485"/>
      <c r="I181" s="485"/>
      <c r="J181" s="485"/>
    </row>
    <row r="182" spans="1:10" x14ac:dyDescent="0.2">
      <c r="A182" s="485"/>
      <c r="B182" s="485"/>
      <c r="C182" s="485"/>
      <c r="D182" s="485"/>
      <c r="E182" s="485"/>
      <c r="F182" s="485"/>
      <c r="G182" s="485"/>
      <c r="H182" s="485"/>
      <c r="I182" s="485"/>
      <c r="J182" s="485"/>
    </row>
    <row r="183" spans="1:10" x14ac:dyDescent="0.2">
      <c r="A183" s="485"/>
      <c r="B183" s="485"/>
      <c r="C183" s="485"/>
      <c r="D183" s="485"/>
      <c r="E183" s="485"/>
      <c r="F183" s="485"/>
      <c r="G183" s="485"/>
      <c r="H183" s="485"/>
      <c r="I183" s="485"/>
      <c r="J183" s="485"/>
    </row>
    <row r="184" spans="1:10" x14ac:dyDescent="0.2">
      <c r="A184" s="485"/>
      <c r="B184" s="485"/>
      <c r="C184" s="485"/>
      <c r="D184" s="485"/>
      <c r="E184" s="485"/>
      <c r="F184" s="485"/>
      <c r="G184" s="485"/>
      <c r="H184" s="485"/>
      <c r="I184" s="485"/>
      <c r="J184" s="485"/>
    </row>
    <row r="185" spans="1:10" x14ac:dyDescent="0.2">
      <c r="A185" s="485"/>
      <c r="B185" s="485"/>
      <c r="C185" s="485"/>
      <c r="D185" s="485"/>
      <c r="E185" s="485"/>
      <c r="F185" s="485"/>
      <c r="G185" s="485"/>
      <c r="H185" s="485"/>
      <c r="I185" s="485"/>
      <c r="J185" s="485"/>
    </row>
    <row r="186" spans="1:10" x14ac:dyDescent="0.2">
      <c r="A186" s="485"/>
      <c r="B186" s="485"/>
      <c r="C186" s="485"/>
      <c r="D186" s="485"/>
      <c r="E186" s="485"/>
      <c r="F186" s="485"/>
      <c r="G186" s="485"/>
      <c r="H186" s="485"/>
      <c r="I186" s="485"/>
      <c r="J186" s="485"/>
    </row>
    <row r="187" spans="1:10" x14ac:dyDescent="0.2">
      <c r="A187" s="485"/>
      <c r="B187" s="485"/>
      <c r="C187" s="485"/>
      <c r="D187" s="485"/>
      <c r="E187" s="485"/>
      <c r="F187" s="485"/>
      <c r="G187" s="485"/>
      <c r="H187" s="485"/>
      <c r="I187" s="485"/>
      <c r="J187" s="485"/>
    </row>
    <row r="188" spans="1:10" x14ac:dyDescent="0.2">
      <c r="A188" s="485"/>
      <c r="B188" s="485"/>
      <c r="C188" s="485"/>
      <c r="D188" s="485"/>
      <c r="E188" s="485"/>
      <c r="F188" s="485"/>
      <c r="G188" s="485"/>
      <c r="H188" s="485"/>
      <c r="I188" s="485"/>
      <c r="J188" s="485"/>
    </row>
    <row r="189" spans="1:10" x14ac:dyDescent="0.2">
      <c r="A189" s="485"/>
      <c r="B189" s="485"/>
      <c r="C189" s="485"/>
      <c r="D189" s="485"/>
      <c r="E189" s="485"/>
      <c r="F189" s="485"/>
      <c r="G189" s="485"/>
      <c r="H189" s="485"/>
      <c r="I189" s="485"/>
      <c r="J189" s="485"/>
    </row>
    <row r="190" spans="1:10" x14ac:dyDescent="0.2">
      <c r="A190" s="485"/>
      <c r="B190" s="485"/>
      <c r="C190" s="485"/>
      <c r="D190" s="485"/>
      <c r="E190" s="485"/>
      <c r="F190" s="485"/>
      <c r="G190" s="485"/>
      <c r="H190" s="485"/>
      <c r="I190" s="485"/>
      <c r="J190" s="485"/>
    </row>
    <row r="191" spans="1:10" x14ac:dyDescent="0.2">
      <c r="A191" s="485"/>
      <c r="B191" s="485"/>
      <c r="C191" s="485"/>
      <c r="D191" s="485"/>
      <c r="E191" s="485"/>
      <c r="F191" s="485"/>
      <c r="G191" s="485"/>
      <c r="H191" s="485"/>
      <c r="I191" s="485"/>
      <c r="J191" s="485"/>
    </row>
    <row r="192" spans="1:10" x14ac:dyDescent="0.2">
      <c r="A192" s="485"/>
      <c r="B192" s="485"/>
      <c r="C192" s="485"/>
      <c r="D192" s="485"/>
      <c r="E192" s="485"/>
      <c r="F192" s="485"/>
      <c r="G192" s="485"/>
      <c r="H192" s="485"/>
      <c r="I192" s="485"/>
      <c r="J192" s="485"/>
    </row>
    <row r="193" spans="1:10" x14ac:dyDescent="0.2">
      <c r="A193" s="485"/>
      <c r="B193" s="485"/>
      <c r="C193" s="485"/>
      <c r="D193" s="485"/>
      <c r="E193" s="485"/>
      <c r="F193" s="485"/>
      <c r="G193" s="485"/>
      <c r="H193" s="485"/>
      <c r="I193" s="485"/>
      <c r="J193" s="485"/>
    </row>
    <row r="194" spans="1:10" x14ac:dyDescent="0.2">
      <c r="A194" s="485"/>
      <c r="B194" s="485"/>
      <c r="C194" s="485"/>
      <c r="D194" s="485"/>
      <c r="E194" s="485"/>
      <c r="F194" s="485"/>
      <c r="G194" s="485"/>
      <c r="H194" s="485"/>
      <c r="I194" s="485"/>
      <c r="J194" s="485"/>
    </row>
    <row r="195" spans="1:10" x14ac:dyDescent="0.2">
      <c r="A195" s="485"/>
      <c r="B195" s="485"/>
      <c r="C195" s="485"/>
      <c r="D195" s="485"/>
      <c r="E195" s="485"/>
      <c r="F195" s="485"/>
      <c r="G195" s="485"/>
      <c r="H195" s="485"/>
      <c r="I195" s="485"/>
      <c r="J195" s="485"/>
    </row>
    <row r="196" spans="1:10" x14ac:dyDescent="0.2">
      <c r="A196" s="485"/>
      <c r="B196" s="485"/>
      <c r="C196" s="485"/>
      <c r="D196" s="485"/>
      <c r="E196" s="485"/>
      <c r="F196" s="485"/>
      <c r="G196" s="485"/>
      <c r="H196" s="485"/>
      <c r="I196" s="485"/>
      <c r="J196" s="485"/>
    </row>
    <row r="197" spans="1:10" x14ac:dyDescent="0.2">
      <c r="A197" s="485"/>
      <c r="B197" s="485"/>
      <c r="C197" s="485"/>
      <c r="D197" s="485"/>
      <c r="E197" s="485"/>
      <c r="F197" s="485"/>
      <c r="G197" s="485"/>
      <c r="H197" s="485"/>
      <c r="I197" s="485"/>
      <c r="J197" s="485"/>
    </row>
    <row r="198" spans="1:10" x14ac:dyDescent="0.2">
      <c r="A198" s="485"/>
      <c r="B198" s="485"/>
      <c r="C198" s="485"/>
      <c r="D198" s="485"/>
      <c r="E198" s="485"/>
      <c r="F198" s="485"/>
      <c r="G198" s="485"/>
      <c r="H198" s="485"/>
      <c r="I198" s="485"/>
      <c r="J198" s="485"/>
    </row>
    <row r="199" spans="1:10" x14ac:dyDescent="0.2">
      <c r="A199" s="485"/>
      <c r="B199" s="485"/>
      <c r="C199" s="485"/>
      <c r="D199" s="485"/>
      <c r="E199" s="485"/>
      <c r="F199" s="485"/>
      <c r="G199" s="485"/>
      <c r="H199" s="485"/>
      <c r="I199" s="485"/>
      <c r="J199" s="485"/>
    </row>
    <row r="200" spans="1:10" x14ac:dyDescent="0.2">
      <c r="A200" s="485"/>
      <c r="B200" s="485"/>
      <c r="C200" s="485"/>
      <c r="D200" s="485"/>
      <c r="E200" s="485"/>
      <c r="F200" s="485"/>
      <c r="G200" s="485"/>
      <c r="H200" s="485"/>
      <c r="I200" s="485"/>
      <c r="J200" s="485"/>
    </row>
    <row r="201" spans="1:10" x14ac:dyDescent="0.2">
      <c r="A201" s="485"/>
      <c r="B201" s="485"/>
      <c r="C201" s="485"/>
      <c r="D201" s="485"/>
      <c r="E201" s="485"/>
      <c r="F201" s="485"/>
      <c r="G201" s="485"/>
      <c r="H201" s="485"/>
      <c r="I201" s="485"/>
      <c r="J201" s="485"/>
    </row>
    <row r="202" spans="1:10" x14ac:dyDescent="0.2">
      <c r="A202" s="485"/>
      <c r="B202" s="485"/>
      <c r="C202" s="485"/>
      <c r="D202" s="485"/>
      <c r="E202" s="485"/>
      <c r="F202" s="485"/>
      <c r="G202" s="485"/>
      <c r="H202" s="485"/>
      <c r="I202" s="485"/>
      <c r="J202" s="485"/>
    </row>
    <row r="203" spans="1:10" x14ac:dyDescent="0.2">
      <c r="A203" s="485"/>
      <c r="B203" s="485"/>
      <c r="C203" s="485"/>
      <c r="D203" s="485"/>
      <c r="E203" s="485"/>
      <c r="F203" s="485"/>
      <c r="G203" s="485"/>
      <c r="H203" s="485"/>
      <c r="I203" s="485"/>
      <c r="J203" s="485"/>
    </row>
    <row r="204" spans="1:10" x14ac:dyDescent="0.2">
      <c r="A204" s="485"/>
      <c r="B204" s="485"/>
      <c r="C204" s="485"/>
      <c r="D204" s="485"/>
      <c r="E204" s="485"/>
      <c r="F204" s="485"/>
      <c r="G204" s="485"/>
      <c r="H204" s="485"/>
      <c r="I204" s="485"/>
      <c r="J204" s="485"/>
    </row>
    <row r="205" spans="1:10" x14ac:dyDescent="0.2">
      <c r="A205" s="485"/>
      <c r="B205" s="485"/>
      <c r="C205" s="485"/>
      <c r="D205" s="485"/>
      <c r="E205" s="485"/>
      <c r="F205" s="485"/>
      <c r="G205" s="485"/>
      <c r="H205" s="485"/>
      <c r="I205" s="485"/>
      <c r="J205" s="485"/>
    </row>
    <row r="206" spans="1:10" x14ac:dyDescent="0.2">
      <c r="A206" s="485"/>
      <c r="B206" s="485"/>
      <c r="C206" s="485"/>
      <c r="D206" s="485"/>
      <c r="E206" s="485"/>
      <c r="F206" s="485"/>
      <c r="G206" s="485"/>
      <c r="H206" s="485"/>
      <c r="I206" s="485"/>
      <c r="J206" s="485"/>
    </row>
    <row r="207" spans="1:10" x14ac:dyDescent="0.2">
      <c r="A207" s="485"/>
      <c r="B207" s="485"/>
      <c r="C207" s="485"/>
      <c r="D207" s="485"/>
      <c r="E207" s="485"/>
      <c r="F207" s="485"/>
      <c r="G207" s="485"/>
      <c r="H207" s="485"/>
      <c r="I207" s="485"/>
      <c r="J207" s="485"/>
    </row>
    <row r="208" spans="1:10" x14ac:dyDescent="0.2">
      <c r="A208" s="485"/>
      <c r="B208" s="485"/>
      <c r="C208" s="485"/>
      <c r="D208" s="485"/>
      <c r="E208" s="485"/>
      <c r="F208" s="485"/>
      <c r="G208" s="485"/>
      <c r="H208" s="485"/>
      <c r="I208" s="485"/>
      <c r="J208" s="485"/>
    </row>
    <row r="209" spans="1:10" x14ac:dyDescent="0.2">
      <c r="A209" s="485"/>
      <c r="B209" s="485"/>
      <c r="C209" s="485"/>
      <c r="D209" s="485"/>
      <c r="E209" s="485"/>
      <c r="F209" s="485"/>
      <c r="G209" s="485"/>
      <c r="H209" s="485"/>
      <c r="I209" s="485"/>
      <c r="J209" s="485"/>
    </row>
    <row r="210" spans="1:10" x14ac:dyDescent="0.2">
      <c r="A210" s="485"/>
      <c r="B210" s="485"/>
      <c r="C210" s="485"/>
      <c r="D210" s="485"/>
      <c r="E210" s="485"/>
      <c r="F210" s="485"/>
      <c r="G210" s="485"/>
      <c r="H210" s="485"/>
      <c r="I210" s="485"/>
      <c r="J210" s="485"/>
    </row>
    <row r="211" spans="1:10" x14ac:dyDescent="0.2">
      <c r="A211" s="485"/>
      <c r="B211" s="485"/>
      <c r="C211" s="485"/>
      <c r="D211" s="485"/>
      <c r="E211" s="485"/>
      <c r="F211" s="485"/>
      <c r="G211" s="485"/>
      <c r="H211" s="485"/>
      <c r="I211" s="485"/>
      <c r="J211" s="485"/>
    </row>
    <row r="212" spans="1:10" x14ac:dyDescent="0.2">
      <c r="A212" s="485"/>
      <c r="B212" s="485"/>
      <c r="C212" s="485"/>
      <c r="D212" s="485"/>
      <c r="E212" s="485"/>
      <c r="F212" s="485"/>
      <c r="G212" s="485"/>
      <c r="H212" s="485"/>
      <c r="I212" s="485"/>
      <c r="J212" s="485"/>
    </row>
    <row r="213" spans="1:10" x14ac:dyDescent="0.2">
      <c r="A213" s="485"/>
      <c r="B213" s="485"/>
      <c r="C213" s="485"/>
      <c r="D213" s="485"/>
      <c r="E213" s="485"/>
      <c r="F213" s="485"/>
      <c r="G213" s="485"/>
      <c r="H213" s="485"/>
      <c r="I213" s="485"/>
      <c r="J213" s="485"/>
    </row>
    <row r="214" spans="1:10" x14ac:dyDescent="0.2">
      <c r="A214" s="485"/>
      <c r="B214" s="485"/>
      <c r="C214" s="485"/>
      <c r="D214" s="485"/>
      <c r="E214" s="485"/>
      <c r="F214" s="485"/>
      <c r="G214" s="485"/>
      <c r="H214" s="485"/>
      <c r="I214" s="485"/>
      <c r="J214" s="485"/>
    </row>
    <row r="215" spans="1:10" x14ac:dyDescent="0.2">
      <c r="A215" s="485"/>
      <c r="B215" s="485"/>
      <c r="C215" s="485"/>
      <c r="D215" s="485"/>
      <c r="E215" s="485"/>
      <c r="F215" s="485"/>
      <c r="G215" s="485"/>
      <c r="H215" s="485"/>
      <c r="I215" s="485"/>
      <c r="J215" s="485"/>
    </row>
    <row r="216" spans="1:10" x14ac:dyDescent="0.2">
      <c r="A216" s="485"/>
      <c r="B216" s="485"/>
      <c r="C216" s="485"/>
      <c r="D216" s="485"/>
      <c r="E216" s="485"/>
      <c r="F216" s="485"/>
      <c r="G216" s="485"/>
      <c r="H216" s="485"/>
      <c r="I216" s="485"/>
      <c r="J216" s="485"/>
    </row>
    <row r="217" spans="1:10" x14ac:dyDescent="0.2">
      <c r="A217" s="485"/>
      <c r="B217" s="485"/>
      <c r="C217" s="485"/>
      <c r="D217" s="485"/>
      <c r="E217" s="485"/>
      <c r="F217" s="485"/>
      <c r="G217" s="485"/>
      <c r="H217" s="485"/>
      <c r="I217" s="485"/>
      <c r="J217" s="485"/>
    </row>
    <row r="218" spans="1:10" x14ac:dyDescent="0.2">
      <c r="A218" s="485"/>
      <c r="B218" s="485"/>
      <c r="C218" s="485"/>
      <c r="D218" s="485"/>
      <c r="E218" s="485"/>
      <c r="F218" s="485"/>
      <c r="G218" s="485"/>
      <c r="H218" s="485"/>
      <c r="I218" s="485"/>
      <c r="J218" s="485"/>
    </row>
    <row r="219" spans="1:10" x14ac:dyDescent="0.2">
      <c r="A219" s="485"/>
      <c r="B219" s="485"/>
      <c r="C219" s="485"/>
      <c r="D219" s="485"/>
      <c r="E219" s="485"/>
      <c r="F219" s="485"/>
      <c r="G219" s="485"/>
      <c r="H219" s="485"/>
      <c r="I219" s="485"/>
      <c r="J219" s="485"/>
    </row>
    <row r="220" spans="1:10" x14ac:dyDescent="0.2">
      <c r="A220" s="485"/>
      <c r="B220" s="485"/>
      <c r="C220" s="485"/>
      <c r="D220" s="485"/>
      <c r="E220" s="485"/>
      <c r="F220" s="485"/>
      <c r="G220" s="485"/>
      <c r="H220" s="485"/>
      <c r="I220" s="485"/>
      <c r="J220" s="485"/>
    </row>
  </sheetData>
  <conditionalFormatting sqref="A1:A1048576">
    <cfRule type="duplicateValues" dxfId="2" priority="1"/>
  </conditionalFormatting>
  <dataValidations count="1">
    <dataValidation type="list" allowBlank="1" showInputMessage="1" showErrorMessage="1" sqref="A2:A47 A51:A56 A58:A60 A62:A70 A73 A75:A82 A84:A85 A87 A90 A92:A93" xr:uid="{00000000-0002-0000-0600-000000000000}">
      <formula1>$A$2:$A$1048576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4"/>
  <dimension ref="A1:G21"/>
  <sheetViews>
    <sheetView workbookViewId="0">
      <pane ySplit="1" topLeftCell="A2" activePane="bottomLeft" state="frozen"/>
      <selection pane="bottomLeft" activeCell="A2" sqref="A2:G21"/>
    </sheetView>
  </sheetViews>
  <sheetFormatPr baseColWidth="10" defaultColWidth="11" defaultRowHeight="16" x14ac:dyDescent="0.2"/>
  <cols>
    <col min="1" max="1" width="19.1640625" customWidth="1"/>
    <col min="2" max="2" width="8.5" customWidth="1"/>
    <col min="3" max="3" width="7.5" customWidth="1"/>
    <col min="4" max="4" width="7.83203125" style="407" customWidth="1"/>
    <col min="5" max="5" width="10" customWidth="1"/>
    <col min="6" max="6" width="14.1640625" customWidth="1"/>
    <col min="7" max="7" width="11.33203125" customWidth="1"/>
  </cols>
  <sheetData>
    <row r="1" spans="1:7" x14ac:dyDescent="0.2">
      <c r="A1" t="s">
        <v>784</v>
      </c>
      <c r="B1" t="s">
        <v>785</v>
      </c>
      <c r="C1" t="s">
        <v>786</v>
      </c>
      <c r="D1" s="407" t="s">
        <v>787</v>
      </c>
      <c r="E1" t="s">
        <v>788</v>
      </c>
      <c r="F1" t="s">
        <v>789</v>
      </c>
      <c r="G1" t="s">
        <v>790</v>
      </c>
    </row>
    <row r="2" spans="1:7" x14ac:dyDescent="0.2">
      <c r="A2" t="s">
        <v>73</v>
      </c>
      <c r="B2">
        <v>0.44</v>
      </c>
      <c r="C2">
        <v>0.2</v>
      </c>
      <c r="D2" s="407">
        <f>C2+B2</f>
        <v>0.64</v>
      </c>
      <c r="E2" t="s">
        <v>791</v>
      </c>
      <c r="F2" s="2" t="s">
        <v>792</v>
      </c>
      <c r="G2" s="2" t="s">
        <v>793</v>
      </c>
    </row>
    <row r="3" spans="1:7" x14ac:dyDescent="0.2">
      <c r="A3" t="s">
        <v>67</v>
      </c>
      <c r="B3">
        <v>0.44</v>
      </c>
      <c r="C3">
        <v>0.22</v>
      </c>
      <c r="D3" s="407">
        <f>C3+B3</f>
        <v>0.66</v>
      </c>
      <c r="E3" t="s">
        <v>794</v>
      </c>
      <c r="F3" s="2"/>
      <c r="G3" s="2"/>
    </row>
    <row r="4" spans="1:7" x14ac:dyDescent="0.2">
      <c r="A4" t="s">
        <v>125</v>
      </c>
      <c r="D4" s="407">
        <v>1.56</v>
      </c>
      <c r="E4" t="s">
        <v>795</v>
      </c>
    </row>
    <row r="5" spans="1:7" x14ac:dyDescent="0.2">
      <c r="A5" t="s">
        <v>796</v>
      </c>
      <c r="B5">
        <v>1.7</v>
      </c>
      <c r="C5">
        <v>0.2</v>
      </c>
      <c r="D5" s="407">
        <f>C5+B5</f>
        <v>1.9</v>
      </c>
      <c r="E5" t="s">
        <v>791</v>
      </c>
      <c r="F5" s="2" t="s">
        <v>797</v>
      </c>
      <c r="G5" s="2" t="s">
        <v>793</v>
      </c>
    </row>
    <row r="6" spans="1:7" x14ac:dyDescent="0.2">
      <c r="A6" t="s">
        <v>798</v>
      </c>
      <c r="D6" s="407">
        <v>2.1</v>
      </c>
      <c r="E6" t="s">
        <v>799</v>
      </c>
      <c r="F6" s="2" t="s">
        <v>800</v>
      </c>
    </row>
    <row r="7" spans="1:7" x14ac:dyDescent="0.2">
      <c r="A7" t="s">
        <v>69</v>
      </c>
      <c r="D7" s="407">
        <v>0.79</v>
      </c>
      <c r="E7" t="s">
        <v>801</v>
      </c>
      <c r="F7" s="2" t="s">
        <v>802</v>
      </c>
    </row>
    <row r="8" spans="1:7" x14ac:dyDescent="0.2">
      <c r="A8" t="s">
        <v>78</v>
      </c>
      <c r="D8" s="407">
        <v>0.74</v>
      </c>
      <c r="E8" t="s">
        <v>803</v>
      </c>
      <c r="F8" s="2" t="s">
        <v>802</v>
      </c>
    </row>
    <row r="9" spans="1:7" x14ac:dyDescent="0.2">
      <c r="A9" t="s">
        <v>97</v>
      </c>
      <c r="B9">
        <v>1.69</v>
      </c>
      <c r="D9" s="407">
        <f>C9+B9</f>
        <v>1.69</v>
      </c>
      <c r="E9" t="s">
        <v>791</v>
      </c>
      <c r="F9" s="2" t="s">
        <v>804</v>
      </c>
      <c r="G9" s="2"/>
    </row>
    <row r="10" spans="1:7" x14ac:dyDescent="0.2">
      <c r="A10" t="s">
        <v>107</v>
      </c>
      <c r="B10">
        <v>1.68</v>
      </c>
      <c r="C10">
        <v>0</v>
      </c>
      <c r="D10" s="407">
        <f>C10+B10</f>
        <v>1.68</v>
      </c>
      <c r="E10" t="s">
        <v>805</v>
      </c>
      <c r="F10" s="2" t="s">
        <v>806</v>
      </c>
    </row>
    <row r="11" spans="1:7" x14ac:dyDescent="0.2">
      <c r="A11" t="s">
        <v>146</v>
      </c>
      <c r="D11" s="407">
        <v>0.18</v>
      </c>
      <c r="E11" t="s">
        <v>791</v>
      </c>
      <c r="F11" t="s">
        <v>807</v>
      </c>
    </row>
    <row r="12" spans="1:7" x14ac:dyDescent="0.2">
      <c r="A12" t="s">
        <v>808</v>
      </c>
      <c r="D12" s="407">
        <v>0.18</v>
      </c>
      <c r="E12" t="s">
        <v>805</v>
      </c>
      <c r="F12" t="s">
        <v>807</v>
      </c>
    </row>
    <row r="13" spans="1:7" x14ac:dyDescent="0.2">
      <c r="A13" t="s">
        <v>809</v>
      </c>
      <c r="D13" s="407">
        <v>0.2</v>
      </c>
      <c r="E13" t="s">
        <v>810</v>
      </c>
      <c r="F13" t="s">
        <v>807</v>
      </c>
    </row>
    <row r="14" spans="1:7" x14ac:dyDescent="0.2">
      <c r="A14" t="s">
        <v>71</v>
      </c>
      <c r="D14" s="407">
        <v>0.97</v>
      </c>
      <c r="E14" t="s">
        <v>811</v>
      </c>
      <c r="F14" s="2" t="s">
        <v>812</v>
      </c>
    </row>
    <row r="15" spans="1:7" x14ac:dyDescent="0.2">
      <c r="A15" t="s">
        <v>81</v>
      </c>
      <c r="D15" s="407">
        <v>1.46</v>
      </c>
      <c r="E15" t="s">
        <v>810</v>
      </c>
      <c r="F15" t="s">
        <v>813</v>
      </c>
    </row>
    <row r="16" spans="1:7" x14ac:dyDescent="0.2">
      <c r="A16" t="s">
        <v>814</v>
      </c>
      <c r="D16" s="407">
        <v>0.79</v>
      </c>
      <c r="E16" t="s">
        <v>815</v>
      </c>
      <c r="F16" s="2" t="s">
        <v>816</v>
      </c>
    </row>
    <row r="17" spans="1:6" x14ac:dyDescent="0.2">
      <c r="A17" t="s">
        <v>817</v>
      </c>
      <c r="D17" s="407">
        <v>2.2999999999999998</v>
      </c>
      <c r="F17" s="2" t="s">
        <v>818</v>
      </c>
    </row>
    <row r="18" spans="1:6" x14ac:dyDescent="0.2">
      <c r="A18" t="s">
        <v>93</v>
      </c>
      <c r="B18">
        <f>TableauConditionnement[[#This Row],[Total]]-TableauConditionnement[[#This Row],[Verre]]</f>
        <v>0.61999999999999988</v>
      </c>
      <c r="C18">
        <v>1.06</v>
      </c>
      <c r="D18" s="407">
        <v>1.68</v>
      </c>
      <c r="E18" t="s">
        <v>805</v>
      </c>
      <c r="F18" s="2" t="s">
        <v>819</v>
      </c>
    </row>
    <row r="19" spans="1:6" x14ac:dyDescent="0.2">
      <c r="A19" t="s">
        <v>820</v>
      </c>
      <c r="D19" s="407">
        <v>1.1200000000000001</v>
      </c>
      <c r="E19" t="s">
        <v>821</v>
      </c>
      <c r="F19" s="2" t="s">
        <v>822</v>
      </c>
    </row>
    <row r="20" spans="1:6" x14ac:dyDescent="0.2">
      <c r="A20" t="s">
        <v>823</v>
      </c>
      <c r="D20" s="407">
        <v>1.69</v>
      </c>
      <c r="E20" s="407" t="s">
        <v>824</v>
      </c>
      <c r="F20" t="s">
        <v>825</v>
      </c>
    </row>
    <row r="21" spans="1:6" x14ac:dyDescent="0.2">
      <c r="A21" t="s">
        <v>826</v>
      </c>
      <c r="D21" s="407">
        <f>1447.5/1500</f>
        <v>0.96499999999999997</v>
      </c>
      <c r="E21" t="s">
        <v>827</v>
      </c>
      <c r="F21" t="s">
        <v>828</v>
      </c>
    </row>
  </sheetData>
  <hyperlinks>
    <hyperlink ref="F2" r:id="rId1" display="https://www.bouteilles-et-bocaux.com/bouchon-pour-pot-a-epices-distributeur-plastique-pp-rouge-pour-col-gpi-38-400-100000230?referralCode=344f636f14874df59416c60d47218b06&amp;utm_medium=sea&amp;utm_source=google&amp;gad_source=1&amp;gclid=CjwKCAiAopuvBhBCEiwAm8jaMRvkyaCkj4LfwgUmeOXFwEVybp5GM9cMjo6i2XXHdi_SmUDOQN4bRRoCVVAQAvD_BwE" xr:uid="{00000000-0004-0000-0700-000000000000}"/>
    <hyperlink ref="G2" r:id="rId2" xr:uid="{00000000-0004-0000-0700-000001000000}"/>
    <hyperlink ref="F5" r:id="rId3" xr:uid="{00000000-0004-0000-0700-000002000000}"/>
    <hyperlink ref="G5" r:id="rId4" xr:uid="{00000000-0004-0000-0700-000003000000}"/>
    <hyperlink ref="F6" r:id="rId5" display="https://www.bouteilles-et-bocaux.com/pot-en-gres-270-ml-ceramique-blanc-col-couvercle-cloche-100035660?referralCode=344f636f14874df59416c60d47218b06&amp;utm_medium=sea&amp;utm_source=google&amp;gad_source=1&amp;gclid=CjwKCAiAopuvBhBCEiwAm8jaMYLe7_a0mGr35npPhJKfVuzxK0lpcyfagab4K3pMzvBsxnSqC3GYDhoCgu0QAvD_BwE" xr:uid="{00000000-0004-0000-0700-000004000000}"/>
    <hyperlink ref="F7" r:id="rId6" xr:uid="{00000000-0004-0000-0700-000005000000}"/>
    <hyperlink ref="F8" r:id="rId7" xr:uid="{00000000-0004-0000-0700-000006000000}"/>
    <hyperlink ref="F9" r:id="rId8" display="https://www.bouteilles-et-bocaux.com/bouteille-en-verre-100-ml-tulipano-col-liege-100018170?referralCode=344f636f14874df59416c60d47218b06&amp;utm_medium=sea&amp;utm_source=google&amp;gad_source=1&amp;gclid=CjwKCAiAopuvBhBCEiwAm8jaMTskXVOIzZ5rIxKF0pqFc9jqHsHuFuUd6kJ7IRF1_elI1heMCZJ8WxoCAGwQAvD_BwE" xr:uid="{00000000-0004-0000-0700-000007000000}"/>
    <hyperlink ref="F10" r:id="rId9" display="https://www.bouteilles-et-bocaux.com/bouteille-de-vinaigre-d-huile-250-ml-oleum-verre-vert-antique-col-dop-100034870?referralCode=344f636f14874df59416c60d47218b06&amp;utm_medium=sea&amp;utm_source=google&amp;gad_source=1&amp;gclid=CjwKCAiAopuvBhBCEiwAm8jaMeaR3q1S8hCLAwRtq5MXdAumMc4tNe8kzahJPqJxkQvjUHB9PdyHrRoCIKIQAvD_BwE" xr:uid="{00000000-0004-0000-0700-000008000000}"/>
    <hyperlink ref="F14" r:id="rId10" display="https://www.bouteilles-et-bocaux.com/seau-2-5-l-plastique-pp-blanc-100015070?referralCode=344f636f14874df59416c60d47218b06&amp;configurator=%255B%257B%2522productId%2522%253A%25220nolid%2522%252C%2522groupId%2522%253A%25220%2522%257D%252C%257B%2522productId%2522%253A%25221nolid%2522%252C%2522groupId%2522%253A%25221%2522%257D%255D&amp;utm_medium=sea&amp;utm_source=google&amp;galt=Cj0KCQjwlZixBhCoARIsAIC745BA22oQIFzXcivfuWmhgVWGHKmhHv_wy2W8_eDHTHF86yHAjltRI4MaAmbVEALw_wcB&amp;gad_source=1&amp;gclid=Cj0KCQjwlZixBhCoARIsAIC745BA22oQIFzXcivfuWmhgVWGHKmhHv_wy2W8_eDHTHF86yHAjltRI4MaAmbVEALw_wcB" xr:uid="{00000000-0004-0000-0700-000009000000}"/>
    <hyperlink ref="F16" r:id="rId11" xr:uid="{00000000-0004-0000-0700-00000A000000}"/>
    <hyperlink ref="F17" r:id="rId12" display="https://de.aliexpress.com/item/1005005532498174.html1007.40000.327270.0&amp;scm-url=1007.40000.327270.0&amp;pvid=d7f30d2d-9c81-4a76-abd9-d1b5dab0f6ac&amp;_t=gps-id:pcDetailTopMoreOtherSeller,scm-url:1007.40000.327270.0,pvid:d7f30d2d-9c81-4a76-abd9-d1b5dab0f6ac,tpp_buckets:668%232846%238115%232000&amp;pdp_npi=4%40dis%21EUR%215.38%211.88%21%21%2141.12%2114.39%21%402103890117096883118564836e954f%2112000033437633735%21rec%21FR%212461724979%21&amp;utparam-url=scene%3ApcDetailTopMoreOtherSeller%7Cquery_from%3A" xr:uid="{00000000-0004-0000-0700-00000B000000}"/>
    <hyperlink ref="F18" r:id="rId13" xr:uid="{00000000-0004-0000-0700-00000C000000}"/>
    <hyperlink ref="F19" r:id="rId14" xr:uid="{00000000-0004-0000-0700-00000D000000}"/>
  </hyperlinks>
  <pageMargins left="0.7" right="0.7" top="0.75" bottom="0.75" header="0.3" footer="0.3"/>
  <pageSetup paperSize="9" orientation="portrait" horizontalDpi="0" verticalDpi="0"/>
  <tableParts count="1">
    <tablePart r:id="rId1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7"/>
  <dimension ref="A1:G186"/>
  <sheetViews>
    <sheetView workbookViewId="0">
      <selection activeCell="T12" sqref="T12"/>
    </sheetView>
  </sheetViews>
  <sheetFormatPr baseColWidth="10" defaultColWidth="11" defaultRowHeight="16" x14ac:dyDescent="0.2"/>
  <cols>
    <col min="1" max="1" width="22.1640625" customWidth="1"/>
    <col min="2" max="2" width="16.83203125" customWidth="1"/>
    <col min="3" max="3" width="39.33203125" customWidth="1"/>
    <col min="4" max="4" width="24.1640625" customWidth="1"/>
    <col min="5" max="5" width="13.6640625" customWidth="1"/>
  </cols>
  <sheetData>
    <row r="1" spans="1:7" x14ac:dyDescent="0.2">
      <c r="A1" t="s">
        <v>829</v>
      </c>
      <c r="B1" t="s">
        <v>830</v>
      </c>
      <c r="C1" t="s">
        <v>831</v>
      </c>
      <c r="D1" t="s">
        <v>832</v>
      </c>
      <c r="E1" t="s">
        <v>833</v>
      </c>
      <c r="F1" t="s">
        <v>834</v>
      </c>
      <c r="G1" t="s">
        <v>835</v>
      </c>
    </row>
    <row r="2" spans="1:7" x14ac:dyDescent="0.2">
      <c r="A2" t="s">
        <v>137</v>
      </c>
      <c r="B2" t="s">
        <v>836</v>
      </c>
      <c r="C2" t="s">
        <v>837</v>
      </c>
      <c r="D2" t="s">
        <v>838</v>
      </c>
      <c r="E2" t="s">
        <v>839</v>
      </c>
      <c r="F2">
        <v>5</v>
      </c>
      <c r="G2">
        <v>100</v>
      </c>
    </row>
    <row r="3" spans="1:7" x14ac:dyDescent="0.2">
      <c r="A3" t="s">
        <v>137</v>
      </c>
      <c r="B3" t="s">
        <v>840</v>
      </c>
      <c r="C3" t="s">
        <v>841</v>
      </c>
      <c r="D3" t="s">
        <v>842</v>
      </c>
      <c r="E3" t="s">
        <v>843</v>
      </c>
      <c r="F3">
        <v>6.99</v>
      </c>
      <c r="G3">
        <v>69.900000000000006</v>
      </c>
    </row>
    <row r="4" spans="1:7" x14ac:dyDescent="0.2">
      <c r="A4" t="s">
        <v>137</v>
      </c>
      <c r="B4" t="s">
        <v>844</v>
      </c>
      <c r="C4" t="s">
        <v>845</v>
      </c>
      <c r="D4" t="s">
        <v>846</v>
      </c>
      <c r="E4" t="s">
        <v>843</v>
      </c>
      <c r="F4">
        <v>7.5</v>
      </c>
      <c r="G4">
        <v>75</v>
      </c>
    </row>
    <row r="5" spans="1:7" x14ac:dyDescent="0.2">
      <c r="A5" t="s">
        <v>137</v>
      </c>
      <c r="B5" t="s">
        <v>847</v>
      </c>
      <c r="C5" t="s">
        <v>848</v>
      </c>
      <c r="D5" t="s">
        <v>849</v>
      </c>
      <c r="E5" t="s">
        <v>839</v>
      </c>
      <c r="F5">
        <v>5.85</v>
      </c>
      <c r="G5">
        <f>TableauConcurence[[#This Row],[PRIX]]/_xlfn.NUMBERVALUE(TableauConcurence[[#This Row],[GRAMMAGE]],"g")*1000</f>
        <v>117</v>
      </c>
    </row>
    <row r="6" spans="1:7" x14ac:dyDescent="0.2">
      <c r="A6" t="s">
        <v>84</v>
      </c>
      <c r="B6" t="s">
        <v>836</v>
      </c>
      <c r="C6" t="s">
        <v>850</v>
      </c>
      <c r="D6" t="s">
        <v>851</v>
      </c>
      <c r="E6" t="s">
        <v>839</v>
      </c>
      <c r="F6">
        <v>4.9000000000000004</v>
      </c>
      <c r="G6">
        <v>98</v>
      </c>
    </row>
    <row r="7" spans="1:7" x14ac:dyDescent="0.2">
      <c r="A7" t="s">
        <v>84</v>
      </c>
      <c r="B7" t="s">
        <v>840</v>
      </c>
      <c r="C7" t="s">
        <v>84</v>
      </c>
      <c r="D7" t="s">
        <v>852</v>
      </c>
      <c r="E7" t="s">
        <v>853</v>
      </c>
      <c r="F7">
        <v>1.59</v>
      </c>
      <c r="G7">
        <v>41.84</v>
      </c>
    </row>
    <row r="8" spans="1:7" x14ac:dyDescent="0.2">
      <c r="A8" t="s">
        <v>84</v>
      </c>
      <c r="B8" t="s">
        <v>844</v>
      </c>
      <c r="C8" t="s">
        <v>854</v>
      </c>
      <c r="D8" t="s">
        <v>855</v>
      </c>
      <c r="E8" t="s">
        <v>856</v>
      </c>
      <c r="F8">
        <v>14.5</v>
      </c>
      <c r="G8">
        <v>120.83</v>
      </c>
    </row>
    <row r="9" spans="1:7" x14ac:dyDescent="0.2">
      <c r="A9" t="s">
        <v>134</v>
      </c>
      <c r="B9" t="s">
        <v>836</v>
      </c>
      <c r="C9" t="s">
        <v>857</v>
      </c>
      <c r="D9" t="s">
        <v>838</v>
      </c>
      <c r="E9" t="s">
        <v>839</v>
      </c>
      <c r="F9">
        <v>5.5</v>
      </c>
      <c r="G9">
        <v>110</v>
      </c>
    </row>
    <row r="10" spans="1:7" x14ac:dyDescent="0.2">
      <c r="A10" t="s">
        <v>134</v>
      </c>
      <c r="B10" t="s">
        <v>840</v>
      </c>
      <c r="C10" t="s">
        <v>858</v>
      </c>
      <c r="D10" t="s">
        <v>842</v>
      </c>
      <c r="E10" t="s">
        <v>843</v>
      </c>
      <c r="F10">
        <v>6.99</v>
      </c>
      <c r="G10">
        <v>69.900000000000006</v>
      </c>
    </row>
    <row r="11" spans="1:7" x14ac:dyDescent="0.2">
      <c r="A11" t="s">
        <v>134</v>
      </c>
      <c r="B11" t="s">
        <v>844</v>
      </c>
      <c r="C11" t="s">
        <v>859</v>
      </c>
      <c r="D11" t="s">
        <v>846</v>
      </c>
      <c r="E11" t="s">
        <v>843</v>
      </c>
      <c r="F11">
        <v>7.5</v>
      </c>
      <c r="G11">
        <v>75</v>
      </c>
    </row>
    <row r="12" spans="1:7" x14ac:dyDescent="0.2">
      <c r="A12" t="s">
        <v>136</v>
      </c>
      <c r="B12" t="s">
        <v>836</v>
      </c>
      <c r="C12" t="s">
        <v>857</v>
      </c>
      <c r="D12" t="s">
        <v>838</v>
      </c>
      <c r="E12" t="s">
        <v>839</v>
      </c>
      <c r="F12">
        <v>5.5</v>
      </c>
      <c r="G12">
        <v>110</v>
      </c>
    </row>
    <row r="13" spans="1:7" x14ac:dyDescent="0.2">
      <c r="A13" t="s">
        <v>136</v>
      </c>
      <c r="B13" t="s">
        <v>840</v>
      </c>
      <c r="C13" t="s">
        <v>860</v>
      </c>
      <c r="D13" t="s">
        <v>842</v>
      </c>
      <c r="E13" t="s">
        <v>843</v>
      </c>
      <c r="F13">
        <v>6.99</v>
      </c>
      <c r="G13">
        <v>69.900000000000006</v>
      </c>
    </row>
    <row r="14" spans="1:7" x14ac:dyDescent="0.2">
      <c r="A14" t="s">
        <v>136</v>
      </c>
      <c r="B14" t="s">
        <v>844</v>
      </c>
      <c r="C14" t="s">
        <v>861</v>
      </c>
      <c r="D14" t="s">
        <v>846</v>
      </c>
      <c r="E14" t="s">
        <v>843</v>
      </c>
      <c r="F14">
        <v>7.5</v>
      </c>
      <c r="G14">
        <v>75</v>
      </c>
    </row>
    <row r="15" spans="1:7" x14ac:dyDescent="0.2">
      <c r="A15" t="s">
        <v>85</v>
      </c>
      <c r="B15" t="s">
        <v>836</v>
      </c>
      <c r="C15" t="s">
        <v>862</v>
      </c>
      <c r="D15" t="s">
        <v>863</v>
      </c>
      <c r="E15" t="s">
        <v>843</v>
      </c>
      <c r="F15">
        <v>2.95</v>
      </c>
      <c r="G15">
        <v>29.5</v>
      </c>
    </row>
    <row r="16" spans="1:7" x14ac:dyDescent="0.2">
      <c r="A16" t="s">
        <v>85</v>
      </c>
      <c r="B16" t="s">
        <v>840</v>
      </c>
      <c r="C16" t="s">
        <v>864</v>
      </c>
      <c r="D16" t="s">
        <v>852</v>
      </c>
      <c r="E16" t="s">
        <v>865</v>
      </c>
      <c r="F16">
        <v>1.49</v>
      </c>
      <c r="G16">
        <v>53.21</v>
      </c>
    </row>
    <row r="17" spans="1:7" x14ac:dyDescent="0.2">
      <c r="A17" t="s">
        <v>85</v>
      </c>
      <c r="B17" t="s">
        <v>844</v>
      </c>
      <c r="C17" t="s">
        <v>866</v>
      </c>
      <c r="D17" t="s">
        <v>851</v>
      </c>
      <c r="E17" t="s">
        <v>839</v>
      </c>
      <c r="F17">
        <v>3.2</v>
      </c>
      <c r="G17">
        <v>64</v>
      </c>
    </row>
    <row r="18" spans="1:7" x14ac:dyDescent="0.2">
      <c r="A18" t="s">
        <v>133</v>
      </c>
      <c r="B18" t="s">
        <v>836</v>
      </c>
      <c r="C18" t="s">
        <v>867</v>
      </c>
      <c r="D18" t="s">
        <v>868</v>
      </c>
      <c r="E18" t="s">
        <v>843</v>
      </c>
      <c r="F18">
        <v>2.7</v>
      </c>
      <c r="G18">
        <v>27</v>
      </c>
    </row>
    <row r="19" spans="1:7" x14ac:dyDescent="0.2">
      <c r="A19" t="s">
        <v>133</v>
      </c>
      <c r="B19" t="s">
        <v>840</v>
      </c>
      <c r="C19" t="s">
        <v>869</v>
      </c>
      <c r="D19" t="s">
        <v>870</v>
      </c>
      <c r="E19" t="s">
        <v>871</v>
      </c>
      <c r="F19">
        <v>9.39</v>
      </c>
      <c r="G19">
        <v>20.69</v>
      </c>
    </row>
    <row r="20" spans="1:7" x14ac:dyDescent="0.2">
      <c r="A20" t="s">
        <v>133</v>
      </c>
      <c r="B20" t="s">
        <v>844</v>
      </c>
      <c r="C20" t="s">
        <v>867</v>
      </c>
      <c r="D20" t="s">
        <v>872</v>
      </c>
      <c r="E20" t="s">
        <v>873</v>
      </c>
      <c r="F20">
        <v>2.69</v>
      </c>
      <c r="G20">
        <v>44.8</v>
      </c>
    </row>
    <row r="21" spans="1:7" x14ac:dyDescent="0.2">
      <c r="A21" t="s">
        <v>72</v>
      </c>
      <c r="B21" t="s">
        <v>836</v>
      </c>
      <c r="C21" t="s">
        <v>874</v>
      </c>
      <c r="D21" t="s">
        <v>838</v>
      </c>
      <c r="E21" t="s">
        <v>875</v>
      </c>
      <c r="F21">
        <v>9.99</v>
      </c>
      <c r="G21">
        <v>19.98</v>
      </c>
    </row>
    <row r="22" spans="1:7" x14ac:dyDescent="0.2">
      <c r="A22" t="s">
        <v>72</v>
      </c>
      <c r="B22" t="s">
        <v>840</v>
      </c>
      <c r="C22" t="s">
        <v>874</v>
      </c>
      <c r="D22" t="s">
        <v>852</v>
      </c>
      <c r="E22" t="s">
        <v>839</v>
      </c>
      <c r="F22">
        <v>2.2999999999999998</v>
      </c>
      <c r="G22">
        <v>46</v>
      </c>
    </row>
    <row r="23" spans="1:7" x14ac:dyDescent="0.2">
      <c r="A23" t="s">
        <v>72</v>
      </c>
      <c r="B23" t="s">
        <v>844</v>
      </c>
      <c r="C23" t="s">
        <v>876</v>
      </c>
      <c r="D23" t="s">
        <v>877</v>
      </c>
      <c r="E23" t="s">
        <v>878</v>
      </c>
      <c r="F23">
        <v>2.6</v>
      </c>
      <c r="G23">
        <v>65</v>
      </c>
    </row>
    <row r="24" spans="1:7" x14ac:dyDescent="0.2">
      <c r="A24" t="s">
        <v>74</v>
      </c>
      <c r="B24" t="s">
        <v>836</v>
      </c>
      <c r="C24" t="s">
        <v>74</v>
      </c>
      <c r="D24" t="s">
        <v>838</v>
      </c>
      <c r="E24" t="s">
        <v>843</v>
      </c>
      <c r="F24">
        <v>3.9</v>
      </c>
      <c r="G24">
        <v>39</v>
      </c>
    </row>
    <row r="25" spans="1:7" x14ac:dyDescent="0.2">
      <c r="A25" t="s">
        <v>74</v>
      </c>
      <c r="B25" t="s">
        <v>840</v>
      </c>
      <c r="C25" t="s">
        <v>74</v>
      </c>
      <c r="D25" t="s">
        <v>852</v>
      </c>
      <c r="E25" t="s">
        <v>879</v>
      </c>
      <c r="F25">
        <v>1.89</v>
      </c>
      <c r="G25">
        <v>54</v>
      </c>
    </row>
    <row r="26" spans="1:7" x14ac:dyDescent="0.2">
      <c r="A26" t="s">
        <v>74</v>
      </c>
      <c r="B26" t="s">
        <v>844</v>
      </c>
      <c r="C26" t="s">
        <v>74</v>
      </c>
      <c r="D26" t="s">
        <v>877</v>
      </c>
      <c r="E26" t="s">
        <v>878</v>
      </c>
      <c r="F26">
        <v>2.2000000000000002</v>
      </c>
      <c r="G26">
        <v>55</v>
      </c>
    </row>
    <row r="27" spans="1:7" x14ac:dyDescent="0.2">
      <c r="A27" t="s">
        <v>86</v>
      </c>
      <c r="B27" t="s">
        <v>836</v>
      </c>
      <c r="C27" t="s">
        <v>880</v>
      </c>
      <c r="D27" t="s">
        <v>838</v>
      </c>
      <c r="E27" t="s">
        <v>881</v>
      </c>
      <c r="F27">
        <v>3.5</v>
      </c>
      <c r="G27">
        <v>43.75</v>
      </c>
    </row>
    <row r="28" spans="1:7" x14ac:dyDescent="0.2">
      <c r="A28" t="s">
        <v>86</v>
      </c>
      <c r="B28" t="s">
        <v>840</v>
      </c>
      <c r="C28" t="s">
        <v>880</v>
      </c>
      <c r="D28" t="s">
        <v>852</v>
      </c>
      <c r="E28" t="s">
        <v>878</v>
      </c>
      <c r="F28">
        <v>2.0499999999999998</v>
      </c>
      <c r="G28">
        <v>51.25</v>
      </c>
    </row>
    <row r="29" spans="1:7" x14ac:dyDescent="0.2">
      <c r="A29" t="s">
        <v>86</v>
      </c>
      <c r="B29" t="s">
        <v>844</v>
      </c>
      <c r="C29" t="s">
        <v>882</v>
      </c>
      <c r="D29" t="s">
        <v>883</v>
      </c>
      <c r="E29" t="s">
        <v>839</v>
      </c>
      <c r="F29">
        <v>4</v>
      </c>
      <c r="G29">
        <v>80</v>
      </c>
    </row>
    <row r="30" spans="1:7" x14ac:dyDescent="0.2">
      <c r="A30" t="s">
        <v>83</v>
      </c>
      <c r="B30" t="s">
        <v>836</v>
      </c>
      <c r="C30" t="s">
        <v>884</v>
      </c>
      <c r="D30" t="s">
        <v>838</v>
      </c>
      <c r="E30" t="s">
        <v>843</v>
      </c>
      <c r="F30">
        <v>4.5</v>
      </c>
      <c r="G30">
        <v>45</v>
      </c>
    </row>
    <row r="31" spans="1:7" x14ac:dyDescent="0.2">
      <c r="A31" t="s">
        <v>83</v>
      </c>
      <c r="B31" t="s">
        <v>840</v>
      </c>
      <c r="C31" t="s">
        <v>884</v>
      </c>
      <c r="D31" t="s">
        <v>852</v>
      </c>
      <c r="E31" t="s">
        <v>885</v>
      </c>
      <c r="F31">
        <v>2.1</v>
      </c>
      <c r="G31">
        <v>46.67</v>
      </c>
    </row>
    <row r="32" spans="1:7" x14ac:dyDescent="0.2">
      <c r="A32" t="s">
        <v>83</v>
      </c>
      <c r="B32" t="s">
        <v>844</v>
      </c>
      <c r="C32" t="s">
        <v>884</v>
      </c>
      <c r="D32" t="s">
        <v>877</v>
      </c>
      <c r="E32" t="s">
        <v>839</v>
      </c>
      <c r="F32">
        <v>3</v>
      </c>
      <c r="G32">
        <v>60</v>
      </c>
    </row>
    <row r="33" spans="1:7" x14ac:dyDescent="0.2">
      <c r="A33" t="s">
        <v>101</v>
      </c>
      <c r="B33" t="s">
        <v>836</v>
      </c>
      <c r="C33" t="s">
        <v>886</v>
      </c>
      <c r="D33" t="s">
        <v>838</v>
      </c>
      <c r="E33" t="s">
        <v>839</v>
      </c>
      <c r="F33">
        <v>2.8</v>
      </c>
      <c r="G33">
        <v>56</v>
      </c>
    </row>
    <row r="34" spans="1:7" x14ac:dyDescent="0.2">
      <c r="A34" t="s">
        <v>101</v>
      </c>
      <c r="B34" t="s">
        <v>840</v>
      </c>
      <c r="C34" t="s">
        <v>101</v>
      </c>
      <c r="D34" t="s">
        <v>852</v>
      </c>
      <c r="E34" t="s">
        <v>853</v>
      </c>
      <c r="F34">
        <v>1.95</v>
      </c>
      <c r="G34">
        <v>51.32</v>
      </c>
    </row>
    <row r="35" spans="1:7" x14ac:dyDescent="0.2">
      <c r="A35" t="s">
        <v>101</v>
      </c>
      <c r="B35" t="s">
        <v>844</v>
      </c>
      <c r="C35" t="s">
        <v>887</v>
      </c>
      <c r="D35" t="s">
        <v>846</v>
      </c>
      <c r="E35" t="s">
        <v>839</v>
      </c>
      <c r="F35">
        <v>4.5</v>
      </c>
      <c r="G35">
        <v>90</v>
      </c>
    </row>
    <row r="36" spans="1:7" x14ac:dyDescent="0.2">
      <c r="A36" t="s">
        <v>888</v>
      </c>
      <c r="B36" t="s">
        <v>836</v>
      </c>
      <c r="C36" t="s">
        <v>888</v>
      </c>
      <c r="D36" t="s">
        <v>838</v>
      </c>
      <c r="E36" t="s">
        <v>839</v>
      </c>
      <c r="F36">
        <v>3.5</v>
      </c>
      <c r="G36">
        <v>70</v>
      </c>
    </row>
    <row r="37" spans="1:7" x14ac:dyDescent="0.2">
      <c r="A37" t="s">
        <v>888</v>
      </c>
      <c r="B37" t="s">
        <v>840</v>
      </c>
      <c r="C37" t="s">
        <v>889</v>
      </c>
      <c r="D37" t="s">
        <v>852</v>
      </c>
      <c r="E37" t="s">
        <v>890</v>
      </c>
      <c r="F37">
        <v>2.2000000000000002</v>
      </c>
      <c r="G37">
        <v>56.41</v>
      </c>
    </row>
    <row r="38" spans="1:7" x14ac:dyDescent="0.2">
      <c r="A38" t="s">
        <v>888</v>
      </c>
      <c r="B38" t="s">
        <v>844</v>
      </c>
      <c r="C38" t="s">
        <v>891</v>
      </c>
      <c r="D38" t="s">
        <v>846</v>
      </c>
      <c r="E38" t="s">
        <v>878</v>
      </c>
      <c r="F38">
        <v>4</v>
      </c>
      <c r="G38">
        <v>100</v>
      </c>
    </row>
    <row r="39" spans="1:7" x14ac:dyDescent="0.2">
      <c r="A39" t="s">
        <v>892</v>
      </c>
      <c r="B39" t="s">
        <v>836</v>
      </c>
      <c r="C39" t="s">
        <v>893</v>
      </c>
      <c r="D39" t="s">
        <v>838</v>
      </c>
      <c r="E39" t="s">
        <v>879</v>
      </c>
      <c r="F39">
        <v>2.8</v>
      </c>
      <c r="G39">
        <v>80</v>
      </c>
    </row>
    <row r="40" spans="1:7" x14ac:dyDescent="0.2">
      <c r="A40" t="s">
        <v>892</v>
      </c>
      <c r="B40" t="s">
        <v>840</v>
      </c>
      <c r="C40" t="s">
        <v>894</v>
      </c>
      <c r="D40" t="s">
        <v>852</v>
      </c>
      <c r="E40" t="s">
        <v>890</v>
      </c>
      <c r="F40">
        <v>2.15</v>
      </c>
      <c r="G40">
        <v>55.13</v>
      </c>
    </row>
    <row r="41" spans="1:7" x14ac:dyDescent="0.2">
      <c r="A41" t="s">
        <v>892</v>
      </c>
      <c r="B41" t="s">
        <v>844</v>
      </c>
      <c r="C41" t="s">
        <v>895</v>
      </c>
      <c r="D41" t="s">
        <v>877</v>
      </c>
      <c r="E41" t="s">
        <v>879</v>
      </c>
      <c r="F41">
        <v>3</v>
      </c>
      <c r="G41">
        <v>85.71</v>
      </c>
    </row>
    <row r="42" spans="1:7" x14ac:dyDescent="0.2">
      <c r="A42" t="s">
        <v>896</v>
      </c>
      <c r="B42" t="s">
        <v>836</v>
      </c>
      <c r="C42" t="s">
        <v>897</v>
      </c>
      <c r="D42" t="s">
        <v>838</v>
      </c>
      <c r="E42" t="s">
        <v>843</v>
      </c>
      <c r="F42">
        <v>3.9</v>
      </c>
      <c r="G42">
        <v>39</v>
      </c>
    </row>
    <row r="43" spans="1:7" x14ac:dyDescent="0.2">
      <c r="A43" t="s">
        <v>896</v>
      </c>
      <c r="B43" t="s">
        <v>840</v>
      </c>
      <c r="C43" t="s">
        <v>898</v>
      </c>
      <c r="D43" t="s">
        <v>852</v>
      </c>
      <c r="E43" t="s">
        <v>865</v>
      </c>
      <c r="F43">
        <v>2.15</v>
      </c>
      <c r="G43">
        <v>76.790000000000006</v>
      </c>
    </row>
    <row r="44" spans="1:7" x14ac:dyDescent="0.2">
      <c r="A44" t="s">
        <v>896</v>
      </c>
      <c r="B44" t="s">
        <v>844</v>
      </c>
      <c r="C44" t="s">
        <v>898</v>
      </c>
      <c r="D44" t="s">
        <v>877</v>
      </c>
      <c r="E44" t="s">
        <v>878</v>
      </c>
      <c r="F44">
        <v>2.6</v>
      </c>
      <c r="G44">
        <v>65</v>
      </c>
    </row>
    <row r="45" spans="1:7" x14ac:dyDescent="0.2">
      <c r="A45" t="s">
        <v>66</v>
      </c>
      <c r="B45" t="s">
        <v>836</v>
      </c>
      <c r="C45" t="s">
        <v>66</v>
      </c>
      <c r="D45" t="s">
        <v>838</v>
      </c>
      <c r="E45" t="s">
        <v>899</v>
      </c>
      <c r="F45">
        <v>2.79</v>
      </c>
      <c r="G45">
        <v>139.5</v>
      </c>
    </row>
    <row r="46" spans="1:7" x14ac:dyDescent="0.2">
      <c r="A46" t="s">
        <v>66</v>
      </c>
      <c r="B46" t="s">
        <v>840</v>
      </c>
      <c r="C46" t="s">
        <v>66</v>
      </c>
      <c r="D46" t="s">
        <v>852</v>
      </c>
      <c r="E46" t="s">
        <v>900</v>
      </c>
      <c r="F46">
        <v>1.89</v>
      </c>
      <c r="G46">
        <v>75.599999999999994</v>
      </c>
    </row>
    <row r="47" spans="1:7" x14ac:dyDescent="0.2">
      <c r="A47" t="s">
        <v>66</v>
      </c>
      <c r="B47" t="s">
        <v>844</v>
      </c>
      <c r="C47" t="s">
        <v>66</v>
      </c>
      <c r="D47" t="s">
        <v>901</v>
      </c>
      <c r="E47" t="s">
        <v>900</v>
      </c>
      <c r="F47">
        <v>4.2</v>
      </c>
      <c r="G47">
        <v>168</v>
      </c>
    </row>
    <row r="48" spans="1:7" x14ac:dyDescent="0.2">
      <c r="A48" t="s">
        <v>106</v>
      </c>
      <c r="B48" t="s">
        <v>836</v>
      </c>
      <c r="C48" t="s">
        <v>902</v>
      </c>
      <c r="D48" t="s">
        <v>903</v>
      </c>
      <c r="E48" t="s">
        <v>904</v>
      </c>
      <c r="F48">
        <v>4.5</v>
      </c>
      <c r="G48">
        <v>16.07</v>
      </c>
    </row>
    <row r="49" spans="1:7" x14ac:dyDescent="0.2">
      <c r="A49" t="s">
        <v>106</v>
      </c>
      <c r="B49" t="s">
        <v>836</v>
      </c>
      <c r="C49" t="s">
        <v>905</v>
      </c>
      <c r="D49" t="s">
        <v>906</v>
      </c>
      <c r="E49" t="s">
        <v>907</v>
      </c>
      <c r="F49">
        <v>3.8</v>
      </c>
      <c r="G49">
        <v>10.56</v>
      </c>
    </row>
    <row r="50" spans="1:7" x14ac:dyDescent="0.2">
      <c r="A50" t="s">
        <v>106</v>
      </c>
      <c r="B50" t="s">
        <v>836</v>
      </c>
      <c r="C50" t="s">
        <v>908</v>
      </c>
      <c r="D50" t="s">
        <v>909</v>
      </c>
      <c r="E50" t="s">
        <v>910</v>
      </c>
      <c r="F50">
        <v>3.2</v>
      </c>
      <c r="G50">
        <v>9.41</v>
      </c>
    </row>
    <row r="51" spans="1:7" x14ac:dyDescent="0.2">
      <c r="A51" t="s">
        <v>106</v>
      </c>
      <c r="B51" t="s">
        <v>840</v>
      </c>
      <c r="C51" t="s">
        <v>106</v>
      </c>
      <c r="D51" t="s">
        <v>911</v>
      </c>
      <c r="E51" t="s">
        <v>875</v>
      </c>
      <c r="F51">
        <v>2.5</v>
      </c>
      <c r="G51">
        <v>5</v>
      </c>
    </row>
    <row r="52" spans="1:7" x14ac:dyDescent="0.2">
      <c r="A52" t="s">
        <v>106</v>
      </c>
      <c r="B52" t="s">
        <v>844</v>
      </c>
      <c r="C52" t="s">
        <v>912</v>
      </c>
      <c r="D52" t="s">
        <v>913</v>
      </c>
      <c r="E52" t="s">
        <v>914</v>
      </c>
      <c r="F52">
        <v>4</v>
      </c>
      <c r="G52">
        <v>16</v>
      </c>
    </row>
    <row r="53" spans="1:7" x14ac:dyDescent="0.2">
      <c r="A53" t="s">
        <v>68</v>
      </c>
      <c r="B53" t="s">
        <v>836</v>
      </c>
      <c r="C53" t="s">
        <v>915</v>
      </c>
      <c r="D53" t="s">
        <v>916</v>
      </c>
      <c r="E53" t="s">
        <v>917</v>
      </c>
      <c r="F53">
        <v>3.65</v>
      </c>
      <c r="G53">
        <v>18.25</v>
      </c>
    </row>
    <row r="54" spans="1:7" x14ac:dyDescent="0.2">
      <c r="A54" t="s">
        <v>68</v>
      </c>
      <c r="B54" t="s">
        <v>840</v>
      </c>
      <c r="C54" t="s">
        <v>68</v>
      </c>
      <c r="D54" t="s">
        <v>918</v>
      </c>
      <c r="E54" t="s">
        <v>919</v>
      </c>
      <c r="F54">
        <v>2.15</v>
      </c>
      <c r="G54">
        <v>5.81</v>
      </c>
    </row>
    <row r="55" spans="1:7" x14ac:dyDescent="0.2">
      <c r="A55" t="s">
        <v>68</v>
      </c>
      <c r="B55" t="s">
        <v>844</v>
      </c>
      <c r="C55" t="s">
        <v>68</v>
      </c>
      <c r="D55" t="s">
        <v>916</v>
      </c>
      <c r="E55" t="s">
        <v>917</v>
      </c>
      <c r="F55">
        <v>5.9</v>
      </c>
      <c r="G55">
        <f>TableauConcurence[[#This Row],[PRIX]]/_xlfn.NUMBERVALUE(TableauConcurence[[#This Row],[GRAMMAGE]],"g")*1000</f>
        <v>29.500000000000004</v>
      </c>
    </row>
    <row r="56" spans="1:7" x14ac:dyDescent="0.2">
      <c r="A56" t="s">
        <v>77</v>
      </c>
      <c r="B56" t="s">
        <v>836</v>
      </c>
      <c r="C56" t="s">
        <v>77</v>
      </c>
      <c r="D56" t="s">
        <v>920</v>
      </c>
      <c r="E56" t="s">
        <v>917</v>
      </c>
      <c r="F56">
        <v>3.65</v>
      </c>
      <c r="G56">
        <v>18.25</v>
      </c>
    </row>
    <row r="57" spans="1:7" x14ac:dyDescent="0.2">
      <c r="A57" t="s">
        <v>77</v>
      </c>
      <c r="B57" t="s">
        <v>840</v>
      </c>
      <c r="C57" t="s">
        <v>77</v>
      </c>
      <c r="D57" t="s">
        <v>918</v>
      </c>
      <c r="E57" t="s">
        <v>921</v>
      </c>
      <c r="F57">
        <v>1.89</v>
      </c>
      <c r="G57">
        <v>7.27</v>
      </c>
    </row>
    <row r="58" spans="1:7" x14ac:dyDescent="0.2">
      <c r="A58" t="s">
        <v>77</v>
      </c>
      <c r="B58" t="s">
        <v>844</v>
      </c>
      <c r="C58" t="s">
        <v>77</v>
      </c>
      <c r="D58" t="s">
        <v>901</v>
      </c>
      <c r="E58" t="s">
        <v>917</v>
      </c>
      <c r="F58">
        <v>4.2</v>
      </c>
      <c r="G58">
        <v>21</v>
      </c>
    </row>
    <row r="59" spans="1:7" x14ac:dyDescent="0.2">
      <c r="A59" t="s">
        <v>87</v>
      </c>
      <c r="B59" t="s">
        <v>836</v>
      </c>
      <c r="C59" t="s">
        <v>922</v>
      </c>
      <c r="D59" t="s">
        <v>877</v>
      </c>
      <c r="E59" t="s">
        <v>839</v>
      </c>
      <c r="F59">
        <v>2.99</v>
      </c>
      <c r="G59">
        <v>59.8</v>
      </c>
    </row>
    <row r="60" spans="1:7" x14ac:dyDescent="0.2">
      <c r="A60" t="s">
        <v>87</v>
      </c>
      <c r="B60" t="s">
        <v>840</v>
      </c>
      <c r="C60" t="s">
        <v>923</v>
      </c>
      <c r="D60" t="s">
        <v>852</v>
      </c>
      <c r="E60" t="s">
        <v>878</v>
      </c>
      <c r="F60">
        <v>2.1</v>
      </c>
      <c r="G60">
        <v>52.5</v>
      </c>
    </row>
    <row r="61" spans="1:7" x14ac:dyDescent="0.2">
      <c r="A61" t="s">
        <v>87</v>
      </c>
      <c r="B61" t="s">
        <v>844</v>
      </c>
      <c r="C61" t="s">
        <v>924</v>
      </c>
      <c r="D61" t="s">
        <v>925</v>
      </c>
      <c r="E61" t="s">
        <v>878</v>
      </c>
      <c r="F61">
        <v>8.27</v>
      </c>
      <c r="G61">
        <f>TableauConcurence[[#This Row],[PRIX]]/40*1000</f>
        <v>206.75</v>
      </c>
    </row>
    <row r="62" spans="1:7" x14ac:dyDescent="0.2">
      <c r="A62" t="s">
        <v>79</v>
      </c>
      <c r="B62" t="s">
        <v>836</v>
      </c>
      <c r="C62" t="s">
        <v>924</v>
      </c>
      <c r="D62" t="s">
        <v>926</v>
      </c>
      <c r="E62" t="s">
        <v>873</v>
      </c>
      <c r="F62">
        <v>4.2</v>
      </c>
      <c r="G62">
        <v>70</v>
      </c>
    </row>
    <row r="63" spans="1:7" x14ac:dyDescent="0.2">
      <c r="A63" t="s">
        <v>79</v>
      </c>
      <c r="B63" t="s">
        <v>840</v>
      </c>
      <c r="C63" t="s">
        <v>924</v>
      </c>
      <c r="D63" t="s">
        <v>852</v>
      </c>
      <c r="E63" t="s">
        <v>878</v>
      </c>
      <c r="F63">
        <v>2.2999999999999998</v>
      </c>
      <c r="G63">
        <v>57.5</v>
      </c>
    </row>
    <row r="64" spans="1:7" x14ac:dyDescent="0.2">
      <c r="A64" t="s">
        <v>79</v>
      </c>
      <c r="B64" t="s">
        <v>844</v>
      </c>
      <c r="C64" t="s">
        <v>924</v>
      </c>
      <c r="D64" t="s">
        <v>883</v>
      </c>
      <c r="E64" t="s">
        <v>878</v>
      </c>
      <c r="F64">
        <v>3.5</v>
      </c>
      <c r="G64">
        <v>87.5</v>
      </c>
    </row>
    <row r="65" spans="1:7" x14ac:dyDescent="0.2">
      <c r="A65" t="s">
        <v>88</v>
      </c>
      <c r="B65" t="s">
        <v>836</v>
      </c>
      <c r="C65" t="s">
        <v>927</v>
      </c>
      <c r="D65" t="s">
        <v>928</v>
      </c>
      <c r="E65" t="s">
        <v>929</v>
      </c>
      <c r="F65">
        <v>5.9</v>
      </c>
      <c r="G65">
        <v>11.8</v>
      </c>
    </row>
    <row r="66" spans="1:7" x14ac:dyDescent="0.2">
      <c r="A66" t="s">
        <v>88</v>
      </c>
      <c r="B66" t="s">
        <v>840</v>
      </c>
      <c r="C66" t="s">
        <v>930</v>
      </c>
      <c r="D66" t="s">
        <v>931</v>
      </c>
      <c r="E66" t="s">
        <v>929</v>
      </c>
      <c r="F66">
        <v>2.95</v>
      </c>
      <c r="G66">
        <v>5.9</v>
      </c>
    </row>
    <row r="67" spans="1:7" x14ac:dyDescent="0.2">
      <c r="A67" t="s">
        <v>88</v>
      </c>
      <c r="B67" t="s">
        <v>844</v>
      </c>
      <c r="C67" t="s">
        <v>932</v>
      </c>
      <c r="D67" t="s">
        <v>928</v>
      </c>
      <c r="E67" t="s">
        <v>929</v>
      </c>
      <c r="F67">
        <v>6.5</v>
      </c>
      <c r="G67">
        <v>13</v>
      </c>
    </row>
    <row r="68" spans="1:7" x14ac:dyDescent="0.2">
      <c r="A68" t="s">
        <v>89</v>
      </c>
      <c r="B68" t="s">
        <v>836</v>
      </c>
      <c r="C68" t="s">
        <v>933</v>
      </c>
      <c r="D68" t="s">
        <v>934</v>
      </c>
      <c r="E68" t="s">
        <v>935</v>
      </c>
      <c r="F68">
        <v>4.5</v>
      </c>
      <c r="G68">
        <v>6</v>
      </c>
    </row>
    <row r="69" spans="1:7" x14ac:dyDescent="0.2">
      <c r="A69" t="s">
        <v>89</v>
      </c>
      <c r="B69" t="s">
        <v>840</v>
      </c>
      <c r="C69" t="s">
        <v>89</v>
      </c>
      <c r="D69" t="s">
        <v>936</v>
      </c>
      <c r="E69" t="s">
        <v>929</v>
      </c>
      <c r="F69">
        <v>5.95</v>
      </c>
      <c r="G69">
        <v>11.9</v>
      </c>
    </row>
    <row r="70" spans="1:7" x14ac:dyDescent="0.2">
      <c r="A70" t="s">
        <v>89</v>
      </c>
      <c r="B70" t="s">
        <v>844</v>
      </c>
      <c r="C70" t="s">
        <v>937</v>
      </c>
      <c r="D70" t="s">
        <v>938</v>
      </c>
      <c r="E70" t="s">
        <v>929</v>
      </c>
      <c r="F70">
        <v>6</v>
      </c>
      <c r="G70">
        <v>12</v>
      </c>
    </row>
    <row r="71" spans="1:7" x14ac:dyDescent="0.2">
      <c r="A71" t="s">
        <v>80</v>
      </c>
      <c r="B71" t="s">
        <v>836</v>
      </c>
      <c r="C71" t="s">
        <v>939</v>
      </c>
      <c r="D71" t="s">
        <v>928</v>
      </c>
      <c r="E71" t="s">
        <v>940</v>
      </c>
      <c r="F71">
        <v>6.5</v>
      </c>
      <c r="G71">
        <v>6.5</v>
      </c>
    </row>
    <row r="72" spans="1:7" x14ac:dyDescent="0.2">
      <c r="A72" t="s">
        <v>80</v>
      </c>
      <c r="B72" t="s">
        <v>840</v>
      </c>
      <c r="C72" t="s">
        <v>80</v>
      </c>
      <c r="D72" t="s">
        <v>931</v>
      </c>
      <c r="E72" t="s">
        <v>941</v>
      </c>
      <c r="F72">
        <v>2.4500000000000002</v>
      </c>
      <c r="G72">
        <v>3.5</v>
      </c>
    </row>
    <row r="73" spans="1:7" x14ac:dyDescent="0.2">
      <c r="A73" t="s">
        <v>80</v>
      </c>
      <c r="B73" t="s">
        <v>844</v>
      </c>
      <c r="C73" t="s">
        <v>80</v>
      </c>
      <c r="D73" t="s">
        <v>938</v>
      </c>
      <c r="E73" t="s">
        <v>929</v>
      </c>
      <c r="F73">
        <v>4</v>
      </c>
      <c r="G73">
        <v>8</v>
      </c>
    </row>
    <row r="74" spans="1:7" x14ac:dyDescent="0.2">
      <c r="A74" t="s">
        <v>90</v>
      </c>
      <c r="B74" t="s">
        <v>836</v>
      </c>
      <c r="C74" t="s">
        <v>90</v>
      </c>
      <c r="D74" t="s">
        <v>942</v>
      </c>
      <c r="E74" t="s">
        <v>929</v>
      </c>
      <c r="F74">
        <v>5.9</v>
      </c>
      <c r="G74">
        <v>11.8</v>
      </c>
    </row>
    <row r="75" spans="1:7" x14ac:dyDescent="0.2">
      <c r="A75" t="s">
        <v>90</v>
      </c>
      <c r="B75" t="s">
        <v>840</v>
      </c>
      <c r="C75" t="s">
        <v>90</v>
      </c>
      <c r="D75" t="s">
        <v>931</v>
      </c>
      <c r="E75" t="s">
        <v>941</v>
      </c>
      <c r="F75">
        <v>3.5</v>
      </c>
      <c r="G75">
        <v>5</v>
      </c>
    </row>
    <row r="76" spans="1:7" x14ac:dyDescent="0.2">
      <c r="A76" t="s">
        <v>90</v>
      </c>
      <c r="B76" t="s">
        <v>844</v>
      </c>
      <c r="C76" t="s">
        <v>943</v>
      </c>
      <c r="D76" t="s">
        <v>938</v>
      </c>
      <c r="E76" t="s">
        <v>929</v>
      </c>
      <c r="F76">
        <v>6</v>
      </c>
      <c r="G76">
        <v>12</v>
      </c>
    </row>
    <row r="77" spans="1:7" x14ac:dyDescent="0.2">
      <c r="A77" t="s">
        <v>91</v>
      </c>
      <c r="B77" t="s">
        <v>836</v>
      </c>
      <c r="C77" t="s">
        <v>944</v>
      </c>
      <c r="D77" t="s">
        <v>928</v>
      </c>
      <c r="E77" t="s">
        <v>929</v>
      </c>
      <c r="F77">
        <v>7.2</v>
      </c>
      <c r="G77">
        <v>14.4</v>
      </c>
    </row>
    <row r="78" spans="1:7" x14ac:dyDescent="0.2">
      <c r="A78" t="s">
        <v>91</v>
      </c>
      <c r="B78" t="s">
        <v>840</v>
      </c>
      <c r="C78" t="s">
        <v>945</v>
      </c>
      <c r="D78" t="s">
        <v>946</v>
      </c>
      <c r="E78" t="s">
        <v>805</v>
      </c>
      <c r="F78">
        <v>6.95</v>
      </c>
      <c r="G78">
        <v>27.8</v>
      </c>
    </row>
    <row r="79" spans="1:7" x14ac:dyDescent="0.2">
      <c r="A79" t="s">
        <v>91</v>
      </c>
      <c r="B79" t="s">
        <v>844</v>
      </c>
      <c r="C79" t="s">
        <v>947</v>
      </c>
      <c r="D79" t="s">
        <v>948</v>
      </c>
      <c r="E79" t="s">
        <v>875</v>
      </c>
      <c r="F79">
        <v>19.45</v>
      </c>
      <c r="G79">
        <v>38.9</v>
      </c>
    </row>
    <row r="80" spans="1:7" x14ac:dyDescent="0.2">
      <c r="A80" t="s">
        <v>82</v>
      </c>
      <c r="B80" t="s">
        <v>836</v>
      </c>
      <c r="C80" t="s">
        <v>949</v>
      </c>
      <c r="D80" t="s">
        <v>950</v>
      </c>
      <c r="E80" t="s">
        <v>951</v>
      </c>
      <c r="F80">
        <v>10.5</v>
      </c>
      <c r="G80">
        <v>10.5</v>
      </c>
    </row>
    <row r="81" spans="1:7" x14ac:dyDescent="0.2">
      <c r="A81" t="s">
        <v>82</v>
      </c>
      <c r="B81" t="s">
        <v>840</v>
      </c>
      <c r="C81" t="s">
        <v>952</v>
      </c>
      <c r="D81" t="s">
        <v>953</v>
      </c>
      <c r="E81" t="s">
        <v>914</v>
      </c>
      <c r="F81">
        <v>4.99</v>
      </c>
      <c r="G81">
        <v>19.96</v>
      </c>
    </row>
    <row r="82" spans="1:7" x14ac:dyDescent="0.2">
      <c r="A82" t="s">
        <v>82</v>
      </c>
      <c r="B82" t="s">
        <v>844</v>
      </c>
      <c r="C82" t="s">
        <v>82</v>
      </c>
      <c r="D82" t="s">
        <v>846</v>
      </c>
      <c r="E82" t="s">
        <v>954</v>
      </c>
      <c r="F82">
        <v>6</v>
      </c>
      <c r="G82">
        <v>40</v>
      </c>
    </row>
    <row r="83" spans="1:7" x14ac:dyDescent="0.2">
      <c r="A83" t="s">
        <v>99</v>
      </c>
      <c r="B83" t="s">
        <v>836</v>
      </c>
      <c r="C83" t="s">
        <v>955</v>
      </c>
      <c r="D83" t="s">
        <v>948</v>
      </c>
      <c r="E83" t="s">
        <v>956</v>
      </c>
      <c r="F83">
        <v>5</v>
      </c>
      <c r="G83">
        <v>83.33</v>
      </c>
    </row>
    <row r="84" spans="1:7" x14ac:dyDescent="0.2">
      <c r="A84" t="s">
        <v>99</v>
      </c>
      <c r="B84" t="s">
        <v>840</v>
      </c>
      <c r="C84" t="s">
        <v>957</v>
      </c>
      <c r="D84" t="s">
        <v>958</v>
      </c>
      <c r="E84" t="s">
        <v>956</v>
      </c>
      <c r="F84">
        <v>2.4900000000000002</v>
      </c>
      <c r="G84">
        <v>41.5</v>
      </c>
    </row>
    <row r="85" spans="1:7" x14ac:dyDescent="0.2">
      <c r="A85" t="s">
        <v>99</v>
      </c>
      <c r="B85" t="s">
        <v>844</v>
      </c>
      <c r="C85" t="s">
        <v>959</v>
      </c>
      <c r="D85" t="s">
        <v>960</v>
      </c>
      <c r="E85" t="s">
        <v>827</v>
      </c>
      <c r="F85">
        <v>6</v>
      </c>
      <c r="G85">
        <v>120</v>
      </c>
    </row>
    <row r="86" spans="1:7" x14ac:dyDescent="0.2">
      <c r="A86" t="s">
        <v>98</v>
      </c>
      <c r="B86" t="s">
        <v>836</v>
      </c>
      <c r="C86" t="s">
        <v>961</v>
      </c>
      <c r="D86" t="s">
        <v>948</v>
      </c>
      <c r="E86" t="s">
        <v>956</v>
      </c>
      <c r="F86">
        <v>4.5</v>
      </c>
      <c r="G86">
        <v>75</v>
      </c>
    </row>
    <row r="87" spans="1:7" x14ac:dyDescent="0.2">
      <c r="A87" t="s">
        <v>98</v>
      </c>
      <c r="B87" t="s">
        <v>840</v>
      </c>
      <c r="C87" t="s">
        <v>962</v>
      </c>
      <c r="D87" t="s">
        <v>958</v>
      </c>
      <c r="E87" t="s">
        <v>956</v>
      </c>
      <c r="F87">
        <v>4.29</v>
      </c>
      <c r="G87">
        <v>71.5</v>
      </c>
    </row>
    <row r="88" spans="1:7" x14ac:dyDescent="0.2">
      <c r="A88" t="s">
        <v>98</v>
      </c>
      <c r="B88" t="s">
        <v>844</v>
      </c>
      <c r="C88" t="s">
        <v>963</v>
      </c>
      <c r="D88" t="s">
        <v>960</v>
      </c>
      <c r="E88" t="s">
        <v>827</v>
      </c>
      <c r="F88">
        <v>5.5</v>
      </c>
      <c r="G88">
        <v>110</v>
      </c>
    </row>
    <row r="89" spans="1:7" x14ac:dyDescent="0.2">
      <c r="A89" t="s">
        <v>96</v>
      </c>
      <c r="B89" t="s">
        <v>836</v>
      </c>
      <c r="C89" t="s">
        <v>964</v>
      </c>
      <c r="D89" t="s">
        <v>948</v>
      </c>
      <c r="E89" t="s">
        <v>956</v>
      </c>
      <c r="F89">
        <v>4</v>
      </c>
      <c r="G89">
        <v>66.67</v>
      </c>
    </row>
    <row r="90" spans="1:7" x14ac:dyDescent="0.2">
      <c r="A90" t="s">
        <v>96</v>
      </c>
      <c r="B90" t="s">
        <v>840</v>
      </c>
      <c r="C90" t="s">
        <v>965</v>
      </c>
      <c r="D90" t="s">
        <v>958</v>
      </c>
      <c r="E90" t="s">
        <v>956</v>
      </c>
      <c r="F90">
        <v>4.29</v>
      </c>
      <c r="G90">
        <v>71.5</v>
      </c>
    </row>
    <row r="91" spans="1:7" x14ac:dyDescent="0.2">
      <c r="A91" t="s">
        <v>96</v>
      </c>
      <c r="B91" t="s">
        <v>844</v>
      </c>
      <c r="C91" t="s">
        <v>966</v>
      </c>
      <c r="D91" t="s">
        <v>960</v>
      </c>
      <c r="E91" t="s">
        <v>827</v>
      </c>
      <c r="F91">
        <v>5</v>
      </c>
      <c r="G91">
        <v>100</v>
      </c>
    </row>
    <row r="92" spans="1:7" x14ac:dyDescent="0.2">
      <c r="A92" t="s">
        <v>102</v>
      </c>
      <c r="B92" t="s">
        <v>836</v>
      </c>
      <c r="C92" t="s">
        <v>967</v>
      </c>
      <c r="D92" t="s">
        <v>948</v>
      </c>
      <c r="E92" t="s">
        <v>956</v>
      </c>
      <c r="F92">
        <v>4</v>
      </c>
      <c r="G92">
        <v>66.67</v>
      </c>
    </row>
    <row r="93" spans="1:7" x14ac:dyDescent="0.2">
      <c r="A93" t="s">
        <v>102</v>
      </c>
      <c r="B93" t="s">
        <v>840</v>
      </c>
      <c r="C93" t="s">
        <v>965</v>
      </c>
      <c r="D93" t="s">
        <v>958</v>
      </c>
      <c r="E93" t="s">
        <v>956</v>
      </c>
      <c r="F93">
        <v>4.29</v>
      </c>
      <c r="G93">
        <v>71.5</v>
      </c>
    </row>
    <row r="94" spans="1:7" x14ac:dyDescent="0.2">
      <c r="A94" t="s">
        <v>102</v>
      </c>
      <c r="B94" t="s">
        <v>844</v>
      </c>
      <c r="C94" t="s">
        <v>968</v>
      </c>
      <c r="D94" t="s">
        <v>969</v>
      </c>
      <c r="E94" t="s">
        <v>827</v>
      </c>
      <c r="F94">
        <v>5</v>
      </c>
      <c r="G94">
        <v>100</v>
      </c>
    </row>
    <row r="95" spans="1:7" x14ac:dyDescent="0.2">
      <c r="A95" t="s">
        <v>92</v>
      </c>
      <c r="B95" t="s">
        <v>836</v>
      </c>
      <c r="C95" t="s">
        <v>970</v>
      </c>
      <c r="D95" t="s">
        <v>971</v>
      </c>
      <c r="E95" t="s">
        <v>935</v>
      </c>
      <c r="F95">
        <v>4.3</v>
      </c>
      <c r="G95">
        <v>5.73</v>
      </c>
    </row>
    <row r="96" spans="1:7" x14ac:dyDescent="0.2">
      <c r="A96" t="s">
        <v>92</v>
      </c>
      <c r="B96" t="s">
        <v>840</v>
      </c>
      <c r="C96" t="s">
        <v>972</v>
      </c>
      <c r="D96" t="s">
        <v>973</v>
      </c>
      <c r="E96" t="s">
        <v>935</v>
      </c>
      <c r="F96">
        <v>2.5</v>
      </c>
      <c r="G96">
        <v>3.33</v>
      </c>
    </row>
    <row r="97" spans="1:7" x14ac:dyDescent="0.2">
      <c r="A97" t="s">
        <v>92</v>
      </c>
      <c r="B97" t="s">
        <v>844</v>
      </c>
      <c r="C97" t="s">
        <v>974</v>
      </c>
      <c r="D97" t="s">
        <v>975</v>
      </c>
      <c r="E97" t="s">
        <v>929</v>
      </c>
      <c r="F97">
        <v>5.9</v>
      </c>
      <c r="G97">
        <v>11.8</v>
      </c>
    </row>
    <row r="98" spans="1:7" x14ac:dyDescent="0.2">
      <c r="A98" t="s">
        <v>94</v>
      </c>
      <c r="B98" t="s">
        <v>836</v>
      </c>
      <c r="C98" t="s">
        <v>976</v>
      </c>
      <c r="D98" t="s">
        <v>977</v>
      </c>
      <c r="E98" t="s">
        <v>978</v>
      </c>
      <c r="F98">
        <v>13.5</v>
      </c>
      <c r="G98">
        <v>54</v>
      </c>
    </row>
    <row r="99" spans="1:7" x14ac:dyDescent="0.2">
      <c r="A99" t="s">
        <v>94</v>
      </c>
      <c r="B99" t="s">
        <v>840</v>
      </c>
      <c r="C99" t="s">
        <v>979</v>
      </c>
      <c r="D99" t="s">
        <v>980</v>
      </c>
      <c r="E99" t="s">
        <v>978</v>
      </c>
      <c r="F99">
        <v>7.05</v>
      </c>
      <c r="G99">
        <v>28.2</v>
      </c>
    </row>
    <row r="100" spans="1:7" x14ac:dyDescent="0.2">
      <c r="A100" t="s">
        <v>94</v>
      </c>
      <c r="B100" t="s">
        <v>844</v>
      </c>
      <c r="C100" t="s">
        <v>981</v>
      </c>
      <c r="D100" t="s">
        <v>982</v>
      </c>
      <c r="E100" t="s">
        <v>929</v>
      </c>
      <c r="F100">
        <v>9.9</v>
      </c>
      <c r="G100">
        <v>19.8</v>
      </c>
    </row>
    <row r="101" spans="1:7" x14ac:dyDescent="0.2">
      <c r="A101" t="s">
        <v>95</v>
      </c>
      <c r="B101" t="s">
        <v>836</v>
      </c>
      <c r="C101" t="s">
        <v>983</v>
      </c>
      <c r="D101" t="s">
        <v>838</v>
      </c>
      <c r="E101" t="s">
        <v>984</v>
      </c>
      <c r="F101">
        <v>2.95</v>
      </c>
      <c r="G101">
        <v>109.26</v>
      </c>
    </row>
    <row r="102" spans="1:7" x14ac:dyDescent="0.2">
      <c r="A102" t="s">
        <v>95</v>
      </c>
      <c r="B102" t="s">
        <v>840</v>
      </c>
      <c r="C102" t="s">
        <v>985</v>
      </c>
      <c r="D102" t="s">
        <v>852</v>
      </c>
      <c r="E102" t="s">
        <v>853</v>
      </c>
      <c r="F102">
        <v>3.25</v>
      </c>
      <c r="G102">
        <v>85.53</v>
      </c>
    </row>
    <row r="103" spans="1:7" x14ac:dyDescent="0.2">
      <c r="A103" t="s">
        <v>95</v>
      </c>
      <c r="B103" t="s">
        <v>844</v>
      </c>
      <c r="C103" t="s">
        <v>986</v>
      </c>
      <c r="D103" t="s">
        <v>846</v>
      </c>
      <c r="E103" t="s">
        <v>843</v>
      </c>
      <c r="F103">
        <v>7.5</v>
      </c>
      <c r="G103">
        <v>75</v>
      </c>
    </row>
    <row r="104" spans="1:7" x14ac:dyDescent="0.2">
      <c r="A104" t="s">
        <v>66</v>
      </c>
      <c r="B104" t="s">
        <v>847</v>
      </c>
      <c r="C104" t="s">
        <v>987</v>
      </c>
      <c r="D104" t="s">
        <v>988</v>
      </c>
      <c r="E104" t="s">
        <v>914</v>
      </c>
      <c r="F104">
        <v>15.85</v>
      </c>
      <c r="G104" s="451">
        <v>63.4</v>
      </c>
    </row>
    <row r="105" spans="1:7" x14ac:dyDescent="0.2">
      <c r="A105" t="s">
        <v>68</v>
      </c>
      <c r="B105" t="s">
        <v>847</v>
      </c>
      <c r="D105" t="s">
        <v>988</v>
      </c>
    </row>
    <row r="106" spans="1:7" x14ac:dyDescent="0.2">
      <c r="A106" t="s">
        <v>72</v>
      </c>
      <c r="B106" t="s">
        <v>847</v>
      </c>
      <c r="D106" t="s">
        <v>988</v>
      </c>
      <c r="E106" t="s">
        <v>873</v>
      </c>
      <c r="F106">
        <v>4.2</v>
      </c>
      <c r="G106">
        <v>38.200000000000003</v>
      </c>
    </row>
    <row r="107" spans="1:7" x14ac:dyDescent="0.2">
      <c r="A107" t="s">
        <v>74</v>
      </c>
      <c r="B107" t="s">
        <v>847</v>
      </c>
      <c r="D107" t="s">
        <v>988</v>
      </c>
    </row>
    <row r="108" spans="1:7" x14ac:dyDescent="0.2">
      <c r="A108" t="s">
        <v>83</v>
      </c>
      <c r="B108" t="s">
        <v>847</v>
      </c>
      <c r="D108" t="s">
        <v>988</v>
      </c>
    </row>
    <row r="109" spans="1:7" x14ac:dyDescent="0.2">
      <c r="A109" t="s">
        <v>75</v>
      </c>
      <c r="B109" t="s">
        <v>847</v>
      </c>
      <c r="D109" t="s">
        <v>988</v>
      </c>
    </row>
    <row r="110" spans="1:7" x14ac:dyDescent="0.2">
      <c r="A110" t="s">
        <v>76</v>
      </c>
      <c r="B110" t="s">
        <v>847</v>
      </c>
      <c r="D110" t="s">
        <v>988</v>
      </c>
    </row>
    <row r="111" spans="1:7" x14ac:dyDescent="0.2">
      <c r="A111" t="s">
        <v>77</v>
      </c>
      <c r="B111" t="s">
        <v>847</v>
      </c>
      <c r="D111" t="s">
        <v>988</v>
      </c>
    </row>
    <row r="112" spans="1:7" x14ac:dyDescent="0.2">
      <c r="A112" t="s">
        <v>79</v>
      </c>
      <c r="B112" t="s">
        <v>847</v>
      </c>
      <c r="D112" t="s">
        <v>988</v>
      </c>
    </row>
    <row r="113" spans="1:4" x14ac:dyDescent="0.2">
      <c r="A113" t="s">
        <v>80</v>
      </c>
      <c r="B113" t="s">
        <v>847</v>
      </c>
      <c r="D113" t="s">
        <v>988</v>
      </c>
    </row>
    <row r="114" spans="1:4" x14ac:dyDescent="0.2">
      <c r="A114" t="s">
        <v>82</v>
      </c>
      <c r="B114" t="s">
        <v>847</v>
      </c>
      <c r="D114" t="s">
        <v>988</v>
      </c>
    </row>
    <row r="115" spans="1:4" x14ac:dyDescent="0.2">
      <c r="A115" t="s">
        <v>84</v>
      </c>
      <c r="B115" t="s">
        <v>847</v>
      </c>
      <c r="D115" t="s">
        <v>988</v>
      </c>
    </row>
    <row r="116" spans="1:4" x14ac:dyDescent="0.2">
      <c r="A116" t="s">
        <v>85</v>
      </c>
      <c r="B116" t="s">
        <v>847</v>
      </c>
      <c r="D116" t="s">
        <v>988</v>
      </c>
    </row>
    <row r="117" spans="1:4" x14ac:dyDescent="0.2">
      <c r="A117" t="s">
        <v>86</v>
      </c>
      <c r="B117" t="s">
        <v>847</v>
      </c>
      <c r="D117" t="s">
        <v>988</v>
      </c>
    </row>
    <row r="118" spans="1:4" x14ac:dyDescent="0.2">
      <c r="A118" t="s">
        <v>101</v>
      </c>
      <c r="B118" t="s">
        <v>847</v>
      </c>
      <c r="D118" t="s">
        <v>988</v>
      </c>
    </row>
    <row r="119" spans="1:4" x14ac:dyDescent="0.2">
      <c r="A119" t="s">
        <v>100</v>
      </c>
      <c r="B119" t="s">
        <v>847</v>
      </c>
      <c r="D119" t="s">
        <v>988</v>
      </c>
    </row>
    <row r="120" spans="1:4" x14ac:dyDescent="0.2">
      <c r="A120" t="s">
        <v>87</v>
      </c>
      <c r="B120" t="s">
        <v>847</v>
      </c>
      <c r="D120" t="s">
        <v>988</v>
      </c>
    </row>
    <row r="121" spans="1:4" x14ac:dyDescent="0.2">
      <c r="A121" t="s">
        <v>88</v>
      </c>
      <c r="B121" t="s">
        <v>847</v>
      </c>
      <c r="D121" t="s">
        <v>988</v>
      </c>
    </row>
    <row r="122" spans="1:4" x14ac:dyDescent="0.2">
      <c r="A122" t="s">
        <v>89</v>
      </c>
      <c r="B122" t="s">
        <v>847</v>
      </c>
      <c r="D122" t="s">
        <v>988</v>
      </c>
    </row>
    <row r="123" spans="1:4" x14ac:dyDescent="0.2">
      <c r="A123" t="s">
        <v>90</v>
      </c>
      <c r="B123" t="s">
        <v>847</v>
      </c>
      <c r="D123" t="s">
        <v>988</v>
      </c>
    </row>
    <row r="124" spans="1:4" x14ac:dyDescent="0.2">
      <c r="A124" t="s">
        <v>91</v>
      </c>
      <c r="B124" t="s">
        <v>847</v>
      </c>
      <c r="D124" t="s">
        <v>988</v>
      </c>
    </row>
    <row r="125" spans="1:4" x14ac:dyDescent="0.2">
      <c r="A125" t="s">
        <v>99</v>
      </c>
      <c r="B125" t="s">
        <v>847</v>
      </c>
      <c r="D125" t="s">
        <v>988</v>
      </c>
    </row>
    <row r="126" spans="1:4" x14ac:dyDescent="0.2">
      <c r="A126" t="s">
        <v>98</v>
      </c>
      <c r="B126" t="s">
        <v>847</v>
      </c>
      <c r="D126" t="s">
        <v>988</v>
      </c>
    </row>
    <row r="127" spans="1:4" x14ac:dyDescent="0.2">
      <c r="A127" t="s">
        <v>96</v>
      </c>
      <c r="B127" t="s">
        <v>847</v>
      </c>
      <c r="D127" t="s">
        <v>988</v>
      </c>
    </row>
    <row r="128" spans="1:4" x14ac:dyDescent="0.2">
      <c r="A128" t="s">
        <v>92</v>
      </c>
      <c r="B128" t="s">
        <v>847</v>
      </c>
      <c r="D128" t="s">
        <v>988</v>
      </c>
    </row>
    <row r="129" spans="1:4" x14ac:dyDescent="0.2">
      <c r="A129" t="s">
        <v>94</v>
      </c>
      <c r="B129" t="s">
        <v>847</v>
      </c>
      <c r="D129" t="s">
        <v>988</v>
      </c>
    </row>
    <row r="130" spans="1:4" x14ac:dyDescent="0.2">
      <c r="A130" t="s">
        <v>95</v>
      </c>
      <c r="B130" t="s">
        <v>847</v>
      </c>
      <c r="D130" t="s">
        <v>988</v>
      </c>
    </row>
    <row r="131" spans="1:4" x14ac:dyDescent="0.2">
      <c r="A131" t="s">
        <v>102</v>
      </c>
      <c r="B131" t="s">
        <v>847</v>
      </c>
      <c r="D131" t="s">
        <v>988</v>
      </c>
    </row>
    <row r="132" spans="1:4" x14ac:dyDescent="0.2">
      <c r="A132" t="s">
        <v>106</v>
      </c>
      <c r="B132" t="s">
        <v>847</v>
      </c>
      <c r="D132" t="s">
        <v>988</v>
      </c>
    </row>
    <row r="133" spans="1:4" x14ac:dyDescent="0.2">
      <c r="A133" t="s">
        <v>137</v>
      </c>
      <c r="B133" t="s">
        <v>847</v>
      </c>
      <c r="D133" t="s">
        <v>988</v>
      </c>
    </row>
    <row r="134" spans="1:4" x14ac:dyDescent="0.2">
      <c r="A134" t="s">
        <v>134</v>
      </c>
      <c r="B134" t="s">
        <v>847</v>
      </c>
      <c r="D134" t="s">
        <v>988</v>
      </c>
    </row>
    <row r="135" spans="1:4" x14ac:dyDescent="0.2">
      <c r="A135" t="s">
        <v>136</v>
      </c>
      <c r="B135" t="s">
        <v>847</v>
      </c>
      <c r="D135" t="s">
        <v>988</v>
      </c>
    </row>
    <row r="136" spans="1:4" x14ac:dyDescent="0.2">
      <c r="A136" t="s">
        <v>133</v>
      </c>
      <c r="B136" t="s">
        <v>847</v>
      </c>
      <c r="D136" t="s">
        <v>988</v>
      </c>
    </row>
    <row r="137" spans="1:4" x14ac:dyDescent="0.2">
      <c r="A137" t="s">
        <v>131</v>
      </c>
      <c r="B137" t="s">
        <v>847</v>
      </c>
      <c r="D137" t="s">
        <v>988</v>
      </c>
    </row>
    <row r="138" spans="1:4" x14ac:dyDescent="0.2">
      <c r="A138" t="s">
        <v>120</v>
      </c>
      <c r="B138" t="s">
        <v>847</v>
      </c>
      <c r="D138" t="s">
        <v>988</v>
      </c>
    </row>
    <row r="139" spans="1:4" x14ac:dyDescent="0.2">
      <c r="A139" t="s">
        <v>130</v>
      </c>
      <c r="B139" t="s">
        <v>847</v>
      </c>
      <c r="D139" t="s">
        <v>988</v>
      </c>
    </row>
    <row r="140" spans="1:4" x14ac:dyDescent="0.2">
      <c r="A140" t="s">
        <v>113</v>
      </c>
      <c r="B140" t="s">
        <v>847</v>
      </c>
      <c r="D140" t="s">
        <v>988</v>
      </c>
    </row>
    <row r="141" spans="1:4" x14ac:dyDescent="0.2">
      <c r="A141" t="s">
        <v>129</v>
      </c>
      <c r="B141" t="s">
        <v>847</v>
      </c>
      <c r="D141" t="s">
        <v>988</v>
      </c>
    </row>
    <row r="142" spans="1:4" x14ac:dyDescent="0.2">
      <c r="A142" t="s">
        <v>111</v>
      </c>
      <c r="B142" t="s">
        <v>847</v>
      </c>
      <c r="D142" t="s">
        <v>988</v>
      </c>
    </row>
    <row r="143" spans="1:4" x14ac:dyDescent="0.2">
      <c r="A143" t="s">
        <v>123</v>
      </c>
      <c r="B143" t="s">
        <v>847</v>
      </c>
      <c r="D143" t="s">
        <v>988</v>
      </c>
    </row>
    <row r="144" spans="1:4" x14ac:dyDescent="0.2">
      <c r="A144" t="s">
        <v>117</v>
      </c>
      <c r="B144" t="s">
        <v>847</v>
      </c>
      <c r="D144" t="s">
        <v>988</v>
      </c>
    </row>
    <row r="145" spans="1:4" x14ac:dyDescent="0.2">
      <c r="A145" t="s">
        <v>116</v>
      </c>
      <c r="B145" t="s">
        <v>847</v>
      </c>
      <c r="D145" t="s">
        <v>988</v>
      </c>
    </row>
    <row r="146" spans="1:4" x14ac:dyDescent="0.2">
      <c r="A146" t="s">
        <v>140</v>
      </c>
      <c r="B146" t="s">
        <v>847</v>
      </c>
      <c r="D146" t="s">
        <v>988</v>
      </c>
    </row>
    <row r="147" spans="1:4" x14ac:dyDescent="0.2">
      <c r="A147" t="s">
        <v>141</v>
      </c>
      <c r="B147" t="s">
        <v>847</v>
      </c>
      <c r="D147" t="s">
        <v>988</v>
      </c>
    </row>
    <row r="148" spans="1:4" x14ac:dyDescent="0.2">
      <c r="A148" t="s">
        <v>138</v>
      </c>
      <c r="B148" t="s">
        <v>847</v>
      </c>
      <c r="D148" t="s">
        <v>988</v>
      </c>
    </row>
    <row r="149" spans="1:4" x14ac:dyDescent="0.2">
      <c r="A149" t="s">
        <v>108</v>
      </c>
      <c r="B149" t="s">
        <v>847</v>
      </c>
      <c r="D149" t="s">
        <v>988</v>
      </c>
    </row>
    <row r="150" spans="1:4" x14ac:dyDescent="0.2">
      <c r="A150" t="s">
        <v>110</v>
      </c>
      <c r="B150" t="s">
        <v>847</v>
      </c>
      <c r="D150" t="s">
        <v>988</v>
      </c>
    </row>
    <row r="151" spans="1:4" x14ac:dyDescent="0.2">
      <c r="A151" t="s">
        <v>132</v>
      </c>
      <c r="B151" t="s">
        <v>847</v>
      </c>
      <c r="D151" t="s">
        <v>988</v>
      </c>
    </row>
    <row r="152" spans="1:4" x14ac:dyDescent="0.2">
      <c r="A152" t="s">
        <v>124</v>
      </c>
      <c r="B152" t="s">
        <v>847</v>
      </c>
      <c r="D152" t="s">
        <v>988</v>
      </c>
    </row>
    <row r="153" spans="1:4" x14ac:dyDescent="0.2">
      <c r="A153" t="s">
        <v>128</v>
      </c>
      <c r="B153" t="s">
        <v>847</v>
      </c>
      <c r="D153" t="s">
        <v>988</v>
      </c>
    </row>
    <row r="154" spans="1:4" x14ac:dyDescent="0.2">
      <c r="A154" t="s">
        <v>122</v>
      </c>
      <c r="B154" t="s">
        <v>847</v>
      </c>
      <c r="D154" t="s">
        <v>988</v>
      </c>
    </row>
    <row r="155" spans="1:4" x14ac:dyDescent="0.2">
      <c r="A155" t="s">
        <v>103</v>
      </c>
      <c r="B155" t="s">
        <v>847</v>
      </c>
      <c r="D155" t="s">
        <v>988</v>
      </c>
    </row>
    <row r="156" spans="1:4" x14ac:dyDescent="0.2">
      <c r="A156" t="s">
        <v>135</v>
      </c>
      <c r="B156" t="s">
        <v>847</v>
      </c>
      <c r="D156" t="s">
        <v>988</v>
      </c>
    </row>
    <row r="157" spans="1:4" x14ac:dyDescent="0.2">
      <c r="A157" t="s">
        <v>139</v>
      </c>
      <c r="B157" t="s">
        <v>847</v>
      </c>
      <c r="D157" t="s">
        <v>988</v>
      </c>
    </row>
    <row r="158" spans="1:4" x14ac:dyDescent="0.2">
      <c r="A158" t="s">
        <v>127</v>
      </c>
      <c r="B158" t="s">
        <v>847</v>
      </c>
      <c r="D158" t="s">
        <v>988</v>
      </c>
    </row>
    <row r="159" spans="1:4" x14ac:dyDescent="0.2">
      <c r="A159" t="s">
        <v>104</v>
      </c>
      <c r="B159" t="s">
        <v>847</v>
      </c>
      <c r="D159" t="s">
        <v>988</v>
      </c>
    </row>
    <row r="160" spans="1:4" x14ac:dyDescent="0.2">
      <c r="A160" t="s">
        <v>105</v>
      </c>
      <c r="B160" t="s">
        <v>847</v>
      </c>
      <c r="D160" t="s">
        <v>988</v>
      </c>
    </row>
    <row r="161" spans="1:7" x14ac:dyDescent="0.2">
      <c r="A161" t="s">
        <v>126</v>
      </c>
      <c r="B161" t="s">
        <v>847</v>
      </c>
      <c r="D161" t="s">
        <v>988</v>
      </c>
    </row>
    <row r="162" spans="1:7" x14ac:dyDescent="0.2">
      <c r="A162" t="s">
        <v>119</v>
      </c>
      <c r="B162" t="s">
        <v>847</v>
      </c>
      <c r="D162" t="s">
        <v>988</v>
      </c>
    </row>
    <row r="163" spans="1:7" x14ac:dyDescent="0.2">
      <c r="A163" t="s">
        <v>118</v>
      </c>
      <c r="B163" t="s">
        <v>847</v>
      </c>
      <c r="D163" t="s">
        <v>988</v>
      </c>
    </row>
    <row r="164" spans="1:7" x14ac:dyDescent="0.2">
      <c r="A164" t="s">
        <v>114</v>
      </c>
      <c r="B164" t="s">
        <v>847</v>
      </c>
      <c r="D164" t="s">
        <v>988</v>
      </c>
    </row>
    <row r="165" spans="1:7" x14ac:dyDescent="0.2">
      <c r="A165" t="s">
        <v>112</v>
      </c>
      <c r="B165" t="s">
        <v>847</v>
      </c>
      <c r="D165" t="s">
        <v>988</v>
      </c>
    </row>
    <row r="166" spans="1:7" x14ac:dyDescent="0.2">
      <c r="A166" t="s">
        <v>109</v>
      </c>
      <c r="B166" t="s">
        <v>847</v>
      </c>
      <c r="D166" t="s">
        <v>988</v>
      </c>
    </row>
    <row r="167" spans="1:7" x14ac:dyDescent="0.2">
      <c r="A167" t="s">
        <v>121</v>
      </c>
      <c r="B167" t="s">
        <v>847</v>
      </c>
      <c r="D167" t="s">
        <v>988</v>
      </c>
    </row>
    <row r="168" spans="1:7" x14ac:dyDescent="0.2">
      <c r="A168" t="s">
        <v>115</v>
      </c>
      <c r="B168" t="s">
        <v>847</v>
      </c>
      <c r="D168" t="s">
        <v>988</v>
      </c>
    </row>
    <row r="169" spans="1:7" x14ac:dyDescent="0.2">
      <c r="A169" t="s">
        <v>70</v>
      </c>
      <c r="B169" t="s">
        <v>836</v>
      </c>
      <c r="C169" t="s">
        <v>989</v>
      </c>
      <c r="D169" t="s">
        <v>863</v>
      </c>
      <c r="E169" t="s">
        <v>875</v>
      </c>
      <c r="F169">
        <v>3.5</v>
      </c>
      <c r="G169">
        <v>7</v>
      </c>
    </row>
    <row r="170" spans="1:7" x14ac:dyDescent="0.2">
      <c r="A170" t="s">
        <v>70</v>
      </c>
      <c r="B170" t="s">
        <v>840</v>
      </c>
      <c r="C170" t="s">
        <v>70</v>
      </c>
      <c r="D170" t="s">
        <v>990</v>
      </c>
      <c r="E170" t="s">
        <v>875</v>
      </c>
      <c r="F170">
        <v>2.2000000000000002</v>
      </c>
      <c r="G170">
        <v>4.4000000000000004</v>
      </c>
    </row>
    <row r="171" spans="1:7" x14ac:dyDescent="0.2">
      <c r="A171" t="s">
        <v>70</v>
      </c>
      <c r="B171" t="s">
        <v>844</v>
      </c>
      <c r="C171" t="s">
        <v>991</v>
      </c>
      <c r="D171" t="s">
        <v>992</v>
      </c>
      <c r="E171" t="s">
        <v>993</v>
      </c>
      <c r="F171">
        <v>6</v>
      </c>
      <c r="G171">
        <v>6</v>
      </c>
    </row>
    <row r="172" spans="1:7" x14ac:dyDescent="0.2">
      <c r="A172" t="s">
        <v>143</v>
      </c>
      <c r="B172" t="s">
        <v>836</v>
      </c>
      <c r="C172" t="s">
        <v>994</v>
      </c>
      <c r="D172" t="s">
        <v>995</v>
      </c>
      <c r="E172" t="s">
        <v>791</v>
      </c>
      <c r="F172">
        <v>12</v>
      </c>
      <c r="G172">
        <v>120</v>
      </c>
    </row>
    <row r="173" spans="1:7" x14ac:dyDescent="0.2">
      <c r="A173" t="s">
        <v>143</v>
      </c>
      <c r="B173" t="s">
        <v>840</v>
      </c>
      <c r="C173" t="s">
        <v>143</v>
      </c>
      <c r="D173" t="s">
        <v>996</v>
      </c>
      <c r="E173" t="s">
        <v>791</v>
      </c>
      <c r="F173">
        <v>8</v>
      </c>
      <c r="G173">
        <v>80</v>
      </c>
    </row>
    <row r="174" spans="1:7" x14ac:dyDescent="0.2">
      <c r="A174" t="s">
        <v>143</v>
      </c>
      <c r="B174" t="s">
        <v>844</v>
      </c>
      <c r="C174" t="s">
        <v>997</v>
      </c>
      <c r="D174" t="s">
        <v>992</v>
      </c>
      <c r="E174" t="s">
        <v>791</v>
      </c>
      <c r="F174">
        <v>18</v>
      </c>
      <c r="G174">
        <v>180</v>
      </c>
    </row>
    <row r="175" spans="1:7" x14ac:dyDescent="0.2">
      <c r="A175" t="s">
        <v>142</v>
      </c>
      <c r="B175" t="s">
        <v>836</v>
      </c>
      <c r="C175" t="s">
        <v>998</v>
      </c>
      <c r="D175" t="s">
        <v>838</v>
      </c>
      <c r="E175" t="s">
        <v>843</v>
      </c>
      <c r="F175">
        <v>5</v>
      </c>
      <c r="G175">
        <v>50</v>
      </c>
    </row>
    <row r="176" spans="1:7" x14ac:dyDescent="0.2">
      <c r="A176" t="s">
        <v>142</v>
      </c>
      <c r="B176" t="s">
        <v>840</v>
      </c>
      <c r="C176" t="s">
        <v>999</v>
      </c>
      <c r="D176" t="s">
        <v>996</v>
      </c>
      <c r="E176" t="s">
        <v>843</v>
      </c>
      <c r="F176">
        <v>3.5</v>
      </c>
      <c r="G176">
        <v>35</v>
      </c>
    </row>
    <row r="177" spans="1:7" x14ac:dyDescent="0.2">
      <c r="A177" t="s">
        <v>142</v>
      </c>
      <c r="B177" t="s">
        <v>844</v>
      </c>
      <c r="C177" t="s">
        <v>1000</v>
      </c>
      <c r="D177" t="s">
        <v>992</v>
      </c>
      <c r="E177" t="s">
        <v>843</v>
      </c>
      <c r="F177">
        <v>7</v>
      </c>
      <c r="G177">
        <v>70</v>
      </c>
    </row>
    <row r="178" spans="1:7" x14ac:dyDescent="0.2">
      <c r="A178" t="s">
        <v>144</v>
      </c>
      <c r="B178" t="s">
        <v>836</v>
      </c>
      <c r="C178" t="s">
        <v>1001</v>
      </c>
      <c r="D178" t="s">
        <v>838</v>
      </c>
      <c r="E178" t="s">
        <v>843</v>
      </c>
      <c r="F178">
        <v>3.5</v>
      </c>
      <c r="G178">
        <v>35</v>
      </c>
    </row>
    <row r="179" spans="1:7" x14ac:dyDescent="0.2">
      <c r="A179" t="s">
        <v>144</v>
      </c>
      <c r="B179" t="s">
        <v>840</v>
      </c>
      <c r="C179" t="s">
        <v>1002</v>
      </c>
      <c r="D179" t="s">
        <v>852</v>
      </c>
      <c r="E179" t="s">
        <v>1003</v>
      </c>
      <c r="F179">
        <v>2.2000000000000002</v>
      </c>
      <c r="G179">
        <v>31.43</v>
      </c>
    </row>
    <row r="180" spans="1:7" x14ac:dyDescent="0.2">
      <c r="A180" t="s">
        <v>144</v>
      </c>
      <c r="B180" t="s">
        <v>844</v>
      </c>
      <c r="C180" t="s">
        <v>1004</v>
      </c>
      <c r="D180" t="s">
        <v>992</v>
      </c>
      <c r="E180" t="s">
        <v>843</v>
      </c>
      <c r="F180">
        <v>5</v>
      </c>
      <c r="G180">
        <v>50</v>
      </c>
    </row>
    <row r="181" spans="1:7" x14ac:dyDescent="0.2">
      <c r="A181" t="s">
        <v>145</v>
      </c>
      <c r="B181" t="s">
        <v>836</v>
      </c>
      <c r="C181" t="s">
        <v>1005</v>
      </c>
      <c r="D181" t="s">
        <v>846</v>
      </c>
      <c r="E181" t="s">
        <v>839</v>
      </c>
      <c r="F181">
        <v>5.5</v>
      </c>
      <c r="G181">
        <v>110</v>
      </c>
    </row>
    <row r="182" spans="1:7" x14ac:dyDescent="0.2">
      <c r="A182" t="s">
        <v>145</v>
      </c>
      <c r="B182" t="s">
        <v>840</v>
      </c>
      <c r="C182" t="s">
        <v>1006</v>
      </c>
      <c r="D182" t="s">
        <v>1007</v>
      </c>
      <c r="E182" t="s">
        <v>1008</v>
      </c>
      <c r="F182">
        <v>2.8</v>
      </c>
      <c r="G182">
        <v>93.33</v>
      </c>
    </row>
    <row r="183" spans="1:7" x14ac:dyDescent="0.2">
      <c r="A183" t="s">
        <v>145</v>
      </c>
      <c r="B183" t="s">
        <v>844</v>
      </c>
      <c r="C183" t="s">
        <v>1009</v>
      </c>
      <c r="D183" t="s">
        <v>992</v>
      </c>
      <c r="E183" t="s">
        <v>839</v>
      </c>
      <c r="F183">
        <v>7</v>
      </c>
      <c r="G183">
        <v>140</v>
      </c>
    </row>
    <row r="184" spans="1:7" x14ac:dyDescent="0.2">
      <c r="A184" t="s">
        <v>147</v>
      </c>
      <c r="B184" t="s">
        <v>836</v>
      </c>
      <c r="C184" t="s">
        <v>1010</v>
      </c>
      <c r="D184" t="s">
        <v>846</v>
      </c>
      <c r="E184" t="s">
        <v>839</v>
      </c>
      <c r="F184">
        <v>5.5</v>
      </c>
      <c r="G184">
        <v>110</v>
      </c>
    </row>
    <row r="185" spans="1:7" x14ac:dyDescent="0.2">
      <c r="A185" t="s">
        <v>147</v>
      </c>
      <c r="B185" t="s">
        <v>840</v>
      </c>
      <c r="C185" t="s">
        <v>1011</v>
      </c>
      <c r="D185" t="s">
        <v>1007</v>
      </c>
      <c r="E185" t="s">
        <v>1008</v>
      </c>
      <c r="F185">
        <v>2.8</v>
      </c>
      <c r="G185">
        <v>93.33</v>
      </c>
    </row>
    <row r="186" spans="1:7" x14ac:dyDescent="0.2">
      <c r="A186" t="s">
        <v>147</v>
      </c>
      <c r="B186" t="s">
        <v>844</v>
      </c>
      <c r="C186" t="s">
        <v>1012</v>
      </c>
      <c r="D186" t="s">
        <v>992</v>
      </c>
      <c r="E186" t="s">
        <v>839</v>
      </c>
      <c r="F186">
        <v>7</v>
      </c>
      <c r="G186">
        <v>140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8"/>
  <dimension ref="A1:BF58"/>
  <sheetViews>
    <sheetView workbookViewId="0">
      <selection activeCell="P3" sqref="P3"/>
    </sheetView>
  </sheetViews>
  <sheetFormatPr baseColWidth="10" defaultColWidth="11" defaultRowHeight="16" x14ac:dyDescent="0.2"/>
  <cols>
    <col min="1" max="1" width="25.1640625" customWidth="1"/>
    <col min="2" max="7" width="8.1640625" customWidth="1"/>
    <col min="8" max="8" width="12.1640625" customWidth="1"/>
    <col min="9" max="9" width="16.1640625" customWidth="1"/>
    <col min="10" max="10" width="12.6640625" customWidth="1"/>
    <col min="11" max="11" width="15" customWidth="1"/>
    <col min="12" max="12" width="17.5" customWidth="1"/>
    <col min="13" max="14" width="11.33203125" customWidth="1"/>
  </cols>
  <sheetData>
    <row r="1" spans="1:58" ht="74" customHeight="1" x14ac:dyDescent="0.2">
      <c r="A1" s="24" t="s">
        <v>0</v>
      </c>
      <c r="B1" s="24" t="s">
        <v>1013</v>
      </c>
      <c r="C1" s="24" t="s">
        <v>1014</v>
      </c>
      <c r="D1" s="24" t="s">
        <v>1015</v>
      </c>
      <c r="E1" s="24" t="s">
        <v>7</v>
      </c>
      <c r="F1" s="25" t="s">
        <v>8</v>
      </c>
      <c r="G1" s="24" t="s">
        <v>1016</v>
      </c>
      <c r="H1" s="24" t="s">
        <v>1017</v>
      </c>
      <c r="I1" s="24" t="s">
        <v>1018</v>
      </c>
      <c r="J1" s="24" t="s">
        <v>1019</v>
      </c>
      <c r="K1" s="24" t="s">
        <v>10</v>
      </c>
      <c r="L1" s="24" t="s">
        <v>1020</v>
      </c>
      <c r="M1" s="24" t="s">
        <v>1021</v>
      </c>
      <c r="N1" s="24" t="s">
        <v>1022</v>
      </c>
      <c r="O1" s="24" t="s">
        <v>1023</v>
      </c>
      <c r="P1" t="s">
        <v>1024</v>
      </c>
    </row>
    <row r="2" spans="1:58" x14ac:dyDescent="0.2">
      <c r="A2" s="19" t="s">
        <v>84</v>
      </c>
      <c r="B2" s="20">
        <v>25</v>
      </c>
      <c r="C2" s="20">
        <v>45</v>
      </c>
      <c r="D2" s="20">
        <v>1.125</v>
      </c>
      <c r="E2" s="20">
        <v>4.5</v>
      </c>
      <c r="F2" s="21">
        <v>100</v>
      </c>
      <c r="G2" s="20">
        <v>96.5</v>
      </c>
      <c r="H2" s="20" t="s">
        <v>73</v>
      </c>
      <c r="I2" s="20">
        <v>0.64</v>
      </c>
      <c r="J2" s="20" t="e">
        <v>#N/A</v>
      </c>
      <c r="K2" s="20">
        <v>65.33</v>
      </c>
      <c r="L2" s="20"/>
      <c r="M2" s="20"/>
      <c r="N2" s="22"/>
    </row>
    <row r="3" spans="1:58" x14ac:dyDescent="0.2">
      <c r="A3" s="19" t="s">
        <v>134</v>
      </c>
      <c r="B3" s="20">
        <v>25</v>
      </c>
      <c r="C3" s="20">
        <v>45</v>
      </c>
      <c r="D3" s="20">
        <v>1.125</v>
      </c>
      <c r="E3" s="20">
        <v>7.3125</v>
      </c>
      <c r="F3" s="21">
        <v>162.5</v>
      </c>
      <c r="G3" s="20">
        <v>166.8125</v>
      </c>
      <c r="H3" s="20" t="s">
        <v>73</v>
      </c>
      <c r="I3" s="20">
        <v>0.64</v>
      </c>
      <c r="J3" s="20" t="e">
        <v>#N/A</v>
      </c>
      <c r="K3" s="20"/>
      <c r="L3" s="20">
        <v>162.5</v>
      </c>
      <c r="M3" s="20"/>
      <c r="N3" s="22"/>
      <c r="P3" s="192">
        <f t="array" ref="P3:BF58">TableauProduit[Total (kg) N1]:TableauProduit[Total (kg) N2]:TableauProduit[Total (kg) N3]:TableauProduit[Total (kg) N4]:TableauProduit[Total (kg) N5]:TableauProduit[Total (kg) N6]:TableauProduit[Total (kg) N7]:TableauProduit[Total (kg) N8]</f>
        <v>52</v>
      </c>
      <c r="Q3">
        <v>429</v>
      </c>
      <c r="R3">
        <v>0</v>
      </c>
      <c r="S3">
        <v>4875</v>
      </c>
      <c r="T3" t="e">
        <v>#REF!</v>
      </c>
      <c r="U3">
        <v>975</v>
      </c>
      <c r="V3" t="e">
        <v>#REF!</v>
      </c>
      <c r="W3" t="e">
        <v>#REF!</v>
      </c>
      <c r="X3" t="e">
        <v>#REF!</v>
      </c>
      <c r="Y3" t="e">
        <v>#REF!</v>
      </c>
      <c r="Z3" t="e">
        <v>#REF!</v>
      </c>
      <c r="AA3">
        <v>1138</v>
      </c>
      <c r="AB3" t="e">
        <v>#REF!</v>
      </c>
      <c r="AC3" t="e">
        <v>#REF!</v>
      </c>
      <c r="AD3" t="e">
        <v>#REF!</v>
      </c>
      <c r="AE3" t="e">
        <v>#REF!</v>
      </c>
      <c r="AF3" t="e">
        <v>#REF!</v>
      </c>
      <c r="AG3">
        <v>1235</v>
      </c>
      <c r="AH3" t="e">
        <v>#REF!</v>
      </c>
      <c r="AI3" t="e">
        <v>#REF!</v>
      </c>
      <c r="AJ3" t="e">
        <v>#REF!</v>
      </c>
      <c r="AK3" t="e">
        <v>#REF!</v>
      </c>
      <c r="AL3" t="e">
        <v>#REF!</v>
      </c>
      <c r="AM3">
        <v>1300</v>
      </c>
      <c r="AN3" t="e">
        <v>#REF!</v>
      </c>
      <c r="AO3" t="e">
        <v>#REF!</v>
      </c>
      <c r="AP3" t="e">
        <v>#REF!</v>
      </c>
      <c r="AQ3" t="e">
        <v>#REF!</v>
      </c>
      <c r="AR3" t="e">
        <v>#REF!</v>
      </c>
      <c r="AS3">
        <v>1300</v>
      </c>
      <c r="AT3" t="e">
        <v>#REF!</v>
      </c>
      <c r="AU3" t="e">
        <v>#REF!</v>
      </c>
      <c r="AV3" t="e">
        <v>#REF!</v>
      </c>
      <c r="AW3" t="e">
        <v>#REF!</v>
      </c>
      <c r="AX3" t="e">
        <v>#REF!</v>
      </c>
      <c r="AY3">
        <v>1300</v>
      </c>
      <c r="AZ3" t="e">
        <v>#REF!</v>
      </c>
      <c r="BA3" t="e">
        <v>#REF!</v>
      </c>
      <c r="BB3" t="e">
        <v>#REF!</v>
      </c>
      <c r="BC3" t="e">
        <v>#REF!</v>
      </c>
      <c r="BD3" t="e">
        <v>#REF!</v>
      </c>
      <c r="BE3">
        <v>1300</v>
      </c>
      <c r="BF3" t="e">
        <v>#REF!</v>
      </c>
    </row>
    <row r="4" spans="1:58" x14ac:dyDescent="0.2">
      <c r="A4" s="19" t="s">
        <v>136</v>
      </c>
      <c r="B4" s="20">
        <v>25</v>
      </c>
      <c r="C4" s="20">
        <v>65</v>
      </c>
      <c r="D4" s="20">
        <v>1.625</v>
      </c>
      <c r="E4" s="20">
        <v>7.8000000000000007</v>
      </c>
      <c r="F4" s="21">
        <v>120</v>
      </c>
      <c r="G4" s="20">
        <v>179</v>
      </c>
      <c r="H4" s="20" t="s">
        <v>73</v>
      </c>
      <c r="I4" s="20">
        <v>0.64</v>
      </c>
      <c r="J4" s="20" t="e">
        <v>#N/A</v>
      </c>
      <c r="K4" s="20"/>
      <c r="L4" s="20">
        <v>96</v>
      </c>
      <c r="M4" s="20"/>
      <c r="N4" s="22"/>
      <c r="P4">
        <v>187.5</v>
      </c>
      <c r="Q4">
        <v>592.5</v>
      </c>
      <c r="R4">
        <v>0</v>
      </c>
      <c r="S4">
        <v>3750</v>
      </c>
      <c r="T4" t="e">
        <v>#REF!</v>
      </c>
      <c r="U4">
        <v>1125</v>
      </c>
      <c r="V4" t="e">
        <v>#REF!</v>
      </c>
      <c r="W4" t="e">
        <v>#REF!</v>
      </c>
      <c r="X4" t="e">
        <v>#REF!</v>
      </c>
      <c r="Y4" t="e">
        <v>#REF!</v>
      </c>
      <c r="Z4" t="e">
        <v>#REF!</v>
      </c>
      <c r="AA4">
        <v>1312</v>
      </c>
      <c r="AB4" t="e">
        <v>#REF!</v>
      </c>
      <c r="AC4" t="e">
        <v>#REF!</v>
      </c>
      <c r="AD4" t="e">
        <v>#REF!</v>
      </c>
      <c r="AE4" t="e">
        <v>#REF!</v>
      </c>
      <c r="AF4" t="e">
        <v>#REF!</v>
      </c>
      <c r="AG4">
        <v>1425</v>
      </c>
      <c r="AH4" t="e">
        <v>#REF!</v>
      </c>
      <c r="AI4" t="e">
        <v>#REF!</v>
      </c>
      <c r="AJ4" t="e">
        <v>#REF!</v>
      </c>
      <c r="AK4" t="e">
        <v>#REF!</v>
      </c>
      <c r="AL4" t="e">
        <v>#REF!</v>
      </c>
      <c r="AM4">
        <v>1500</v>
      </c>
      <c r="AN4" t="e">
        <v>#REF!</v>
      </c>
      <c r="AO4" t="e">
        <v>#REF!</v>
      </c>
      <c r="AP4" t="e">
        <v>#REF!</v>
      </c>
      <c r="AQ4" t="e">
        <v>#REF!</v>
      </c>
      <c r="AR4" t="e">
        <v>#REF!</v>
      </c>
      <c r="AS4">
        <v>1500</v>
      </c>
      <c r="AT4" t="e">
        <v>#REF!</v>
      </c>
      <c r="AU4" t="e">
        <v>#REF!</v>
      </c>
      <c r="AV4" t="e">
        <v>#REF!</v>
      </c>
      <c r="AW4" t="e">
        <v>#REF!</v>
      </c>
      <c r="AX4" t="e">
        <v>#REF!</v>
      </c>
      <c r="AY4">
        <v>1500</v>
      </c>
      <c r="AZ4" t="e">
        <v>#REF!</v>
      </c>
      <c r="BA4" t="e">
        <v>#REF!</v>
      </c>
      <c r="BB4" t="e">
        <v>#REF!</v>
      </c>
      <c r="BC4" t="e">
        <v>#REF!</v>
      </c>
      <c r="BD4" t="e">
        <v>#REF!</v>
      </c>
      <c r="BE4">
        <v>1500</v>
      </c>
      <c r="BF4" t="e">
        <v>#REF!</v>
      </c>
    </row>
    <row r="5" spans="1:58" x14ac:dyDescent="0.2">
      <c r="A5" s="19" t="s">
        <v>85</v>
      </c>
      <c r="B5" s="20">
        <v>25</v>
      </c>
      <c r="C5" s="20">
        <v>45</v>
      </c>
      <c r="D5" s="20">
        <v>1.125</v>
      </c>
      <c r="E5" s="20">
        <v>2.7</v>
      </c>
      <c r="F5" s="21">
        <v>60</v>
      </c>
      <c r="G5" s="20">
        <v>51.499999999999993</v>
      </c>
      <c r="H5" s="20" t="s">
        <v>73</v>
      </c>
      <c r="I5" s="20">
        <v>0.64</v>
      </c>
      <c r="J5" s="20" t="e">
        <v>#N/A</v>
      </c>
      <c r="K5" s="20">
        <v>51.33</v>
      </c>
      <c r="L5" s="20"/>
      <c r="M5" s="20"/>
      <c r="N5" s="22"/>
      <c r="P5">
        <v>450</v>
      </c>
      <c r="Q5">
        <v>436.5</v>
      </c>
      <c r="R5">
        <v>0</v>
      </c>
      <c r="S5">
        <v>1800</v>
      </c>
      <c r="T5" t="e">
        <v>#REF!</v>
      </c>
      <c r="U5">
        <v>675</v>
      </c>
      <c r="V5" t="e">
        <v>#REF!</v>
      </c>
      <c r="W5" t="e">
        <v>#REF!</v>
      </c>
      <c r="X5" t="e">
        <v>#REF!</v>
      </c>
      <c r="Y5" t="e">
        <v>#REF!</v>
      </c>
      <c r="Z5" t="e">
        <v>#REF!</v>
      </c>
      <c r="AA5">
        <v>788</v>
      </c>
      <c r="AB5" t="e">
        <v>#REF!</v>
      </c>
      <c r="AC5" t="e">
        <v>#REF!</v>
      </c>
      <c r="AD5" t="e">
        <v>#REF!</v>
      </c>
      <c r="AE5" t="e">
        <v>#REF!</v>
      </c>
      <c r="AF5" t="e">
        <v>#REF!</v>
      </c>
      <c r="AG5">
        <v>855</v>
      </c>
      <c r="AH5" t="e">
        <v>#REF!</v>
      </c>
      <c r="AI5" t="e">
        <v>#REF!</v>
      </c>
      <c r="AJ5" t="e">
        <v>#REF!</v>
      </c>
      <c r="AK5" t="e">
        <v>#REF!</v>
      </c>
      <c r="AL5" t="e">
        <v>#REF!</v>
      </c>
      <c r="AM5">
        <v>900</v>
      </c>
      <c r="AN5" t="e">
        <v>#REF!</v>
      </c>
      <c r="AO5" t="e">
        <v>#REF!</v>
      </c>
      <c r="AP5" t="e">
        <v>#REF!</v>
      </c>
      <c r="AQ5" t="e">
        <v>#REF!</v>
      </c>
      <c r="AR5" t="e">
        <v>#REF!</v>
      </c>
      <c r="AS5">
        <v>900</v>
      </c>
      <c r="AT5" t="e">
        <v>#REF!</v>
      </c>
      <c r="AU5" t="e">
        <v>#REF!</v>
      </c>
      <c r="AV5" t="e">
        <v>#REF!</v>
      </c>
      <c r="AW5" t="e">
        <v>#REF!</v>
      </c>
      <c r="AX5" t="e">
        <v>#REF!</v>
      </c>
      <c r="AY5">
        <v>900</v>
      </c>
      <c r="AZ5" t="e">
        <v>#REF!</v>
      </c>
      <c r="BA5" t="e">
        <v>#REF!</v>
      </c>
      <c r="BB5" t="e">
        <v>#REF!</v>
      </c>
      <c r="BC5" t="e">
        <v>#REF!</v>
      </c>
      <c r="BD5" t="e">
        <v>#REF!</v>
      </c>
      <c r="BE5">
        <v>900</v>
      </c>
      <c r="BF5" t="e">
        <v>#REF!</v>
      </c>
    </row>
    <row r="6" spans="1:58" x14ac:dyDescent="0.2">
      <c r="A6" s="19" t="s">
        <v>133</v>
      </c>
      <c r="B6" s="20">
        <v>25</v>
      </c>
      <c r="C6" s="20">
        <v>65</v>
      </c>
      <c r="D6" s="20">
        <v>1.625</v>
      </c>
      <c r="E6" s="20">
        <v>4.2250000000000014</v>
      </c>
      <c r="F6" s="21">
        <v>65</v>
      </c>
      <c r="G6" s="20">
        <v>89.625000000000014</v>
      </c>
      <c r="H6" s="20" t="s">
        <v>73</v>
      </c>
      <c r="I6" s="20">
        <v>0.64</v>
      </c>
      <c r="J6" s="20" t="e">
        <v>#N/A</v>
      </c>
      <c r="K6" s="20">
        <v>43</v>
      </c>
      <c r="L6" s="20"/>
      <c r="M6" s="20"/>
      <c r="N6" s="22"/>
      <c r="P6">
        <v>22</v>
      </c>
      <c r="Q6">
        <v>352</v>
      </c>
      <c r="R6">
        <v>0</v>
      </c>
      <c r="S6">
        <v>1375</v>
      </c>
      <c r="T6" t="e">
        <v>#REF!</v>
      </c>
      <c r="U6">
        <v>825</v>
      </c>
      <c r="V6" t="e">
        <v>#REF!</v>
      </c>
      <c r="W6" t="e">
        <v>#REF!</v>
      </c>
      <c r="X6" t="e">
        <v>#REF!</v>
      </c>
      <c r="Y6" t="e">
        <v>#REF!</v>
      </c>
      <c r="Z6" t="e">
        <v>#REF!</v>
      </c>
      <c r="AA6">
        <v>962</v>
      </c>
      <c r="AB6" t="e">
        <v>#REF!</v>
      </c>
      <c r="AC6" t="e">
        <v>#REF!</v>
      </c>
      <c r="AD6" t="e">
        <v>#REF!</v>
      </c>
      <c r="AE6" t="e">
        <v>#REF!</v>
      </c>
      <c r="AF6" t="e">
        <v>#REF!</v>
      </c>
      <c r="AG6">
        <v>1045</v>
      </c>
      <c r="AH6" t="e">
        <v>#REF!</v>
      </c>
      <c r="AI6" t="e">
        <v>#REF!</v>
      </c>
      <c r="AJ6" t="e">
        <v>#REF!</v>
      </c>
      <c r="AK6" t="e">
        <v>#REF!</v>
      </c>
      <c r="AL6" t="e">
        <v>#REF!</v>
      </c>
      <c r="AM6">
        <v>1100</v>
      </c>
      <c r="AN6" t="e">
        <v>#REF!</v>
      </c>
      <c r="AO6" t="e">
        <v>#REF!</v>
      </c>
      <c r="AP6" t="e">
        <v>#REF!</v>
      </c>
      <c r="AQ6" t="e">
        <v>#REF!</v>
      </c>
      <c r="AR6" t="e">
        <v>#REF!</v>
      </c>
      <c r="AS6">
        <v>1100</v>
      </c>
      <c r="AT6" t="e">
        <v>#REF!</v>
      </c>
      <c r="AU6" t="e">
        <v>#REF!</v>
      </c>
      <c r="AV6" t="e">
        <v>#REF!</v>
      </c>
      <c r="AW6" t="e">
        <v>#REF!</v>
      </c>
      <c r="AX6" t="e">
        <v>#REF!</v>
      </c>
      <c r="AY6">
        <v>1100</v>
      </c>
      <c r="AZ6" t="e">
        <v>#REF!</v>
      </c>
      <c r="BA6" t="e">
        <v>#REF!</v>
      </c>
      <c r="BB6" t="e">
        <v>#REF!</v>
      </c>
      <c r="BC6" t="e">
        <v>#REF!</v>
      </c>
      <c r="BD6" t="e">
        <v>#REF!</v>
      </c>
      <c r="BE6">
        <v>1100</v>
      </c>
      <c r="BF6" t="e">
        <v>#REF!</v>
      </c>
    </row>
    <row r="7" spans="1:58" x14ac:dyDescent="0.2">
      <c r="A7" s="19" t="s">
        <v>74</v>
      </c>
      <c r="B7" s="20">
        <v>25</v>
      </c>
      <c r="C7" s="20">
        <v>65</v>
      </c>
      <c r="D7" s="20">
        <v>1.625</v>
      </c>
      <c r="E7" s="20">
        <v>4.03</v>
      </c>
      <c r="F7" s="21">
        <v>62</v>
      </c>
      <c r="G7" s="20">
        <v>84.75</v>
      </c>
      <c r="H7" s="20" t="s">
        <v>73</v>
      </c>
      <c r="I7" s="20">
        <v>0.64</v>
      </c>
      <c r="J7" s="20" t="s">
        <v>299</v>
      </c>
      <c r="K7" s="20">
        <v>66</v>
      </c>
      <c r="L7" s="20">
        <v>108</v>
      </c>
      <c r="M7" s="20"/>
      <c r="N7" s="22"/>
      <c r="P7">
        <v>25</v>
      </c>
      <c r="Q7">
        <v>320</v>
      </c>
      <c r="R7">
        <v>0</v>
      </c>
      <c r="S7">
        <v>1750</v>
      </c>
      <c r="T7" t="e">
        <v>#REF!</v>
      </c>
      <c r="U7">
        <v>750</v>
      </c>
      <c r="V7" t="e">
        <v>#REF!</v>
      </c>
      <c r="W7" t="e">
        <v>#REF!</v>
      </c>
      <c r="X7" t="e">
        <v>#REF!</v>
      </c>
      <c r="Y7" t="e">
        <v>#REF!</v>
      </c>
      <c r="Z7" t="e">
        <v>#REF!</v>
      </c>
      <c r="AA7">
        <v>875</v>
      </c>
      <c r="AB7" t="e">
        <v>#REF!</v>
      </c>
      <c r="AC7" t="e">
        <v>#REF!</v>
      </c>
      <c r="AD7" t="e">
        <v>#REF!</v>
      </c>
      <c r="AE7" t="e">
        <v>#REF!</v>
      </c>
      <c r="AF7" t="e">
        <v>#REF!</v>
      </c>
      <c r="AG7">
        <v>950</v>
      </c>
      <c r="AH7" t="e">
        <v>#REF!</v>
      </c>
      <c r="AI7" t="e">
        <v>#REF!</v>
      </c>
      <c r="AJ7" t="e">
        <v>#REF!</v>
      </c>
      <c r="AK7" t="e">
        <v>#REF!</v>
      </c>
      <c r="AL7" t="e">
        <v>#REF!</v>
      </c>
      <c r="AM7">
        <v>1000</v>
      </c>
      <c r="AN7" t="e">
        <v>#REF!</v>
      </c>
      <c r="AO7" t="e">
        <v>#REF!</v>
      </c>
      <c r="AP7" t="e">
        <v>#REF!</v>
      </c>
      <c r="AQ7" t="e">
        <v>#REF!</v>
      </c>
      <c r="AR7" t="e">
        <v>#REF!</v>
      </c>
      <c r="AS7">
        <v>1000</v>
      </c>
      <c r="AT7" t="e">
        <v>#REF!</v>
      </c>
      <c r="AU7" t="e">
        <v>#REF!</v>
      </c>
      <c r="AV7" t="e">
        <v>#REF!</v>
      </c>
      <c r="AW7" t="e">
        <v>#REF!</v>
      </c>
      <c r="AX7" t="e">
        <v>#REF!</v>
      </c>
      <c r="AY7">
        <v>1000</v>
      </c>
      <c r="AZ7" t="e">
        <v>#REF!</v>
      </c>
      <c r="BA7" t="e">
        <v>#REF!</v>
      </c>
      <c r="BB7" t="e">
        <v>#REF!</v>
      </c>
      <c r="BC7" t="e">
        <v>#REF!</v>
      </c>
      <c r="BD7" t="e">
        <v>#REF!</v>
      </c>
      <c r="BE7">
        <v>1000</v>
      </c>
      <c r="BF7" t="e">
        <v>#REF!</v>
      </c>
    </row>
    <row r="8" spans="1:58" x14ac:dyDescent="0.2">
      <c r="A8" s="19" t="s">
        <v>76</v>
      </c>
      <c r="B8" s="20">
        <v>25</v>
      </c>
      <c r="C8" s="20">
        <v>50</v>
      </c>
      <c r="D8" s="20">
        <v>1.25</v>
      </c>
      <c r="E8" s="20">
        <v>5</v>
      </c>
      <c r="F8" s="21">
        <v>100</v>
      </c>
      <c r="G8" s="20">
        <v>109</v>
      </c>
      <c r="H8" s="20" t="s">
        <v>73</v>
      </c>
      <c r="I8" s="20">
        <v>0.64</v>
      </c>
      <c r="J8" s="20">
        <v>100</v>
      </c>
      <c r="K8" s="20">
        <v>88.76</v>
      </c>
      <c r="L8" s="20"/>
      <c r="M8" s="20"/>
      <c r="N8" s="22"/>
      <c r="P8">
        <v>22.5</v>
      </c>
      <c r="Q8">
        <v>288</v>
      </c>
      <c r="R8">
        <v>0</v>
      </c>
      <c r="S8">
        <v>2475</v>
      </c>
      <c r="T8" t="e">
        <v>#REF!</v>
      </c>
      <c r="U8">
        <v>675</v>
      </c>
      <c r="V8" t="e">
        <v>#REF!</v>
      </c>
      <c r="W8" t="e">
        <v>#REF!</v>
      </c>
      <c r="X8" t="e">
        <v>#REF!</v>
      </c>
      <c r="Y8" t="e">
        <v>#REF!</v>
      </c>
      <c r="Z8" t="e">
        <v>#REF!</v>
      </c>
      <c r="AA8">
        <v>788</v>
      </c>
      <c r="AB8" t="e">
        <v>#REF!</v>
      </c>
      <c r="AC8" t="e">
        <v>#REF!</v>
      </c>
      <c r="AD8" t="e">
        <v>#REF!</v>
      </c>
      <c r="AE8" t="e">
        <v>#REF!</v>
      </c>
      <c r="AF8" t="e">
        <v>#REF!</v>
      </c>
      <c r="AG8">
        <v>855</v>
      </c>
      <c r="AH8" t="e">
        <v>#REF!</v>
      </c>
      <c r="AI8" t="e">
        <v>#REF!</v>
      </c>
      <c r="AJ8" t="e">
        <v>#REF!</v>
      </c>
      <c r="AK8" t="e">
        <v>#REF!</v>
      </c>
      <c r="AL8" t="e">
        <v>#REF!</v>
      </c>
      <c r="AM8">
        <v>900</v>
      </c>
      <c r="AN8" t="e">
        <v>#REF!</v>
      </c>
      <c r="AO8" t="e">
        <v>#REF!</v>
      </c>
      <c r="AP8" t="e">
        <v>#REF!</v>
      </c>
      <c r="AQ8" t="e">
        <v>#REF!</v>
      </c>
      <c r="AR8" t="e">
        <v>#REF!</v>
      </c>
      <c r="AS8">
        <v>900</v>
      </c>
      <c r="AT8" t="e">
        <v>#REF!</v>
      </c>
      <c r="AU8" t="e">
        <v>#REF!</v>
      </c>
      <c r="AV8" t="e">
        <v>#REF!</v>
      </c>
      <c r="AW8" t="e">
        <v>#REF!</v>
      </c>
      <c r="AX8" t="e">
        <v>#REF!</v>
      </c>
      <c r="AY8">
        <v>900</v>
      </c>
      <c r="AZ8" t="e">
        <v>#REF!</v>
      </c>
      <c r="BA8" t="e">
        <v>#REF!</v>
      </c>
      <c r="BB8" t="e">
        <v>#REF!</v>
      </c>
      <c r="BC8" t="e">
        <v>#REF!</v>
      </c>
      <c r="BD8" t="e">
        <v>#REF!</v>
      </c>
      <c r="BE8">
        <v>900</v>
      </c>
      <c r="BF8" t="e">
        <v>#REF!</v>
      </c>
    </row>
    <row r="9" spans="1:58" x14ac:dyDescent="0.2">
      <c r="A9" s="19" t="s">
        <v>106</v>
      </c>
      <c r="B9" s="20">
        <v>25</v>
      </c>
      <c r="C9" s="20">
        <v>280</v>
      </c>
      <c r="D9" s="20">
        <v>7</v>
      </c>
      <c r="E9" s="20">
        <v>8</v>
      </c>
      <c r="F9" s="21">
        <v>28.571428571428569</v>
      </c>
      <c r="G9" s="20">
        <v>170</v>
      </c>
      <c r="H9" s="20" t="s">
        <v>107</v>
      </c>
      <c r="I9" s="20">
        <v>1.2</v>
      </c>
      <c r="J9" s="20"/>
      <c r="K9" s="20"/>
      <c r="L9" s="20"/>
      <c r="M9" s="20"/>
      <c r="N9" s="22">
        <v>24.285714285714281</v>
      </c>
      <c r="P9">
        <v>0</v>
      </c>
      <c r="Q9">
        <v>0</v>
      </c>
      <c r="R9">
        <v>0</v>
      </c>
      <c r="S9">
        <v>0</v>
      </c>
      <c r="T9" t="e">
        <v>#REF!</v>
      </c>
      <c r="U9">
        <v>160</v>
      </c>
      <c r="V9" t="e">
        <v>#REF!</v>
      </c>
      <c r="W9" t="e">
        <v>#REF!</v>
      </c>
      <c r="X9" t="e">
        <v>#REF!</v>
      </c>
      <c r="Y9" t="e">
        <v>#REF!</v>
      </c>
      <c r="Z9" t="e">
        <v>#REF!</v>
      </c>
      <c r="AA9">
        <v>208</v>
      </c>
      <c r="AB9" t="e">
        <v>#REF!</v>
      </c>
      <c r="AC9" t="e">
        <v>#REF!</v>
      </c>
      <c r="AD9" t="e">
        <v>#REF!</v>
      </c>
      <c r="AE9" t="e">
        <v>#REF!</v>
      </c>
      <c r="AF9" t="e">
        <v>#REF!</v>
      </c>
      <c r="AG9">
        <v>232</v>
      </c>
      <c r="AH9" t="e">
        <v>#REF!</v>
      </c>
      <c r="AI9" t="e">
        <v>#REF!</v>
      </c>
      <c r="AJ9" t="e">
        <v>#REF!</v>
      </c>
      <c r="AK9" t="e">
        <v>#REF!</v>
      </c>
      <c r="AL9" t="e">
        <v>#REF!</v>
      </c>
      <c r="AM9">
        <v>240</v>
      </c>
      <c r="AN9" t="e">
        <v>#REF!</v>
      </c>
      <c r="AO9" t="e">
        <v>#REF!</v>
      </c>
      <c r="AP9" t="e">
        <v>#REF!</v>
      </c>
      <c r="AQ9" t="e">
        <v>#REF!</v>
      </c>
      <c r="AR9" t="e">
        <v>#REF!</v>
      </c>
      <c r="AS9">
        <v>240</v>
      </c>
      <c r="AT9" t="e">
        <v>#REF!</v>
      </c>
      <c r="AU9" t="e">
        <v>#REF!</v>
      </c>
      <c r="AV9" t="e">
        <v>#REF!</v>
      </c>
      <c r="AW9" t="e">
        <v>#REF!</v>
      </c>
      <c r="AX9" t="e">
        <v>#REF!</v>
      </c>
      <c r="AY9">
        <v>240</v>
      </c>
      <c r="AZ9" t="e">
        <v>#REF!</v>
      </c>
      <c r="BA9" t="e">
        <v>#REF!</v>
      </c>
      <c r="BB9" t="e">
        <v>#REF!</v>
      </c>
      <c r="BC9" t="e">
        <v>#REF!</v>
      </c>
      <c r="BD9" t="e">
        <v>#REF!</v>
      </c>
      <c r="BE9">
        <v>240</v>
      </c>
      <c r="BF9" t="e">
        <v>#REF!</v>
      </c>
    </row>
    <row r="10" spans="1:58" x14ac:dyDescent="0.2">
      <c r="A10" s="19" t="s">
        <v>99</v>
      </c>
      <c r="B10" s="20">
        <v>25</v>
      </c>
      <c r="C10" s="20">
        <v>100</v>
      </c>
      <c r="D10" s="20">
        <v>2.5</v>
      </c>
      <c r="E10" s="20">
        <v>12.5</v>
      </c>
      <c r="F10" s="21">
        <v>125</v>
      </c>
      <c r="G10" s="20">
        <v>270.5</v>
      </c>
      <c r="H10" s="20" t="s">
        <v>107</v>
      </c>
      <c r="I10" s="20">
        <v>1.68</v>
      </c>
      <c r="J10" s="20"/>
      <c r="K10" s="20"/>
      <c r="L10" s="20"/>
      <c r="M10" s="20"/>
      <c r="N10" s="22"/>
      <c r="P10">
        <v>115.5</v>
      </c>
      <c r="Q10">
        <v>407</v>
      </c>
      <c r="R10">
        <v>0</v>
      </c>
      <c r="S10">
        <v>2475</v>
      </c>
      <c r="T10" t="e">
        <v>#REF!</v>
      </c>
      <c r="U10">
        <v>825</v>
      </c>
      <c r="V10" t="e">
        <v>#REF!</v>
      </c>
      <c r="W10" t="e">
        <v>#REF!</v>
      </c>
      <c r="X10" t="e">
        <v>#REF!</v>
      </c>
      <c r="Y10" t="e">
        <v>#REF!</v>
      </c>
      <c r="Z10" t="e">
        <v>#REF!</v>
      </c>
      <c r="AA10">
        <v>962</v>
      </c>
      <c r="AB10" t="e">
        <v>#REF!</v>
      </c>
      <c r="AC10" t="e">
        <v>#REF!</v>
      </c>
      <c r="AD10" t="e">
        <v>#REF!</v>
      </c>
      <c r="AE10" t="e">
        <v>#REF!</v>
      </c>
      <c r="AF10" t="e">
        <v>#REF!</v>
      </c>
      <c r="AG10">
        <v>1045</v>
      </c>
      <c r="AH10" t="e">
        <v>#REF!</v>
      </c>
      <c r="AI10" t="e">
        <v>#REF!</v>
      </c>
      <c r="AJ10" t="e">
        <v>#REF!</v>
      </c>
      <c r="AK10" t="e">
        <v>#REF!</v>
      </c>
      <c r="AL10" t="e">
        <v>#REF!</v>
      </c>
      <c r="AM10">
        <v>1100</v>
      </c>
      <c r="AN10" t="e">
        <v>#REF!</v>
      </c>
      <c r="AO10" t="e">
        <v>#REF!</v>
      </c>
      <c r="AP10" t="e">
        <v>#REF!</v>
      </c>
      <c r="AQ10" t="e">
        <v>#REF!</v>
      </c>
      <c r="AR10" t="e">
        <v>#REF!</v>
      </c>
      <c r="AS10">
        <v>1100</v>
      </c>
      <c r="AT10" t="e">
        <v>#REF!</v>
      </c>
      <c r="AU10" t="e">
        <v>#REF!</v>
      </c>
      <c r="AV10" t="e">
        <v>#REF!</v>
      </c>
      <c r="AW10" t="e">
        <v>#REF!</v>
      </c>
      <c r="AX10" t="e">
        <v>#REF!</v>
      </c>
      <c r="AY10">
        <v>1100</v>
      </c>
      <c r="AZ10" t="e">
        <v>#REF!</v>
      </c>
      <c r="BA10" t="e">
        <v>#REF!</v>
      </c>
      <c r="BB10" t="e">
        <v>#REF!</v>
      </c>
      <c r="BC10" t="e">
        <v>#REF!</v>
      </c>
      <c r="BD10" t="e">
        <v>#REF!</v>
      </c>
      <c r="BE10">
        <v>1100</v>
      </c>
      <c r="BF10" t="e">
        <v>#REF!</v>
      </c>
    </row>
    <row r="11" spans="1:58" x14ac:dyDescent="0.2">
      <c r="A11" s="19" t="s">
        <v>118</v>
      </c>
      <c r="B11" s="20">
        <v>25</v>
      </c>
      <c r="C11" s="20">
        <v>40</v>
      </c>
      <c r="D11" s="20">
        <v>1</v>
      </c>
      <c r="E11" s="20">
        <v>4</v>
      </c>
      <c r="F11" s="21">
        <v>100</v>
      </c>
      <c r="G11" s="20">
        <v>84</v>
      </c>
      <c r="H11" s="20" t="s">
        <v>73</v>
      </c>
      <c r="I11" s="20">
        <v>0.64</v>
      </c>
      <c r="J11" s="20"/>
      <c r="K11" s="20"/>
      <c r="L11" s="20"/>
      <c r="M11" s="20"/>
      <c r="N11" s="22"/>
      <c r="P11">
        <v>27</v>
      </c>
      <c r="Q11">
        <v>288</v>
      </c>
      <c r="R11">
        <v>0</v>
      </c>
      <c r="S11">
        <v>2025</v>
      </c>
      <c r="T11" t="e">
        <v>#REF!</v>
      </c>
      <c r="U11">
        <v>675</v>
      </c>
      <c r="V11" t="e">
        <v>#REF!</v>
      </c>
      <c r="W11" t="e">
        <v>#REF!</v>
      </c>
      <c r="X11" t="e">
        <v>#REF!</v>
      </c>
      <c r="Y11" t="e">
        <v>#REF!</v>
      </c>
      <c r="Z11" t="e">
        <v>#REF!</v>
      </c>
      <c r="AA11">
        <v>788</v>
      </c>
      <c r="AB11" t="e">
        <v>#REF!</v>
      </c>
      <c r="AC11" t="e">
        <v>#REF!</v>
      </c>
      <c r="AD11" t="e">
        <v>#REF!</v>
      </c>
      <c r="AE11" t="e">
        <v>#REF!</v>
      </c>
      <c r="AF11" t="e">
        <v>#REF!</v>
      </c>
      <c r="AG11">
        <v>855</v>
      </c>
      <c r="AH11" t="e">
        <v>#REF!</v>
      </c>
      <c r="AI11" t="e">
        <v>#REF!</v>
      </c>
      <c r="AJ11" t="e">
        <v>#REF!</v>
      </c>
      <c r="AK11" t="e">
        <v>#REF!</v>
      </c>
      <c r="AL11" t="e">
        <v>#REF!</v>
      </c>
      <c r="AM11">
        <v>900</v>
      </c>
      <c r="AN11" t="e">
        <v>#REF!</v>
      </c>
      <c r="AO11" t="e">
        <v>#REF!</v>
      </c>
      <c r="AP11" t="e">
        <v>#REF!</v>
      </c>
      <c r="AQ11" t="e">
        <v>#REF!</v>
      </c>
      <c r="AR11" t="e">
        <v>#REF!</v>
      </c>
      <c r="AS11">
        <v>900</v>
      </c>
      <c r="AT11" t="e">
        <v>#REF!</v>
      </c>
      <c r="AU11" t="e">
        <v>#REF!</v>
      </c>
      <c r="AV11" t="e">
        <v>#REF!</v>
      </c>
      <c r="AW11" t="e">
        <v>#REF!</v>
      </c>
      <c r="AX11" t="e">
        <v>#REF!</v>
      </c>
      <c r="AY11">
        <v>900</v>
      </c>
      <c r="AZ11" t="e">
        <v>#REF!</v>
      </c>
      <c r="BA11" t="e">
        <v>#REF!</v>
      </c>
      <c r="BB11" t="e">
        <v>#REF!</v>
      </c>
      <c r="BC11" t="e">
        <v>#REF!</v>
      </c>
      <c r="BD11" t="e">
        <v>#REF!</v>
      </c>
      <c r="BE11">
        <v>900</v>
      </c>
      <c r="BF11" t="e">
        <v>#REF!</v>
      </c>
    </row>
    <row r="12" spans="1:58" x14ac:dyDescent="0.2">
      <c r="A12" s="19" t="s">
        <v>1025</v>
      </c>
      <c r="B12" s="20">
        <v>50</v>
      </c>
      <c r="C12" s="20">
        <v>210</v>
      </c>
      <c r="D12" s="20">
        <v>10.5</v>
      </c>
      <c r="E12" s="20">
        <v>5</v>
      </c>
      <c r="F12" s="21">
        <v>23.80952380952381</v>
      </c>
      <c r="G12" s="20">
        <v>210</v>
      </c>
      <c r="H12" s="20" t="s">
        <v>814</v>
      </c>
      <c r="I12" s="20">
        <v>0.8</v>
      </c>
      <c r="J12" s="20"/>
      <c r="K12" s="20"/>
      <c r="L12" s="20"/>
      <c r="M12" s="20"/>
      <c r="N12" s="22"/>
      <c r="P12">
        <v>200</v>
      </c>
      <c r="Q12">
        <v>584</v>
      </c>
      <c r="R12">
        <v>0</v>
      </c>
      <c r="S12">
        <v>2800</v>
      </c>
      <c r="T12" t="e">
        <v>#REF!</v>
      </c>
      <c r="U12">
        <v>600</v>
      </c>
      <c r="V12" t="e">
        <v>#REF!</v>
      </c>
      <c r="W12" t="e">
        <v>#REF!</v>
      </c>
      <c r="X12" t="e">
        <v>#REF!</v>
      </c>
      <c r="Y12" t="e">
        <v>#REF!</v>
      </c>
      <c r="Z12" t="e">
        <v>#REF!</v>
      </c>
      <c r="AA12">
        <v>700</v>
      </c>
      <c r="AB12" t="e">
        <v>#REF!</v>
      </c>
      <c r="AC12" t="e">
        <v>#REF!</v>
      </c>
      <c r="AD12" t="e">
        <v>#REF!</v>
      </c>
      <c r="AE12" t="e">
        <v>#REF!</v>
      </c>
      <c r="AF12" t="e">
        <v>#REF!</v>
      </c>
      <c r="AG12">
        <v>760</v>
      </c>
      <c r="AH12" t="e">
        <v>#REF!</v>
      </c>
      <c r="AI12" t="e">
        <v>#REF!</v>
      </c>
      <c r="AJ12" t="e">
        <v>#REF!</v>
      </c>
      <c r="AK12" t="e">
        <v>#REF!</v>
      </c>
      <c r="AL12" t="e">
        <v>#REF!</v>
      </c>
      <c r="AM12">
        <v>800</v>
      </c>
      <c r="AN12" t="e">
        <v>#REF!</v>
      </c>
      <c r="AO12" t="e">
        <v>#REF!</v>
      </c>
      <c r="AP12" t="e">
        <v>#REF!</v>
      </c>
      <c r="AQ12" t="e">
        <v>#REF!</v>
      </c>
      <c r="AR12" t="e">
        <v>#REF!</v>
      </c>
      <c r="AS12">
        <v>800</v>
      </c>
      <c r="AT12" t="e">
        <v>#REF!</v>
      </c>
      <c r="AU12" t="e">
        <v>#REF!</v>
      </c>
      <c r="AV12" t="e">
        <v>#REF!</v>
      </c>
      <c r="AW12" t="e">
        <v>#REF!</v>
      </c>
      <c r="AX12" t="e">
        <v>#REF!</v>
      </c>
      <c r="AY12">
        <v>800</v>
      </c>
      <c r="AZ12" t="e">
        <v>#REF!</v>
      </c>
      <c r="BA12" t="e">
        <v>#REF!</v>
      </c>
      <c r="BB12" t="e">
        <v>#REF!</v>
      </c>
      <c r="BC12" t="e">
        <v>#REF!</v>
      </c>
      <c r="BD12" t="e">
        <v>#REF!</v>
      </c>
      <c r="BE12">
        <v>800</v>
      </c>
      <c r="BF12" t="e">
        <v>#REF!</v>
      </c>
    </row>
    <row r="13" spans="1:58" x14ac:dyDescent="0.2">
      <c r="A13" s="19" t="s">
        <v>68</v>
      </c>
      <c r="B13" s="20">
        <v>50</v>
      </c>
      <c r="C13" s="20">
        <v>250</v>
      </c>
      <c r="D13" s="20">
        <v>12.5</v>
      </c>
      <c r="E13" s="20">
        <v>8</v>
      </c>
      <c r="F13" s="21">
        <v>32</v>
      </c>
      <c r="G13" s="20">
        <v>300</v>
      </c>
      <c r="H13" s="20" t="s">
        <v>798</v>
      </c>
      <c r="I13" s="20">
        <v>2</v>
      </c>
      <c r="J13" s="20"/>
      <c r="K13" s="20"/>
      <c r="L13" s="20"/>
      <c r="M13" s="20"/>
      <c r="N13" s="22">
        <v>27.2</v>
      </c>
      <c r="P13">
        <v>33.75</v>
      </c>
      <c r="Q13">
        <v>288</v>
      </c>
      <c r="R13">
        <v>0</v>
      </c>
      <c r="S13">
        <v>2250</v>
      </c>
      <c r="T13" t="e">
        <v>#REF!</v>
      </c>
      <c r="U13">
        <v>675</v>
      </c>
      <c r="V13" t="e">
        <v>#REF!</v>
      </c>
      <c r="W13" t="e">
        <v>#REF!</v>
      </c>
      <c r="X13" t="e">
        <v>#REF!</v>
      </c>
      <c r="Y13" t="e">
        <v>#REF!</v>
      </c>
      <c r="Z13" t="e">
        <v>#REF!</v>
      </c>
      <c r="AA13">
        <v>788</v>
      </c>
      <c r="AB13" t="e">
        <v>#REF!</v>
      </c>
      <c r="AC13" t="e">
        <v>#REF!</v>
      </c>
      <c r="AD13" t="e">
        <v>#REF!</v>
      </c>
      <c r="AE13" t="e">
        <v>#REF!</v>
      </c>
      <c r="AF13" t="e">
        <v>#REF!</v>
      </c>
      <c r="AG13">
        <v>855</v>
      </c>
      <c r="AH13" t="e">
        <v>#REF!</v>
      </c>
      <c r="AI13" t="e">
        <v>#REF!</v>
      </c>
      <c r="AJ13" t="e">
        <v>#REF!</v>
      </c>
      <c r="AK13" t="e">
        <v>#REF!</v>
      </c>
      <c r="AL13" t="e">
        <v>#REF!</v>
      </c>
      <c r="AM13">
        <v>900</v>
      </c>
      <c r="AN13" t="e">
        <v>#REF!</v>
      </c>
      <c r="AO13" t="e">
        <v>#REF!</v>
      </c>
      <c r="AP13" t="e">
        <v>#REF!</v>
      </c>
      <c r="AQ13" t="e">
        <v>#REF!</v>
      </c>
      <c r="AR13" t="e">
        <v>#REF!</v>
      </c>
      <c r="AS13">
        <v>900</v>
      </c>
      <c r="AT13" t="e">
        <v>#REF!</v>
      </c>
      <c r="AU13" t="e">
        <v>#REF!</v>
      </c>
      <c r="AV13" t="e">
        <v>#REF!</v>
      </c>
      <c r="AW13" t="e">
        <v>#REF!</v>
      </c>
      <c r="AX13" t="e">
        <v>#REF!</v>
      </c>
      <c r="AY13">
        <v>900</v>
      </c>
      <c r="AZ13" t="e">
        <v>#REF!</v>
      </c>
      <c r="BA13" t="e">
        <v>#REF!</v>
      </c>
      <c r="BB13" t="e">
        <v>#REF!</v>
      </c>
      <c r="BC13" t="e">
        <v>#REF!</v>
      </c>
      <c r="BD13" t="e">
        <v>#REF!</v>
      </c>
      <c r="BE13">
        <v>900</v>
      </c>
      <c r="BF13" t="e">
        <v>#REF!</v>
      </c>
    </row>
    <row r="14" spans="1:58" x14ac:dyDescent="0.2">
      <c r="A14" s="19" t="s">
        <v>87</v>
      </c>
      <c r="B14" s="20">
        <v>50</v>
      </c>
      <c r="C14" s="20">
        <v>40</v>
      </c>
      <c r="D14" s="20">
        <v>2</v>
      </c>
      <c r="E14" s="20">
        <v>5</v>
      </c>
      <c r="F14" s="21">
        <v>125</v>
      </c>
      <c r="G14" s="20">
        <v>218</v>
      </c>
      <c r="H14" s="20" t="s">
        <v>73</v>
      </c>
      <c r="I14" s="20">
        <v>0.64</v>
      </c>
      <c r="J14" s="20">
        <v>112.5</v>
      </c>
      <c r="K14" s="20">
        <v>84.25</v>
      </c>
      <c r="L14" s="20"/>
      <c r="M14" s="20"/>
      <c r="N14" s="22">
        <v>106.25</v>
      </c>
      <c r="P14">
        <v>0</v>
      </c>
      <c r="Q14">
        <v>0</v>
      </c>
      <c r="R14">
        <v>0</v>
      </c>
      <c r="S14">
        <v>0</v>
      </c>
      <c r="T14" t="e">
        <v>#REF!</v>
      </c>
      <c r="U14">
        <v>140</v>
      </c>
      <c r="V14" t="e">
        <v>#REF!</v>
      </c>
      <c r="W14" t="e">
        <v>#REF!</v>
      </c>
      <c r="X14" t="e">
        <v>#REF!</v>
      </c>
      <c r="Y14" t="e">
        <v>#REF!</v>
      </c>
      <c r="Z14" t="e">
        <v>#REF!</v>
      </c>
      <c r="AA14">
        <v>175</v>
      </c>
      <c r="AB14" t="e">
        <v>#REF!</v>
      </c>
      <c r="AC14" t="e">
        <v>#REF!</v>
      </c>
      <c r="AD14" t="e">
        <v>#REF!</v>
      </c>
      <c r="AE14" t="e">
        <v>#REF!</v>
      </c>
      <c r="AF14" t="e">
        <v>#REF!</v>
      </c>
      <c r="AG14">
        <v>196</v>
      </c>
      <c r="AH14" t="e">
        <v>#REF!</v>
      </c>
      <c r="AI14" t="e">
        <v>#REF!</v>
      </c>
      <c r="AJ14" t="e">
        <v>#REF!</v>
      </c>
      <c r="AK14" t="e">
        <v>#REF!</v>
      </c>
      <c r="AL14" t="e">
        <v>#REF!</v>
      </c>
      <c r="AM14">
        <v>203</v>
      </c>
      <c r="AN14" t="e">
        <v>#REF!</v>
      </c>
      <c r="AO14" t="e">
        <v>#REF!</v>
      </c>
      <c r="AP14" t="e">
        <v>#REF!</v>
      </c>
      <c r="AQ14" t="e">
        <v>#REF!</v>
      </c>
      <c r="AR14" t="e">
        <v>#REF!</v>
      </c>
      <c r="AS14">
        <v>203</v>
      </c>
      <c r="AT14" t="e">
        <v>#REF!</v>
      </c>
      <c r="AU14" t="e">
        <v>#REF!</v>
      </c>
      <c r="AV14" t="e">
        <v>#REF!</v>
      </c>
      <c r="AW14" t="e">
        <v>#REF!</v>
      </c>
      <c r="AX14" t="e">
        <v>#REF!</v>
      </c>
      <c r="AY14">
        <v>203</v>
      </c>
      <c r="AZ14" t="e">
        <v>#REF!</v>
      </c>
      <c r="BA14" t="e">
        <v>#REF!</v>
      </c>
      <c r="BB14" t="e">
        <v>#REF!</v>
      </c>
      <c r="BC14" t="e">
        <v>#REF!</v>
      </c>
      <c r="BD14" t="e">
        <v>#REF!</v>
      </c>
      <c r="BE14">
        <v>203</v>
      </c>
      <c r="BF14" t="e">
        <v>#REF!</v>
      </c>
    </row>
    <row r="15" spans="1:58" x14ac:dyDescent="0.2">
      <c r="A15" s="19" t="s">
        <v>79</v>
      </c>
      <c r="B15" s="20">
        <v>50</v>
      </c>
      <c r="C15" s="20">
        <v>33</v>
      </c>
      <c r="D15" s="20">
        <v>1.65</v>
      </c>
      <c r="E15" s="20">
        <v>4.95</v>
      </c>
      <c r="F15" s="21">
        <v>150</v>
      </c>
      <c r="G15" s="20">
        <v>215.5</v>
      </c>
      <c r="H15" s="20" t="s">
        <v>73</v>
      </c>
      <c r="I15" s="20">
        <v>0.64</v>
      </c>
      <c r="J15" s="20">
        <v>105</v>
      </c>
      <c r="K15" s="20">
        <v>84.25</v>
      </c>
      <c r="L15" s="20"/>
      <c r="M15" s="20"/>
      <c r="N15" s="22">
        <v>127.5</v>
      </c>
      <c r="P15">
        <v>20</v>
      </c>
      <c r="Q15">
        <v>256</v>
      </c>
      <c r="R15">
        <v>0</v>
      </c>
      <c r="S15">
        <v>2400</v>
      </c>
      <c r="T15" t="e">
        <v>#REF!</v>
      </c>
      <c r="U15">
        <v>600</v>
      </c>
      <c r="V15" t="e">
        <v>#REF!</v>
      </c>
      <c r="W15" t="e">
        <v>#REF!</v>
      </c>
      <c r="X15" t="e">
        <v>#REF!</v>
      </c>
      <c r="Y15" t="e">
        <v>#REF!</v>
      </c>
      <c r="Z15" t="e">
        <v>#REF!</v>
      </c>
      <c r="AA15">
        <v>700</v>
      </c>
      <c r="AB15" t="e">
        <v>#REF!</v>
      </c>
      <c r="AC15" t="e">
        <v>#REF!</v>
      </c>
      <c r="AD15" t="e">
        <v>#REF!</v>
      </c>
      <c r="AE15" t="e">
        <v>#REF!</v>
      </c>
      <c r="AF15" t="e">
        <v>#REF!</v>
      </c>
      <c r="AG15">
        <v>760</v>
      </c>
      <c r="AH15" t="e">
        <v>#REF!</v>
      </c>
      <c r="AI15" t="e">
        <v>#REF!</v>
      </c>
      <c r="AJ15" t="e">
        <v>#REF!</v>
      </c>
      <c r="AK15" t="e">
        <v>#REF!</v>
      </c>
      <c r="AL15" t="e">
        <v>#REF!</v>
      </c>
      <c r="AM15">
        <v>800</v>
      </c>
      <c r="AN15" t="e">
        <v>#REF!</v>
      </c>
      <c r="AO15" t="e">
        <v>#REF!</v>
      </c>
      <c r="AP15" t="e">
        <v>#REF!</v>
      </c>
      <c r="AQ15" t="e">
        <v>#REF!</v>
      </c>
      <c r="AR15" t="e">
        <v>#REF!</v>
      </c>
      <c r="AS15">
        <v>800</v>
      </c>
      <c r="AT15" t="e">
        <v>#REF!</v>
      </c>
      <c r="AU15" t="e">
        <v>#REF!</v>
      </c>
      <c r="AV15" t="e">
        <v>#REF!</v>
      </c>
      <c r="AW15" t="e">
        <v>#REF!</v>
      </c>
      <c r="AX15" t="e">
        <v>#REF!</v>
      </c>
      <c r="AY15">
        <v>800</v>
      </c>
      <c r="AZ15" t="e">
        <v>#REF!</v>
      </c>
      <c r="BA15" t="e">
        <v>#REF!</v>
      </c>
      <c r="BB15" t="e">
        <v>#REF!</v>
      </c>
      <c r="BC15" t="e">
        <v>#REF!</v>
      </c>
      <c r="BD15" t="e">
        <v>#REF!</v>
      </c>
      <c r="BE15">
        <v>800</v>
      </c>
      <c r="BF15" t="e">
        <v>#REF!</v>
      </c>
    </row>
    <row r="16" spans="1:58" x14ac:dyDescent="0.2">
      <c r="A16" s="19" t="s">
        <v>126</v>
      </c>
      <c r="B16" s="20">
        <v>50</v>
      </c>
      <c r="C16" s="20">
        <v>280</v>
      </c>
      <c r="D16" s="20">
        <v>14</v>
      </c>
      <c r="E16" s="20">
        <v>8</v>
      </c>
      <c r="F16" s="21">
        <v>28.571428571428569</v>
      </c>
      <c r="G16" s="20">
        <v>340</v>
      </c>
      <c r="H16" s="20" t="s">
        <v>107</v>
      </c>
      <c r="I16" s="20">
        <v>1.2</v>
      </c>
      <c r="J16" s="20"/>
      <c r="K16" s="20"/>
      <c r="L16" s="20"/>
      <c r="M16" s="20"/>
      <c r="N16" s="22"/>
      <c r="P16">
        <v>15.75</v>
      </c>
      <c r="Q16">
        <v>224</v>
      </c>
      <c r="R16">
        <v>0</v>
      </c>
      <c r="S16">
        <v>945.00000000000011</v>
      </c>
      <c r="T16" t="e">
        <v>#REF!</v>
      </c>
      <c r="U16">
        <v>525</v>
      </c>
      <c r="V16" t="e">
        <v>#REF!</v>
      </c>
      <c r="W16" t="e">
        <v>#REF!</v>
      </c>
      <c r="X16" t="e">
        <v>#REF!</v>
      </c>
      <c r="Y16" t="e">
        <v>#REF!</v>
      </c>
      <c r="Z16" t="e">
        <v>#REF!</v>
      </c>
      <c r="AA16">
        <v>612</v>
      </c>
      <c r="AB16" t="e">
        <v>#REF!</v>
      </c>
      <c r="AC16" t="e">
        <v>#REF!</v>
      </c>
      <c r="AD16" t="e">
        <v>#REF!</v>
      </c>
      <c r="AE16" t="e">
        <v>#REF!</v>
      </c>
      <c r="AF16" t="e">
        <v>#REF!</v>
      </c>
      <c r="AG16">
        <v>665</v>
      </c>
      <c r="AH16" t="e">
        <v>#REF!</v>
      </c>
      <c r="AI16" t="e">
        <v>#REF!</v>
      </c>
      <c r="AJ16" t="e">
        <v>#REF!</v>
      </c>
      <c r="AK16" t="e">
        <v>#REF!</v>
      </c>
      <c r="AL16" t="e">
        <v>#REF!</v>
      </c>
      <c r="AM16">
        <v>700</v>
      </c>
      <c r="AN16" t="e">
        <v>#REF!</v>
      </c>
      <c r="AO16" t="e">
        <v>#REF!</v>
      </c>
      <c r="AP16" t="e">
        <v>#REF!</v>
      </c>
      <c r="AQ16" t="e">
        <v>#REF!</v>
      </c>
      <c r="AR16" t="e">
        <v>#REF!</v>
      </c>
      <c r="AS16">
        <v>700</v>
      </c>
      <c r="AT16" t="e">
        <v>#REF!</v>
      </c>
      <c r="AU16" t="e">
        <v>#REF!</v>
      </c>
      <c r="AV16" t="e">
        <v>#REF!</v>
      </c>
      <c r="AW16" t="e">
        <v>#REF!</v>
      </c>
      <c r="AX16" t="e">
        <v>#REF!</v>
      </c>
      <c r="AY16">
        <v>700</v>
      </c>
      <c r="AZ16" t="e">
        <v>#REF!</v>
      </c>
      <c r="BA16" t="e">
        <v>#REF!</v>
      </c>
      <c r="BB16" t="e">
        <v>#REF!</v>
      </c>
      <c r="BC16" t="e">
        <v>#REF!</v>
      </c>
      <c r="BD16" t="e">
        <v>#REF!</v>
      </c>
      <c r="BE16">
        <v>700</v>
      </c>
      <c r="BF16" t="e">
        <v>#REF!</v>
      </c>
    </row>
    <row r="17" spans="1:58" x14ac:dyDescent="0.2">
      <c r="A17" s="19" t="s">
        <v>99</v>
      </c>
      <c r="B17" s="20">
        <v>50</v>
      </c>
      <c r="C17" s="20">
        <v>100</v>
      </c>
      <c r="D17" s="20">
        <v>5</v>
      </c>
      <c r="E17" s="20">
        <v>7</v>
      </c>
      <c r="F17" s="21">
        <v>70</v>
      </c>
      <c r="G17" s="20">
        <v>265.5</v>
      </c>
      <c r="H17" s="20" t="s">
        <v>97</v>
      </c>
      <c r="I17" s="20">
        <v>1.69</v>
      </c>
      <c r="J17" s="20"/>
      <c r="K17" s="20"/>
      <c r="L17" s="20"/>
      <c r="M17" s="20"/>
      <c r="N17" s="22"/>
      <c r="P17">
        <v>0</v>
      </c>
      <c r="Q17">
        <v>0</v>
      </c>
      <c r="R17">
        <v>0</v>
      </c>
      <c r="S17">
        <v>0</v>
      </c>
      <c r="T17" t="e">
        <v>#REF!</v>
      </c>
      <c r="U17">
        <v>180</v>
      </c>
      <c r="V17" t="e">
        <v>#REF!</v>
      </c>
      <c r="W17" t="e">
        <v>#REF!</v>
      </c>
      <c r="X17" t="e">
        <v>#REF!</v>
      </c>
      <c r="Y17" t="e">
        <v>#REF!</v>
      </c>
      <c r="Z17" t="e">
        <v>#REF!</v>
      </c>
      <c r="AA17">
        <v>234</v>
      </c>
      <c r="AB17" t="e">
        <v>#REF!</v>
      </c>
      <c r="AC17" t="e">
        <v>#REF!</v>
      </c>
      <c r="AD17" t="e">
        <v>#REF!</v>
      </c>
      <c r="AE17" t="e">
        <v>#REF!</v>
      </c>
      <c r="AF17" t="e">
        <v>#REF!</v>
      </c>
      <c r="AG17">
        <v>261</v>
      </c>
      <c r="AH17" t="e">
        <v>#REF!</v>
      </c>
      <c r="AI17" t="e">
        <v>#REF!</v>
      </c>
      <c r="AJ17" t="e">
        <v>#REF!</v>
      </c>
      <c r="AK17" t="e">
        <v>#REF!</v>
      </c>
      <c r="AL17" t="e">
        <v>#REF!</v>
      </c>
      <c r="AM17">
        <v>270</v>
      </c>
      <c r="AN17" t="e">
        <v>#REF!</v>
      </c>
      <c r="AO17" t="e">
        <v>#REF!</v>
      </c>
      <c r="AP17" t="e">
        <v>#REF!</v>
      </c>
      <c r="AQ17" t="e">
        <v>#REF!</v>
      </c>
      <c r="AR17" t="e">
        <v>#REF!</v>
      </c>
      <c r="AS17">
        <v>270</v>
      </c>
      <c r="AT17" t="e">
        <v>#REF!</v>
      </c>
      <c r="AU17" t="e">
        <v>#REF!</v>
      </c>
      <c r="AV17" t="e">
        <v>#REF!</v>
      </c>
      <c r="AW17" t="e">
        <v>#REF!</v>
      </c>
      <c r="AX17" t="e">
        <v>#REF!</v>
      </c>
      <c r="AY17">
        <v>270</v>
      </c>
      <c r="AZ17" t="e">
        <v>#REF!</v>
      </c>
      <c r="BA17" t="e">
        <v>#REF!</v>
      </c>
      <c r="BB17" t="e">
        <v>#REF!</v>
      </c>
      <c r="BC17" t="e">
        <v>#REF!</v>
      </c>
      <c r="BD17" t="e">
        <v>#REF!</v>
      </c>
      <c r="BE17">
        <v>270</v>
      </c>
      <c r="BF17" t="e">
        <v>#REF!</v>
      </c>
    </row>
    <row r="18" spans="1:58" x14ac:dyDescent="0.2">
      <c r="A18" s="19" t="s">
        <v>98</v>
      </c>
      <c r="B18" s="20">
        <v>50</v>
      </c>
      <c r="C18" s="20">
        <v>100</v>
      </c>
      <c r="D18" s="20">
        <v>5</v>
      </c>
      <c r="E18" s="20">
        <v>12.5</v>
      </c>
      <c r="F18" s="21">
        <v>125</v>
      </c>
      <c r="G18" s="20">
        <v>541</v>
      </c>
      <c r="H18" s="20" t="s">
        <v>107</v>
      </c>
      <c r="I18" s="20">
        <v>1.68</v>
      </c>
      <c r="J18" s="20"/>
      <c r="K18" s="20"/>
      <c r="L18" s="20"/>
      <c r="M18" s="20"/>
      <c r="N18" s="22"/>
      <c r="P18">
        <v>24</v>
      </c>
      <c r="Q18">
        <v>256</v>
      </c>
      <c r="R18">
        <v>0</v>
      </c>
      <c r="S18">
        <v>2600</v>
      </c>
      <c r="T18" t="e">
        <v>#REF!</v>
      </c>
      <c r="U18">
        <v>600</v>
      </c>
      <c r="V18" t="e">
        <v>#REF!</v>
      </c>
      <c r="W18" t="e">
        <v>#REF!</v>
      </c>
      <c r="X18" t="e">
        <v>#REF!</v>
      </c>
      <c r="Y18" t="e">
        <v>#REF!</v>
      </c>
      <c r="Z18" t="e">
        <v>#REF!</v>
      </c>
      <c r="AA18">
        <v>700</v>
      </c>
      <c r="AB18" t="e">
        <v>#REF!</v>
      </c>
      <c r="AC18" t="e">
        <v>#REF!</v>
      </c>
      <c r="AD18" t="e">
        <v>#REF!</v>
      </c>
      <c r="AE18" t="e">
        <v>#REF!</v>
      </c>
      <c r="AF18" t="e">
        <v>#REF!</v>
      </c>
      <c r="AG18">
        <v>760</v>
      </c>
      <c r="AH18" t="e">
        <v>#REF!</v>
      </c>
      <c r="AI18" t="e">
        <v>#REF!</v>
      </c>
      <c r="AJ18" t="e">
        <v>#REF!</v>
      </c>
      <c r="AK18" t="e">
        <v>#REF!</v>
      </c>
      <c r="AL18" t="e">
        <v>#REF!</v>
      </c>
      <c r="AM18">
        <v>800</v>
      </c>
      <c r="AN18" t="e">
        <v>#REF!</v>
      </c>
      <c r="AO18" t="e">
        <v>#REF!</v>
      </c>
      <c r="AP18" t="e">
        <v>#REF!</v>
      </c>
      <c r="AQ18" t="e">
        <v>#REF!</v>
      </c>
      <c r="AR18" t="e">
        <v>#REF!</v>
      </c>
      <c r="AS18">
        <v>800</v>
      </c>
      <c r="AT18" t="e">
        <v>#REF!</v>
      </c>
      <c r="AU18" t="e">
        <v>#REF!</v>
      </c>
      <c r="AV18" t="e">
        <v>#REF!</v>
      </c>
      <c r="AW18" t="e">
        <v>#REF!</v>
      </c>
      <c r="AX18" t="e">
        <v>#REF!</v>
      </c>
      <c r="AY18">
        <v>800</v>
      </c>
      <c r="AZ18" t="e">
        <v>#REF!</v>
      </c>
      <c r="BA18" t="e">
        <v>#REF!</v>
      </c>
      <c r="BB18" t="e">
        <v>#REF!</v>
      </c>
      <c r="BC18" t="e">
        <v>#REF!</v>
      </c>
      <c r="BD18" t="e">
        <v>#REF!</v>
      </c>
      <c r="BE18">
        <v>800</v>
      </c>
      <c r="BF18" t="e">
        <v>#REF!</v>
      </c>
    </row>
    <row r="19" spans="1:58" x14ac:dyDescent="0.2">
      <c r="A19" s="19" t="s">
        <v>109</v>
      </c>
      <c r="B19" s="20">
        <v>50</v>
      </c>
      <c r="C19" s="20">
        <v>50</v>
      </c>
      <c r="D19" s="20">
        <v>2.5</v>
      </c>
      <c r="E19" s="20">
        <v>5</v>
      </c>
      <c r="F19" s="21">
        <v>100</v>
      </c>
      <c r="G19" s="20">
        <v>218</v>
      </c>
      <c r="H19" s="20" t="s">
        <v>73</v>
      </c>
      <c r="I19" s="20">
        <v>0.64</v>
      </c>
      <c r="J19" s="20" t="e">
        <v>#VALUE!</v>
      </c>
      <c r="K19" s="20"/>
      <c r="L19" s="20"/>
      <c r="M19" s="20"/>
      <c r="N19" s="22"/>
      <c r="P19">
        <v>0</v>
      </c>
      <c r="Q19">
        <v>0</v>
      </c>
      <c r="R19">
        <v>0</v>
      </c>
      <c r="S19">
        <v>0</v>
      </c>
      <c r="T19" t="e">
        <v>#REF!</v>
      </c>
      <c r="U19">
        <v>100</v>
      </c>
      <c r="V19" t="e">
        <v>#REF!</v>
      </c>
      <c r="W19" t="e">
        <v>#REF!</v>
      </c>
      <c r="X19" t="e">
        <v>#REF!</v>
      </c>
      <c r="Y19" t="e">
        <v>#REF!</v>
      </c>
      <c r="Z19" t="e">
        <v>#REF!</v>
      </c>
      <c r="AA19">
        <v>130</v>
      </c>
      <c r="AB19" t="e">
        <v>#REF!</v>
      </c>
      <c r="AC19" t="e">
        <v>#REF!</v>
      </c>
      <c r="AD19" t="e">
        <v>#REF!</v>
      </c>
      <c r="AE19" t="e">
        <v>#REF!</v>
      </c>
      <c r="AF19" t="e">
        <v>#REF!</v>
      </c>
      <c r="AG19">
        <v>145</v>
      </c>
      <c r="AH19" t="e">
        <v>#REF!</v>
      </c>
      <c r="AI19" t="e">
        <v>#REF!</v>
      </c>
      <c r="AJ19" t="e">
        <v>#REF!</v>
      </c>
      <c r="AK19" t="e">
        <v>#REF!</v>
      </c>
      <c r="AL19" t="e">
        <v>#REF!</v>
      </c>
      <c r="AM19">
        <v>150</v>
      </c>
      <c r="AN19" t="e">
        <v>#REF!</v>
      </c>
      <c r="AO19" t="e">
        <v>#REF!</v>
      </c>
      <c r="AP19" t="e">
        <v>#REF!</v>
      </c>
      <c r="AQ19" t="e">
        <v>#REF!</v>
      </c>
      <c r="AR19" t="e">
        <v>#REF!</v>
      </c>
      <c r="AS19">
        <v>150</v>
      </c>
      <c r="AT19" t="e">
        <v>#REF!</v>
      </c>
      <c r="AU19" t="e">
        <v>#REF!</v>
      </c>
      <c r="AV19" t="e">
        <v>#REF!</v>
      </c>
      <c r="AW19" t="e">
        <v>#REF!</v>
      </c>
      <c r="AX19" t="e">
        <v>#REF!</v>
      </c>
      <c r="AY19">
        <v>150</v>
      </c>
      <c r="AZ19" t="e">
        <v>#REF!</v>
      </c>
      <c r="BA19" t="e">
        <v>#REF!</v>
      </c>
      <c r="BB19" t="e">
        <v>#REF!</v>
      </c>
      <c r="BC19" t="e">
        <v>#REF!</v>
      </c>
      <c r="BD19" t="e">
        <v>#REF!</v>
      </c>
      <c r="BE19">
        <v>150</v>
      </c>
      <c r="BF19" t="e">
        <v>#REF!</v>
      </c>
    </row>
    <row r="20" spans="1:58" x14ac:dyDescent="0.2">
      <c r="A20" s="19" t="s">
        <v>130</v>
      </c>
      <c r="B20" s="20">
        <v>50</v>
      </c>
      <c r="C20" s="20">
        <v>40</v>
      </c>
      <c r="D20" s="20">
        <v>2</v>
      </c>
      <c r="E20" s="20">
        <v>4</v>
      </c>
      <c r="F20" s="21">
        <v>100</v>
      </c>
      <c r="G20" s="20">
        <v>168</v>
      </c>
      <c r="H20" s="20" t="s">
        <v>73</v>
      </c>
      <c r="I20" s="20">
        <v>0.64</v>
      </c>
      <c r="J20" s="20"/>
      <c r="K20" s="20"/>
      <c r="L20" s="20"/>
      <c r="M20" s="20"/>
      <c r="N20" s="22"/>
      <c r="P20">
        <v>0</v>
      </c>
      <c r="Q20">
        <v>0</v>
      </c>
      <c r="R20">
        <v>0</v>
      </c>
      <c r="S20">
        <v>0</v>
      </c>
      <c r="T20" t="e">
        <v>#REF!</v>
      </c>
      <c r="U20">
        <v>140</v>
      </c>
      <c r="V20" t="e">
        <v>#REF!</v>
      </c>
      <c r="W20" t="e">
        <v>#REF!</v>
      </c>
      <c r="X20" t="e">
        <v>#REF!</v>
      </c>
      <c r="Y20" t="e">
        <v>#REF!</v>
      </c>
      <c r="Z20" t="e">
        <v>#REF!</v>
      </c>
      <c r="AA20">
        <v>189</v>
      </c>
      <c r="AB20" t="e">
        <v>#REF!</v>
      </c>
      <c r="AC20" t="e">
        <v>#REF!</v>
      </c>
      <c r="AD20" t="e">
        <v>#REF!</v>
      </c>
      <c r="AE20" t="e">
        <v>#REF!</v>
      </c>
      <c r="AF20" t="e">
        <v>#REF!</v>
      </c>
      <c r="AG20">
        <v>210</v>
      </c>
      <c r="AH20" t="e">
        <v>#REF!</v>
      </c>
      <c r="AI20" t="e">
        <v>#REF!</v>
      </c>
      <c r="AJ20" t="e">
        <v>#REF!</v>
      </c>
      <c r="AK20" t="e">
        <v>#REF!</v>
      </c>
      <c r="AL20" t="e">
        <v>#REF!</v>
      </c>
      <c r="AM20">
        <v>224</v>
      </c>
      <c r="AN20" t="e">
        <v>#REF!</v>
      </c>
      <c r="AO20" t="e">
        <v>#REF!</v>
      </c>
      <c r="AP20" t="e">
        <v>#REF!</v>
      </c>
      <c r="AQ20" t="e">
        <v>#REF!</v>
      </c>
      <c r="AR20" t="e">
        <v>#REF!</v>
      </c>
      <c r="AS20">
        <v>224</v>
      </c>
      <c r="AT20" t="e">
        <v>#REF!</v>
      </c>
      <c r="AU20" t="e">
        <v>#REF!</v>
      </c>
      <c r="AV20" t="e">
        <v>#REF!</v>
      </c>
      <c r="AW20" t="e">
        <v>#REF!</v>
      </c>
      <c r="AX20" t="e">
        <v>#REF!</v>
      </c>
      <c r="AY20">
        <v>224</v>
      </c>
      <c r="AZ20" t="e">
        <v>#REF!</v>
      </c>
      <c r="BA20" t="e">
        <v>#REF!</v>
      </c>
      <c r="BB20" t="e">
        <v>#REF!</v>
      </c>
      <c r="BC20" t="e">
        <v>#REF!</v>
      </c>
      <c r="BD20" t="e">
        <v>#REF!</v>
      </c>
      <c r="BE20">
        <v>224</v>
      </c>
      <c r="BF20" t="e">
        <v>#REF!</v>
      </c>
    </row>
    <row r="21" spans="1:58" x14ac:dyDescent="0.2">
      <c r="A21" s="23" t="s">
        <v>124</v>
      </c>
      <c r="B21" s="20">
        <v>75</v>
      </c>
      <c r="C21" s="20">
        <v>100</v>
      </c>
      <c r="D21" s="20">
        <v>7.5</v>
      </c>
      <c r="E21" s="20">
        <v>19</v>
      </c>
      <c r="F21" s="21">
        <v>190</v>
      </c>
      <c r="G21" s="20">
        <v>1380</v>
      </c>
      <c r="H21" s="20" t="s">
        <v>97</v>
      </c>
      <c r="I21" s="20">
        <v>0.6</v>
      </c>
      <c r="J21" s="20"/>
      <c r="K21" s="20"/>
      <c r="L21" s="20"/>
      <c r="M21" s="20"/>
      <c r="N21" s="22">
        <v>161.5</v>
      </c>
      <c r="P21">
        <v>0</v>
      </c>
      <c r="Q21">
        <v>0</v>
      </c>
      <c r="R21">
        <v>0</v>
      </c>
      <c r="S21">
        <v>0</v>
      </c>
      <c r="T21" t="e">
        <v>#REF!</v>
      </c>
      <c r="U21">
        <v>180</v>
      </c>
      <c r="V21" t="e">
        <v>#REF!</v>
      </c>
      <c r="W21" t="e">
        <v>#REF!</v>
      </c>
      <c r="X21" t="e">
        <v>#REF!</v>
      </c>
      <c r="Y21" t="e">
        <v>#REF!</v>
      </c>
      <c r="Z21" t="e">
        <v>#REF!</v>
      </c>
      <c r="AA21">
        <v>243</v>
      </c>
      <c r="AB21" t="e">
        <v>#REF!</v>
      </c>
      <c r="AC21" t="e">
        <v>#REF!</v>
      </c>
      <c r="AD21" t="e">
        <v>#REF!</v>
      </c>
      <c r="AE21" t="e">
        <v>#REF!</v>
      </c>
      <c r="AF21" t="e">
        <v>#REF!</v>
      </c>
      <c r="AG21">
        <v>270</v>
      </c>
      <c r="AH21" t="e">
        <v>#REF!</v>
      </c>
      <c r="AI21" t="e">
        <v>#REF!</v>
      </c>
      <c r="AJ21" t="e">
        <v>#REF!</v>
      </c>
      <c r="AK21" t="e">
        <v>#REF!</v>
      </c>
      <c r="AL21" t="e">
        <v>#REF!</v>
      </c>
      <c r="AM21">
        <v>288</v>
      </c>
      <c r="AN21" t="e">
        <v>#REF!</v>
      </c>
      <c r="AO21" t="e">
        <v>#REF!</v>
      </c>
      <c r="AP21" t="e">
        <v>#REF!</v>
      </c>
      <c r="AQ21" t="e">
        <v>#REF!</v>
      </c>
      <c r="AR21" t="e">
        <v>#REF!</v>
      </c>
      <c r="AS21">
        <v>288</v>
      </c>
      <c r="AT21" t="e">
        <v>#REF!</v>
      </c>
      <c r="AU21" t="e">
        <v>#REF!</v>
      </c>
      <c r="AV21" t="e">
        <v>#REF!</v>
      </c>
      <c r="AW21" t="e">
        <v>#REF!</v>
      </c>
      <c r="AX21" t="e">
        <v>#REF!</v>
      </c>
      <c r="AY21">
        <v>288</v>
      </c>
      <c r="AZ21" t="e">
        <v>#REF!</v>
      </c>
      <c r="BA21" t="e">
        <v>#REF!</v>
      </c>
      <c r="BB21" t="e">
        <v>#REF!</v>
      </c>
      <c r="BC21" t="e">
        <v>#REF!</v>
      </c>
      <c r="BD21" t="e">
        <v>#REF!</v>
      </c>
      <c r="BE21">
        <v>288</v>
      </c>
      <c r="BF21" t="e">
        <v>#REF!</v>
      </c>
    </row>
    <row r="22" spans="1:58" x14ac:dyDescent="0.2">
      <c r="A22" s="19" t="s">
        <v>1026</v>
      </c>
      <c r="B22" s="20">
        <v>75</v>
      </c>
      <c r="C22" s="20">
        <v>210</v>
      </c>
      <c r="D22" s="20">
        <v>15.75</v>
      </c>
      <c r="E22" s="20">
        <v>5</v>
      </c>
      <c r="F22" s="21">
        <v>23.80952380952381</v>
      </c>
      <c r="G22" s="20">
        <v>330</v>
      </c>
      <c r="H22" s="20" t="s">
        <v>814</v>
      </c>
      <c r="I22" s="20">
        <v>0.6</v>
      </c>
      <c r="J22" s="20"/>
      <c r="K22" s="20"/>
      <c r="L22" s="20"/>
      <c r="M22" s="20"/>
      <c r="N22" s="22">
        <v>20.23809523809523</v>
      </c>
      <c r="P22">
        <v>0</v>
      </c>
      <c r="Q22">
        <v>0</v>
      </c>
      <c r="R22">
        <v>0</v>
      </c>
      <c r="S22">
        <v>0</v>
      </c>
      <c r="T22" t="e">
        <v>#REF!</v>
      </c>
      <c r="U22">
        <v>140</v>
      </c>
      <c r="V22" t="e">
        <v>#REF!</v>
      </c>
      <c r="W22" t="e">
        <v>#REF!</v>
      </c>
      <c r="X22" t="e">
        <v>#REF!</v>
      </c>
      <c r="Y22" t="e">
        <v>#REF!</v>
      </c>
      <c r="Z22" t="e">
        <v>#REF!</v>
      </c>
      <c r="AA22">
        <v>189</v>
      </c>
      <c r="AB22" t="e">
        <v>#REF!</v>
      </c>
      <c r="AC22" t="e">
        <v>#REF!</v>
      </c>
      <c r="AD22" t="e">
        <v>#REF!</v>
      </c>
      <c r="AE22" t="e">
        <v>#REF!</v>
      </c>
      <c r="AF22" t="e">
        <v>#REF!</v>
      </c>
      <c r="AG22">
        <v>210</v>
      </c>
      <c r="AH22" t="e">
        <v>#REF!</v>
      </c>
      <c r="AI22" t="e">
        <v>#REF!</v>
      </c>
      <c r="AJ22" t="e">
        <v>#REF!</v>
      </c>
      <c r="AK22" t="e">
        <v>#REF!</v>
      </c>
      <c r="AL22" t="e">
        <v>#REF!</v>
      </c>
      <c r="AM22">
        <v>224</v>
      </c>
      <c r="AN22" t="e">
        <v>#REF!</v>
      </c>
      <c r="AO22" t="e">
        <v>#REF!</v>
      </c>
      <c r="AP22" t="e">
        <v>#REF!</v>
      </c>
      <c r="AQ22" t="e">
        <v>#REF!</v>
      </c>
      <c r="AR22" t="e">
        <v>#REF!</v>
      </c>
      <c r="AS22">
        <v>224</v>
      </c>
      <c r="AT22" t="e">
        <v>#REF!</v>
      </c>
      <c r="AU22" t="e">
        <v>#REF!</v>
      </c>
      <c r="AV22" t="e">
        <v>#REF!</v>
      </c>
      <c r="AW22" t="e">
        <v>#REF!</v>
      </c>
      <c r="AX22" t="e">
        <v>#REF!</v>
      </c>
      <c r="AY22">
        <v>224</v>
      </c>
      <c r="AZ22" t="e">
        <v>#REF!</v>
      </c>
      <c r="BA22" t="e">
        <v>#REF!</v>
      </c>
      <c r="BB22" t="e">
        <v>#REF!</v>
      </c>
      <c r="BC22" t="e">
        <v>#REF!</v>
      </c>
      <c r="BD22" t="e">
        <v>#REF!</v>
      </c>
      <c r="BE22">
        <v>224</v>
      </c>
      <c r="BF22" t="e">
        <v>#REF!</v>
      </c>
    </row>
    <row r="23" spans="1:58" x14ac:dyDescent="0.2">
      <c r="A23" s="19" t="s">
        <v>1027</v>
      </c>
      <c r="B23" s="20">
        <v>75</v>
      </c>
      <c r="C23" s="20">
        <v>45</v>
      </c>
      <c r="D23" s="20">
        <v>3.375</v>
      </c>
      <c r="E23" s="20">
        <v>0</v>
      </c>
      <c r="F23" s="21"/>
      <c r="G23" s="20">
        <v>-48</v>
      </c>
      <c r="H23" s="20" t="s">
        <v>73</v>
      </c>
      <c r="I23" s="20">
        <v>0.64</v>
      </c>
      <c r="J23" s="20"/>
      <c r="K23" s="20"/>
      <c r="L23" s="20"/>
      <c r="M23" s="20"/>
      <c r="N23" s="22">
        <v>0</v>
      </c>
      <c r="P23">
        <v>0</v>
      </c>
      <c r="Q23">
        <v>0</v>
      </c>
      <c r="R23">
        <v>0</v>
      </c>
      <c r="S23">
        <v>0</v>
      </c>
      <c r="T23" t="e">
        <v>#REF!</v>
      </c>
      <c r="U23">
        <v>120</v>
      </c>
      <c r="V23" t="e">
        <v>#REF!</v>
      </c>
      <c r="W23" t="e">
        <v>#REF!</v>
      </c>
      <c r="X23" t="e">
        <v>#REF!</v>
      </c>
      <c r="Y23" t="e">
        <v>#REF!</v>
      </c>
      <c r="Z23" t="e">
        <v>#REF!</v>
      </c>
      <c r="AA23">
        <v>168</v>
      </c>
      <c r="AB23" t="e">
        <v>#REF!</v>
      </c>
      <c r="AC23" t="e">
        <v>#REF!</v>
      </c>
      <c r="AD23" t="e">
        <v>#REF!</v>
      </c>
      <c r="AE23" t="e">
        <v>#REF!</v>
      </c>
      <c r="AF23" t="e">
        <v>#REF!</v>
      </c>
      <c r="AG23">
        <v>192</v>
      </c>
      <c r="AH23" t="e">
        <v>#REF!</v>
      </c>
      <c r="AI23" t="e">
        <v>#REF!</v>
      </c>
      <c r="AJ23" t="e">
        <v>#REF!</v>
      </c>
      <c r="AK23" t="e">
        <v>#REF!</v>
      </c>
      <c r="AL23" t="e">
        <v>#REF!</v>
      </c>
      <c r="AM23">
        <v>204</v>
      </c>
      <c r="AN23" t="e">
        <v>#REF!</v>
      </c>
      <c r="AO23" t="e">
        <v>#REF!</v>
      </c>
      <c r="AP23" t="e">
        <v>#REF!</v>
      </c>
      <c r="AQ23" t="e">
        <v>#REF!</v>
      </c>
      <c r="AR23" t="e">
        <v>#REF!</v>
      </c>
      <c r="AS23">
        <v>204</v>
      </c>
      <c r="AT23" t="e">
        <v>#REF!</v>
      </c>
      <c r="AU23" t="e">
        <v>#REF!</v>
      </c>
      <c r="AV23" t="e">
        <v>#REF!</v>
      </c>
      <c r="AW23" t="e">
        <v>#REF!</v>
      </c>
      <c r="AX23" t="e">
        <v>#REF!</v>
      </c>
      <c r="AY23">
        <v>204</v>
      </c>
      <c r="AZ23" t="e">
        <v>#REF!</v>
      </c>
      <c r="BA23" t="e">
        <v>#REF!</v>
      </c>
      <c r="BB23" t="e">
        <v>#REF!</v>
      </c>
      <c r="BC23" t="e">
        <v>#REF!</v>
      </c>
      <c r="BD23" t="e">
        <v>#REF!</v>
      </c>
      <c r="BE23">
        <v>204</v>
      </c>
      <c r="BF23" t="e">
        <v>#REF!</v>
      </c>
    </row>
    <row r="24" spans="1:58" x14ac:dyDescent="0.2">
      <c r="A24" s="19" t="s">
        <v>96</v>
      </c>
      <c r="B24" s="20">
        <v>75</v>
      </c>
      <c r="C24" s="20">
        <v>100</v>
      </c>
      <c r="D24" s="20">
        <v>7.5</v>
      </c>
      <c r="E24" s="20">
        <v>7</v>
      </c>
      <c r="F24" s="21">
        <v>70</v>
      </c>
      <c r="G24" s="20">
        <v>398.25000000000011</v>
      </c>
      <c r="H24" s="20" t="s">
        <v>97</v>
      </c>
      <c r="I24" s="20">
        <v>1.69</v>
      </c>
      <c r="J24" s="20"/>
      <c r="K24" s="20"/>
      <c r="L24" s="20"/>
      <c r="M24" s="20"/>
      <c r="N24" s="22"/>
      <c r="P24">
        <v>0</v>
      </c>
      <c r="Q24">
        <v>0</v>
      </c>
      <c r="R24">
        <v>0</v>
      </c>
      <c r="S24">
        <v>0</v>
      </c>
      <c r="T24" t="e">
        <v>#REF!</v>
      </c>
      <c r="U24">
        <v>100</v>
      </c>
      <c r="V24" t="e">
        <v>#REF!</v>
      </c>
      <c r="W24" t="e">
        <v>#REF!</v>
      </c>
      <c r="X24" t="e">
        <v>#REF!</v>
      </c>
      <c r="Y24" t="e">
        <v>#REF!</v>
      </c>
      <c r="Z24" t="e">
        <v>#REF!</v>
      </c>
      <c r="AA24">
        <v>140</v>
      </c>
      <c r="AB24" t="e">
        <v>#REF!</v>
      </c>
      <c r="AC24" t="e">
        <v>#REF!</v>
      </c>
      <c r="AD24" t="e">
        <v>#REF!</v>
      </c>
      <c r="AE24" t="e">
        <v>#REF!</v>
      </c>
      <c r="AF24" t="e">
        <v>#REF!</v>
      </c>
      <c r="AG24">
        <v>160</v>
      </c>
      <c r="AH24" t="e">
        <v>#REF!</v>
      </c>
      <c r="AI24" t="e">
        <v>#REF!</v>
      </c>
      <c r="AJ24" t="e">
        <v>#REF!</v>
      </c>
      <c r="AK24" t="e">
        <v>#REF!</v>
      </c>
      <c r="AL24" t="e">
        <v>#REF!</v>
      </c>
      <c r="AM24">
        <v>170</v>
      </c>
      <c r="AN24" t="e">
        <v>#REF!</v>
      </c>
      <c r="AO24" t="e">
        <v>#REF!</v>
      </c>
      <c r="AP24" t="e">
        <v>#REF!</v>
      </c>
      <c r="AQ24" t="e">
        <v>#REF!</v>
      </c>
      <c r="AR24" t="e">
        <v>#REF!</v>
      </c>
      <c r="AS24">
        <v>170</v>
      </c>
      <c r="AT24" t="e">
        <v>#REF!</v>
      </c>
      <c r="AU24" t="e">
        <v>#REF!</v>
      </c>
      <c r="AV24" t="e">
        <v>#REF!</v>
      </c>
      <c r="AW24" t="e">
        <v>#REF!</v>
      </c>
      <c r="AX24" t="e">
        <v>#REF!</v>
      </c>
      <c r="AY24">
        <v>170</v>
      </c>
      <c r="AZ24" t="e">
        <v>#REF!</v>
      </c>
      <c r="BA24" t="e">
        <v>#REF!</v>
      </c>
      <c r="BB24" t="e">
        <v>#REF!</v>
      </c>
      <c r="BC24" t="e">
        <v>#REF!</v>
      </c>
      <c r="BD24" t="e">
        <v>#REF!</v>
      </c>
      <c r="BE24">
        <v>170</v>
      </c>
      <c r="BF24" t="e">
        <v>#REF!</v>
      </c>
    </row>
    <row r="25" spans="1:58" x14ac:dyDescent="0.2">
      <c r="A25" s="19" t="s">
        <v>123</v>
      </c>
      <c r="B25" s="20">
        <v>75</v>
      </c>
      <c r="C25" s="20">
        <v>40</v>
      </c>
      <c r="D25" s="20">
        <v>3</v>
      </c>
      <c r="E25" s="20">
        <v>4</v>
      </c>
      <c r="F25" s="21">
        <v>100</v>
      </c>
      <c r="G25" s="20">
        <v>252</v>
      </c>
      <c r="H25" s="20" t="s">
        <v>73</v>
      </c>
      <c r="I25" s="20">
        <v>0.64</v>
      </c>
      <c r="J25" s="20"/>
      <c r="K25" s="20"/>
      <c r="L25" s="20"/>
      <c r="M25" s="20"/>
      <c r="N25" s="22"/>
      <c r="P25">
        <v>17.5</v>
      </c>
      <c r="Q25">
        <v>224</v>
      </c>
      <c r="R25">
        <v>0</v>
      </c>
      <c r="S25">
        <v>2975</v>
      </c>
      <c r="T25" t="e">
        <v>#REF!</v>
      </c>
      <c r="U25">
        <v>525</v>
      </c>
      <c r="V25" t="e">
        <v>#REF!</v>
      </c>
      <c r="W25" t="e">
        <v>#REF!</v>
      </c>
      <c r="X25" t="e">
        <v>#REF!</v>
      </c>
      <c r="Y25" t="e">
        <v>#REF!</v>
      </c>
      <c r="Z25" t="e">
        <v>#REF!</v>
      </c>
      <c r="AA25">
        <v>612</v>
      </c>
      <c r="AB25" t="e">
        <v>#REF!</v>
      </c>
      <c r="AC25" t="e">
        <v>#REF!</v>
      </c>
      <c r="AD25" t="e">
        <v>#REF!</v>
      </c>
      <c r="AE25" t="e">
        <v>#REF!</v>
      </c>
      <c r="AF25" t="e">
        <v>#REF!</v>
      </c>
      <c r="AG25">
        <v>665</v>
      </c>
      <c r="AH25" t="e">
        <v>#REF!</v>
      </c>
      <c r="AI25" t="e">
        <v>#REF!</v>
      </c>
      <c r="AJ25" t="e">
        <v>#REF!</v>
      </c>
      <c r="AK25" t="e">
        <v>#REF!</v>
      </c>
      <c r="AL25" t="e">
        <v>#REF!</v>
      </c>
      <c r="AM25">
        <v>700</v>
      </c>
      <c r="AN25" t="e">
        <v>#REF!</v>
      </c>
      <c r="AO25" t="e">
        <v>#REF!</v>
      </c>
      <c r="AP25" t="e">
        <v>#REF!</v>
      </c>
      <c r="AQ25" t="e">
        <v>#REF!</v>
      </c>
      <c r="AR25" t="e">
        <v>#REF!</v>
      </c>
      <c r="AS25">
        <v>700</v>
      </c>
      <c r="AT25" t="e">
        <v>#REF!</v>
      </c>
      <c r="AU25" t="e">
        <v>#REF!</v>
      </c>
      <c r="AV25" t="e">
        <v>#REF!</v>
      </c>
      <c r="AW25" t="e">
        <v>#REF!</v>
      </c>
      <c r="AX25" t="e">
        <v>#REF!</v>
      </c>
      <c r="AY25">
        <v>700</v>
      </c>
      <c r="AZ25" t="e">
        <v>#REF!</v>
      </c>
      <c r="BA25" t="e">
        <v>#REF!</v>
      </c>
      <c r="BB25" t="e">
        <v>#REF!</v>
      </c>
      <c r="BC25" t="e">
        <v>#REF!</v>
      </c>
      <c r="BD25" t="e">
        <v>#REF!</v>
      </c>
      <c r="BE25">
        <v>700</v>
      </c>
      <c r="BF25" t="e">
        <v>#REF!</v>
      </c>
    </row>
    <row r="26" spans="1:58" x14ac:dyDescent="0.2">
      <c r="A26" s="19" t="s">
        <v>86</v>
      </c>
      <c r="B26" s="20">
        <v>100</v>
      </c>
      <c r="C26" s="20">
        <v>65</v>
      </c>
      <c r="D26" s="20">
        <v>6.5</v>
      </c>
      <c r="E26" s="20">
        <v>2.9249999999999998</v>
      </c>
      <c r="F26" s="21">
        <v>45</v>
      </c>
      <c r="G26" s="20">
        <v>228.5</v>
      </c>
      <c r="H26" s="20" t="s">
        <v>73</v>
      </c>
      <c r="I26" s="20">
        <v>0.64</v>
      </c>
      <c r="J26" s="20">
        <v>3.6</v>
      </c>
      <c r="K26" s="20">
        <v>43.63</v>
      </c>
      <c r="L26" s="20"/>
      <c r="M26" s="20"/>
      <c r="N26" s="22"/>
      <c r="P26">
        <v>0</v>
      </c>
      <c r="Q26">
        <v>0</v>
      </c>
      <c r="R26">
        <v>0</v>
      </c>
      <c r="S26">
        <v>0</v>
      </c>
      <c r="T26" t="e">
        <v>#REF!</v>
      </c>
      <c r="U26">
        <v>0</v>
      </c>
      <c r="V26" t="e">
        <v>#REF!</v>
      </c>
      <c r="W26" t="e">
        <v>#REF!</v>
      </c>
      <c r="X26" t="e">
        <v>#REF!</v>
      </c>
      <c r="Y26" t="e">
        <v>#REF!</v>
      </c>
      <c r="Z26" t="e">
        <v>#REF!</v>
      </c>
      <c r="AA26">
        <v>0</v>
      </c>
      <c r="AB26" t="e">
        <v>#REF!</v>
      </c>
      <c r="AC26" t="e">
        <v>#REF!</v>
      </c>
      <c r="AD26" t="e">
        <v>#REF!</v>
      </c>
      <c r="AE26" t="e">
        <v>#REF!</v>
      </c>
      <c r="AF26" t="e">
        <v>#REF!</v>
      </c>
      <c r="AG26">
        <v>40</v>
      </c>
      <c r="AH26" t="e">
        <v>#REF!</v>
      </c>
      <c r="AI26" t="e">
        <v>#REF!</v>
      </c>
      <c r="AJ26" t="e">
        <v>#REF!</v>
      </c>
      <c r="AK26" t="e">
        <v>#REF!</v>
      </c>
      <c r="AL26" t="e">
        <v>#REF!</v>
      </c>
      <c r="AM26">
        <v>46</v>
      </c>
      <c r="AN26" t="e">
        <v>#REF!</v>
      </c>
      <c r="AO26" t="e">
        <v>#REF!</v>
      </c>
      <c r="AP26" t="e">
        <v>#REF!</v>
      </c>
      <c r="AQ26" t="e">
        <v>#REF!</v>
      </c>
      <c r="AR26" t="e">
        <v>#REF!</v>
      </c>
      <c r="AS26">
        <v>50</v>
      </c>
      <c r="AT26" t="e">
        <v>#REF!</v>
      </c>
      <c r="AU26" t="e">
        <v>#REF!</v>
      </c>
      <c r="AV26" t="e">
        <v>#REF!</v>
      </c>
      <c r="AW26" t="e">
        <v>#REF!</v>
      </c>
      <c r="AX26" t="e">
        <v>#REF!</v>
      </c>
      <c r="AY26">
        <v>50</v>
      </c>
      <c r="AZ26" t="e">
        <v>#REF!</v>
      </c>
      <c r="BA26" t="e">
        <v>#REF!</v>
      </c>
      <c r="BB26" t="e">
        <v>#REF!</v>
      </c>
      <c r="BC26" t="e">
        <v>#REF!</v>
      </c>
      <c r="BD26" t="e">
        <v>#REF!</v>
      </c>
      <c r="BE26">
        <v>50</v>
      </c>
      <c r="BF26" t="e">
        <v>#REF!</v>
      </c>
    </row>
    <row r="27" spans="1:58" x14ac:dyDescent="0.2">
      <c r="A27" s="19" t="s">
        <v>83</v>
      </c>
      <c r="B27" s="20">
        <v>100</v>
      </c>
      <c r="C27" s="20">
        <v>65</v>
      </c>
      <c r="D27" s="20">
        <v>6.5</v>
      </c>
      <c r="E27" s="20">
        <v>4.875</v>
      </c>
      <c r="F27" s="21">
        <v>75</v>
      </c>
      <c r="G27" s="20">
        <v>423.50000000000011</v>
      </c>
      <c r="H27" s="20" t="s">
        <v>73</v>
      </c>
      <c r="I27" s="20">
        <v>0.64</v>
      </c>
      <c r="J27" s="20">
        <v>67.5</v>
      </c>
      <c r="K27" s="20">
        <v>40</v>
      </c>
      <c r="L27" s="20"/>
      <c r="M27" s="20"/>
      <c r="N27" s="22"/>
      <c r="P27">
        <v>0</v>
      </c>
      <c r="Q27">
        <v>0</v>
      </c>
      <c r="R27">
        <v>0</v>
      </c>
      <c r="S27">
        <v>0</v>
      </c>
      <c r="T27" t="e">
        <v>#REF!</v>
      </c>
      <c r="U27">
        <v>0</v>
      </c>
      <c r="V27" t="e">
        <v>#REF!</v>
      </c>
      <c r="W27" t="e">
        <v>#REF!</v>
      </c>
      <c r="X27" t="e">
        <v>#REF!</v>
      </c>
      <c r="Y27" t="e">
        <v>#REF!</v>
      </c>
      <c r="Z27" t="e">
        <v>#REF!</v>
      </c>
      <c r="AA27">
        <v>0</v>
      </c>
      <c r="AB27" t="e">
        <v>#REF!</v>
      </c>
      <c r="AC27" t="e">
        <v>#REF!</v>
      </c>
      <c r="AD27" t="e">
        <v>#REF!</v>
      </c>
      <c r="AE27" t="e">
        <v>#REF!</v>
      </c>
      <c r="AF27" t="e">
        <v>#REF!</v>
      </c>
      <c r="AG27">
        <v>40</v>
      </c>
      <c r="AH27" t="e">
        <v>#REF!</v>
      </c>
      <c r="AI27" t="e">
        <v>#REF!</v>
      </c>
      <c r="AJ27" t="e">
        <v>#REF!</v>
      </c>
      <c r="AK27" t="e">
        <v>#REF!</v>
      </c>
      <c r="AL27" t="e">
        <v>#REF!</v>
      </c>
      <c r="AM27">
        <v>46</v>
      </c>
      <c r="AN27" t="e">
        <v>#REF!</v>
      </c>
      <c r="AO27" t="e">
        <v>#REF!</v>
      </c>
      <c r="AP27" t="e">
        <v>#REF!</v>
      </c>
      <c r="AQ27" t="e">
        <v>#REF!</v>
      </c>
      <c r="AR27" t="e">
        <v>#REF!</v>
      </c>
      <c r="AS27">
        <v>50</v>
      </c>
      <c r="AT27" t="e">
        <v>#REF!</v>
      </c>
      <c r="AU27" t="e">
        <v>#REF!</v>
      </c>
      <c r="AV27" t="e">
        <v>#REF!</v>
      </c>
      <c r="AW27" t="e">
        <v>#REF!</v>
      </c>
      <c r="AX27" t="e">
        <v>#REF!</v>
      </c>
      <c r="AY27">
        <v>50</v>
      </c>
      <c r="AZ27" t="e">
        <v>#REF!</v>
      </c>
      <c r="BA27" t="e">
        <v>#REF!</v>
      </c>
      <c r="BB27" t="e">
        <v>#REF!</v>
      </c>
      <c r="BC27" t="e">
        <v>#REF!</v>
      </c>
      <c r="BD27" t="e">
        <v>#REF!</v>
      </c>
      <c r="BE27">
        <v>50</v>
      </c>
      <c r="BF27" t="e">
        <v>#REF!</v>
      </c>
    </row>
    <row r="28" spans="1:58" x14ac:dyDescent="0.2">
      <c r="A28" s="19" t="s">
        <v>101</v>
      </c>
      <c r="B28" s="20">
        <v>100</v>
      </c>
      <c r="C28" s="20">
        <v>50</v>
      </c>
      <c r="D28" s="20">
        <v>5</v>
      </c>
      <c r="E28" s="20">
        <v>5</v>
      </c>
      <c r="F28" s="21">
        <v>100</v>
      </c>
      <c r="G28" s="20">
        <v>436.00000000000011</v>
      </c>
      <c r="H28" s="20" t="s">
        <v>73</v>
      </c>
      <c r="I28" s="20">
        <v>0.64</v>
      </c>
      <c r="J28" s="20">
        <v>35</v>
      </c>
      <c r="K28" s="20">
        <v>91.67</v>
      </c>
      <c r="L28" s="20"/>
      <c r="M28" s="20"/>
      <c r="N28" s="22"/>
      <c r="P28">
        <v>0</v>
      </c>
      <c r="Q28">
        <v>0</v>
      </c>
      <c r="R28">
        <v>0</v>
      </c>
      <c r="S28">
        <v>0</v>
      </c>
      <c r="T28" t="e">
        <v>#REF!</v>
      </c>
      <c r="U28">
        <v>0</v>
      </c>
      <c r="V28" t="e">
        <v>#REF!</v>
      </c>
      <c r="W28" t="e">
        <v>#REF!</v>
      </c>
      <c r="X28" t="e">
        <v>#REF!</v>
      </c>
      <c r="Y28" t="e">
        <v>#REF!</v>
      </c>
      <c r="Z28" t="e">
        <v>#REF!</v>
      </c>
      <c r="AA28">
        <v>0</v>
      </c>
      <c r="AB28" t="e">
        <v>#REF!</v>
      </c>
      <c r="AC28" t="e">
        <v>#REF!</v>
      </c>
      <c r="AD28" t="e">
        <v>#REF!</v>
      </c>
      <c r="AE28" t="e">
        <v>#REF!</v>
      </c>
      <c r="AF28" t="e">
        <v>#REF!</v>
      </c>
      <c r="AG28">
        <v>30</v>
      </c>
      <c r="AH28" t="e">
        <v>#REF!</v>
      </c>
      <c r="AI28" t="e">
        <v>#REF!</v>
      </c>
      <c r="AJ28" t="e">
        <v>#REF!</v>
      </c>
      <c r="AK28" t="e">
        <v>#REF!</v>
      </c>
      <c r="AL28" t="e">
        <v>#REF!</v>
      </c>
      <c r="AM28">
        <v>34</v>
      </c>
      <c r="AN28" t="e">
        <v>#REF!</v>
      </c>
      <c r="AO28" t="e">
        <v>#REF!</v>
      </c>
      <c r="AP28" t="e">
        <v>#REF!</v>
      </c>
      <c r="AQ28" t="e">
        <v>#REF!</v>
      </c>
      <c r="AR28" t="e">
        <v>#REF!</v>
      </c>
      <c r="AS28">
        <v>38</v>
      </c>
      <c r="AT28" t="e">
        <v>#REF!</v>
      </c>
      <c r="AU28" t="e">
        <v>#REF!</v>
      </c>
      <c r="AV28" t="e">
        <v>#REF!</v>
      </c>
      <c r="AW28" t="e">
        <v>#REF!</v>
      </c>
      <c r="AX28" t="e">
        <v>#REF!</v>
      </c>
      <c r="AY28">
        <v>38</v>
      </c>
      <c r="AZ28" t="e">
        <v>#REF!</v>
      </c>
      <c r="BA28" t="e">
        <v>#REF!</v>
      </c>
      <c r="BB28" t="e">
        <v>#REF!</v>
      </c>
      <c r="BC28" t="e">
        <v>#REF!</v>
      </c>
      <c r="BD28" t="e">
        <v>#REF!</v>
      </c>
      <c r="BE28">
        <v>38</v>
      </c>
      <c r="BF28" t="e">
        <v>#REF!</v>
      </c>
    </row>
    <row r="29" spans="1:58" x14ac:dyDescent="0.2">
      <c r="A29" s="19" t="s">
        <v>132</v>
      </c>
      <c r="B29" s="20">
        <v>100</v>
      </c>
      <c r="C29" s="20">
        <v>50</v>
      </c>
      <c r="D29" s="20">
        <v>5</v>
      </c>
      <c r="E29" s="20">
        <v>5</v>
      </c>
      <c r="F29" s="21">
        <v>100</v>
      </c>
      <c r="G29" s="20">
        <v>436.00000000000011</v>
      </c>
      <c r="H29" s="20" t="s">
        <v>73</v>
      </c>
      <c r="I29" s="20">
        <v>0.64</v>
      </c>
      <c r="J29" s="20" t="e">
        <v>#N/A</v>
      </c>
      <c r="K29" s="20">
        <v>115</v>
      </c>
      <c r="L29" s="20"/>
      <c r="M29" s="20"/>
      <c r="N29" s="22">
        <v>85</v>
      </c>
      <c r="P29">
        <v>0</v>
      </c>
      <c r="Q29">
        <v>0</v>
      </c>
      <c r="R29">
        <v>0</v>
      </c>
      <c r="S29">
        <v>0</v>
      </c>
      <c r="T29" t="e">
        <v>#REF!</v>
      </c>
      <c r="U29">
        <v>0</v>
      </c>
      <c r="V29" t="e">
        <v>#REF!</v>
      </c>
      <c r="W29" t="e">
        <v>#REF!</v>
      </c>
      <c r="X29" t="e">
        <v>#REF!</v>
      </c>
      <c r="Y29" t="e">
        <v>#REF!</v>
      </c>
      <c r="Z29" t="e">
        <v>#REF!</v>
      </c>
      <c r="AA29">
        <v>70</v>
      </c>
      <c r="AB29" t="e">
        <v>#REF!</v>
      </c>
      <c r="AC29" t="e">
        <v>#REF!</v>
      </c>
      <c r="AD29" t="e">
        <v>#REF!</v>
      </c>
      <c r="AE29" t="e">
        <v>#REF!</v>
      </c>
      <c r="AF29" t="e">
        <v>#REF!</v>
      </c>
      <c r="AG29">
        <v>88</v>
      </c>
      <c r="AH29" t="e">
        <v>#REF!</v>
      </c>
      <c r="AI29" t="e">
        <v>#REF!</v>
      </c>
      <c r="AJ29" t="e">
        <v>#REF!</v>
      </c>
      <c r="AK29" t="e">
        <v>#REF!</v>
      </c>
      <c r="AL29" t="e">
        <v>#REF!</v>
      </c>
      <c r="AM29">
        <v>98</v>
      </c>
      <c r="AN29" t="e">
        <v>#REF!</v>
      </c>
      <c r="AO29" t="e">
        <v>#REF!</v>
      </c>
      <c r="AP29" t="e">
        <v>#REF!</v>
      </c>
      <c r="AQ29" t="e">
        <v>#REF!</v>
      </c>
      <c r="AR29" t="e">
        <v>#REF!</v>
      </c>
      <c r="AS29">
        <v>102</v>
      </c>
      <c r="AT29" t="e">
        <v>#REF!</v>
      </c>
      <c r="AU29" t="e">
        <v>#REF!</v>
      </c>
      <c r="AV29" t="e">
        <v>#REF!</v>
      </c>
      <c r="AW29" t="e">
        <v>#REF!</v>
      </c>
      <c r="AX29" t="e">
        <v>#REF!</v>
      </c>
      <c r="AY29">
        <v>102</v>
      </c>
      <c r="AZ29" t="e">
        <v>#REF!</v>
      </c>
      <c r="BA29" t="e">
        <v>#REF!</v>
      </c>
      <c r="BB29" t="e">
        <v>#REF!</v>
      </c>
      <c r="BC29" t="e">
        <v>#REF!</v>
      </c>
      <c r="BD29" t="e">
        <v>#REF!</v>
      </c>
      <c r="BE29">
        <v>102</v>
      </c>
      <c r="BF29" t="e">
        <v>#REF!</v>
      </c>
    </row>
    <row r="30" spans="1:58" x14ac:dyDescent="0.2">
      <c r="A30" s="19" t="s">
        <v>98</v>
      </c>
      <c r="B30" s="20">
        <v>100</v>
      </c>
      <c r="C30" s="20">
        <v>100</v>
      </c>
      <c r="D30" s="20">
        <v>10</v>
      </c>
      <c r="E30" s="20">
        <v>7</v>
      </c>
      <c r="F30" s="21">
        <v>70</v>
      </c>
      <c r="G30" s="20">
        <v>531</v>
      </c>
      <c r="H30" s="20" t="s">
        <v>97</v>
      </c>
      <c r="I30" s="20">
        <v>1.69</v>
      </c>
      <c r="J30" s="20"/>
      <c r="K30" s="20"/>
      <c r="L30" s="20"/>
      <c r="M30" s="20"/>
      <c r="N30" s="22"/>
      <c r="P30">
        <v>22.5</v>
      </c>
      <c r="Q30">
        <v>288</v>
      </c>
      <c r="R30">
        <v>0</v>
      </c>
      <c r="S30">
        <v>1800</v>
      </c>
      <c r="T30" t="e">
        <v>#REF!</v>
      </c>
      <c r="U30">
        <v>675</v>
      </c>
      <c r="V30" t="e">
        <v>#REF!</v>
      </c>
      <c r="W30" t="e">
        <v>#REF!</v>
      </c>
      <c r="X30" t="e">
        <v>#REF!</v>
      </c>
      <c r="Y30" t="e">
        <v>#REF!</v>
      </c>
      <c r="Z30" t="e">
        <v>#REF!</v>
      </c>
      <c r="AA30">
        <v>788</v>
      </c>
      <c r="AB30" t="e">
        <v>#REF!</v>
      </c>
      <c r="AC30" t="e">
        <v>#REF!</v>
      </c>
      <c r="AD30" t="e">
        <v>#REF!</v>
      </c>
      <c r="AE30" t="e">
        <v>#REF!</v>
      </c>
      <c r="AF30" t="e">
        <v>#REF!</v>
      </c>
      <c r="AG30">
        <v>855</v>
      </c>
      <c r="AH30" t="e">
        <v>#REF!</v>
      </c>
      <c r="AI30" t="e">
        <v>#REF!</v>
      </c>
      <c r="AJ30" t="e">
        <v>#REF!</v>
      </c>
      <c r="AK30" t="e">
        <v>#REF!</v>
      </c>
      <c r="AL30" t="e">
        <v>#REF!</v>
      </c>
      <c r="AM30">
        <v>900</v>
      </c>
      <c r="AN30" t="e">
        <v>#REF!</v>
      </c>
      <c r="AO30" t="e">
        <v>#REF!</v>
      </c>
      <c r="AP30" t="e">
        <v>#REF!</v>
      </c>
      <c r="AQ30" t="e">
        <v>#REF!</v>
      </c>
      <c r="AR30" t="e">
        <v>#REF!</v>
      </c>
      <c r="AS30">
        <v>900</v>
      </c>
      <c r="AT30" t="e">
        <v>#REF!</v>
      </c>
      <c r="AU30" t="e">
        <v>#REF!</v>
      </c>
      <c r="AV30" t="e">
        <v>#REF!</v>
      </c>
      <c r="AW30" t="e">
        <v>#REF!</v>
      </c>
      <c r="AX30" t="e">
        <v>#REF!</v>
      </c>
      <c r="AY30">
        <v>900</v>
      </c>
      <c r="AZ30" t="e">
        <v>#REF!</v>
      </c>
      <c r="BA30" t="e">
        <v>#REF!</v>
      </c>
      <c r="BB30" t="e">
        <v>#REF!</v>
      </c>
      <c r="BC30" t="e">
        <v>#REF!</v>
      </c>
      <c r="BD30" t="e">
        <v>#REF!</v>
      </c>
      <c r="BE30">
        <v>900</v>
      </c>
      <c r="BF30" t="e">
        <v>#REF!</v>
      </c>
    </row>
    <row r="31" spans="1:58" x14ac:dyDescent="0.2">
      <c r="A31" s="19" t="s">
        <v>96</v>
      </c>
      <c r="B31" s="20">
        <v>100</v>
      </c>
      <c r="C31" s="20">
        <v>100</v>
      </c>
      <c r="D31" s="20">
        <v>10</v>
      </c>
      <c r="E31" s="20">
        <v>12.5</v>
      </c>
      <c r="F31" s="21">
        <v>125</v>
      </c>
      <c r="G31" s="20">
        <v>1082</v>
      </c>
      <c r="H31" s="20" t="s">
        <v>107</v>
      </c>
      <c r="I31" s="20">
        <v>1.68</v>
      </c>
      <c r="J31" s="20"/>
      <c r="K31" s="20"/>
      <c r="L31" s="20"/>
      <c r="M31" s="20"/>
      <c r="N31" s="22"/>
      <c r="P31">
        <v>0</v>
      </c>
      <c r="Q31">
        <v>0</v>
      </c>
      <c r="R31">
        <v>0</v>
      </c>
      <c r="S31">
        <v>0</v>
      </c>
      <c r="T31" t="e">
        <v>#REF!</v>
      </c>
      <c r="U31">
        <v>0</v>
      </c>
      <c r="V31" t="e">
        <v>#REF!</v>
      </c>
      <c r="W31" t="e">
        <v>#REF!</v>
      </c>
      <c r="X31" t="e">
        <v>#REF!</v>
      </c>
      <c r="Y31" t="e">
        <v>#REF!</v>
      </c>
      <c r="Z31" t="e">
        <v>#REF!</v>
      </c>
      <c r="AA31">
        <v>0</v>
      </c>
      <c r="AB31" t="e">
        <v>#REF!</v>
      </c>
      <c r="AC31" t="e">
        <v>#REF!</v>
      </c>
      <c r="AD31" t="e">
        <v>#REF!</v>
      </c>
      <c r="AE31" t="e">
        <v>#REF!</v>
      </c>
      <c r="AF31" t="e">
        <v>#REF!</v>
      </c>
      <c r="AG31">
        <v>30</v>
      </c>
      <c r="AH31" t="e">
        <v>#REF!</v>
      </c>
      <c r="AI31" t="e">
        <v>#REF!</v>
      </c>
      <c r="AJ31" t="e">
        <v>#REF!</v>
      </c>
      <c r="AK31" t="e">
        <v>#REF!</v>
      </c>
      <c r="AL31" t="e">
        <v>#REF!</v>
      </c>
      <c r="AM31">
        <v>34</v>
      </c>
      <c r="AN31" t="e">
        <v>#REF!</v>
      </c>
      <c r="AO31" t="e">
        <v>#REF!</v>
      </c>
      <c r="AP31" t="e">
        <v>#REF!</v>
      </c>
      <c r="AQ31" t="e">
        <v>#REF!</v>
      </c>
      <c r="AR31" t="e">
        <v>#REF!</v>
      </c>
      <c r="AS31">
        <v>38</v>
      </c>
      <c r="AT31" t="e">
        <v>#REF!</v>
      </c>
      <c r="AU31" t="e">
        <v>#REF!</v>
      </c>
      <c r="AV31" t="e">
        <v>#REF!</v>
      </c>
      <c r="AW31" t="e">
        <v>#REF!</v>
      </c>
      <c r="AX31" t="e">
        <v>#REF!</v>
      </c>
      <c r="AY31">
        <v>38</v>
      </c>
      <c r="AZ31" t="e">
        <v>#REF!</v>
      </c>
      <c r="BA31" t="e">
        <v>#REF!</v>
      </c>
      <c r="BB31" t="e">
        <v>#REF!</v>
      </c>
      <c r="BC31" t="e">
        <v>#REF!</v>
      </c>
      <c r="BD31" t="e">
        <v>#REF!</v>
      </c>
      <c r="BE31">
        <v>38</v>
      </c>
      <c r="BF31" t="e">
        <v>#REF!</v>
      </c>
    </row>
    <row r="32" spans="1:58" x14ac:dyDescent="0.2">
      <c r="A32" s="19" t="s">
        <v>102</v>
      </c>
      <c r="B32" s="20">
        <v>100</v>
      </c>
      <c r="C32" s="20">
        <v>100</v>
      </c>
      <c r="D32" s="20">
        <v>10</v>
      </c>
      <c r="E32" s="20">
        <v>12.5</v>
      </c>
      <c r="F32" s="21">
        <v>125</v>
      </c>
      <c r="G32" s="20">
        <v>1190</v>
      </c>
      <c r="H32" s="20" t="s">
        <v>107</v>
      </c>
      <c r="I32" s="20">
        <v>0.6</v>
      </c>
      <c r="J32" s="20"/>
      <c r="K32" s="20"/>
      <c r="L32" s="20"/>
      <c r="M32" s="20"/>
      <c r="N32" s="22"/>
      <c r="P32">
        <v>0</v>
      </c>
      <c r="Q32">
        <v>0</v>
      </c>
      <c r="R32">
        <v>0</v>
      </c>
      <c r="S32">
        <v>0</v>
      </c>
      <c r="T32" t="e">
        <v>#REF!</v>
      </c>
      <c r="U32">
        <v>0</v>
      </c>
      <c r="V32" t="e">
        <v>#REF!</v>
      </c>
      <c r="W32" t="e">
        <v>#REF!</v>
      </c>
      <c r="X32" t="e">
        <v>#REF!</v>
      </c>
      <c r="Y32" t="e">
        <v>#REF!</v>
      </c>
      <c r="Z32" t="e">
        <v>#REF!</v>
      </c>
      <c r="AA32">
        <v>0</v>
      </c>
      <c r="AB32" t="e">
        <v>#REF!</v>
      </c>
      <c r="AC32" t="e">
        <v>#REF!</v>
      </c>
      <c r="AD32" t="e">
        <v>#REF!</v>
      </c>
      <c r="AE32" t="e">
        <v>#REF!</v>
      </c>
      <c r="AF32" t="e">
        <v>#REF!</v>
      </c>
      <c r="AG32">
        <v>50</v>
      </c>
      <c r="AH32" t="e">
        <v>#REF!</v>
      </c>
      <c r="AI32" t="e">
        <v>#REF!</v>
      </c>
      <c r="AJ32" t="e">
        <v>#REF!</v>
      </c>
      <c r="AK32" t="e">
        <v>#REF!</v>
      </c>
      <c r="AL32" t="e">
        <v>#REF!</v>
      </c>
      <c r="AM32">
        <v>60</v>
      </c>
      <c r="AN32" t="e">
        <v>#REF!</v>
      </c>
      <c r="AO32" t="e">
        <v>#REF!</v>
      </c>
      <c r="AP32" t="e">
        <v>#REF!</v>
      </c>
      <c r="AQ32" t="e">
        <v>#REF!</v>
      </c>
      <c r="AR32" t="e">
        <v>#REF!</v>
      </c>
      <c r="AS32">
        <v>65</v>
      </c>
      <c r="AT32" t="e">
        <v>#REF!</v>
      </c>
      <c r="AU32" t="e">
        <v>#REF!</v>
      </c>
      <c r="AV32" t="e">
        <v>#REF!</v>
      </c>
      <c r="AW32" t="e">
        <v>#REF!</v>
      </c>
      <c r="AX32" t="e">
        <v>#REF!</v>
      </c>
      <c r="AY32">
        <v>68</v>
      </c>
      <c r="AZ32" t="e">
        <v>#REF!</v>
      </c>
      <c r="BA32" t="e">
        <v>#REF!</v>
      </c>
      <c r="BB32" t="e">
        <v>#REF!</v>
      </c>
      <c r="BC32" t="e">
        <v>#REF!</v>
      </c>
      <c r="BD32" t="e">
        <v>#REF!</v>
      </c>
      <c r="BE32">
        <v>68</v>
      </c>
      <c r="BF32" t="e">
        <v>#REF!</v>
      </c>
    </row>
    <row r="33" spans="1:58" x14ac:dyDescent="0.2">
      <c r="A33" s="19" t="s">
        <v>102</v>
      </c>
      <c r="B33" s="20">
        <v>100</v>
      </c>
      <c r="C33" s="20">
        <v>100</v>
      </c>
      <c r="D33" s="20">
        <v>10</v>
      </c>
      <c r="E33" s="20">
        <v>7</v>
      </c>
      <c r="F33" s="21">
        <v>70</v>
      </c>
      <c r="G33" s="20">
        <v>640</v>
      </c>
      <c r="H33" s="20" t="s">
        <v>97</v>
      </c>
      <c r="I33" s="20">
        <v>0.6</v>
      </c>
      <c r="J33" s="20"/>
      <c r="K33" s="20"/>
      <c r="L33" s="20"/>
      <c r="M33" s="20"/>
      <c r="N33" s="22"/>
      <c r="P33">
        <v>0</v>
      </c>
      <c r="Q33">
        <v>0</v>
      </c>
      <c r="R33">
        <v>0</v>
      </c>
      <c r="S33">
        <v>0</v>
      </c>
      <c r="T33" t="e">
        <v>#REF!</v>
      </c>
      <c r="U33">
        <v>0</v>
      </c>
      <c r="V33" t="e">
        <v>#REF!</v>
      </c>
      <c r="W33" t="e">
        <v>#REF!</v>
      </c>
      <c r="X33" t="e">
        <v>#REF!</v>
      </c>
      <c r="Y33" t="e">
        <v>#REF!</v>
      </c>
      <c r="Z33" t="e">
        <v>#REF!</v>
      </c>
      <c r="AA33">
        <v>0</v>
      </c>
      <c r="AB33" t="e">
        <v>#REF!</v>
      </c>
      <c r="AC33" t="e">
        <v>#REF!</v>
      </c>
      <c r="AD33" t="e">
        <v>#REF!</v>
      </c>
      <c r="AE33" t="e">
        <v>#REF!</v>
      </c>
      <c r="AF33" t="e">
        <v>#REF!</v>
      </c>
      <c r="AG33">
        <v>50</v>
      </c>
      <c r="AH33" t="e">
        <v>#REF!</v>
      </c>
      <c r="AI33" t="e">
        <v>#REF!</v>
      </c>
      <c r="AJ33" t="e">
        <v>#REF!</v>
      </c>
      <c r="AK33" t="e">
        <v>#REF!</v>
      </c>
      <c r="AL33" t="e">
        <v>#REF!</v>
      </c>
      <c r="AM33">
        <v>60</v>
      </c>
      <c r="AN33" t="e">
        <v>#REF!</v>
      </c>
      <c r="AO33" t="e">
        <v>#REF!</v>
      </c>
      <c r="AP33" t="e">
        <v>#REF!</v>
      </c>
      <c r="AQ33" t="e">
        <v>#REF!</v>
      </c>
      <c r="AR33" t="e">
        <v>#REF!</v>
      </c>
      <c r="AS33">
        <v>65</v>
      </c>
      <c r="AT33" t="e">
        <v>#REF!</v>
      </c>
      <c r="AU33" t="e">
        <v>#REF!</v>
      </c>
      <c r="AV33" t="e">
        <v>#REF!</v>
      </c>
      <c r="AW33" t="e">
        <v>#REF!</v>
      </c>
      <c r="AX33" t="e">
        <v>#REF!</v>
      </c>
      <c r="AY33">
        <v>68</v>
      </c>
      <c r="AZ33" t="e">
        <v>#REF!</v>
      </c>
      <c r="BA33" t="e">
        <v>#REF!</v>
      </c>
      <c r="BB33" t="e">
        <v>#REF!</v>
      </c>
      <c r="BC33" t="e">
        <v>#REF!</v>
      </c>
      <c r="BD33" t="e">
        <v>#REF!</v>
      </c>
      <c r="BE33">
        <v>68</v>
      </c>
      <c r="BF33" t="e">
        <v>#REF!</v>
      </c>
    </row>
    <row r="34" spans="1:58" x14ac:dyDescent="0.2">
      <c r="A34" s="19" t="s">
        <v>95</v>
      </c>
      <c r="B34" s="20">
        <v>100</v>
      </c>
      <c r="C34" s="20">
        <v>41</v>
      </c>
      <c r="D34" s="20">
        <v>4.0999999999999996</v>
      </c>
      <c r="E34" s="20">
        <v>4.92</v>
      </c>
      <c r="F34" s="21">
        <v>120</v>
      </c>
      <c r="G34" s="20">
        <v>428</v>
      </c>
      <c r="H34" s="20" t="s">
        <v>73</v>
      </c>
      <c r="I34" s="20">
        <v>0.64</v>
      </c>
      <c r="J34" s="20" t="e">
        <v>#VALUE!</v>
      </c>
      <c r="K34" s="20">
        <v>101.11</v>
      </c>
      <c r="L34" s="20"/>
      <c r="M34" s="20"/>
      <c r="N34" s="22"/>
      <c r="P34">
        <v>0</v>
      </c>
      <c r="Q34">
        <v>0</v>
      </c>
      <c r="R34">
        <v>0</v>
      </c>
      <c r="S34">
        <v>0</v>
      </c>
      <c r="T34" t="e">
        <v>#REF!</v>
      </c>
      <c r="U34">
        <v>0</v>
      </c>
      <c r="V34" t="e">
        <v>#REF!</v>
      </c>
      <c r="W34" t="e">
        <v>#REF!</v>
      </c>
      <c r="X34" t="e">
        <v>#REF!</v>
      </c>
      <c r="Y34" t="e">
        <v>#REF!</v>
      </c>
      <c r="Z34" t="e">
        <v>#REF!</v>
      </c>
      <c r="AA34">
        <v>0</v>
      </c>
      <c r="AB34" t="e">
        <v>#REF!</v>
      </c>
      <c r="AC34" t="e">
        <v>#REF!</v>
      </c>
      <c r="AD34" t="e">
        <v>#REF!</v>
      </c>
      <c r="AE34" t="e">
        <v>#REF!</v>
      </c>
      <c r="AF34" t="e">
        <v>#REF!</v>
      </c>
      <c r="AG34">
        <v>50</v>
      </c>
      <c r="AH34" t="e">
        <v>#REF!</v>
      </c>
      <c r="AI34" t="e">
        <v>#REF!</v>
      </c>
      <c r="AJ34" t="e">
        <v>#REF!</v>
      </c>
      <c r="AK34" t="e">
        <v>#REF!</v>
      </c>
      <c r="AL34" t="e">
        <v>#REF!</v>
      </c>
      <c r="AM34">
        <v>60</v>
      </c>
      <c r="AN34" t="e">
        <v>#REF!</v>
      </c>
      <c r="AO34" t="e">
        <v>#REF!</v>
      </c>
      <c r="AP34" t="e">
        <v>#REF!</v>
      </c>
      <c r="AQ34" t="e">
        <v>#REF!</v>
      </c>
      <c r="AR34" t="e">
        <v>#REF!</v>
      </c>
      <c r="AS34">
        <v>65</v>
      </c>
      <c r="AT34" t="e">
        <v>#REF!</v>
      </c>
      <c r="AU34" t="e">
        <v>#REF!</v>
      </c>
      <c r="AV34" t="e">
        <v>#REF!</v>
      </c>
      <c r="AW34" t="e">
        <v>#REF!</v>
      </c>
      <c r="AX34" t="e">
        <v>#REF!</v>
      </c>
      <c r="AY34">
        <v>68</v>
      </c>
      <c r="AZ34" t="e">
        <v>#REF!</v>
      </c>
      <c r="BA34" t="e">
        <v>#REF!</v>
      </c>
      <c r="BB34" t="e">
        <v>#REF!</v>
      </c>
      <c r="BC34" t="e">
        <v>#REF!</v>
      </c>
      <c r="BD34" t="e">
        <v>#REF!</v>
      </c>
      <c r="BE34">
        <v>68</v>
      </c>
      <c r="BF34" t="e">
        <v>#REF!</v>
      </c>
    </row>
    <row r="35" spans="1:58" x14ac:dyDescent="0.2">
      <c r="A35" s="19" t="s">
        <v>120</v>
      </c>
      <c r="B35" s="20">
        <v>100</v>
      </c>
      <c r="C35" s="20">
        <v>40</v>
      </c>
      <c r="D35" s="20">
        <v>4</v>
      </c>
      <c r="E35" s="20">
        <v>4</v>
      </c>
      <c r="F35" s="21">
        <v>100</v>
      </c>
      <c r="G35" s="20">
        <v>336</v>
      </c>
      <c r="H35" s="20" t="s">
        <v>73</v>
      </c>
      <c r="I35" s="20">
        <v>0.64</v>
      </c>
      <c r="J35" s="20"/>
      <c r="K35" s="20"/>
      <c r="L35" s="20"/>
      <c r="M35" s="20"/>
      <c r="N35" s="22"/>
      <c r="P35">
        <v>0</v>
      </c>
      <c r="Q35">
        <v>0</v>
      </c>
      <c r="R35">
        <v>0</v>
      </c>
      <c r="S35">
        <v>0</v>
      </c>
      <c r="T35" t="e">
        <v>#REF!</v>
      </c>
      <c r="U35">
        <v>0</v>
      </c>
      <c r="V35" t="e">
        <v>#REF!</v>
      </c>
      <c r="W35" t="e">
        <v>#REF!</v>
      </c>
      <c r="X35" t="e">
        <v>#REF!</v>
      </c>
      <c r="Y35" t="e">
        <v>#REF!</v>
      </c>
      <c r="Z35" t="e">
        <v>#REF!</v>
      </c>
      <c r="AA35">
        <v>0</v>
      </c>
      <c r="AB35" t="e">
        <v>#REF!</v>
      </c>
      <c r="AC35" t="e">
        <v>#REF!</v>
      </c>
      <c r="AD35" t="e">
        <v>#REF!</v>
      </c>
      <c r="AE35" t="e">
        <v>#REF!</v>
      </c>
      <c r="AF35" t="e">
        <v>#REF!</v>
      </c>
      <c r="AG35">
        <v>60</v>
      </c>
      <c r="AH35" t="e">
        <v>#REF!</v>
      </c>
      <c r="AI35" t="e">
        <v>#REF!</v>
      </c>
      <c r="AJ35" t="e">
        <v>#REF!</v>
      </c>
      <c r="AK35" t="e">
        <v>#REF!</v>
      </c>
      <c r="AL35" t="e">
        <v>#REF!</v>
      </c>
      <c r="AM35">
        <v>69</v>
      </c>
      <c r="AN35" t="e">
        <v>#REF!</v>
      </c>
      <c r="AO35" t="e">
        <v>#REF!</v>
      </c>
      <c r="AP35" t="e">
        <v>#REF!</v>
      </c>
      <c r="AQ35" t="e">
        <v>#REF!</v>
      </c>
      <c r="AR35" t="e">
        <v>#REF!</v>
      </c>
      <c r="AS35">
        <v>75</v>
      </c>
      <c r="AT35" t="e">
        <v>#REF!</v>
      </c>
      <c r="AU35" t="e">
        <v>#REF!</v>
      </c>
      <c r="AV35" t="e">
        <v>#REF!</v>
      </c>
      <c r="AW35" t="e">
        <v>#REF!</v>
      </c>
      <c r="AX35" t="e">
        <v>#REF!</v>
      </c>
      <c r="AY35">
        <v>75</v>
      </c>
      <c r="AZ35" t="e">
        <v>#REF!</v>
      </c>
      <c r="BA35" t="e">
        <v>#REF!</v>
      </c>
      <c r="BB35" t="e">
        <v>#REF!</v>
      </c>
      <c r="BC35" t="e">
        <v>#REF!</v>
      </c>
      <c r="BD35" t="e">
        <v>#REF!</v>
      </c>
      <c r="BE35">
        <v>75</v>
      </c>
      <c r="BF35" t="e">
        <v>#REF!</v>
      </c>
    </row>
    <row r="36" spans="1:58" x14ac:dyDescent="0.2">
      <c r="A36" s="19" t="s">
        <v>103</v>
      </c>
      <c r="B36" s="20">
        <v>125</v>
      </c>
      <c r="C36" s="20">
        <v>65</v>
      </c>
      <c r="D36" s="20">
        <v>8.125</v>
      </c>
      <c r="E36" s="20">
        <v>6.5</v>
      </c>
      <c r="F36" s="21">
        <v>100</v>
      </c>
      <c r="G36" s="20">
        <v>732.5</v>
      </c>
      <c r="H36" s="20" t="s">
        <v>73</v>
      </c>
      <c r="I36" s="20">
        <v>0.64</v>
      </c>
      <c r="J36" s="20">
        <v>90</v>
      </c>
      <c r="K36" s="20"/>
      <c r="L36" s="20"/>
      <c r="M36" s="20"/>
      <c r="N36" s="22">
        <v>85</v>
      </c>
      <c r="P36">
        <v>0</v>
      </c>
      <c r="Q36">
        <v>0</v>
      </c>
      <c r="R36">
        <v>0</v>
      </c>
      <c r="S36">
        <v>0</v>
      </c>
      <c r="T36" t="e">
        <v>#REF!</v>
      </c>
      <c r="U36">
        <v>0</v>
      </c>
      <c r="V36" t="e">
        <v>#REF!</v>
      </c>
      <c r="W36" t="e">
        <v>#REF!</v>
      </c>
      <c r="X36" t="e">
        <v>#REF!</v>
      </c>
      <c r="Y36" t="e">
        <v>#REF!</v>
      </c>
      <c r="Z36" t="e">
        <v>#REF!</v>
      </c>
      <c r="AA36">
        <v>70</v>
      </c>
      <c r="AB36" t="e">
        <v>#REF!</v>
      </c>
      <c r="AC36" t="e">
        <v>#REF!</v>
      </c>
      <c r="AD36" t="e">
        <v>#REF!</v>
      </c>
      <c r="AE36" t="e">
        <v>#REF!</v>
      </c>
      <c r="AF36" t="e">
        <v>#REF!</v>
      </c>
      <c r="AG36">
        <v>88</v>
      </c>
      <c r="AH36" t="e">
        <v>#REF!</v>
      </c>
      <c r="AI36" t="e">
        <v>#REF!</v>
      </c>
      <c r="AJ36" t="e">
        <v>#REF!</v>
      </c>
      <c r="AK36" t="e">
        <v>#REF!</v>
      </c>
      <c r="AL36" t="e">
        <v>#REF!</v>
      </c>
      <c r="AM36">
        <v>98</v>
      </c>
      <c r="AN36" t="e">
        <v>#REF!</v>
      </c>
      <c r="AO36" t="e">
        <v>#REF!</v>
      </c>
      <c r="AP36" t="e">
        <v>#REF!</v>
      </c>
      <c r="AQ36" t="e">
        <v>#REF!</v>
      </c>
      <c r="AR36" t="e">
        <v>#REF!</v>
      </c>
      <c r="AS36">
        <v>102</v>
      </c>
      <c r="AT36" t="e">
        <v>#REF!</v>
      </c>
      <c r="AU36" t="e">
        <v>#REF!</v>
      </c>
      <c r="AV36" t="e">
        <v>#REF!</v>
      </c>
      <c r="AW36" t="e">
        <v>#REF!</v>
      </c>
      <c r="AX36" t="e">
        <v>#REF!</v>
      </c>
      <c r="AY36">
        <v>102</v>
      </c>
      <c r="AZ36" t="e">
        <v>#REF!</v>
      </c>
      <c r="BA36" t="e">
        <v>#REF!</v>
      </c>
      <c r="BB36" t="e">
        <v>#REF!</v>
      </c>
      <c r="BC36" t="e">
        <v>#REF!</v>
      </c>
      <c r="BD36" t="e">
        <v>#REF!</v>
      </c>
      <c r="BE36">
        <v>102</v>
      </c>
      <c r="BF36" t="e">
        <v>#REF!</v>
      </c>
    </row>
    <row r="37" spans="1:58" x14ac:dyDescent="0.2">
      <c r="A37" s="23" t="s">
        <v>72</v>
      </c>
      <c r="B37" s="20">
        <v>150</v>
      </c>
      <c r="C37" s="20">
        <v>45</v>
      </c>
      <c r="D37" s="20">
        <v>6.75</v>
      </c>
      <c r="E37" s="20">
        <v>4.4550000000000001</v>
      </c>
      <c r="F37" s="21">
        <v>99</v>
      </c>
      <c r="G37" s="20">
        <v>572.25</v>
      </c>
      <c r="H37" s="20" t="s">
        <v>73</v>
      </c>
      <c r="I37" s="20">
        <v>0.64</v>
      </c>
      <c r="J37" s="20">
        <v>20</v>
      </c>
      <c r="K37" s="20">
        <v>99.75</v>
      </c>
      <c r="L37" s="20"/>
      <c r="M37" s="20"/>
      <c r="N37" s="22"/>
      <c r="P37">
        <v>0</v>
      </c>
      <c r="Q37">
        <v>0</v>
      </c>
      <c r="R37">
        <v>0</v>
      </c>
      <c r="S37">
        <v>0</v>
      </c>
      <c r="T37" t="e">
        <v>#REF!</v>
      </c>
      <c r="U37">
        <v>0</v>
      </c>
      <c r="V37" t="e">
        <v>#REF!</v>
      </c>
      <c r="W37" t="e">
        <v>#REF!</v>
      </c>
      <c r="X37" t="e">
        <v>#REF!</v>
      </c>
      <c r="Y37" t="e">
        <v>#REF!</v>
      </c>
      <c r="Z37" t="e">
        <v>#REF!</v>
      </c>
      <c r="AA37">
        <v>0</v>
      </c>
      <c r="AB37" t="e">
        <v>#REF!</v>
      </c>
      <c r="AC37" t="e">
        <v>#REF!</v>
      </c>
      <c r="AD37" t="e">
        <v>#REF!</v>
      </c>
      <c r="AE37" t="e">
        <v>#REF!</v>
      </c>
      <c r="AF37" t="e">
        <v>#REF!</v>
      </c>
      <c r="AG37">
        <v>50</v>
      </c>
      <c r="AH37" t="e">
        <v>#REF!</v>
      </c>
      <c r="AI37" t="e">
        <v>#REF!</v>
      </c>
      <c r="AJ37" t="e">
        <v>#REF!</v>
      </c>
      <c r="AK37" t="e">
        <v>#REF!</v>
      </c>
      <c r="AL37" t="e">
        <v>#REF!</v>
      </c>
      <c r="AM37">
        <v>60</v>
      </c>
      <c r="AN37" t="e">
        <v>#REF!</v>
      </c>
      <c r="AO37" t="e">
        <v>#REF!</v>
      </c>
      <c r="AP37" t="e">
        <v>#REF!</v>
      </c>
      <c r="AQ37" t="e">
        <v>#REF!</v>
      </c>
      <c r="AR37" t="e">
        <v>#REF!</v>
      </c>
      <c r="AS37">
        <v>65</v>
      </c>
      <c r="AT37" t="e">
        <v>#REF!</v>
      </c>
      <c r="AU37" t="e">
        <v>#REF!</v>
      </c>
      <c r="AV37" t="e">
        <v>#REF!</v>
      </c>
      <c r="AW37" t="e">
        <v>#REF!</v>
      </c>
      <c r="AX37" t="e">
        <v>#REF!</v>
      </c>
      <c r="AY37">
        <v>68</v>
      </c>
      <c r="AZ37" t="e">
        <v>#REF!</v>
      </c>
      <c r="BA37" t="e">
        <v>#REF!</v>
      </c>
      <c r="BB37" t="e">
        <v>#REF!</v>
      </c>
      <c r="BC37" t="e">
        <v>#REF!</v>
      </c>
      <c r="BD37" t="e">
        <v>#REF!</v>
      </c>
      <c r="BE37">
        <v>68</v>
      </c>
      <c r="BF37" t="e">
        <v>#REF!</v>
      </c>
    </row>
    <row r="38" spans="1:58" x14ac:dyDescent="0.2">
      <c r="A38" s="19" t="s">
        <v>110</v>
      </c>
      <c r="B38" s="20">
        <v>400</v>
      </c>
      <c r="C38" s="20">
        <v>65</v>
      </c>
      <c r="D38" s="20">
        <v>26</v>
      </c>
      <c r="E38" s="20">
        <v>3.5750000000000002</v>
      </c>
      <c r="F38" s="21">
        <v>55</v>
      </c>
      <c r="G38" s="20">
        <v>1174</v>
      </c>
      <c r="H38" s="20" t="s">
        <v>73</v>
      </c>
      <c r="I38" s="20">
        <v>0.64</v>
      </c>
      <c r="J38" s="20">
        <v>55</v>
      </c>
      <c r="K38" s="20">
        <v>40</v>
      </c>
      <c r="L38" s="20"/>
      <c r="M38" s="20"/>
      <c r="N38" s="22"/>
      <c r="P38">
        <v>0</v>
      </c>
      <c r="Q38">
        <v>0</v>
      </c>
      <c r="R38">
        <v>0</v>
      </c>
      <c r="S38">
        <v>0</v>
      </c>
      <c r="T38" t="e">
        <v>#REF!</v>
      </c>
      <c r="U38">
        <v>0</v>
      </c>
      <c r="V38" t="e">
        <v>#REF!</v>
      </c>
      <c r="W38" t="e">
        <v>#REF!</v>
      </c>
      <c r="X38" t="e">
        <v>#REF!</v>
      </c>
      <c r="Y38" t="e">
        <v>#REF!</v>
      </c>
      <c r="Z38" t="e">
        <v>#REF!</v>
      </c>
      <c r="AA38">
        <v>70</v>
      </c>
      <c r="AB38" t="e">
        <v>#REF!</v>
      </c>
      <c r="AC38" t="e">
        <v>#REF!</v>
      </c>
      <c r="AD38" t="e">
        <v>#REF!</v>
      </c>
      <c r="AE38" t="e">
        <v>#REF!</v>
      </c>
      <c r="AF38" t="e">
        <v>#REF!</v>
      </c>
      <c r="AG38">
        <v>88</v>
      </c>
      <c r="AH38" t="e">
        <v>#REF!</v>
      </c>
      <c r="AI38" t="e">
        <v>#REF!</v>
      </c>
      <c r="AJ38" t="e">
        <v>#REF!</v>
      </c>
      <c r="AK38" t="e">
        <v>#REF!</v>
      </c>
      <c r="AL38" t="e">
        <v>#REF!</v>
      </c>
      <c r="AM38">
        <v>98</v>
      </c>
      <c r="AN38" t="e">
        <v>#REF!</v>
      </c>
      <c r="AO38" t="e">
        <v>#REF!</v>
      </c>
      <c r="AP38" t="e">
        <v>#REF!</v>
      </c>
      <c r="AQ38" t="e">
        <v>#REF!</v>
      </c>
      <c r="AR38" t="e">
        <v>#REF!</v>
      </c>
      <c r="AS38">
        <v>102</v>
      </c>
      <c r="AT38" t="e">
        <v>#REF!</v>
      </c>
      <c r="AU38" t="e">
        <v>#REF!</v>
      </c>
      <c r="AV38" t="e">
        <v>#REF!</v>
      </c>
      <c r="AW38" t="e">
        <v>#REF!</v>
      </c>
      <c r="AX38" t="e">
        <v>#REF!</v>
      </c>
      <c r="AY38">
        <v>102</v>
      </c>
      <c r="AZ38" t="e">
        <v>#REF!</v>
      </c>
      <c r="BA38" t="e">
        <v>#REF!</v>
      </c>
      <c r="BB38" t="e">
        <v>#REF!</v>
      </c>
      <c r="BC38" t="e">
        <v>#REF!</v>
      </c>
      <c r="BD38" t="e">
        <v>#REF!</v>
      </c>
      <c r="BE38">
        <v>102</v>
      </c>
      <c r="BF38" t="e">
        <v>#REF!</v>
      </c>
    </row>
    <row r="39" spans="1:58" x14ac:dyDescent="0.2">
      <c r="A39" s="19" t="s">
        <v>66</v>
      </c>
      <c r="B39" s="20">
        <v>500</v>
      </c>
      <c r="C39" s="20">
        <v>20</v>
      </c>
      <c r="D39" s="20">
        <v>10</v>
      </c>
      <c r="E39" s="20">
        <v>2.9</v>
      </c>
      <c r="F39" s="21">
        <v>145</v>
      </c>
      <c r="G39" s="20">
        <v>1130</v>
      </c>
      <c r="H39" s="20" t="s">
        <v>73</v>
      </c>
      <c r="I39" s="20">
        <v>0.64</v>
      </c>
      <c r="J39" s="20">
        <v>11.6</v>
      </c>
      <c r="K39" s="20">
        <v>80</v>
      </c>
      <c r="L39" s="20"/>
      <c r="M39" s="20"/>
      <c r="N39" s="22">
        <v>123.25</v>
      </c>
      <c r="O39" t="e">
        <f>Produit!N2:N71,Produit!U1:U71</f>
        <v>#VALUE!</v>
      </c>
      <c r="P39">
        <v>0</v>
      </c>
      <c r="Q39">
        <v>0</v>
      </c>
      <c r="R39">
        <v>0</v>
      </c>
      <c r="S39">
        <v>0</v>
      </c>
      <c r="T39" t="e">
        <v>#REF!</v>
      </c>
      <c r="U39">
        <v>0</v>
      </c>
      <c r="V39" t="e">
        <v>#REF!</v>
      </c>
      <c r="W39" t="e">
        <v>#REF!</v>
      </c>
      <c r="X39" t="e">
        <v>#REF!</v>
      </c>
      <c r="Y39" t="e">
        <v>#REF!</v>
      </c>
      <c r="Z39" t="e">
        <v>#REF!</v>
      </c>
      <c r="AA39">
        <v>0</v>
      </c>
      <c r="AB39" t="e">
        <v>#REF!</v>
      </c>
      <c r="AC39" t="e">
        <v>#REF!</v>
      </c>
      <c r="AD39" t="e">
        <v>#REF!</v>
      </c>
      <c r="AE39" t="e">
        <v>#REF!</v>
      </c>
      <c r="AF39" t="e">
        <v>#REF!</v>
      </c>
      <c r="AG39">
        <v>50</v>
      </c>
      <c r="AH39" t="e">
        <v>#REF!</v>
      </c>
      <c r="AI39" t="e">
        <v>#REF!</v>
      </c>
      <c r="AJ39" t="e">
        <v>#REF!</v>
      </c>
      <c r="AK39" t="e">
        <v>#REF!</v>
      </c>
      <c r="AL39" t="e">
        <v>#REF!</v>
      </c>
      <c r="AM39">
        <v>60</v>
      </c>
      <c r="AN39" t="e">
        <v>#REF!</v>
      </c>
      <c r="AO39" t="e">
        <v>#REF!</v>
      </c>
      <c r="AP39" t="e">
        <v>#REF!</v>
      </c>
      <c r="AQ39" t="e">
        <v>#REF!</v>
      </c>
      <c r="AR39" t="e">
        <v>#REF!</v>
      </c>
      <c r="AS39">
        <v>65</v>
      </c>
      <c r="AT39" t="e">
        <v>#REF!</v>
      </c>
      <c r="AU39" t="e">
        <v>#REF!</v>
      </c>
      <c r="AV39" t="e">
        <v>#REF!</v>
      </c>
      <c r="AW39" t="e">
        <v>#REF!</v>
      </c>
      <c r="AX39" t="e">
        <v>#REF!</v>
      </c>
      <c r="AY39">
        <v>68</v>
      </c>
      <c r="AZ39" t="e">
        <v>#REF!</v>
      </c>
      <c r="BA39" t="e">
        <v>#REF!</v>
      </c>
      <c r="BB39" t="e">
        <v>#REF!</v>
      </c>
      <c r="BC39" t="e">
        <v>#REF!</v>
      </c>
      <c r="BD39" t="e">
        <v>#REF!</v>
      </c>
      <c r="BE39">
        <v>68</v>
      </c>
      <c r="BF39" t="e">
        <v>#REF!</v>
      </c>
    </row>
    <row r="40" spans="1:58" x14ac:dyDescent="0.2">
      <c r="P40">
        <v>0</v>
      </c>
      <c r="Q40">
        <v>0</v>
      </c>
      <c r="R40">
        <v>0</v>
      </c>
      <c r="S40">
        <v>0</v>
      </c>
      <c r="T40" t="e">
        <v>#REF!</v>
      </c>
      <c r="U40">
        <v>0</v>
      </c>
      <c r="V40" t="e">
        <v>#REF!</v>
      </c>
      <c r="W40" t="e">
        <v>#REF!</v>
      </c>
      <c r="X40" t="e">
        <v>#REF!</v>
      </c>
      <c r="Y40" t="e">
        <v>#REF!</v>
      </c>
      <c r="Z40" t="e">
        <v>#REF!</v>
      </c>
      <c r="AA40">
        <v>0</v>
      </c>
      <c r="AB40" t="e">
        <v>#REF!</v>
      </c>
      <c r="AC40" t="e">
        <v>#REF!</v>
      </c>
      <c r="AD40" t="e">
        <v>#REF!</v>
      </c>
      <c r="AE40" t="e">
        <v>#REF!</v>
      </c>
      <c r="AF40" t="e">
        <v>#REF!</v>
      </c>
      <c r="AG40">
        <v>50</v>
      </c>
      <c r="AH40" t="e">
        <v>#REF!</v>
      </c>
      <c r="AI40" t="e">
        <v>#REF!</v>
      </c>
      <c r="AJ40" t="e">
        <v>#REF!</v>
      </c>
      <c r="AK40" t="e">
        <v>#REF!</v>
      </c>
      <c r="AL40" t="e">
        <v>#REF!</v>
      </c>
      <c r="AM40">
        <v>60</v>
      </c>
      <c r="AN40" t="e">
        <v>#REF!</v>
      </c>
      <c r="AO40" t="e">
        <v>#REF!</v>
      </c>
      <c r="AP40" t="e">
        <v>#REF!</v>
      </c>
      <c r="AQ40" t="e">
        <v>#REF!</v>
      </c>
      <c r="AR40" t="e">
        <v>#REF!</v>
      </c>
      <c r="AS40">
        <v>65</v>
      </c>
      <c r="AT40" t="e">
        <v>#REF!</v>
      </c>
      <c r="AU40" t="e">
        <v>#REF!</v>
      </c>
      <c r="AV40" t="e">
        <v>#REF!</v>
      </c>
      <c r="AW40" t="e">
        <v>#REF!</v>
      </c>
      <c r="AX40" t="e">
        <v>#REF!</v>
      </c>
      <c r="AY40">
        <v>68</v>
      </c>
      <c r="AZ40" t="e">
        <v>#REF!</v>
      </c>
      <c r="BA40" t="e">
        <v>#REF!</v>
      </c>
      <c r="BB40" t="e">
        <v>#REF!</v>
      </c>
      <c r="BC40" t="e">
        <v>#REF!</v>
      </c>
      <c r="BD40" t="e">
        <v>#REF!</v>
      </c>
      <c r="BE40">
        <v>68</v>
      </c>
      <c r="BF40" t="e">
        <v>#REF!</v>
      </c>
    </row>
    <row r="41" spans="1:58" x14ac:dyDescent="0.2">
      <c r="P41">
        <v>0</v>
      </c>
      <c r="Q41">
        <v>0</v>
      </c>
      <c r="R41">
        <v>0</v>
      </c>
      <c r="S41">
        <v>0</v>
      </c>
      <c r="T41" t="e">
        <v>#REF!</v>
      </c>
      <c r="U41">
        <v>0</v>
      </c>
      <c r="V41" t="e">
        <v>#REF!</v>
      </c>
      <c r="W41" t="e">
        <v>#REF!</v>
      </c>
      <c r="X41" t="e">
        <v>#REF!</v>
      </c>
      <c r="Y41" t="e">
        <v>#REF!</v>
      </c>
      <c r="Z41" t="e">
        <v>#REF!</v>
      </c>
      <c r="AA41">
        <v>70</v>
      </c>
      <c r="AB41" t="e">
        <v>#REF!</v>
      </c>
      <c r="AC41" t="e">
        <v>#REF!</v>
      </c>
      <c r="AD41" t="e">
        <v>#REF!</v>
      </c>
      <c r="AE41" t="e">
        <v>#REF!</v>
      </c>
      <c r="AF41" t="e">
        <v>#REF!</v>
      </c>
      <c r="AG41">
        <v>88</v>
      </c>
      <c r="AH41" t="e">
        <v>#REF!</v>
      </c>
      <c r="AI41" t="e">
        <v>#REF!</v>
      </c>
      <c r="AJ41" t="e">
        <v>#REF!</v>
      </c>
      <c r="AK41" t="e">
        <v>#REF!</v>
      </c>
      <c r="AL41" t="e">
        <v>#REF!</v>
      </c>
      <c r="AM41">
        <v>98</v>
      </c>
      <c r="AN41" t="e">
        <v>#REF!</v>
      </c>
      <c r="AO41" t="e">
        <v>#REF!</v>
      </c>
      <c r="AP41" t="e">
        <v>#REF!</v>
      </c>
      <c r="AQ41" t="e">
        <v>#REF!</v>
      </c>
      <c r="AR41" t="e">
        <v>#REF!</v>
      </c>
      <c r="AS41">
        <v>102</v>
      </c>
      <c r="AT41" t="e">
        <v>#REF!</v>
      </c>
      <c r="AU41" t="e">
        <v>#REF!</v>
      </c>
      <c r="AV41" t="e">
        <v>#REF!</v>
      </c>
      <c r="AW41" t="e">
        <v>#REF!</v>
      </c>
      <c r="AX41" t="e">
        <v>#REF!</v>
      </c>
      <c r="AY41">
        <v>102</v>
      </c>
      <c r="AZ41" t="e">
        <v>#REF!</v>
      </c>
      <c r="BA41" t="e">
        <v>#REF!</v>
      </c>
      <c r="BB41" t="e">
        <v>#REF!</v>
      </c>
      <c r="BC41" t="e">
        <v>#REF!</v>
      </c>
      <c r="BD41" t="e">
        <v>#REF!</v>
      </c>
      <c r="BE41">
        <v>102</v>
      </c>
      <c r="BF41" t="e">
        <v>#REF!</v>
      </c>
    </row>
    <row r="42" spans="1:58" x14ac:dyDescent="0.2">
      <c r="P42">
        <v>0</v>
      </c>
      <c r="Q42">
        <v>0</v>
      </c>
      <c r="R42">
        <v>0</v>
      </c>
      <c r="S42">
        <v>0</v>
      </c>
      <c r="T42" t="e">
        <v>#REF!</v>
      </c>
      <c r="U42">
        <v>0</v>
      </c>
      <c r="V42" t="e">
        <v>#REF!</v>
      </c>
      <c r="W42" t="e">
        <v>#REF!</v>
      </c>
      <c r="X42" t="e">
        <v>#REF!</v>
      </c>
      <c r="Y42" t="e">
        <v>#REF!</v>
      </c>
      <c r="Z42" t="e">
        <v>#REF!</v>
      </c>
      <c r="AA42">
        <v>0</v>
      </c>
      <c r="AB42" t="e">
        <v>#REF!</v>
      </c>
      <c r="AC42" t="e">
        <v>#REF!</v>
      </c>
      <c r="AD42" t="e">
        <v>#REF!</v>
      </c>
      <c r="AE42" t="e">
        <v>#REF!</v>
      </c>
      <c r="AF42" t="e">
        <v>#REF!</v>
      </c>
      <c r="AG42">
        <v>50</v>
      </c>
      <c r="AH42" t="e">
        <v>#REF!</v>
      </c>
      <c r="AI42" t="e">
        <v>#REF!</v>
      </c>
      <c r="AJ42" t="e">
        <v>#REF!</v>
      </c>
      <c r="AK42" t="e">
        <v>#REF!</v>
      </c>
      <c r="AL42" t="e">
        <v>#REF!</v>
      </c>
      <c r="AM42">
        <v>60</v>
      </c>
      <c r="AN42" t="e">
        <v>#REF!</v>
      </c>
      <c r="AO42" t="e">
        <v>#REF!</v>
      </c>
      <c r="AP42" t="e">
        <v>#REF!</v>
      </c>
      <c r="AQ42" t="e">
        <v>#REF!</v>
      </c>
      <c r="AR42" t="e">
        <v>#REF!</v>
      </c>
      <c r="AS42">
        <v>65</v>
      </c>
      <c r="AT42" t="e">
        <v>#REF!</v>
      </c>
      <c r="AU42" t="e">
        <v>#REF!</v>
      </c>
      <c r="AV42" t="e">
        <v>#REF!</v>
      </c>
      <c r="AW42" t="e">
        <v>#REF!</v>
      </c>
      <c r="AX42" t="e">
        <v>#REF!</v>
      </c>
      <c r="AY42">
        <v>68</v>
      </c>
      <c r="AZ42" t="e">
        <v>#REF!</v>
      </c>
      <c r="BA42" t="e">
        <v>#REF!</v>
      </c>
      <c r="BB42" t="e">
        <v>#REF!</v>
      </c>
      <c r="BC42" t="e">
        <v>#REF!</v>
      </c>
      <c r="BD42" t="e">
        <v>#REF!</v>
      </c>
      <c r="BE42">
        <v>68</v>
      </c>
      <c r="BF42" t="e">
        <v>#REF!</v>
      </c>
    </row>
    <row r="43" spans="1:58" x14ac:dyDescent="0.2">
      <c r="P43">
        <v>0</v>
      </c>
      <c r="Q43">
        <v>0</v>
      </c>
      <c r="R43">
        <v>0</v>
      </c>
      <c r="S43">
        <v>0</v>
      </c>
      <c r="T43" t="e">
        <v>#REF!</v>
      </c>
      <c r="U43">
        <v>0</v>
      </c>
      <c r="V43" t="e">
        <v>#REF!</v>
      </c>
      <c r="W43" t="e">
        <v>#REF!</v>
      </c>
      <c r="X43" t="e">
        <v>#REF!</v>
      </c>
      <c r="Y43" t="e">
        <v>#REF!</v>
      </c>
      <c r="Z43" t="e">
        <v>#REF!</v>
      </c>
      <c r="AA43">
        <v>0</v>
      </c>
      <c r="AB43" t="e">
        <v>#REF!</v>
      </c>
      <c r="AC43" t="e">
        <v>#REF!</v>
      </c>
      <c r="AD43" t="e">
        <v>#REF!</v>
      </c>
      <c r="AE43" t="e">
        <v>#REF!</v>
      </c>
      <c r="AF43" t="e">
        <v>#REF!</v>
      </c>
      <c r="AG43">
        <v>50</v>
      </c>
      <c r="AH43" t="e">
        <v>#REF!</v>
      </c>
      <c r="AI43" t="e">
        <v>#REF!</v>
      </c>
      <c r="AJ43" t="e">
        <v>#REF!</v>
      </c>
      <c r="AK43" t="e">
        <v>#REF!</v>
      </c>
      <c r="AL43" t="e">
        <v>#REF!</v>
      </c>
      <c r="AM43">
        <v>60</v>
      </c>
      <c r="AN43" t="e">
        <v>#REF!</v>
      </c>
      <c r="AO43" t="e">
        <v>#REF!</v>
      </c>
      <c r="AP43" t="e">
        <v>#REF!</v>
      </c>
      <c r="AQ43" t="e">
        <v>#REF!</v>
      </c>
      <c r="AR43" t="e">
        <v>#REF!</v>
      </c>
      <c r="AS43">
        <v>65</v>
      </c>
      <c r="AT43" t="e">
        <v>#REF!</v>
      </c>
      <c r="AU43" t="e">
        <v>#REF!</v>
      </c>
      <c r="AV43" t="e">
        <v>#REF!</v>
      </c>
      <c r="AW43" t="e">
        <v>#REF!</v>
      </c>
      <c r="AX43" t="e">
        <v>#REF!</v>
      </c>
      <c r="AY43">
        <v>68</v>
      </c>
      <c r="AZ43" t="e">
        <v>#REF!</v>
      </c>
      <c r="BA43" t="e">
        <v>#REF!</v>
      </c>
      <c r="BB43" t="e">
        <v>#REF!</v>
      </c>
      <c r="BC43" t="e">
        <v>#REF!</v>
      </c>
      <c r="BD43" t="e">
        <v>#REF!</v>
      </c>
      <c r="BE43">
        <v>68</v>
      </c>
      <c r="BF43" t="e">
        <v>#REF!</v>
      </c>
    </row>
    <row r="44" spans="1:58" x14ac:dyDescent="0.2">
      <c r="P44">
        <v>0</v>
      </c>
      <c r="Q44">
        <v>0</v>
      </c>
      <c r="R44">
        <v>0</v>
      </c>
      <c r="S44">
        <v>0</v>
      </c>
      <c r="T44" t="e">
        <v>#REF!</v>
      </c>
      <c r="U44">
        <v>0</v>
      </c>
      <c r="V44" t="e">
        <v>#REF!</v>
      </c>
      <c r="W44" t="e">
        <v>#REF!</v>
      </c>
      <c r="X44" t="e">
        <v>#REF!</v>
      </c>
      <c r="Y44" t="e">
        <v>#REF!</v>
      </c>
      <c r="Z44" t="e">
        <v>#REF!</v>
      </c>
      <c r="AA44">
        <v>70</v>
      </c>
      <c r="AB44" t="e">
        <v>#REF!</v>
      </c>
      <c r="AC44" t="e">
        <v>#REF!</v>
      </c>
      <c r="AD44" t="e">
        <v>#REF!</v>
      </c>
      <c r="AE44" t="e">
        <v>#REF!</v>
      </c>
      <c r="AF44" t="e">
        <v>#REF!</v>
      </c>
      <c r="AG44">
        <v>88</v>
      </c>
      <c r="AH44" t="e">
        <v>#REF!</v>
      </c>
      <c r="AI44" t="e">
        <v>#REF!</v>
      </c>
      <c r="AJ44" t="e">
        <v>#REF!</v>
      </c>
      <c r="AK44" t="e">
        <v>#REF!</v>
      </c>
      <c r="AL44" t="e">
        <v>#REF!</v>
      </c>
      <c r="AM44">
        <v>98</v>
      </c>
      <c r="AN44" t="e">
        <v>#REF!</v>
      </c>
      <c r="AO44" t="e">
        <v>#REF!</v>
      </c>
      <c r="AP44" t="e">
        <v>#REF!</v>
      </c>
      <c r="AQ44" t="e">
        <v>#REF!</v>
      </c>
      <c r="AR44" t="e">
        <v>#REF!</v>
      </c>
      <c r="AS44">
        <v>102</v>
      </c>
      <c r="AT44" t="e">
        <v>#REF!</v>
      </c>
      <c r="AU44" t="e">
        <v>#REF!</v>
      </c>
      <c r="AV44" t="e">
        <v>#REF!</v>
      </c>
      <c r="AW44" t="e">
        <v>#REF!</v>
      </c>
      <c r="AX44" t="e">
        <v>#REF!</v>
      </c>
      <c r="AY44">
        <v>102</v>
      </c>
      <c r="AZ44" t="e">
        <v>#REF!</v>
      </c>
      <c r="BA44" t="e">
        <v>#REF!</v>
      </c>
      <c r="BB44" t="e">
        <v>#REF!</v>
      </c>
      <c r="BC44" t="e">
        <v>#REF!</v>
      </c>
      <c r="BD44" t="e">
        <v>#REF!</v>
      </c>
      <c r="BE44">
        <v>102</v>
      </c>
      <c r="BF44" t="e">
        <v>#REF!</v>
      </c>
    </row>
    <row r="45" spans="1:58" x14ac:dyDescent="0.2">
      <c r="P45">
        <v>0</v>
      </c>
      <c r="Q45">
        <v>0</v>
      </c>
      <c r="R45">
        <v>0</v>
      </c>
      <c r="S45">
        <v>0</v>
      </c>
      <c r="T45" t="e">
        <v>#REF!</v>
      </c>
      <c r="U45">
        <v>0</v>
      </c>
      <c r="V45" t="e">
        <v>#REF!</v>
      </c>
      <c r="W45" t="e">
        <v>#REF!</v>
      </c>
      <c r="X45" t="e">
        <v>#REF!</v>
      </c>
      <c r="Y45" t="e">
        <v>#REF!</v>
      </c>
      <c r="Z45" t="e">
        <v>#REF!</v>
      </c>
      <c r="AA45">
        <v>70</v>
      </c>
      <c r="AB45" t="e">
        <v>#REF!</v>
      </c>
      <c r="AC45" t="e">
        <v>#REF!</v>
      </c>
      <c r="AD45" t="e">
        <v>#REF!</v>
      </c>
      <c r="AE45" t="e">
        <v>#REF!</v>
      </c>
      <c r="AF45" t="e">
        <v>#REF!</v>
      </c>
      <c r="AG45">
        <v>88</v>
      </c>
      <c r="AH45" t="e">
        <v>#REF!</v>
      </c>
      <c r="AI45" t="e">
        <v>#REF!</v>
      </c>
      <c r="AJ45" t="e">
        <v>#REF!</v>
      </c>
      <c r="AK45" t="e">
        <v>#REF!</v>
      </c>
      <c r="AL45" t="e">
        <v>#REF!</v>
      </c>
      <c r="AM45">
        <v>98</v>
      </c>
      <c r="AN45" t="e">
        <v>#REF!</v>
      </c>
      <c r="AO45" t="e">
        <v>#REF!</v>
      </c>
      <c r="AP45" t="e">
        <v>#REF!</v>
      </c>
      <c r="AQ45" t="e">
        <v>#REF!</v>
      </c>
      <c r="AR45" t="e">
        <v>#REF!</v>
      </c>
      <c r="AS45">
        <v>102</v>
      </c>
      <c r="AT45" t="e">
        <v>#REF!</v>
      </c>
      <c r="AU45" t="e">
        <v>#REF!</v>
      </c>
      <c r="AV45" t="e">
        <v>#REF!</v>
      </c>
      <c r="AW45" t="e">
        <v>#REF!</v>
      </c>
      <c r="AX45" t="e">
        <v>#REF!</v>
      </c>
      <c r="AY45">
        <v>102</v>
      </c>
      <c r="AZ45" t="e">
        <v>#REF!</v>
      </c>
      <c r="BA45" t="e">
        <v>#REF!</v>
      </c>
      <c r="BB45" t="e">
        <v>#REF!</v>
      </c>
      <c r="BC45" t="e">
        <v>#REF!</v>
      </c>
      <c r="BD45" t="e">
        <v>#REF!</v>
      </c>
      <c r="BE45">
        <v>102</v>
      </c>
      <c r="BF45" t="e">
        <v>#REF!</v>
      </c>
    </row>
    <row r="46" spans="1:58" x14ac:dyDescent="0.2">
      <c r="P46">
        <v>0</v>
      </c>
      <c r="Q46">
        <v>0</v>
      </c>
      <c r="R46">
        <v>0</v>
      </c>
      <c r="S46">
        <v>0</v>
      </c>
      <c r="T46" t="e">
        <v>#REF!</v>
      </c>
      <c r="U46">
        <v>0</v>
      </c>
      <c r="V46" t="e">
        <v>#REF!</v>
      </c>
      <c r="W46" t="e">
        <v>#REF!</v>
      </c>
      <c r="X46" t="e">
        <v>#REF!</v>
      </c>
      <c r="Y46" t="e">
        <v>#REF!</v>
      </c>
      <c r="Z46" t="e">
        <v>#REF!</v>
      </c>
      <c r="AA46">
        <v>0</v>
      </c>
      <c r="AB46" t="e">
        <v>#REF!</v>
      </c>
      <c r="AC46" t="e">
        <v>#REF!</v>
      </c>
      <c r="AD46" t="e">
        <v>#REF!</v>
      </c>
      <c r="AE46" t="e">
        <v>#REF!</v>
      </c>
      <c r="AF46" t="e">
        <v>#REF!</v>
      </c>
      <c r="AG46">
        <v>50</v>
      </c>
      <c r="AH46" t="e">
        <v>#REF!</v>
      </c>
      <c r="AI46" t="e">
        <v>#REF!</v>
      </c>
      <c r="AJ46" t="e">
        <v>#REF!</v>
      </c>
      <c r="AK46" t="e">
        <v>#REF!</v>
      </c>
      <c r="AL46" t="e">
        <v>#REF!</v>
      </c>
      <c r="AM46">
        <v>60</v>
      </c>
      <c r="AN46" t="e">
        <v>#REF!</v>
      </c>
      <c r="AO46" t="e">
        <v>#REF!</v>
      </c>
      <c r="AP46" t="e">
        <v>#REF!</v>
      </c>
      <c r="AQ46" t="e">
        <v>#REF!</v>
      </c>
      <c r="AR46" t="e">
        <v>#REF!</v>
      </c>
      <c r="AS46">
        <v>65</v>
      </c>
      <c r="AT46" t="e">
        <v>#REF!</v>
      </c>
      <c r="AU46" t="e">
        <v>#REF!</v>
      </c>
      <c r="AV46" t="e">
        <v>#REF!</v>
      </c>
      <c r="AW46" t="e">
        <v>#REF!</v>
      </c>
      <c r="AX46" t="e">
        <v>#REF!</v>
      </c>
      <c r="AY46">
        <v>68</v>
      </c>
      <c r="AZ46" t="e">
        <v>#REF!</v>
      </c>
      <c r="BA46" t="e">
        <v>#REF!</v>
      </c>
      <c r="BB46" t="e">
        <v>#REF!</v>
      </c>
      <c r="BC46" t="e">
        <v>#REF!</v>
      </c>
      <c r="BD46" t="e">
        <v>#REF!</v>
      </c>
      <c r="BE46">
        <v>68</v>
      </c>
      <c r="BF46" t="e">
        <v>#REF!</v>
      </c>
    </row>
    <row r="47" spans="1:58" x14ac:dyDescent="0.2">
      <c r="P47">
        <v>0</v>
      </c>
      <c r="Q47">
        <v>0</v>
      </c>
      <c r="R47">
        <v>0</v>
      </c>
      <c r="S47">
        <v>0</v>
      </c>
      <c r="T47" t="e">
        <v>#REF!</v>
      </c>
      <c r="U47">
        <v>0</v>
      </c>
      <c r="V47" t="e">
        <v>#REF!</v>
      </c>
      <c r="W47" t="e">
        <v>#REF!</v>
      </c>
      <c r="X47" t="e">
        <v>#REF!</v>
      </c>
      <c r="Y47" t="e">
        <v>#REF!</v>
      </c>
      <c r="Z47" t="e">
        <v>#REF!</v>
      </c>
      <c r="AA47">
        <v>0</v>
      </c>
      <c r="AB47" t="e">
        <v>#REF!</v>
      </c>
      <c r="AC47" t="e">
        <v>#REF!</v>
      </c>
      <c r="AD47" t="e">
        <v>#REF!</v>
      </c>
      <c r="AE47" t="e">
        <v>#REF!</v>
      </c>
      <c r="AF47" t="e">
        <v>#REF!</v>
      </c>
      <c r="AG47">
        <v>50</v>
      </c>
      <c r="AH47" t="e">
        <v>#REF!</v>
      </c>
      <c r="AI47" t="e">
        <v>#REF!</v>
      </c>
      <c r="AJ47" t="e">
        <v>#REF!</v>
      </c>
      <c r="AK47" t="e">
        <v>#REF!</v>
      </c>
      <c r="AL47" t="e">
        <v>#REF!</v>
      </c>
      <c r="AM47">
        <v>60</v>
      </c>
      <c r="AN47" t="e">
        <v>#REF!</v>
      </c>
      <c r="AO47" t="e">
        <v>#REF!</v>
      </c>
      <c r="AP47" t="e">
        <v>#REF!</v>
      </c>
      <c r="AQ47" t="e">
        <v>#REF!</v>
      </c>
      <c r="AR47" t="e">
        <v>#REF!</v>
      </c>
      <c r="AS47">
        <v>65</v>
      </c>
      <c r="AT47" t="e">
        <v>#REF!</v>
      </c>
      <c r="AU47" t="e">
        <v>#REF!</v>
      </c>
      <c r="AV47" t="e">
        <v>#REF!</v>
      </c>
      <c r="AW47" t="e">
        <v>#REF!</v>
      </c>
      <c r="AX47" t="e">
        <v>#REF!</v>
      </c>
      <c r="AY47">
        <v>68</v>
      </c>
      <c r="AZ47" t="e">
        <v>#REF!</v>
      </c>
      <c r="BA47" t="e">
        <v>#REF!</v>
      </c>
      <c r="BB47" t="e">
        <v>#REF!</v>
      </c>
      <c r="BC47" t="e">
        <v>#REF!</v>
      </c>
      <c r="BD47" t="e">
        <v>#REF!</v>
      </c>
      <c r="BE47">
        <v>68</v>
      </c>
      <c r="BF47" t="e">
        <v>#REF!</v>
      </c>
    </row>
    <row r="48" spans="1:58" x14ac:dyDescent="0.2">
      <c r="P48">
        <v>0</v>
      </c>
      <c r="Q48">
        <v>0</v>
      </c>
      <c r="R48">
        <v>0.45112781954887216</v>
      </c>
      <c r="S48">
        <v>0</v>
      </c>
      <c r="T48" t="e">
        <v>#REF!</v>
      </c>
      <c r="U48">
        <v>0</v>
      </c>
      <c r="V48" t="e">
        <v>#REF!</v>
      </c>
      <c r="W48" t="e">
        <v>#REF!</v>
      </c>
      <c r="X48" t="e">
        <v>#REF!</v>
      </c>
      <c r="Y48" t="e">
        <v>#REF!</v>
      </c>
      <c r="Z48" t="e">
        <v>#REF!</v>
      </c>
      <c r="AA48">
        <v>70</v>
      </c>
      <c r="AB48" t="e">
        <v>#REF!</v>
      </c>
      <c r="AC48" t="e">
        <v>#REF!</v>
      </c>
      <c r="AD48" t="e">
        <v>#REF!</v>
      </c>
      <c r="AE48" t="e">
        <v>#REF!</v>
      </c>
      <c r="AF48" t="e">
        <v>#REF!</v>
      </c>
      <c r="AG48">
        <v>88</v>
      </c>
      <c r="AH48" t="e">
        <v>#REF!</v>
      </c>
      <c r="AI48" t="e">
        <v>#REF!</v>
      </c>
      <c r="AJ48" t="e">
        <v>#REF!</v>
      </c>
      <c r="AK48" t="e">
        <v>#REF!</v>
      </c>
      <c r="AL48" t="e">
        <v>#REF!</v>
      </c>
      <c r="AM48">
        <v>98</v>
      </c>
      <c r="AN48" t="e">
        <v>#REF!</v>
      </c>
      <c r="AO48" t="e">
        <v>#REF!</v>
      </c>
      <c r="AP48" t="e">
        <v>#REF!</v>
      </c>
      <c r="AQ48" t="e">
        <v>#REF!</v>
      </c>
      <c r="AR48" t="e">
        <v>#REF!</v>
      </c>
      <c r="AS48">
        <v>102</v>
      </c>
      <c r="AT48" t="e">
        <v>#REF!</v>
      </c>
      <c r="AU48" t="e">
        <v>#REF!</v>
      </c>
      <c r="AV48" t="e">
        <v>#REF!</v>
      </c>
      <c r="AW48" t="e">
        <v>#REF!</v>
      </c>
      <c r="AX48" t="e">
        <v>#REF!</v>
      </c>
      <c r="AY48">
        <v>102</v>
      </c>
      <c r="AZ48" t="e">
        <v>#REF!</v>
      </c>
      <c r="BA48" t="e">
        <v>#REF!</v>
      </c>
      <c r="BB48" t="e">
        <v>#REF!</v>
      </c>
      <c r="BC48" t="e">
        <v>#REF!</v>
      </c>
      <c r="BD48" t="e">
        <v>#REF!</v>
      </c>
      <c r="BE48">
        <v>102</v>
      </c>
      <c r="BF48" t="e">
        <v>#REF!</v>
      </c>
    </row>
    <row r="49" spans="16:58" x14ac:dyDescent="0.2">
      <c r="P49">
        <v>0</v>
      </c>
      <c r="Q49">
        <v>0</v>
      </c>
      <c r="R49">
        <v>0</v>
      </c>
      <c r="S49">
        <v>0</v>
      </c>
      <c r="T49" t="e">
        <v>#REF!</v>
      </c>
      <c r="U49">
        <v>0</v>
      </c>
      <c r="V49" t="e">
        <v>#REF!</v>
      </c>
      <c r="W49" t="e">
        <v>#REF!</v>
      </c>
      <c r="X49" t="e">
        <v>#REF!</v>
      </c>
      <c r="Y49" t="e">
        <v>#REF!</v>
      </c>
      <c r="Z49" t="e">
        <v>#REF!</v>
      </c>
      <c r="AA49">
        <v>0</v>
      </c>
      <c r="AB49" t="e">
        <v>#REF!</v>
      </c>
      <c r="AC49" t="e">
        <v>#REF!</v>
      </c>
      <c r="AD49" t="e">
        <v>#REF!</v>
      </c>
      <c r="AE49" t="e">
        <v>#REF!</v>
      </c>
      <c r="AF49" t="e">
        <v>#REF!</v>
      </c>
      <c r="AG49">
        <v>50</v>
      </c>
      <c r="AH49" t="e">
        <v>#REF!</v>
      </c>
      <c r="AI49" t="e">
        <v>#REF!</v>
      </c>
      <c r="AJ49" t="e">
        <v>#REF!</v>
      </c>
      <c r="AK49" t="e">
        <v>#REF!</v>
      </c>
      <c r="AL49" t="e">
        <v>#REF!</v>
      </c>
      <c r="AM49">
        <v>60</v>
      </c>
      <c r="AN49" t="e">
        <v>#REF!</v>
      </c>
      <c r="AO49" t="e">
        <v>#REF!</v>
      </c>
      <c r="AP49" t="e">
        <v>#REF!</v>
      </c>
      <c r="AQ49" t="e">
        <v>#REF!</v>
      </c>
      <c r="AR49" t="e">
        <v>#REF!</v>
      </c>
      <c r="AS49">
        <v>65</v>
      </c>
      <c r="AT49" t="e">
        <v>#REF!</v>
      </c>
      <c r="AU49" t="e">
        <v>#REF!</v>
      </c>
      <c r="AV49" t="e">
        <v>#REF!</v>
      </c>
      <c r="AW49" t="e">
        <v>#REF!</v>
      </c>
      <c r="AX49" t="e">
        <v>#REF!</v>
      </c>
      <c r="AY49">
        <v>68</v>
      </c>
      <c r="AZ49" t="e">
        <v>#REF!</v>
      </c>
      <c r="BA49" t="e">
        <v>#REF!</v>
      </c>
      <c r="BB49" t="e">
        <v>#REF!</v>
      </c>
      <c r="BC49" t="e">
        <v>#REF!</v>
      </c>
      <c r="BD49" t="e">
        <v>#REF!</v>
      </c>
      <c r="BE49">
        <v>68</v>
      </c>
      <c r="BF49" t="e">
        <v>#REF!</v>
      </c>
    </row>
    <row r="50" spans="16:58" x14ac:dyDescent="0.2">
      <c r="P50">
        <v>0</v>
      </c>
      <c r="Q50">
        <v>0</v>
      </c>
      <c r="R50">
        <v>0</v>
      </c>
      <c r="S50">
        <v>0</v>
      </c>
      <c r="T50" t="e">
        <v>#REF!</v>
      </c>
      <c r="U50">
        <v>0</v>
      </c>
      <c r="V50" t="e">
        <v>#REF!</v>
      </c>
      <c r="W50" t="e">
        <v>#REF!</v>
      </c>
      <c r="X50" t="e">
        <v>#REF!</v>
      </c>
      <c r="Y50" t="e">
        <v>#REF!</v>
      </c>
      <c r="Z50" t="e">
        <v>#REF!</v>
      </c>
      <c r="AA50">
        <v>0</v>
      </c>
      <c r="AB50" t="e">
        <v>#REF!</v>
      </c>
      <c r="AC50" t="e">
        <v>#REF!</v>
      </c>
      <c r="AD50" t="e">
        <v>#REF!</v>
      </c>
      <c r="AE50" t="e">
        <v>#REF!</v>
      </c>
      <c r="AF50" t="e">
        <v>#REF!</v>
      </c>
      <c r="AG50">
        <v>50</v>
      </c>
      <c r="AH50" t="e">
        <v>#REF!</v>
      </c>
      <c r="AI50" t="e">
        <v>#REF!</v>
      </c>
      <c r="AJ50" t="e">
        <v>#REF!</v>
      </c>
      <c r="AK50" t="e">
        <v>#REF!</v>
      </c>
      <c r="AL50" t="e">
        <v>#REF!</v>
      </c>
      <c r="AM50">
        <v>60</v>
      </c>
      <c r="AN50" t="e">
        <v>#REF!</v>
      </c>
      <c r="AO50" t="e">
        <v>#REF!</v>
      </c>
      <c r="AP50" t="e">
        <v>#REF!</v>
      </c>
      <c r="AQ50" t="e">
        <v>#REF!</v>
      </c>
      <c r="AR50" t="e">
        <v>#REF!</v>
      </c>
      <c r="AS50">
        <v>65</v>
      </c>
      <c r="AT50" t="e">
        <v>#REF!</v>
      </c>
      <c r="AU50" t="e">
        <v>#REF!</v>
      </c>
      <c r="AV50" t="e">
        <v>#REF!</v>
      </c>
      <c r="AW50" t="e">
        <v>#REF!</v>
      </c>
      <c r="AX50" t="e">
        <v>#REF!</v>
      </c>
      <c r="AY50">
        <v>68</v>
      </c>
      <c r="AZ50" t="e">
        <v>#REF!</v>
      </c>
      <c r="BA50" t="e">
        <v>#REF!</v>
      </c>
      <c r="BB50" t="e">
        <v>#REF!</v>
      </c>
      <c r="BC50" t="e">
        <v>#REF!</v>
      </c>
      <c r="BD50" t="e">
        <v>#REF!</v>
      </c>
      <c r="BE50">
        <v>68</v>
      </c>
      <c r="BF50" t="e">
        <v>#REF!</v>
      </c>
    </row>
    <row r="51" spans="16:58" x14ac:dyDescent="0.2">
      <c r="P51">
        <v>0</v>
      </c>
      <c r="Q51">
        <v>0</v>
      </c>
      <c r="R51">
        <v>0</v>
      </c>
      <c r="S51">
        <v>0</v>
      </c>
      <c r="T51" t="e">
        <v>#REF!</v>
      </c>
      <c r="U51">
        <v>0</v>
      </c>
      <c r="V51" t="e">
        <v>#REF!</v>
      </c>
      <c r="W51" t="e">
        <v>#REF!</v>
      </c>
      <c r="X51" t="e">
        <v>#REF!</v>
      </c>
      <c r="Y51" t="e">
        <v>#REF!</v>
      </c>
      <c r="Z51" t="e">
        <v>#REF!</v>
      </c>
      <c r="AA51">
        <v>0</v>
      </c>
      <c r="AB51" t="e">
        <v>#REF!</v>
      </c>
      <c r="AC51" t="e">
        <v>#REF!</v>
      </c>
      <c r="AD51" t="e">
        <v>#REF!</v>
      </c>
      <c r="AE51" t="e">
        <v>#REF!</v>
      </c>
      <c r="AF51" t="e">
        <v>#REF!</v>
      </c>
      <c r="AG51">
        <v>50</v>
      </c>
      <c r="AH51" t="e">
        <v>#REF!</v>
      </c>
      <c r="AI51" t="e">
        <v>#REF!</v>
      </c>
      <c r="AJ51" t="e">
        <v>#REF!</v>
      </c>
      <c r="AK51" t="e">
        <v>#REF!</v>
      </c>
      <c r="AL51" t="e">
        <v>#REF!</v>
      </c>
      <c r="AM51">
        <v>60</v>
      </c>
      <c r="AN51" t="e">
        <v>#REF!</v>
      </c>
      <c r="AO51" t="e">
        <v>#REF!</v>
      </c>
      <c r="AP51" t="e">
        <v>#REF!</v>
      </c>
      <c r="AQ51" t="e">
        <v>#REF!</v>
      </c>
      <c r="AR51" t="e">
        <v>#REF!</v>
      </c>
      <c r="AS51">
        <v>65</v>
      </c>
      <c r="AT51" t="e">
        <v>#REF!</v>
      </c>
      <c r="AU51" t="e">
        <v>#REF!</v>
      </c>
      <c r="AV51" t="e">
        <v>#REF!</v>
      </c>
      <c r="AW51" t="e">
        <v>#REF!</v>
      </c>
      <c r="AX51" t="e">
        <v>#REF!</v>
      </c>
      <c r="AY51">
        <v>68</v>
      </c>
      <c r="AZ51" t="e">
        <v>#REF!</v>
      </c>
      <c r="BA51" t="e">
        <v>#REF!</v>
      </c>
      <c r="BB51" t="e">
        <v>#REF!</v>
      </c>
      <c r="BC51" t="e">
        <v>#REF!</v>
      </c>
      <c r="BD51" t="e">
        <v>#REF!</v>
      </c>
      <c r="BE51">
        <v>68</v>
      </c>
      <c r="BF51" t="e">
        <v>#REF!</v>
      </c>
    </row>
    <row r="52" spans="16:58" x14ac:dyDescent="0.2">
      <c r="P52">
        <v>0</v>
      </c>
      <c r="Q52">
        <v>0</v>
      </c>
      <c r="R52">
        <v>0</v>
      </c>
      <c r="S52">
        <v>0</v>
      </c>
      <c r="T52" t="e">
        <v>#REF!</v>
      </c>
      <c r="U52">
        <v>0</v>
      </c>
      <c r="V52" t="e">
        <v>#REF!</v>
      </c>
      <c r="W52" t="e">
        <v>#REF!</v>
      </c>
      <c r="X52" t="e">
        <v>#REF!</v>
      </c>
      <c r="Y52" t="e">
        <v>#REF!</v>
      </c>
      <c r="Z52" t="e">
        <v>#REF!</v>
      </c>
      <c r="AA52">
        <v>0</v>
      </c>
      <c r="AB52" t="e">
        <v>#REF!</v>
      </c>
      <c r="AC52" t="e">
        <v>#REF!</v>
      </c>
      <c r="AD52" t="e">
        <v>#REF!</v>
      </c>
      <c r="AE52" t="e">
        <v>#REF!</v>
      </c>
      <c r="AF52" t="e">
        <v>#REF!</v>
      </c>
      <c r="AG52">
        <v>0</v>
      </c>
      <c r="AH52" t="e">
        <v>#REF!</v>
      </c>
      <c r="AI52" t="e">
        <v>#REF!</v>
      </c>
      <c r="AJ52" t="e">
        <v>#REF!</v>
      </c>
      <c r="AK52" t="e">
        <v>#REF!</v>
      </c>
      <c r="AL52" t="e">
        <v>#REF!</v>
      </c>
      <c r="AM52">
        <v>25</v>
      </c>
      <c r="AN52" t="e">
        <v>#REF!</v>
      </c>
      <c r="AO52" t="e">
        <v>#REF!</v>
      </c>
      <c r="AP52" t="e">
        <v>#REF!</v>
      </c>
      <c r="AQ52" t="e">
        <v>#REF!</v>
      </c>
      <c r="AR52" t="e">
        <v>#REF!</v>
      </c>
      <c r="AS52">
        <v>29</v>
      </c>
      <c r="AT52" t="e">
        <v>#REF!</v>
      </c>
      <c r="AU52" t="e">
        <v>#REF!</v>
      </c>
      <c r="AV52" t="e">
        <v>#REF!</v>
      </c>
      <c r="AW52" t="e">
        <v>#REF!</v>
      </c>
      <c r="AX52" t="e">
        <v>#REF!</v>
      </c>
      <c r="AY52">
        <v>30</v>
      </c>
      <c r="AZ52" t="e">
        <v>#REF!</v>
      </c>
      <c r="BA52" t="e">
        <v>#REF!</v>
      </c>
      <c r="BB52" t="e">
        <v>#REF!</v>
      </c>
      <c r="BC52" t="e">
        <v>#REF!</v>
      </c>
      <c r="BD52" t="e">
        <v>#REF!</v>
      </c>
      <c r="BE52">
        <v>30</v>
      </c>
      <c r="BF52" t="e">
        <v>#REF!</v>
      </c>
    </row>
    <row r="53" spans="16:58" x14ac:dyDescent="0.2">
      <c r="P53">
        <v>0</v>
      </c>
      <c r="Q53">
        <v>0</v>
      </c>
      <c r="R53">
        <v>0</v>
      </c>
      <c r="S53">
        <v>0</v>
      </c>
      <c r="T53" t="e">
        <v>#REF!</v>
      </c>
      <c r="U53">
        <v>0</v>
      </c>
      <c r="V53" t="e">
        <v>#REF!</v>
      </c>
      <c r="W53" t="e">
        <v>#REF!</v>
      </c>
      <c r="X53" t="e">
        <v>#REF!</v>
      </c>
      <c r="Y53" t="e">
        <v>#REF!</v>
      </c>
      <c r="Z53" t="e">
        <v>#REF!</v>
      </c>
      <c r="AA53">
        <v>0</v>
      </c>
      <c r="AB53" t="e">
        <v>#REF!</v>
      </c>
      <c r="AC53" t="e">
        <v>#REF!</v>
      </c>
      <c r="AD53" t="e">
        <v>#REF!</v>
      </c>
      <c r="AE53" t="e">
        <v>#REF!</v>
      </c>
      <c r="AF53" t="e">
        <v>#REF!</v>
      </c>
      <c r="AG53">
        <v>50</v>
      </c>
      <c r="AH53" t="e">
        <v>#REF!</v>
      </c>
      <c r="AI53" t="e">
        <v>#REF!</v>
      </c>
      <c r="AJ53" t="e">
        <v>#REF!</v>
      </c>
      <c r="AK53" t="e">
        <v>#REF!</v>
      </c>
      <c r="AL53" t="e">
        <v>#REF!</v>
      </c>
      <c r="AM53">
        <v>57</v>
      </c>
      <c r="AN53" t="e">
        <v>#REF!</v>
      </c>
      <c r="AO53" t="e">
        <v>#REF!</v>
      </c>
      <c r="AP53" t="e">
        <v>#REF!</v>
      </c>
      <c r="AQ53" t="e">
        <v>#REF!</v>
      </c>
      <c r="AR53" t="e">
        <v>#REF!</v>
      </c>
      <c r="AS53">
        <v>62</v>
      </c>
      <c r="AT53" t="e">
        <v>#REF!</v>
      </c>
      <c r="AU53" t="e">
        <v>#REF!</v>
      </c>
      <c r="AV53" t="e">
        <v>#REF!</v>
      </c>
      <c r="AW53" t="e">
        <v>#REF!</v>
      </c>
      <c r="AX53" t="e">
        <v>#REF!</v>
      </c>
      <c r="AY53">
        <v>62</v>
      </c>
      <c r="AZ53" t="e">
        <v>#REF!</v>
      </c>
      <c r="BA53" t="e">
        <v>#REF!</v>
      </c>
      <c r="BB53" t="e">
        <v>#REF!</v>
      </c>
      <c r="BC53" t="e">
        <v>#REF!</v>
      </c>
      <c r="BD53" t="e">
        <v>#REF!</v>
      </c>
      <c r="BE53">
        <v>62</v>
      </c>
      <c r="BF53" t="e">
        <v>#REF!</v>
      </c>
    </row>
    <row r="54" spans="16:58" x14ac:dyDescent="0.2">
      <c r="P54">
        <v>0</v>
      </c>
      <c r="Q54">
        <v>0</v>
      </c>
      <c r="R54">
        <v>0</v>
      </c>
      <c r="S54">
        <v>0</v>
      </c>
      <c r="T54" t="e">
        <v>#REF!</v>
      </c>
      <c r="U54">
        <v>0</v>
      </c>
      <c r="V54" t="e">
        <v>#REF!</v>
      </c>
      <c r="W54" t="e">
        <v>#REF!</v>
      </c>
      <c r="X54" t="e">
        <v>#REF!</v>
      </c>
      <c r="Y54" t="e">
        <v>#REF!</v>
      </c>
      <c r="Z54" t="e">
        <v>#REF!</v>
      </c>
      <c r="AA54">
        <v>70</v>
      </c>
      <c r="AB54" t="e">
        <v>#REF!</v>
      </c>
      <c r="AC54" t="e">
        <v>#REF!</v>
      </c>
      <c r="AD54" t="e">
        <v>#REF!</v>
      </c>
      <c r="AE54" t="e">
        <v>#REF!</v>
      </c>
      <c r="AF54" t="e">
        <v>#REF!</v>
      </c>
      <c r="AG54">
        <v>88</v>
      </c>
      <c r="AH54" t="e">
        <v>#REF!</v>
      </c>
      <c r="AI54" t="e">
        <v>#REF!</v>
      </c>
      <c r="AJ54" t="e">
        <v>#REF!</v>
      </c>
      <c r="AK54" t="e">
        <v>#REF!</v>
      </c>
      <c r="AL54" t="e">
        <v>#REF!</v>
      </c>
      <c r="AM54">
        <v>98</v>
      </c>
      <c r="AN54" t="e">
        <v>#REF!</v>
      </c>
      <c r="AO54" t="e">
        <v>#REF!</v>
      </c>
      <c r="AP54" t="e">
        <v>#REF!</v>
      </c>
      <c r="AQ54" t="e">
        <v>#REF!</v>
      </c>
      <c r="AR54" t="e">
        <v>#REF!</v>
      </c>
      <c r="AS54">
        <v>102</v>
      </c>
      <c r="AT54" t="e">
        <v>#REF!</v>
      </c>
      <c r="AU54" t="e">
        <v>#REF!</v>
      </c>
      <c r="AV54" t="e">
        <v>#REF!</v>
      </c>
      <c r="AW54" t="e">
        <v>#REF!</v>
      </c>
      <c r="AX54" t="e">
        <v>#REF!</v>
      </c>
      <c r="AY54">
        <v>102</v>
      </c>
      <c r="AZ54" t="e">
        <v>#REF!</v>
      </c>
      <c r="BA54" t="e">
        <v>#REF!</v>
      </c>
      <c r="BB54" t="e">
        <v>#REF!</v>
      </c>
      <c r="BC54" t="e">
        <v>#REF!</v>
      </c>
      <c r="BD54" t="e">
        <v>#REF!</v>
      </c>
      <c r="BE54">
        <v>102</v>
      </c>
      <c r="BF54" t="e">
        <v>#REF!</v>
      </c>
    </row>
    <row r="55" spans="16:58" x14ac:dyDescent="0.2">
      <c r="P55">
        <v>0</v>
      </c>
      <c r="Q55">
        <v>0</v>
      </c>
      <c r="R55">
        <v>0</v>
      </c>
      <c r="S55">
        <v>0</v>
      </c>
      <c r="T55" t="e">
        <v>#REF!</v>
      </c>
      <c r="U55">
        <v>0</v>
      </c>
      <c r="V55" t="e">
        <v>#REF!</v>
      </c>
      <c r="W55" t="e">
        <v>#REF!</v>
      </c>
      <c r="X55" t="e">
        <v>#REF!</v>
      </c>
      <c r="Y55" t="e">
        <v>#REF!</v>
      </c>
      <c r="Z55" t="e">
        <v>#REF!</v>
      </c>
      <c r="AA55">
        <v>0</v>
      </c>
      <c r="AB55" t="e">
        <v>#REF!</v>
      </c>
      <c r="AC55" t="e">
        <v>#REF!</v>
      </c>
      <c r="AD55" t="e">
        <v>#REF!</v>
      </c>
      <c r="AE55" t="e">
        <v>#REF!</v>
      </c>
      <c r="AF55" t="e">
        <v>#REF!</v>
      </c>
      <c r="AG55">
        <v>50</v>
      </c>
      <c r="AH55" t="e">
        <v>#REF!</v>
      </c>
      <c r="AI55" t="e">
        <v>#REF!</v>
      </c>
      <c r="AJ55" t="e">
        <v>#REF!</v>
      </c>
      <c r="AK55" t="e">
        <v>#REF!</v>
      </c>
      <c r="AL55" t="e">
        <v>#REF!</v>
      </c>
      <c r="AM55">
        <v>60</v>
      </c>
      <c r="AN55" t="e">
        <v>#REF!</v>
      </c>
      <c r="AO55" t="e">
        <v>#REF!</v>
      </c>
      <c r="AP55" t="e">
        <v>#REF!</v>
      </c>
      <c r="AQ55" t="e">
        <v>#REF!</v>
      </c>
      <c r="AR55" t="e">
        <v>#REF!</v>
      </c>
      <c r="AS55">
        <v>65</v>
      </c>
      <c r="AT55" t="e">
        <v>#REF!</v>
      </c>
      <c r="AU55" t="e">
        <v>#REF!</v>
      </c>
      <c r="AV55" t="e">
        <v>#REF!</v>
      </c>
      <c r="AW55" t="e">
        <v>#REF!</v>
      </c>
      <c r="AX55" t="e">
        <v>#REF!</v>
      </c>
      <c r="AY55">
        <v>68</v>
      </c>
      <c r="AZ55" t="e">
        <v>#REF!</v>
      </c>
      <c r="BA55" t="e">
        <v>#REF!</v>
      </c>
      <c r="BB55" t="e">
        <v>#REF!</v>
      </c>
      <c r="BC55" t="e">
        <v>#REF!</v>
      </c>
      <c r="BD55" t="e">
        <v>#REF!</v>
      </c>
      <c r="BE55">
        <v>68</v>
      </c>
      <c r="BF55" t="e">
        <v>#REF!</v>
      </c>
    </row>
    <row r="56" spans="16:58" x14ac:dyDescent="0.2">
      <c r="P56">
        <v>0</v>
      </c>
      <c r="Q56">
        <v>0</v>
      </c>
      <c r="R56">
        <v>0</v>
      </c>
      <c r="S56">
        <v>0</v>
      </c>
      <c r="T56" t="e">
        <v>#REF!</v>
      </c>
      <c r="U56">
        <v>0</v>
      </c>
      <c r="V56" t="e">
        <v>#REF!</v>
      </c>
      <c r="W56" t="e">
        <v>#REF!</v>
      </c>
      <c r="X56" t="e">
        <v>#REF!</v>
      </c>
      <c r="Y56" t="e">
        <v>#REF!</v>
      </c>
      <c r="Z56" t="e">
        <v>#REF!</v>
      </c>
      <c r="AA56">
        <v>0</v>
      </c>
      <c r="AB56" t="e">
        <v>#REF!</v>
      </c>
      <c r="AC56" t="e">
        <v>#REF!</v>
      </c>
      <c r="AD56" t="e">
        <v>#REF!</v>
      </c>
      <c r="AE56" t="e">
        <v>#REF!</v>
      </c>
      <c r="AF56" t="e">
        <v>#REF!</v>
      </c>
      <c r="AG56">
        <v>50</v>
      </c>
      <c r="AH56" t="e">
        <v>#REF!</v>
      </c>
      <c r="AI56" t="e">
        <v>#REF!</v>
      </c>
      <c r="AJ56" t="e">
        <v>#REF!</v>
      </c>
      <c r="AK56" t="e">
        <v>#REF!</v>
      </c>
      <c r="AL56" t="e">
        <v>#REF!</v>
      </c>
      <c r="AM56">
        <v>60</v>
      </c>
      <c r="AN56" t="e">
        <v>#REF!</v>
      </c>
      <c r="AO56" t="e">
        <v>#REF!</v>
      </c>
      <c r="AP56" t="e">
        <v>#REF!</v>
      </c>
      <c r="AQ56" t="e">
        <v>#REF!</v>
      </c>
      <c r="AR56" t="e">
        <v>#REF!</v>
      </c>
      <c r="AS56">
        <v>65</v>
      </c>
      <c r="AT56" t="e">
        <v>#REF!</v>
      </c>
      <c r="AU56" t="e">
        <v>#REF!</v>
      </c>
      <c r="AV56" t="e">
        <v>#REF!</v>
      </c>
      <c r="AW56" t="e">
        <v>#REF!</v>
      </c>
      <c r="AX56" t="e">
        <v>#REF!</v>
      </c>
      <c r="AY56">
        <v>68</v>
      </c>
      <c r="AZ56" t="e">
        <v>#REF!</v>
      </c>
      <c r="BA56" t="e">
        <v>#REF!</v>
      </c>
      <c r="BB56" t="e">
        <v>#REF!</v>
      </c>
      <c r="BC56" t="e">
        <v>#REF!</v>
      </c>
      <c r="BD56" t="e">
        <v>#REF!</v>
      </c>
      <c r="BE56">
        <v>68</v>
      </c>
      <c r="BF56" t="e">
        <v>#REF!</v>
      </c>
    </row>
    <row r="57" spans="16:58" x14ac:dyDescent="0.2">
      <c r="P57">
        <v>0</v>
      </c>
      <c r="Q57">
        <v>0</v>
      </c>
      <c r="R57">
        <v>0</v>
      </c>
      <c r="S57">
        <v>0</v>
      </c>
      <c r="T57" t="e">
        <v>#REF!</v>
      </c>
      <c r="U57">
        <v>0</v>
      </c>
      <c r="V57" t="e">
        <v>#REF!</v>
      </c>
      <c r="W57" t="e">
        <v>#REF!</v>
      </c>
      <c r="X57" t="e">
        <v>#REF!</v>
      </c>
      <c r="Y57" t="e">
        <v>#REF!</v>
      </c>
      <c r="Z57" t="e">
        <v>#REF!</v>
      </c>
      <c r="AA57">
        <v>0</v>
      </c>
      <c r="AB57" t="e">
        <v>#REF!</v>
      </c>
      <c r="AC57" t="e">
        <v>#REF!</v>
      </c>
      <c r="AD57" t="e">
        <v>#REF!</v>
      </c>
      <c r="AE57" t="e">
        <v>#REF!</v>
      </c>
      <c r="AF57" t="e">
        <v>#REF!</v>
      </c>
      <c r="AG57">
        <v>50</v>
      </c>
      <c r="AH57" t="e">
        <v>#REF!</v>
      </c>
      <c r="AI57" t="e">
        <v>#REF!</v>
      </c>
      <c r="AJ57" t="e">
        <v>#REF!</v>
      </c>
      <c r="AK57" t="e">
        <v>#REF!</v>
      </c>
      <c r="AL57" t="e">
        <v>#REF!</v>
      </c>
      <c r="AM57">
        <v>60</v>
      </c>
      <c r="AN57" t="e">
        <v>#REF!</v>
      </c>
      <c r="AO57" t="e">
        <v>#REF!</v>
      </c>
      <c r="AP57" t="e">
        <v>#REF!</v>
      </c>
      <c r="AQ57" t="e">
        <v>#REF!</v>
      </c>
      <c r="AR57" t="e">
        <v>#REF!</v>
      </c>
      <c r="AS57">
        <v>65</v>
      </c>
      <c r="AT57" t="e">
        <v>#REF!</v>
      </c>
      <c r="AU57" t="e">
        <v>#REF!</v>
      </c>
      <c r="AV57" t="e">
        <v>#REF!</v>
      </c>
      <c r="AW57" t="e">
        <v>#REF!</v>
      </c>
      <c r="AX57" t="e">
        <v>#REF!</v>
      </c>
      <c r="AY57">
        <v>68</v>
      </c>
      <c r="AZ57" t="e">
        <v>#REF!</v>
      </c>
      <c r="BA57" t="e">
        <v>#REF!</v>
      </c>
      <c r="BB57" t="e">
        <v>#REF!</v>
      </c>
      <c r="BC57" t="e">
        <v>#REF!</v>
      </c>
      <c r="BD57" t="e">
        <v>#REF!</v>
      </c>
      <c r="BE57">
        <v>68</v>
      </c>
      <c r="BF57" t="e">
        <v>#REF!</v>
      </c>
    </row>
    <row r="58" spans="16:58" x14ac:dyDescent="0.2">
      <c r="P58">
        <v>0</v>
      </c>
      <c r="Q58">
        <v>0</v>
      </c>
      <c r="R58">
        <v>0</v>
      </c>
      <c r="S58">
        <v>0</v>
      </c>
      <c r="T58" t="e">
        <v>#REF!</v>
      </c>
      <c r="U58">
        <v>0</v>
      </c>
      <c r="V58" t="e">
        <v>#REF!</v>
      </c>
      <c r="W58" t="e">
        <v>#REF!</v>
      </c>
      <c r="X58" t="e">
        <v>#REF!</v>
      </c>
      <c r="Y58" t="e">
        <v>#REF!</v>
      </c>
      <c r="Z58" t="e">
        <v>#REF!</v>
      </c>
      <c r="AA58">
        <v>0</v>
      </c>
      <c r="AB58" t="e">
        <v>#REF!</v>
      </c>
      <c r="AC58" t="e">
        <v>#REF!</v>
      </c>
      <c r="AD58" t="e">
        <v>#REF!</v>
      </c>
      <c r="AE58" t="e">
        <v>#REF!</v>
      </c>
      <c r="AF58" t="e">
        <v>#REF!</v>
      </c>
      <c r="AG58">
        <v>50</v>
      </c>
      <c r="AH58" t="e">
        <v>#REF!</v>
      </c>
      <c r="AI58" t="e">
        <v>#REF!</v>
      </c>
      <c r="AJ58" t="e">
        <v>#REF!</v>
      </c>
      <c r="AK58" t="e">
        <v>#REF!</v>
      </c>
      <c r="AL58" t="e">
        <v>#REF!</v>
      </c>
      <c r="AM58">
        <v>60</v>
      </c>
      <c r="AN58" t="e">
        <v>#REF!</v>
      </c>
      <c r="AO58" t="e">
        <v>#REF!</v>
      </c>
      <c r="AP58" t="e">
        <v>#REF!</v>
      </c>
      <c r="AQ58" t="e">
        <v>#REF!</v>
      </c>
      <c r="AR58" t="e">
        <v>#REF!</v>
      </c>
      <c r="AS58">
        <v>65</v>
      </c>
      <c r="AT58" t="e">
        <v>#REF!</v>
      </c>
      <c r="AU58" t="e">
        <v>#REF!</v>
      </c>
      <c r="AV58" t="e">
        <v>#REF!</v>
      </c>
      <c r="AW58" t="e">
        <v>#REF!</v>
      </c>
      <c r="AX58" t="e">
        <v>#REF!</v>
      </c>
      <c r="AY58">
        <v>68</v>
      </c>
      <c r="AZ58" t="e">
        <v>#REF!</v>
      </c>
      <c r="BA58" t="e">
        <v>#REF!</v>
      </c>
      <c r="BB58" t="e">
        <v>#REF!</v>
      </c>
      <c r="BC58" t="e">
        <v>#REF!</v>
      </c>
      <c r="BD58" t="e">
        <v>#REF!</v>
      </c>
      <c r="BE58">
        <v>68</v>
      </c>
      <c r="BF58" t="e">
        <v>#REF!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1"/>
  <dimension ref="A1"/>
  <sheetViews>
    <sheetView workbookViewId="0">
      <selection activeCell="B9" sqref="B9"/>
    </sheetView>
  </sheetViews>
  <sheetFormatPr baseColWidth="10" defaultColWidth="11" defaultRowHeight="16" x14ac:dyDescent="0.2"/>
  <cols>
    <col min="1" max="1" width="4.33203125" customWidth="1"/>
    <col min="2" max="2" width="22.83203125" customWidth="1"/>
    <col min="3" max="3" width="26" customWidth="1"/>
    <col min="4" max="4" width="20.6640625" customWidth="1"/>
    <col min="5" max="5" width="18.83203125" customWidth="1"/>
    <col min="6" max="6" width="25.5" customWidth="1"/>
    <col min="7" max="7" width="23.5" customWidth="1"/>
    <col min="8" max="8" width="16" customWidth="1"/>
    <col min="9" max="9" width="14.1640625" customWidth="1"/>
    <col min="10" max="10" width="25.5" customWidth="1"/>
  </cols>
  <sheetData>
    <row r="1" spans="1:1" x14ac:dyDescent="0.2">
      <c r="A1" t="s">
        <v>1028</v>
      </c>
    </row>
  </sheetData>
  <autoFilter ref="A1:I1218" xr:uid="{00000000-0009-0000-0000-00000A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Produit</vt:lpstr>
      <vt:lpstr>Ingredients</vt:lpstr>
      <vt:lpstr>Recette Epice</vt:lpstr>
      <vt:lpstr>Besoins plantes</vt:lpstr>
      <vt:lpstr>Planning Culture</vt:lpstr>
      <vt:lpstr>Calendrier culture</vt:lpstr>
      <vt:lpstr>Production</vt:lpstr>
      <vt:lpstr>Conditionnement</vt:lpstr>
      <vt:lpstr>Concurrence</vt:lpstr>
      <vt:lpstr>Temporaire</vt:lpstr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Merlin PERROT</dc:creator>
  <cp:lastModifiedBy>Merlin Perrot</cp:lastModifiedBy>
  <dcterms:created xsi:type="dcterms:W3CDTF">2024-02-18T18:19:11Z</dcterms:created>
  <dcterms:modified xsi:type="dcterms:W3CDTF">2026-07-22T06:55:59Z</dcterms:modified>
</cp:coreProperties>
</file>