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860" windowWidth="41120" windowHeight="25720" tabRatio="600" firstSheet="0" activeTab="5" autoFilterDateGrouping="1"/>
  </bookViews>
  <sheets>
    <sheet xmlns:r="http://schemas.openxmlformats.org/officeDocument/2006/relationships" name="Selection faible eau" sheetId="1" state="visible" r:id="rId1"/>
    <sheet xmlns:r="http://schemas.openxmlformats.org/officeDocument/2006/relationships" name="Plantes Obsidian" sheetId="2" state="visible" r:id="rId2"/>
    <sheet xmlns:r="http://schemas.openxmlformats.org/officeDocument/2006/relationships" name="Produit" sheetId="3" state="visible" r:id="rId3"/>
    <sheet xmlns:r="http://schemas.openxmlformats.org/officeDocument/2006/relationships" name="Ingredients" sheetId="4" state="visible" r:id="rId4"/>
    <sheet xmlns:r="http://schemas.openxmlformats.org/officeDocument/2006/relationships" name="Recette Epice" sheetId="5" state="visible" r:id="rId5"/>
    <sheet xmlns:r="http://schemas.openxmlformats.org/officeDocument/2006/relationships" name="Besoins plantes" sheetId="6" state="visible" r:id="rId6"/>
    <sheet xmlns:r="http://schemas.openxmlformats.org/officeDocument/2006/relationships" name="Planning Culture" sheetId="7" state="visible" r:id="rId7"/>
    <sheet xmlns:r="http://schemas.openxmlformats.org/officeDocument/2006/relationships" name="Calendrier culture" sheetId="8" state="visible" r:id="rId8"/>
    <sheet xmlns:r="http://schemas.openxmlformats.org/officeDocument/2006/relationships" name="Production" sheetId="9" state="visible" r:id="rId9"/>
    <sheet xmlns:r="http://schemas.openxmlformats.org/officeDocument/2006/relationships" name="Conditionnement" sheetId="10" state="visible" r:id="rId10"/>
    <sheet xmlns:r="http://schemas.openxmlformats.org/officeDocument/2006/relationships" name="Concurrence" sheetId="11" state="visible" r:id="rId11"/>
    <sheet xmlns:r="http://schemas.openxmlformats.org/officeDocument/2006/relationships" name="Temporaire" sheetId="12" state="visible" r:id="rId12"/>
    <sheet xmlns:r="http://schemas.openxmlformats.org/officeDocument/2006/relationships" name="Log" sheetId="13" state="visible" r:id="rId13"/>
  </sheets>
  <definedNames>
    <definedName name="_xlnm._FilterDatabase" localSheetId="0" hidden="1">'Selection faible eau'!$A$3:$L$29</definedName>
    <definedName name="_xlnm._FilterDatabase" localSheetId="1" hidden="1">'Plantes Obsidian'!$A$2:$G$113</definedName>
    <definedName name="Couleur" localSheetId="4">'Recette Epice'!#REF!</definedName>
    <definedName name="_xlnm._FilterDatabase" localSheetId="5" hidden="1">'Besoins plantes'!$A$3:$L$77</definedName>
    <definedName name="_xlnm._FilterDatabase" localSheetId="6" hidden="1">'Planning Culture'!$A$3:$N$31</definedName>
    <definedName name="_xlnm._FilterDatabase" localSheetId="12" hidden="1">'Log'!$A$1:$I$1218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* #,##0.00_)\ &quot;€&quot;_ ;_ * \(#,##0.00\)\ &quot;€&quot;_ ;_ * &quot;-&quot;??_)\ &quot;€&quot;_ ;_ @_ "/>
    <numFmt numFmtId="165" formatCode="0.0"/>
    <numFmt numFmtId="166" formatCode="_-* #,##0\ [$€-40C]_-;\-* #,##0\ [$€-40C]_-;_-* &quot;-&quot;??\ [$€-40C]_-;_-@_-"/>
    <numFmt numFmtId="167" formatCode="_-* #,##0.00\ [$€-40C]_-;\-* #,##0.00\ [$€-40C]_-;_-* &quot;-&quot;??\ [$€-40C]_-;_-@_-"/>
    <numFmt numFmtId="168" formatCode="#,##0.00\ &quot;€&quot;_);[Red]\(#,##0.00\ &quot;€&quot;\)"/>
  </numFmts>
  <fonts count="25"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color rgb="FF000000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2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sz val="12"/>
      <scheme val="minor"/>
    </font>
    <font>
      <name val="Aptos Narrow"/>
      <family val="2"/>
      <b val="1"/>
      <color theme="1" tint="0.1499984740745262"/>
      <sz val="12"/>
      <scheme val="minor"/>
    </font>
    <font>
      <name val="Aptos Narrow"/>
      <family val="2"/>
      <color theme="1"/>
      <sz val="8"/>
      <scheme val="minor"/>
    </font>
    <font>
      <name val="Aptos Narrow"/>
      <b val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rgb="FF010101"/>
      <sz val="12"/>
      <scheme val="minor"/>
    </font>
    <font>
      <name val="Helvetica Neue"/>
      <family val="2"/>
      <color rgb="FF010101"/>
      <sz val="12"/>
    </font>
    <font>
      <name val="Aptos Narrow"/>
      <b val="1"/>
      <color rgb="FF010101"/>
      <sz val="12"/>
      <scheme val="minor"/>
    </font>
    <font>
      <name val="Aptos Narrow"/>
      <color theme="1"/>
      <sz val="12"/>
      <scheme val="minor"/>
    </font>
    <font>
      <name val="Aptos Narrow"/>
      <color rgb="FF010101"/>
      <sz val="12"/>
      <scheme val="minor"/>
    </font>
    <font>
      <name val="Aptos Narrow"/>
      <color theme="0"/>
      <sz val="12"/>
      <scheme val="minor"/>
    </font>
    <font>
      <name val="Aptos"/>
      <color rgb="FF000000"/>
      <sz val="12"/>
    </font>
    <font>
      <name val="Aptos Narrow"/>
      <color rgb="FF000000"/>
      <sz val="12"/>
    </font>
    <font>
      <name val="Aptos Narrow"/>
      <family val="2"/>
      <color theme="0"/>
      <sz val="12"/>
      <scheme val="minor"/>
    </font>
    <font>
      <b val="1"/>
      <sz val="14"/>
    </font>
    <font>
      <b val="1"/>
      <color rgb="00FFFFFF"/>
      <sz val="11"/>
    </font>
    <font>
      <b val="1"/>
    </font>
    <font>
      <b val="1"/>
      <color rgb="00FFFFFF"/>
    </font>
  </fonts>
  <fills count="211">
    <fill>
      <patternFill/>
    </fill>
    <fill>
      <patternFill patternType="gray125"/>
    </fill>
    <fill>
      <patternFill patternType="solid">
        <fgColor rgb="FFFFFD78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rgb="FF73FDD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73FEFF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E19CAD"/>
        <bgColor indexed="64"/>
      </patternFill>
    </fill>
    <fill>
      <patternFill patternType="solid">
        <fgColor rgb="FFF8C3FB"/>
        <bgColor indexed="64"/>
      </patternFill>
    </fill>
    <fill>
      <patternFill patternType="solid">
        <fgColor rgb="FFFBD4AC"/>
        <bgColor indexed="64"/>
      </patternFill>
    </fill>
    <fill>
      <patternFill patternType="solid">
        <fgColor rgb="FFF8B5C6"/>
        <bgColor indexed="64"/>
      </patternFill>
    </fill>
    <fill>
      <patternFill patternType="solid">
        <fgColor rgb="FF9DB9DA"/>
        <bgColor indexed="64"/>
      </patternFill>
    </fill>
    <fill>
      <patternFill patternType="solid">
        <fgColor rgb="FFE1B4C7"/>
        <bgColor indexed="64"/>
      </patternFill>
    </fill>
    <fill>
      <patternFill patternType="solid">
        <fgColor rgb="FFE9AFA1"/>
        <bgColor indexed="64"/>
      </patternFill>
    </fill>
    <fill>
      <patternFill patternType="solid">
        <fgColor rgb="FFEBCEC1"/>
        <bgColor indexed="64"/>
      </patternFill>
    </fill>
    <fill>
      <patternFill patternType="solid">
        <fgColor rgb="FFF4C1D5"/>
        <bgColor indexed="64"/>
      </patternFill>
    </fill>
    <fill>
      <patternFill patternType="solid">
        <fgColor rgb="FFDDBDB2"/>
        <bgColor indexed="64"/>
      </patternFill>
    </fill>
    <fill>
      <patternFill patternType="solid">
        <fgColor rgb="FFECACA9"/>
        <bgColor indexed="64"/>
      </patternFill>
    </fill>
    <fill>
      <patternFill patternType="solid">
        <fgColor rgb="FF9EC8D2"/>
        <bgColor indexed="64"/>
      </patternFill>
    </fill>
    <fill>
      <patternFill patternType="solid">
        <fgColor rgb="FFE3BEC9"/>
        <bgColor indexed="64"/>
      </patternFill>
    </fill>
    <fill>
      <patternFill patternType="solid">
        <fgColor rgb="FFE6A9A2"/>
        <bgColor indexed="64"/>
      </patternFill>
    </fill>
    <fill>
      <patternFill patternType="solid">
        <fgColor rgb="FFA8AFB8"/>
        <bgColor indexed="64"/>
      </patternFill>
    </fill>
    <fill>
      <patternFill patternType="solid">
        <fgColor rgb="FFDFB8AC"/>
        <bgColor indexed="64"/>
      </patternFill>
    </fill>
    <fill>
      <patternFill patternType="solid">
        <fgColor rgb="FFDFB5C5"/>
        <bgColor indexed="64"/>
      </patternFill>
    </fill>
    <fill>
      <patternFill patternType="solid">
        <fgColor rgb="FFE7B1AB"/>
        <bgColor indexed="64"/>
      </patternFill>
    </fill>
    <fill>
      <patternFill patternType="solid">
        <fgColor rgb="FFF8C9E5"/>
        <bgColor indexed="64"/>
      </patternFill>
    </fill>
    <fill>
      <patternFill patternType="solid">
        <fgColor rgb="FFEEC6B7"/>
        <bgColor indexed="64"/>
      </patternFill>
    </fill>
    <fill>
      <patternFill patternType="solid">
        <fgColor rgb="FFE8DFE5"/>
        <bgColor indexed="64"/>
      </patternFill>
    </fill>
    <fill>
      <patternFill patternType="solid">
        <fgColor rgb="FFE5A6D8"/>
        <bgColor indexed="64"/>
      </patternFill>
    </fill>
    <fill>
      <patternFill patternType="solid">
        <fgColor rgb="FFF09ED8"/>
        <bgColor indexed="64"/>
      </patternFill>
    </fill>
    <fill>
      <patternFill patternType="solid">
        <fgColor rgb="FFF79DA2"/>
        <bgColor indexed="64"/>
      </patternFill>
    </fill>
    <fill>
      <patternFill patternType="solid">
        <fgColor rgb="FFE3AFAE"/>
        <bgColor indexed="64"/>
      </patternFill>
    </fill>
    <fill>
      <patternFill patternType="solid">
        <fgColor rgb="FFF2DAC1"/>
        <bgColor indexed="64"/>
      </patternFill>
    </fill>
    <fill>
      <patternFill patternType="solid">
        <fgColor rgb="FFE8A7B8"/>
        <bgColor indexed="64"/>
      </patternFill>
    </fill>
    <fill>
      <patternFill patternType="solid">
        <fgColor rgb="FFE09DAE"/>
        <bgColor indexed="64"/>
      </patternFill>
    </fill>
    <fill>
      <patternFill patternType="solid">
        <fgColor rgb="FFFEADFE"/>
        <bgColor indexed="64"/>
      </patternFill>
    </fill>
    <fill>
      <patternFill patternType="solid">
        <fgColor rgb="FFECE8F0"/>
        <bgColor indexed="64"/>
      </patternFill>
    </fill>
    <fill>
      <patternFill patternType="solid">
        <fgColor rgb="FFC5A8D1"/>
        <bgColor indexed="64"/>
      </patternFill>
    </fill>
    <fill>
      <patternFill patternType="solid">
        <fgColor rgb="FFE5A0BC"/>
        <bgColor indexed="64"/>
      </patternFill>
    </fill>
    <fill>
      <patternFill patternType="solid">
        <fgColor rgb="FFE8D0ED"/>
        <bgColor indexed="64"/>
      </patternFill>
    </fill>
    <fill>
      <patternFill patternType="solid">
        <fgColor rgb="FFECC9A5"/>
        <bgColor indexed="64"/>
      </patternFill>
    </fill>
    <fill>
      <patternFill patternType="solid">
        <fgColor rgb="FFA0ABD0"/>
        <bgColor indexed="64"/>
      </patternFill>
    </fill>
    <fill>
      <patternFill patternType="solid">
        <fgColor rgb="FFF99DAE"/>
        <bgColor indexed="64"/>
      </patternFill>
    </fill>
    <fill>
      <patternFill patternType="solid">
        <fgColor rgb="FFA3C6B0"/>
        <bgColor indexed="64"/>
      </patternFill>
    </fill>
    <fill>
      <patternFill patternType="solid">
        <fgColor rgb="FFEEF2C8"/>
        <bgColor indexed="64"/>
      </patternFill>
    </fill>
    <fill>
      <patternFill patternType="solid">
        <fgColor rgb="FFBDE3A6"/>
        <bgColor indexed="64"/>
      </patternFill>
    </fill>
    <fill>
      <patternFill patternType="solid">
        <fgColor rgb="FFD3A8C0"/>
        <bgColor indexed="64"/>
      </patternFill>
    </fill>
    <fill>
      <patternFill patternType="solid">
        <fgColor rgb="FFFEB8B4"/>
        <bgColor indexed="64"/>
      </patternFill>
    </fill>
    <fill>
      <patternFill patternType="solid">
        <fgColor rgb="FFAEC5C5"/>
        <bgColor indexed="64"/>
      </patternFill>
    </fill>
    <fill>
      <patternFill patternType="solid">
        <fgColor rgb="FFFBAAB0"/>
        <bgColor indexed="64"/>
      </patternFill>
    </fill>
    <fill>
      <patternFill patternType="solid">
        <fgColor rgb="FFE1CCAC"/>
        <bgColor indexed="64"/>
      </patternFill>
    </fill>
    <fill>
      <patternFill patternType="solid">
        <fgColor rgb="FFB5CABD"/>
        <bgColor indexed="64"/>
      </patternFill>
    </fill>
    <fill>
      <patternFill patternType="solid">
        <fgColor rgb="FFCBF6FA"/>
        <bgColor indexed="64"/>
      </patternFill>
    </fill>
    <fill>
      <patternFill patternType="solid">
        <fgColor rgb="FF9CD0A5"/>
        <bgColor indexed="64"/>
      </patternFill>
    </fill>
    <fill>
      <patternFill patternType="solid">
        <fgColor rgb="FFAAA9F7"/>
        <bgColor indexed="64"/>
      </patternFill>
    </fill>
    <fill>
      <patternFill patternType="solid">
        <fgColor rgb="FF9BEDE0"/>
        <bgColor indexed="64"/>
      </patternFill>
    </fill>
    <fill>
      <patternFill patternType="solid">
        <fgColor rgb="FFA2D6A2"/>
        <bgColor indexed="64"/>
      </patternFill>
    </fill>
    <fill>
      <patternFill patternType="solid">
        <fgColor rgb="FFADBDE8"/>
        <bgColor indexed="64"/>
      </patternFill>
    </fill>
    <fill>
      <patternFill patternType="solid">
        <fgColor rgb="FF9EADDC"/>
        <bgColor indexed="64"/>
      </patternFill>
    </fill>
    <fill>
      <patternFill patternType="solid">
        <fgColor rgb="FFA1F9FC"/>
        <bgColor indexed="64"/>
      </patternFill>
    </fill>
    <fill>
      <patternFill patternType="solid">
        <fgColor rgb="FFF59FAC"/>
        <bgColor indexed="64"/>
      </patternFill>
    </fill>
    <fill>
      <patternFill patternType="solid">
        <fgColor rgb="FFFCA09B"/>
        <bgColor indexed="64"/>
      </patternFill>
    </fill>
    <fill>
      <patternFill patternType="solid">
        <fgColor rgb="FFD3A3A4"/>
        <bgColor indexed="64"/>
      </patternFill>
    </fill>
    <fill>
      <patternFill patternType="solid">
        <fgColor rgb="FF9CB5FE"/>
        <bgColor indexed="64"/>
      </patternFill>
    </fill>
    <fill>
      <patternFill patternType="solid">
        <fgColor rgb="FFBFD0CF"/>
        <bgColor indexed="64"/>
      </patternFill>
    </fill>
    <fill>
      <patternFill patternType="solid">
        <fgColor rgb="FFAABAFD"/>
        <bgColor indexed="64"/>
      </patternFill>
    </fill>
    <fill>
      <patternFill patternType="solid">
        <fgColor rgb="FF9EA0AF"/>
        <bgColor indexed="64"/>
      </patternFill>
    </fill>
    <fill>
      <patternFill patternType="solid">
        <fgColor rgb="FFA1BDBF"/>
        <bgColor indexed="64"/>
      </patternFill>
    </fill>
    <fill>
      <patternFill patternType="solid">
        <fgColor rgb="FFE7FBB8"/>
        <bgColor indexed="64"/>
      </patternFill>
    </fill>
    <fill>
      <patternFill patternType="solid">
        <fgColor rgb="FFACFDAD"/>
        <bgColor indexed="64"/>
      </patternFill>
    </fill>
    <fill>
      <patternFill patternType="solid">
        <fgColor rgb="FFA9FCAA"/>
        <bgColor indexed="64"/>
      </patternFill>
    </fill>
    <fill>
      <patternFill patternType="solid">
        <fgColor rgb="FFAAFED6"/>
        <bgColor indexed="64"/>
      </patternFill>
    </fill>
    <fill>
      <patternFill patternType="solid">
        <fgColor rgb="FFD9BBB2"/>
        <bgColor indexed="64"/>
      </patternFill>
    </fill>
    <fill>
      <patternFill patternType="solid">
        <fgColor rgb="FFD6BDB6"/>
        <bgColor indexed="64"/>
      </patternFill>
    </fill>
    <fill>
      <patternFill patternType="solid">
        <fgColor rgb="FFB9BAFC"/>
        <bgColor indexed="64"/>
      </patternFill>
    </fill>
    <fill>
      <patternFill patternType="solid">
        <fgColor rgb="FFD8B8BD"/>
        <bgColor indexed="64"/>
      </patternFill>
    </fill>
    <fill>
      <patternFill patternType="solid">
        <fgColor rgb="FFBCB9CC"/>
        <bgColor indexed="64"/>
      </patternFill>
    </fill>
    <fill>
      <patternFill patternType="solid">
        <fgColor rgb="FFFDBDB2"/>
        <bgColor indexed="64"/>
      </patternFill>
    </fill>
    <fill>
      <patternFill patternType="solid">
        <fgColor rgb="FFB9B6A2"/>
        <bgColor indexed="64"/>
      </patternFill>
    </fill>
    <fill>
      <patternFill patternType="solid">
        <fgColor rgb="FFAEA09E"/>
        <bgColor indexed="64"/>
      </patternFill>
    </fill>
    <fill>
      <patternFill patternType="solid">
        <fgColor rgb="FFCCE3CE"/>
        <bgColor indexed="64"/>
      </patternFill>
    </fill>
    <fill>
      <patternFill patternType="solid">
        <fgColor rgb="FF9FAFAE"/>
        <bgColor indexed="64"/>
      </patternFill>
    </fill>
    <fill>
      <patternFill patternType="solid">
        <fgColor rgb="FFCCB7AA"/>
        <bgColor indexed="64"/>
      </patternFill>
    </fill>
    <fill>
      <patternFill patternType="solid">
        <fgColor rgb="FFF1C1BF"/>
        <bgColor indexed="64"/>
      </patternFill>
    </fill>
    <fill>
      <patternFill patternType="solid">
        <fgColor rgb="FFFABD9E"/>
        <bgColor indexed="64"/>
      </patternFill>
    </fill>
    <fill>
      <patternFill patternType="solid">
        <fgColor rgb="FFF1C4FB"/>
        <bgColor indexed="64"/>
      </patternFill>
    </fill>
    <fill>
      <patternFill patternType="solid">
        <fgColor rgb="FFF2C0AC"/>
        <bgColor indexed="64"/>
      </patternFill>
    </fill>
    <fill>
      <patternFill patternType="solid">
        <fgColor rgb="FFFBC79E"/>
        <bgColor indexed="64"/>
      </patternFill>
    </fill>
    <fill>
      <patternFill patternType="solid">
        <fgColor rgb="FF9ECCA2"/>
        <bgColor indexed="64"/>
      </patternFill>
    </fill>
    <fill>
      <patternFill patternType="solid">
        <fgColor rgb="FFC3E4AE"/>
        <bgColor indexed="64"/>
      </patternFill>
    </fill>
    <fill>
      <patternFill patternType="solid">
        <fgColor rgb="FFEEBEA7"/>
        <bgColor indexed="64"/>
      </patternFill>
    </fill>
    <fill>
      <patternFill patternType="solid">
        <fgColor rgb="FFF2BFCD"/>
        <bgColor indexed="64"/>
      </patternFill>
    </fill>
    <fill>
      <patternFill patternType="solid">
        <fgColor rgb="FFD8B9A7"/>
        <bgColor indexed="64"/>
      </patternFill>
    </fill>
    <fill>
      <patternFill patternType="solid">
        <fgColor rgb="FFF4EFCA"/>
        <bgColor indexed="64"/>
      </patternFill>
    </fill>
    <fill>
      <patternFill patternType="solid">
        <fgColor rgb="FFB2D9B6"/>
        <bgColor indexed="64"/>
      </patternFill>
    </fill>
    <fill>
      <patternFill patternType="solid">
        <fgColor rgb="FFD8C3A2"/>
        <bgColor indexed="64"/>
      </patternFill>
    </fill>
    <fill>
      <patternFill patternType="solid">
        <fgColor rgb="FFA4FDAC"/>
        <bgColor indexed="64"/>
      </patternFill>
    </fill>
    <fill>
      <patternFill patternType="solid">
        <fgColor rgb="FF9CC1AA"/>
        <bgColor indexed="64"/>
      </patternFill>
    </fill>
    <fill>
      <patternFill patternType="solid">
        <fgColor rgb="FFA0A2AD"/>
        <bgColor indexed="64"/>
      </patternFill>
    </fill>
    <fill>
      <patternFill patternType="solid">
        <fgColor rgb="FFA9FCFE"/>
        <bgColor indexed="64"/>
      </patternFill>
    </fill>
    <fill>
      <patternFill patternType="solid">
        <fgColor rgb="FFE2C2A7"/>
        <bgColor indexed="64"/>
      </patternFill>
    </fill>
    <fill>
      <patternFill patternType="solid">
        <fgColor rgb="FFA3A9AA"/>
        <bgColor indexed="64"/>
      </patternFill>
    </fill>
    <fill>
      <patternFill patternType="solid">
        <fgColor rgb="FFC4A7B0"/>
        <bgColor indexed="64"/>
      </patternFill>
    </fill>
    <fill>
      <patternFill patternType="solid">
        <fgColor rgb="FFB0AB9E"/>
        <bgColor indexed="64"/>
      </patternFill>
    </fill>
    <fill>
      <patternFill patternType="solid">
        <fgColor rgb="FFA9A6A0"/>
        <bgColor indexed="64"/>
      </patternFill>
    </fill>
    <fill>
      <patternFill patternType="solid">
        <fgColor rgb="FFB6A1A9"/>
        <bgColor indexed="64"/>
      </patternFill>
    </fill>
    <fill>
      <patternFill patternType="solid">
        <fgColor rgb="FFF3DBB8"/>
        <bgColor indexed="64"/>
      </patternFill>
    </fill>
    <fill>
      <patternFill patternType="solid">
        <fgColor rgb="FFB3A8ED"/>
        <bgColor indexed="64"/>
      </patternFill>
    </fill>
    <fill>
      <patternFill patternType="solid">
        <fgColor rgb="FFB4B6ED"/>
        <bgColor indexed="64"/>
      </patternFill>
    </fill>
    <fill>
      <patternFill patternType="solid">
        <fgColor rgb="FFEAC9F0"/>
        <bgColor indexed="64"/>
      </patternFill>
    </fill>
    <fill>
      <patternFill patternType="solid">
        <fgColor rgb="FFF2D3CC"/>
        <bgColor indexed="64"/>
      </patternFill>
    </fill>
    <fill>
      <patternFill patternType="solid">
        <fgColor rgb="FF9BC9C9"/>
        <bgColor indexed="64"/>
      </patternFill>
    </fill>
    <fill>
      <patternFill patternType="solid">
        <fgColor rgb="FFA2DDBB"/>
        <bgColor indexed="64"/>
      </patternFill>
    </fill>
    <fill>
      <patternFill patternType="solid">
        <fgColor rgb="FFBDDECD"/>
        <bgColor indexed="64"/>
      </patternFill>
    </fill>
    <fill>
      <patternFill patternType="solid">
        <fgColor rgb="FFEEBBFD"/>
        <bgColor indexed="64"/>
      </patternFill>
    </fill>
    <fill>
      <patternFill patternType="solid">
        <fgColor rgb="FFB8D8D6"/>
        <bgColor indexed="64"/>
      </patternFill>
    </fill>
    <fill>
      <patternFill patternType="solid">
        <fgColor rgb="FFF5C7B8"/>
        <bgColor indexed="64"/>
      </patternFill>
    </fill>
    <fill>
      <patternFill patternType="solid">
        <fgColor rgb="FF9ED5A7"/>
        <bgColor indexed="64"/>
      </patternFill>
    </fill>
    <fill>
      <patternFill patternType="solid">
        <fgColor rgb="FFF4D9B5"/>
        <bgColor indexed="64"/>
      </patternFill>
    </fill>
    <fill>
      <patternFill patternType="solid">
        <fgColor rgb="FFDEBEAC"/>
        <bgColor indexed="64"/>
      </patternFill>
    </fill>
    <fill>
      <patternFill patternType="solid">
        <fgColor rgb="FFA6B4A9"/>
        <bgColor indexed="64"/>
      </patternFill>
    </fill>
    <fill>
      <patternFill patternType="solid">
        <fgColor rgb="FFC8ADAA"/>
        <bgColor indexed="64"/>
      </patternFill>
    </fill>
    <fill>
      <patternFill patternType="solid">
        <fgColor rgb="FFB8A4D2"/>
        <bgColor indexed="64"/>
      </patternFill>
    </fill>
    <fill>
      <patternFill patternType="solid">
        <fgColor rgb="FFADFCAC"/>
        <bgColor indexed="64"/>
      </patternFill>
    </fill>
    <fill>
      <patternFill patternType="solid">
        <fgColor rgb="FFA7ACA4"/>
        <bgColor indexed="64"/>
      </patternFill>
    </fill>
    <fill>
      <patternFill patternType="solid">
        <fgColor rgb="FFAB9FB0"/>
        <bgColor indexed="64"/>
      </patternFill>
    </fill>
    <fill>
      <patternFill patternType="solid">
        <fgColor rgb="FFD9C7B0"/>
        <bgColor indexed="64"/>
      </patternFill>
    </fill>
    <fill>
      <patternFill patternType="solid">
        <fgColor rgb="FF9BD3A3"/>
        <bgColor indexed="64"/>
      </patternFill>
    </fill>
    <fill>
      <patternFill patternType="solid">
        <fgColor rgb="FFA8A59C"/>
        <bgColor indexed="64"/>
      </patternFill>
    </fill>
    <fill>
      <patternFill patternType="solid">
        <fgColor rgb="FFA7A8BB"/>
        <bgColor indexed="64"/>
      </patternFill>
    </fill>
    <fill>
      <patternFill patternType="solid">
        <fgColor rgb="FFA6A3B4"/>
        <bgColor indexed="64"/>
      </patternFill>
    </fill>
    <fill>
      <patternFill patternType="solid">
        <fgColor rgb="FFECE0CB"/>
        <bgColor indexed="64"/>
      </patternFill>
    </fill>
    <fill>
      <patternFill patternType="solid">
        <fgColor rgb="FF9CFC9B"/>
        <bgColor indexed="64"/>
      </patternFill>
    </fill>
    <fill>
      <patternFill patternType="solid">
        <fgColor rgb="FFC9A9F5"/>
        <bgColor indexed="64"/>
      </patternFill>
    </fill>
    <fill>
      <patternFill patternType="solid">
        <fgColor rgb="FFF5B3A2"/>
        <bgColor indexed="64"/>
      </patternFill>
    </fill>
    <fill>
      <patternFill patternType="solid">
        <fgColor rgb="FFB0C59E"/>
        <bgColor indexed="64"/>
      </patternFill>
    </fill>
    <fill>
      <patternFill patternType="solid">
        <fgColor rgb="FFB0A1B0"/>
        <bgColor indexed="64"/>
      </patternFill>
    </fill>
    <fill>
      <patternFill patternType="solid">
        <fgColor rgb="FFE69EA5"/>
        <bgColor indexed="64"/>
      </patternFill>
    </fill>
    <fill>
      <patternFill patternType="solid">
        <fgColor rgb="FFAFD9DD"/>
        <bgColor indexed="64"/>
      </patternFill>
    </fill>
    <fill>
      <patternFill patternType="solid">
        <fgColor rgb="FFD4CEF2"/>
        <bgColor indexed="64"/>
      </patternFill>
    </fill>
    <fill>
      <patternFill patternType="solid">
        <fgColor rgb="FFA4A09C"/>
        <bgColor indexed="64"/>
      </patternFill>
    </fill>
    <fill>
      <patternFill patternType="solid">
        <fgColor rgb="FFC9D9AF"/>
        <bgColor indexed="64"/>
      </patternFill>
    </fill>
    <fill>
      <patternFill patternType="solid">
        <fgColor rgb="FFC7ABBE"/>
        <bgColor indexed="64"/>
      </patternFill>
    </fill>
    <fill>
      <patternFill patternType="solid">
        <fgColor rgb="FFCEB99B"/>
        <bgColor indexed="64"/>
      </patternFill>
    </fill>
    <fill>
      <patternFill patternType="solid">
        <fgColor rgb="FFD6BCA9"/>
        <bgColor indexed="64"/>
      </patternFill>
    </fill>
    <fill>
      <patternFill patternType="solid">
        <fgColor rgb="FFABA8D0"/>
        <bgColor indexed="64"/>
      </patternFill>
    </fill>
    <fill>
      <patternFill patternType="solid">
        <fgColor rgb="FFDDE3A6"/>
        <bgColor indexed="64"/>
      </patternFill>
    </fill>
    <fill>
      <patternFill patternType="solid">
        <fgColor rgb="FFB8F99D"/>
        <bgColor indexed="64"/>
      </patternFill>
    </fill>
    <fill>
      <patternFill patternType="solid">
        <fgColor rgb="FFAA9C9B"/>
        <bgColor indexed="64"/>
      </patternFill>
    </fill>
    <fill>
      <patternFill patternType="solid">
        <fgColor rgb="FFCDABE2"/>
        <bgColor indexed="64"/>
      </patternFill>
    </fill>
    <fill>
      <patternFill patternType="solid">
        <fgColor rgb="FFBCA0A4"/>
        <bgColor indexed="64"/>
      </patternFill>
    </fill>
    <fill>
      <patternFill patternType="solid">
        <fgColor rgb="FFC5ACE8"/>
        <bgColor indexed="64"/>
      </patternFill>
    </fill>
    <fill>
      <patternFill patternType="solid">
        <fgColor rgb="FFE5D2FE"/>
        <bgColor indexed="64"/>
      </patternFill>
    </fill>
    <fill>
      <patternFill patternType="solid">
        <fgColor rgb="FFC7ECD7"/>
        <bgColor indexed="64"/>
      </patternFill>
    </fill>
    <fill>
      <patternFill patternType="solid">
        <fgColor rgb="FFA1B4A5"/>
        <bgColor indexed="64"/>
      </patternFill>
    </fill>
    <fill>
      <patternFill patternType="solid">
        <fgColor rgb="FFB6FCAC"/>
        <bgColor indexed="64"/>
      </patternFill>
    </fill>
    <fill>
      <patternFill patternType="solid">
        <fgColor rgb="FFABA9A9"/>
        <bgColor indexed="64"/>
      </patternFill>
    </fill>
    <fill>
      <patternFill patternType="solid">
        <fgColor rgb="FFE0B4BA"/>
        <bgColor indexed="64"/>
      </patternFill>
    </fill>
    <fill>
      <patternFill patternType="solid">
        <fgColor rgb="FFAAA49C"/>
        <bgColor indexed="64"/>
      </patternFill>
    </fill>
    <fill>
      <patternFill patternType="solid">
        <fgColor rgb="FFB6C6A5"/>
        <bgColor indexed="64"/>
      </patternFill>
    </fill>
    <fill>
      <patternFill patternType="solid">
        <fgColor rgb="FFE9D9B2"/>
        <bgColor indexed="64"/>
      </patternFill>
    </fill>
    <fill>
      <patternFill patternType="solid">
        <fgColor rgb="FFD0D0B7"/>
        <bgColor indexed="64"/>
      </patternFill>
    </fill>
    <fill>
      <patternFill patternType="solid">
        <fgColor rgb="FFA9A6AC"/>
        <bgColor indexed="64"/>
      </patternFill>
    </fill>
    <fill>
      <patternFill patternType="solid">
        <fgColor rgb="FFA9A6AA"/>
        <bgColor indexed="64"/>
      </patternFill>
    </fill>
    <fill>
      <patternFill patternType="solid">
        <fgColor rgb="FFD1F1DE"/>
        <bgColor indexed="64"/>
      </patternFill>
    </fill>
    <fill>
      <patternFill patternType="solid">
        <fgColor rgb="FFCBA9AB"/>
        <bgColor indexed="64"/>
      </patternFill>
    </fill>
    <fill>
      <patternFill patternType="solid">
        <fgColor rgb="FFB5AFFC"/>
        <bgColor indexed="64"/>
      </patternFill>
    </fill>
    <fill>
      <patternFill patternType="solid">
        <fgColor rgb="FFA6B2F9"/>
        <bgColor indexed="64"/>
      </patternFill>
    </fill>
    <fill>
      <patternFill patternType="solid">
        <fgColor rgb="FFB7D1E4"/>
        <bgColor indexed="64"/>
      </patternFill>
    </fill>
    <fill>
      <patternFill patternType="solid">
        <fgColor rgb="FFE0E7D6"/>
        <bgColor indexed="64"/>
      </patternFill>
    </fill>
    <fill>
      <patternFill patternType="solid">
        <fgColor rgb="FFA6B9E9"/>
        <bgColor indexed="64"/>
      </patternFill>
    </fill>
    <fill>
      <patternFill patternType="solid">
        <fgColor rgb="FFA8C5F6"/>
        <bgColor indexed="64"/>
      </patternFill>
    </fill>
    <fill>
      <patternFill patternType="solid">
        <fgColor rgb="FFA8C7F0"/>
        <bgColor indexed="64"/>
      </patternFill>
    </fill>
    <fill>
      <patternFill patternType="solid">
        <fgColor rgb="FFA5B1FE"/>
        <bgColor indexed="64"/>
      </patternFill>
    </fill>
    <fill>
      <patternFill patternType="solid">
        <fgColor rgb="FFB4D0F3"/>
        <bgColor indexed="64"/>
      </patternFill>
    </fill>
    <fill>
      <patternFill patternType="solid">
        <fgColor rgb="FFF2DEEE"/>
        <bgColor indexed="64"/>
      </patternFill>
    </fill>
    <fill>
      <patternFill patternType="solid">
        <fgColor rgb="FFFBE2D5"/>
        <bgColor rgb="FFFBE2D5"/>
      </patternFill>
    </fill>
    <fill>
      <patternFill patternType="solid">
        <fgColor rgb="FFEEC6B7"/>
        <bgColor rgb="FF000000"/>
      </patternFill>
    </fill>
    <fill>
      <patternFill patternType="solid">
        <fgColor rgb="FFA8AFB8"/>
        <bgColor rgb="FF000000"/>
      </patternFill>
    </fill>
    <fill>
      <patternFill patternType="solid">
        <fgColor rgb="FFE7B1AB"/>
        <bgColor rgb="FF000000"/>
      </patternFill>
    </fill>
    <fill>
      <patternFill patternType="solid">
        <fgColor rgb="FFF8C9E5"/>
        <bgColor rgb="FF000000"/>
      </patternFill>
    </fill>
    <fill>
      <patternFill patternType="solid">
        <fgColor rgb="FFC5A8D1"/>
        <bgColor rgb="FF000000"/>
      </patternFill>
    </fill>
    <fill>
      <patternFill patternType="solid">
        <fgColor rgb="FFBDE3A6"/>
        <bgColor rgb="FF000000"/>
      </patternFill>
    </fill>
    <fill>
      <patternFill patternType="solid">
        <fgColor rgb="FFD3A8C0"/>
        <bgColor rgb="FF000000"/>
      </patternFill>
    </fill>
    <fill>
      <patternFill patternType="solid">
        <fgColor rgb="FFAEC5C5"/>
        <bgColor rgb="FF000000"/>
      </patternFill>
    </fill>
    <fill>
      <patternFill patternType="solid">
        <fgColor rgb="FFB5CABD"/>
        <bgColor rgb="FF000000"/>
      </patternFill>
    </fill>
    <fill>
      <patternFill patternType="solid">
        <fgColor rgb="FFA2D6A2"/>
        <bgColor rgb="FF000000"/>
      </patternFill>
    </fill>
    <fill>
      <patternFill patternType="solid">
        <fgColor rgb="FF9EADDC"/>
        <bgColor rgb="FF000000"/>
      </patternFill>
    </fill>
    <fill>
      <patternFill patternType="solid">
        <fgColor rgb="FFAEB2F3"/>
        <bgColor indexed="64"/>
      </patternFill>
    </fill>
    <fill>
      <patternFill patternType="solid">
        <fgColor rgb="FFFCB2FD"/>
        <bgColor indexed="64"/>
      </patternFill>
    </fill>
    <fill>
      <patternFill patternType="solid">
        <fgColor rgb="FFA9BAB5"/>
        <bgColor indexed="64"/>
      </patternFill>
    </fill>
    <fill>
      <patternFill patternType="solid">
        <fgColor rgb="FFADB9D2"/>
        <bgColor indexed="64"/>
      </patternFill>
    </fill>
    <fill>
      <patternFill patternType="solid">
        <fgColor rgb="FF9DF3FB"/>
        <bgColor indexed="64"/>
      </patternFill>
    </fill>
    <fill>
      <patternFill patternType="solid">
        <fgColor rgb="FFA0A0A3"/>
        <bgColor indexed="64"/>
      </patternFill>
    </fill>
    <fill>
      <patternFill patternType="solid">
        <fgColor rgb="FFB5A7AE"/>
        <bgColor indexed="64"/>
      </patternFill>
    </fill>
    <fill>
      <patternFill patternType="solid">
        <fgColor rgb="FFA8B6A8"/>
        <bgColor indexed="64"/>
      </patternFill>
    </fill>
    <fill>
      <patternFill patternType="solid">
        <fgColor rgb="FFCDC1C4"/>
        <bgColor indexed="64"/>
      </patternFill>
    </fill>
    <fill>
      <patternFill patternType="solid">
        <fgColor rgb="FF76D6FF"/>
        <bgColor theme="8" tint="0.5999938962981048"/>
      </patternFill>
    </fill>
    <fill>
      <patternFill patternType="solid">
        <fgColor rgb="002F5233"/>
      </patternFill>
    </fill>
    <fill>
      <patternFill patternType="solid">
        <fgColor rgb="00C6EFCE"/>
      </patternFill>
    </fill>
    <fill>
      <patternFill patternType="solid">
        <fgColor rgb="00F4B183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D86DCD"/>
      </top>
      <bottom style="thin">
        <color rgb="FFD86DC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86DCD"/>
      </left>
      <right style="thin">
        <color indexed="64"/>
      </right>
      <top style="thin">
        <color rgb="FFD86DCD"/>
      </top>
      <bottom style="thin">
        <color rgb="FFD86DCD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rgb="FFD86DCD"/>
      </left>
      <right style="thin">
        <color indexed="64"/>
      </right>
      <top style="thin">
        <color rgb="FFD86DCD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4">
    <xf numFmtId="0" fontId="4" fillId="0" borderId="0"/>
    <xf numFmtId="0" fontId="1" fillId="0" borderId="0"/>
    <xf numFmtId="44" fontId="4" fillId="0" borderId="0"/>
    <xf numFmtId="9" fontId="4" fillId="0" borderId="0"/>
  </cellStyleXfs>
  <cellXfs count="111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1"/>
    <xf numFmtId="164" fontId="0" fillId="0" borderId="0" pivotButton="0" quotePrefix="0" xfId="2"/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horizontal="center" vertical="top"/>
    </xf>
    <xf numFmtId="0" fontId="5" fillId="6" borderId="8" pivotButton="0" quotePrefix="0" xfId="0"/>
    <xf numFmtId="0" fontId="5" fillId="6" borderId="9" pivotButton="0" quotePrefix="0" xfId="0"/>
    <xf numFmtId="0" fontId="5" fillId="6" borderId="6" applyAlignment="1" pivotButton="0" quotePrefix="0" xfId="0">
      <alignment horizontal="center" vertical="top" textRotation="45"/>
    </xf>
    <xf numFmtId="0" fontId="5" fillId="6" borderId="12" applyAlignment="1" pivotButton="0" quotePrefix="0" xfId="0">
      <alignment horizontal="center" vertical="top" textRotation="45"/>
    </xf>
    <xf numFmtId="0" fontId="0" fillId="8" borderId="1" applyAlignment="1" pivotButton="0" quotePrefix="0" xfId="0">
      <alignment horizontal="center" vertical="top" textRotation="45"/>
    </xf>
    <xf numFmtId="0" fontId="0" fillId="8" borderId="0" pivotButton="0" quotePrefix="0" xfId="0"/>
    <xf numFmtId="0" fontId="0" fillId="8" borderId="1" applyAlignment="1" pivotButton="0" quotePrefix="0" xfId="0">
      <alignment horizontal="left" vertical="top" textRotation="45"/>
    </xf>
    <xf numFmtId="0" fontId="0" fillId="8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 textRotation="45"/>
    </xf>
    <xf numFmtId="0" fontId="0" fillId="0" borderId="0" applyAlignment="1" pivotButton="0" quotePrefix="0" xfId="0">
      <alignment horizontal="left" vertical="top" textRotation="45" wrapText="1"/>
    </xf>
    <xf numFmtId="164" fontId="1" fillId="0" borderId="0" pivotButton="0" quotePrefix="0" xfId="1"/>
    <xf numFmtId="0" fontId="5" fillId="5" borderId="16" applyAlignment="1" pivotButton="0" quotePrefix="0" xfId="0">
      <alignment horizontal="center" vertical="top" textRotation="45"/>
    </xf>
    <xf numFmtId="0" fontId="5" fillId="5" borderId="8" applyAlignment="1" pivotButton="0" quotePrefix="0" xfId="0">
      <alignment horizontal="center" vertical="top" textRotation="45"/>
    </xf>
    <xf numFmtId="0" fontId="0" fillId="0" borderId="13" pivotButton="0" quotePrefix="0" xfId="0"/>
    <xf numFmtId="0" fontId="0" fillId="0" borderId="14" pivotButton="0" quotePrefix="0" xfId="0"/>
    <xf numFmtId="0" fontId="0" fillId="2" borderId="14" pivotButton="0" quotePrefix="0" xfId="0"/>
    <xf numFmtId="0" fontId="0" fillId="0" borderId="15" pivotButton="0" quotePrefix="0" xfId="0"/>
    <xf numFmtId="0" fontId="2" fillId="0" borderId="13" pivotButton="0" quotePrefix="0" xfId="0"/>
    <xf numFmtId="0" fontId="6" fillId="9" borderId="11" applyAlignment="1" pivotButton="0" quotePrefix="0" xfId="0">
      <alignment horizontal="right" vertical="top" textRotation="45"/>
    </xf>
    <xf numFmtId="0" fontId="8" fillId="2" borderId="11" applyAlignment="1" pivotButton="0" quotePrefix="0" xfId="0">
      <alignment horizontal="right" vertical="top" textRotation="45"/>
    </xf>
    <xf numFmtId="0" fontId="0" fillId="0" borderId="4" pivotButton="0" quotePrefix="0" xfId="0"/>
    <xf numFmtId="165" fontId="0" fillId="0" borderId="4" pivotButton="0" quotePrefix="0" xfId="0"/>
    <xf numFmtId="0" fontId="3" fillId="3" borderId="1" applyAlignment="1" pivotButton="0" quotePrefix="0" xfId="0">
      <alignment horizontal="center" vertical="top" textRotation="45" wrapText="1"/>
    </xf>
    <xf numFmtId="166" fontId="10" fillId="3" borderId="7" applyAlignment="1" pivotButton="0" quotePrefix="0" xfId="0">
      <alignment horizontal="center" vertical="top" textRotation="45" wrapText="1"/>
    </xf>
    <xf numFmtId="0" fontId="10" fillId="3" borderId="11" applyAlignment="1" pivotButton="0" quotePrefix="0" xfId="0">
      <alignment horizontal="center" vertical="top" textRotation="45"/>
    </xf>
    <xf numFmtId="0" fontId="10" fillId="7" borderId="10" applyAlignment="1" pivotButton="0" quotePrefix="0" xfId="0">
      <alignment horizontal="center" vertical="top" textRotation="45" wrapText="1"/>
    </xf>
    <xf numFmtId="0" fontId="10" fillId="11" borderId="10" applyAlignment="1" pivotButton="0" quotePrefix="0" xfId="0">
      <alignment horizontal="center" vertical="top" textRotation="45" wrapText="1"/>
    </xf>
    <xf numFmtId="0" fontId="10" fillId="6" borderId="11" applyAlignment="1" pivotButton="0" quotePrefix="0" xfId="0">
      <alignment horizontal="center" vertical="top" textRotation="45"/>
    </xf>
    <xf numFmtId="0" fontId="10" fillId="4" borderId="11" applyAlignment="1" pivotButton="0" quotePrefix="0" xfId="0">
      <alignment horizontal="center" vertical="top" textRotation="45"/>
    </xf>
    <xf numFmtId="0" fontId="10" fillId="12" borderId="11" applyAlignment="1" pivotButton="0" quotePrefix="0" xfId="0">
      <alignment horizontal="center" vertical="top" textRotation="45"/>
    </xf>
    <xf numFmtId="0" fontId="7" fillId="2" borderId="20" applyAlignment="1" pivotButton="0" quotePrefix="0" xfId="0">
      <alignment horizontal="center" vertical="top" textRotation="45"/>
    </xf>
    <xf numFmtId="166" fontId="7" fillId="2" borderId="22" applyAlignment="1" pivotButton="0" quotePrefix="0" xfId="0">
      <alignment horizontal="center" vertical="top" textRotation="45"/>
    </xf>
    <xf numFmtId="166" fontId="7" fillId="5" borderId="11" applyAlignment="1" pivotButton="0" quotePrefix="0" xfId="0">
      <alignment horizontal="center" vertical="top" textRotation="45"/>
    </xf>
    <xf numFmtId="166" fontId="10" fillId="7" borderId="7" applyAlignment="1" pivotButton="0" quotePrefix="0" xfId="0">
      <alignment horizontal="center" vertical="top" textRotation="45" wrapText="1"/>
    </xf>
    <xf numFmtId="166" fontId="10" fillId="11" borderId="7" applyAlignment="1" pivotButton="0" quotePrefix="0" xfId="0">
      <alignment horizontal="center" vertical="top" textRotation="45" wrapText="1"/>
    </xf>
    <xf numFmtId="166" fontId="10" fillId="6" borderId="11" applyAlignment="1" pivotButton="0" quotePrefix="0" xfId="0">
      <alignment horizontal="center" vertical="top" textRotation="45"/>
    </xf>
    <xf numFmtId="166" fontId="10" fillId="4" borderId="11" applyAlignment="1" pivotButton="0" quotePrefix="0" xfId="0">
      <alignment horizontal="center" vertical="top" textRotation="45"/>
    </xf>
    <xf numFmtId="166" fontId="10" fillId="12" borderId="11" applyAlignment="1" pivotButton="0" quotePrefix="0" xfId="0">
      <alignment horizontal="center" vertical="top" textRotation="45"/>
    </xf>
    <xf numFmtId="166" fontId="10" fillId="3" borderId="18" applyAlignment="1" pivotButton="0" quotePrefix="0" xfId="0">
      <alignment horizontal="center" vertical="top" textRotation="45"/>
    </xf>
    <xf numFmtId="0" fontId="3" fillId="7" borderId="1" applyAlignment="1" pivotButton="0" quotePrefix="0" xfId="0">
      <alignment horizontal="center" vertical="top" textRotation="45" wrapText="1"/>
    </xf>
    <xf numFmtId="0" fontId="3" fillId="11" borderId="1" applyAlignment="1" pivotButton="0" quotePrefix="0" xfId="0">
      <alignment horizontal="center" vertical="top" textRotation="45" wrapText="1"/>
    </xf>
    <xf numFmtId="0" fontId="3" fillId="6" borderId="11" applyAlignment="1" pivotButton="0" quotePrefix="0" xfId="0">
      <alignment horizontal="center" vertical="top" textRotation="45"/>
    </xf>
    <xf numFmtId="0" fontId="3" fillId="4" borderId="11" applyAlignment="1" pivotButton="0" quotePrefix="0" xfId="0">
      <alignment horizontal="center" vertical="top" textRotation="45"/>
    </xf>
    <xf numFmtId="0" fontId="3" fillId="12" borderId="11" applyAlignment="1" pivotButton="0" quotePrefix="0" xfId="0">
      <alignment horizontal="center" vertical="top" textRotation="45"/>
    </xf>
    <xf numFmtId="0" fontId="3" fillId="3" borderId="11" applyAlignment="1" pivotButton="0" quotePrefix="0" xfId="0">
      <alignment horizontal="center" vertical="top" textRotation="45"/>
    </xf>
    <xf numFmtId="0" fontId="3" fillId="2" borderId="21" applyAlignment="1" pivotButton="0" quotePrefix="0" xfId="0">
      <alignment horizontal="center" vertical="top" textRotation="45"/>
    </xf>
    <xf numFmtId="0" fontId="3" fillId="5" borderId="11" applyAlignment="1" pivotButton="0" quotePrefix="0" xfId="0">
      <alignment horizontal="center" vertical="top" textRotation="45"/>
    </xf>
    <xf numFmtId="0" fontId="7" fillId="5" borderId="19" applyAlignment="1" pivotButton="0" quotePrefix="0" xfId="0">
      <alignment horizontal="center" vertical="top" textRotation="45"/>
    </xf>
    <xf numFmtId="0" fontId="9" fillId="8" borderId="0" applyAlignment="1" pivotButton="0" quotePrefix="0" xfId="0">
      <alignment horizontal="left"/>
    </xf>
    <xf numFmtId="0" fontId="12" fillId="13" borderId="4" pivotButton="0" quotePrefix="0" xfId="0"/>
    <xf numFmtId="0" fontId="12" fillId="14" borderId="4" pivotButton="0" quotePrefix="0" xfId="0"/>
    <xf numFmtId="0" fontId="12" fillId="15" borderId="4" pivotButton="0" quotePrefix="0" xfId="0"/>
    <xf numFmtId="0" fontId="12" fillId="16" borderId="4" pivotButton="0" quotePrefix="0" xfId="0"/>
    <xf numFmtId="0" fontId="12" fillId="17" borderId="4" pivotButton="0" quotePrefix="0" xfId="0"/>
    <xf numFmtId="0" fontId="12" fillId="18" borderId="4" pivotButton="0" quotePrefix="0" xfId="0"/>
    <xf numFmtId="0" fontId="12" fillId="19" borderId="4" pivotButton="0" quotePrefix="0" xfId="0"/>
    <xf numFmtId="0" fontId="12" fillId="20" borderId="4" pivotButton="0" quotePrefix="0" xfId="0"/>
    <xf numFmtId="0" fontId="12" fillId="21" borderId="4" pivotButton="0" quotePrefix="0" xfId="0"/>
    <xf numFmtId="0" fontId="12" fillId="22" borderId="4" pivotButton="0" quotePrefix="0" xfId="0"/>
    <xf numFmtId="0" fontId="12" fillId="23" borderId="4" pivotButton="0" quotePrefix="0" xfId="0"/>
    <xf numFmtId="0" fontId="12" fillId="24" borderId="4" pivotButton="0" quotePrefix="0" xfId="0"/>
    <xf numFmtId="0" fontId="12" fillId="25" borderId="4" pivotButton="0" quotePrefix="0" xfId="0"/>
    <xf numFmtId="0" fontId="12" fillId="26" borderId="4" pivotButton="0" quotePrefix="0" xfId="0"/>
    <xf numFmtId="0" fontId="12" fillId="27" borderId="4" pivotButton="0" quotePrefix="0" xfId="0"/>
    <xf numFmtId="0" fontId="12" fillId="28" borderId="4" pivotButton="0" quotePrefix="0" xfId="0"/>
    <xf numFmtId="0" fontId="12" fillId="29" borderId="4" pivotButton="0" quotePrefix="0" xfId="0"/>
    <xf numFmtId="0" fontId="12" fillId="30" borderId="4" pivotButton="0" quotePrefix="0" xfId="0"/>
    <xf numFmtId="0" fontId="12" fillId="31" borderId="4" pivotButton="0" quotePrefix="0" xfId="0"/>
    <xf numFmtId="0" fontId="12" fillId="32" borderId="4" pivotButton="0" quotePrefix="0" xfId="0"/>
    <xf numFmtId="0" fontId="12" fillId="33" borderId="4" pivotButton="0" quotePrefix="0" xfId="0"/>
    <xf numFmtId="0" fontId="12" fillId="34" borderId="4" pivotButton="0" quotePrefix="0" xfId="0"/>
    <xf numFmtId="0" fontId="12" fillId="35" borderId="4" pivotButton="0" quotePrefix="0" xfId="0"/>
    <xf numFmtId="0" fontId="12" fillId="36" borderId="4" pivotButton="0" quotePrefix="0" xfId="0"/>
    <xf numFmtId="0" fontId="12" fillId="37" borderId="4" pivotButton="0" quotePrefix="0" xfId="0"/>
    <xf numFmtId="0" fontId="12" fillId="38" borderId="4" pivotButton="0" quotePrefix="0" xfId="0"/>
    <xf numFmtId="0" fontId="12" fillId="39" borderId="4" pivotButton="0" quotePrefix="0" xfId="0"/>
    <xf numFmtId="0" fontId="12" fillId="40" borderId="4" pivotButton="0" quotePrefix="0" xfId="0"/>
    <xf numFmtId="0" fontId="12" fillId="41" borderId="4" pivotButton="0" quotePrefix="0" xfId="0"/>
    <xf numFmtId="0" fontId="12" fillId="42" borderId="4" pivotButton="0" quotePrefix="0" xfId="0"/>
    <xf numFmtId="0" fontId="12" fillId="43" borderId="4" pivotButton="0" quotePrefix="0" xfId="0"/>
    <xf numFmtId="0" fontId="12" fillId="44" borderId="4" pivotButton="0" quotePrefix="0" xfId="0"/>
    <xf numFmtId="0" fontId="12" fillId="45" borderId="4" pivotButton="0" quotePrefix="0" xfId="0"/>
    <xf numFmtId="0" fontId="12" fillId="46" borderId="4" pivotButton="0" quotePrefix="0" xfId="0"/>
    <xf numFmtId="0" fontId="12" fillId="47" borderId="4" pivotButton="0" quotePrefix="0" xfId="0"/>
    <xf numFmtId="0" fontId="14" fillId="48" borderId="4" pivotButton="0" quotePrefix="0" xfId="0"/>
    <xf numFmtId="0" fontId="12" fillId="48" borderId="4" pivotButton="0" quotePrefix="0" xfId="0"/>
    <xf numFmtId="0" fontId="14" fillId="49" borderId="4" pivotButton="0" quotePrefix="0" xfId="0"/>
    <xf numFmtId="0" fontId="12" fillId="49" borderId="4" pivotButton="0" quotePrefix="0" xfId="0"/>
    <xf numFmtId="0" fontId="12" fillId="50" borderId="4" pivotButton="0" quotePrefix="0" xfId="0"/>
    <xf numFmtId="0" fontId="12" fillId="51" borderId="4" pivotButton="0" quotePrefix="0" xfId="0"/>
    <xf numFmtId="0" fontId="12" fillId="52" borderId="4" pivotButton="0" quotePrefix="0" xfId="0"/>
    <xf numFmtId="0" fontId="12" fillId="53" borderId="4" pivotButton="0" quotePrefix="0" xfId="0"/>
    <xf numFmtId="0" fontId="12" fillId="54" borderId="4" pivotButton="0" quotePrefix="0" xfId="0"/>
    <xf numFmtId="0" fontId="12" fillId="55" borderId="4" pivotButton="0" quotePrefix="0" xfId="0"/>
    <xf numFmtId="0" fontId="12" fillId="56" borderId="4" pivotButton="0" quotePrefix="0" xfId="0"/>
    <xf numFmtId="0" fontId="12" fillId="57" borderId="4" pivotButton="0" quotePrefix="0" xfId="0"/>
    <xf numFmtId="0" fontId="12" fillId="58" borderId="4" pivotButton="0" quotePrefix="0" xfId="0"/>
    <xf numFmtId="0" fontId="12" fillId="59" borderId="4" pivotButton="0" quotePrefix="0" xfId="0"/>
    <xf numFmtId="0" fontId="12" fillId="60" borderId="4" pivotButton="0" quotePrefix="0" xfId="0"/>
    <xf numFmtId="0" fontId="12" fillId="61" borderId="4" pivotButton="0" quotePrefix="0" xfId="0"/>
    <xf numFmtId="0" fontId="12" fillId="62" borderId="4" pivotButton="0" quotePrefix="0" xfId="0"/>
    <xf numFmtId="0" fontId="12" fillId="63" borderId="4" pivotButton="0" quotePrefix="0" xfId="0"/>
    <xf numFmtId="0" fontId="12" fillId="64" borderId="4" pivotButton="0" quotePrefix="0" xfId="0"/>
    <xf numFmtId="0" fontId="12" fillId="65" borderId="4" pivotButton="0" quotePrefix="0" xfId="0"/>
    <xf numFmtId="0" fontId="12" fillId="66" borderId="4" pivotButton="0" quotePrefix="0" xfId="0"/>
    <xf numFmtId="0" fontId="12" fillId="67" borderId="0" pivotButton="0" quotePrefix="0" xfId="0"/>
    <xf numFmtId="0" fontId="12" fillId="68" borderId="0" pivotButton="0" quotePrefix="0" xfId="0"/>
    <xf numFmtId="0" fontId="12" fillId="69" borderId="0" pivotButton="0" quotePrefix="0" xfId="0"/>
    <xf numFmtId="0" fontId="12" fillId="70" borderId="0" pivotButton="0" quotePrefix="0" xfId="0"/>
    <xf numFmtId="0" fontId="12" fillId="71" borderId="0" pivotButton="0" quotePrefix="0" xfId="0"/>
    <xf numFmtId="0" fontId="12" fillId="72" borderId="0" pivotButton="0" quotePrefix="0" xfId="0"/>
    <xf numFmtId="0" fontId="12" fillId="73" borderId="0" pivotButton="0" quotePrefix="0" xfId="0"/>
    <xf numFmtId="0" fontId="12" fillId="74" borderId="0" pivotButton="0" quotePrefix="0" xfId="0"/>
    <xf numFmtId="0" fontId="12" fillId="75" borderId="0" pivotButton="0" quotePrefix="0" xfId="0"/>
    <xf numFmtId="0" fontId="12" fillId="76" borderId="0" pivotButton="0" quotePrefix="0" xfId="0"/>
    <xf numFmtId="0" fontId="12" fillId="77" borderId="0" pivotButton="0" quotePrefix="0" xfId="0"/>
    <xf numFmtId="0" fontId="12" fillId="78" borderId="0" pivotButton="0" quotePrefix="0" xfId="0"/>
    <xf numFmtId="0" fontId="12" fillId="79" borderId="0" pivotButton="0" quotePrefix="0" xfId="0"/>
    <xf numFmtId="0" fontId="12" fillId="80" borderId="0" pivotButton="0" quotePrefix="0" xfId="0"/>
    <xf numFmtId="0" fontId="12" fillId="81" borderId="0" pivotButton="0" quotePrefix="0" xfId="0"/>
    <xf numFmtId="0" fontId="12" fillId="82" borderId="0" pivotButton="0" quotePrefix="0" xfId="0"/>
    <xf numFmtId="0" fontId="12" fillId="83" borderId="0" pivotButton="0" quotePrefix="0" xfId="0"/>
    <xf numFmtId="0" fontId="12" fillId="84" borderId="0" pivotButton="0" quotePrefix="0" xfId="0"/>
    <xf numFmtId="0" fontId="12" fillId="85" borderId="0" pivotButton="0" quotePrefix="0" xfId="0"/>
    <xf numFmtId="0" fontId="12" fillId="86" borderId="0" pivotButton="0" quotePrefix="0" xfId="0"/>
    <xf numFmtId="0" fontId="12" fillId="87" borderId="0" pivotButton="0" quotePrefix="0" xfId="0"/>
    <xf numFmtId="0" fontId="12" fillId="88" borderId="0" pivotButton="0" quotePrefix="0" xfId="0"/>
    <xf numFmtId="0" fontId="12" fillId="89" borderId="0" pivotButton="0" quotePrefix="0" xfId="0"/>
    <xf numFmtId="0" fontId="12" fillId="90" borderId="0" pivotButton="0" quotePrefix="0" xfId="0"/>
    <xf numFmtId="0" fontId="12" fillId="91" borderId="0" pivotButton="0" quotePrefix="0" xfId="0"/>
    <xf numFmtId="0" fontId="12" fillId="92" borderId="0" pivotButton="0" quotePrefix="0" xfId="0"/>
    <xf numFmtId="0" fontId="12" fillId="93" borderId="0" pivotButton="0" quotePrefix="0" xfId="0"/>
    <xf numFmtId="0" fontId="12" fillId="94" borderId="0" pivotButton="0" quotePrefix="0" xfId="0"/>
    <xf numFmtId="0" fontId="12" fillId="95" borderId="0" pivotButton="0" quotePrefix="0" xfId="0"/>
    <xf numFmtId="0" fontId="12" fillId="96" borderId="0" pivotButton="0" quotePrefix="0" xfId="0"/>
    <xf numFmtId="0" fontId="12" fillId="97" borderId="0" pivotButton="0" quotePrefix="0" xfId="0"/>
    <xf numFmtId="0" fontId="12" fillId="98" borderId="0" pivotButton="0" quotePrefix="0" xfId="0"/>
    <xf numFmtId="0" fontId="12" fillId="99" borderId="0" pivotButton="0" quotePrefix="0" xfId="0"/>
    <xf numFmtId="0" fontId="12" fillId="100" borderId="0" pivotButton="0" quotePrefix="0" xfId="0"/>
    <xf numFmtId="0" fontId="12" fillId="101" borderId="0" pivotButton="0" quotePrefix="0" xfId="0"/>
    <xf numFmtId="0" fontId="12" fillId="102" borderId="0" pivotButton="0" quotePrefix="0" xfId="0"/>
    <xf numFmtId="0" fontId="12" fillId="103" borderId="0" pivotButton="0" quotePrefix="0" xfId="0"/>
    <xf numFmtId="0" fontId="12" fillId="104" borderId="0" pivotButton="0" quotePrefix="0" xfId="0"/>
    <xf numFmtId="0" fontId="12" fillId="105" borderId="0" pivotButton="0" quotePrefix="0" xfId="0"/>
    <xf numFmtId="0" fontId="12" fillId="106" borderId="0" pivotButton="0" quotePrefix="0" xfId="0"/>
    <xf numFmtId="0" fontId="12" fillId="107" borderId="0" pivotButton="0" quotePrefix="0" xfId="0"/>
    <xf numFmtId="0" fontId="12" fillId="108" borderId="0" pivotButton="0" quotePrefix="0" xfId="0"/>
    <xf numFmtId="0" fontId="12" fillId="109" borderId="0" pivotButton="0" quotePrefix="0" xfId="0"/>
    <xf numFmtId="0" fontId="12" fillId="110" borderId="0" pivotButton="0" quotePrefix="0" xfId="0"/>
    <xf numFmtId="0" fontId="12" fillId="111" borderId="0" pivotButton="0" quotePrefix="0" xfId="0"/>
    <xf numFmtId="0" fontId="12" fillId="112" borderId="0" pivotButton="0" quotePrefix="0" xfId="0"/>
    <xf numFmtId="0" fontId="12" fillId="113" borderId="0" pivotButton="0" quotePrefix="0" xfId="0"/>
    <xf numFmtId="0" fontId="12" fillId="114" borderId="0" pivotButton="0" quotePrefix="0" xfId="0"/>
    <xf numFmtId="0" fontId="12" fillId="116" borderId="0" pivotButton="0" quotePrefix="0" xfId="0"/>
    <xf numFmtId="0" fontId="12" fillId="117" borderId="0" pivotButton="0" quotePrefix="0" xfId="0"/>
    <xf numFmtId="0" fontId="12" fillId="118" borderId="0" pivotButton="0" quotePrefix="0" xfId="0"/>
    <xf numFmtId="0" fontId="12" fillId="119" borderId="0" pivotButton="0" quotePrefix="0" xfId="0"/>
    <xf numFmtId="0" fontId="12" fillId="120" borderId="0" pivotButton="0" quotePrefix="0" xfId="0"/>
    <xf numFmtId="0" fontId="12" fillId="121" borderId="0" pivotButton="0" quotePrefix="0" xfId="0"/>
    <xf numFmtId="0" fontId="12" fillId="122" borderId="0" pivotButton="0" quotePrefix="0" xfId="0"/>
    <xf numFmtId="0" fontId="12" fillId="123" borderId="0" pivotButton="0" quotePrefix="0" xfId="0"/>
    <xf numFmtId="0" fontId="12" fillId="124" borderId="0" pivotButton="0" quotePrefix="0" xfId="0"/>
    <xf numFmtId="0" fontId="12" fillId="125" borderId="0" pivotButton="0" quotePrefix="0" xfId="0"/>
    <xf numFmtId="0" fontId="12" fillId="126" borderId="0" pivotButton="0" quotePrefix="0" xfId="0"/>
    <xf numFmtId="0" fontId="12" fillId="127" borderId="0" pivotButton="0" quotePrefix="0" xfId="0"/>
    <xf numFmtId="0" fontId="12" fillId="128" borderId="0" pivotButton="0" quotePrefix="0" xfId="0"/>
    <xf numFmtId="0" fontId="12" fillId="129" borderId="0" pivotButton="0" quotePrefix="0" xfId="0"/>
    <xf numFmtId="0" fontId="12" fillId="130" borderId="0" pivotButton="0" quotePrefix="0" xfId="0"/>
    <xf numFmtId="0" fontId="12" fillId="131" borderId="0" pivotButton="0" quotePrefix="0" xfId="0"/>
    <xf numFmtId="0" fontId="12" fillId="132" borderId="0" pivotButton="0" quotePrefix="0" xfId="0"/>
    <xf numFmtId="0" fontId="12" fillId="133" borderId="0" pivotButton="0" quotePrefix="0" xfId="0"/>
    <xf numFmtId="0" fontId="12" fillId="134" borderId="0" pivotButton="0" quotePrefix="0" xfId="0"/>
    <xf numFmtId="0" fontId="12" fillId="135" borderId="0" pivotButton="0" quotePrefix="0" xfId="0"/>
    <xf numFmtId="2" fontId="12" fillId="13" borderId="4" pivotButton="0" quotePrefix="0" xfId="0"/>
    <xf numFmtId="2" fontId="12" fillId="14" borderId="4" pivotButton="0" quotePrefix="0" xfId="0"/>
    <xf numFmtId="2" fontId="12" fillId="15" borderId="4" pivotButton="0" quotePrefix="0" xfId="0"/>
    <xf numFmtId="2" fontId="12" fillId="16" borderId="4" pivotButton="0" quotePrefix="0" xfId="0"/>
    <xf numFmtId="2" fontId="12" fillId="17" borderId="4" pivotButton="0" quotePrefix="0" xfId="0"/>
    <xf numFmtId="2" fontId="12" fillId="18" borderId="4" pivotButton="0" quotePrefix="0" xfId="0"/>
    <xf numFmtId="2" fontId="12" fillId="19" borderId="4" pivotButton="0" quotePrefix="0" xfId="0"/>
    <xf numFmtId="2" fontId="12" fillId="20" borderId="4" pivotButton="0" quotePrefix="0" xfId="0"/>
    <xf numFmtId="2" fontId="12" fillId="21" borderId="4" pivotButton="0" quotePrefix="0" xfId="0"/>
    <xf numFmtId="2" fontId="12" fillId="22" borderId="4" pivotButton="0" quotePrefix="0" xfId="0"/>
    <xf numFmtId="2" fontId="12" fillId="23" borderId="4" pivotButton="0" quotePrefix="0" xfId="0"/>
    <xf numFmtId="2" fontId="12" fillId="24" borderId="4" pivotButton="0" quotePrefix="0" xfId="0"/>
    <xf numFmtId="2" fontId="12" fillId="25" borderId="4" pivotButton="0" quotePrefix="0" xfId="0"/>
    <xf numFmtId="2" fontId="12" fillId="26" borderId="4" pivotButton="0" quotePrefix="0" xfId="0"/>
    <xf numFmtId="2" fontId="12" fillId="27" borderId="4" pivotButton="0" quotePrefix="0" xfId="0"/>
    <xf numFmtId="2" fontId="12" fillId="28" borderId="4" pivotButton="0" quotePrefix="0" xfId="0"/>
    <xf numFmtId="2" fontId="12" fillId="29" borderId="4" pivotButton="0" quotePrefix="0" xfId="0"/>
    <xf numFmtId="2" fontId="12" fillId="30" borderId="4" pivotButton="0" quotePrefix="0" xfId="0"/>
    <xf numFmtId="2" fontId="12" fillId="31" borderId="4" pivotButton="0" quotePrefix="0" xfId="0"/>
    <xf numFmtId="2" fontId="12" fillId="32" borderId="4" pivotButton="0" quotePrefix="0" xfId="0"/>
    <xf numFmtId="2" fontId="12" fillId="33" borderId="4" pivotButton="0" quotePrefix="0" xfId="0"/>
    <xf numFmtId="2" fontId="12" fillId="34" borderId="4" pivotButton="0" quotePrefix="0" xfId="0"/>
    <xf numFmtId="2" fontId="12" fillId="35" borderId="4" pivotButton="0" quotePrefix="0" xfId="0"/>
    <xf numFmtId="2" fontId="12" fillId="36" borderId="4" pivotButton="0" quotePrefix="0" xfId="0"/>
    <xf numFmtId="2" fontId="12" fillId="37" borderId="4" pivotButton="0" quotePrefix="0" xfId="0"/>
    <xf numFmtId="2" fontId="12" fillId="38" borderId="4" pivotButton="0" quotePrefix="0" xfId="0"/>
    <xf numFmtId="2" fontId="12" fillId="39" borderId="4" pivotButton="0" quotePrefix="0" xfId="0"/>
    <xf numFmtId="2" fontId="12" fillId="40" borderId="4" pivotButton="0" quotePrefix="0" xfId="0"/>
    <xf numFmtId="2" fontId="12" fillId="41" borderId="4" pivotButton="0" quotePrefix="0" xfId="0"/>
    <xf numFmtId="2" fontId="12" fillId="42" borderId="4" pivotButton="0" quotePrefix="0" xfId="0"/>
    <xf numFmtId="2" fontId="12" fillId="43" borderId="4" pivotButton="0" quotePrefix="0" xfId="0"/>
    <xf numFmtId="2" fontId="12" fillId="44" borderId="4" pivotButton="0" quotePrefix="0" xfId="0"/>
    <xf numFmtId="2" fontId="12" fillId="45" borderId="4" pivotButton="0" quotePrefix="0" xfId="0"/>
    <xf numFmtId="2" fontId="13" fillId="45" borderId="4" pivotButton="0" quotePrefix="0" xfId="0"/>
    <xf numFmtId="2" fontId="12" fillId="46" borderId="4" pivotButton="0" quotePrefix="0" xfId="0"/>
    <xf numFmtId="2" fontId="12" fillId="47" borderId="4" pivotButton="0" quotePrefix="0" xfId="0"/>
    <xf numFmtId="2" fontId="14" fillId="48" borderId="4" pivotButton="0" quotePrefix="0" xfId="0"/>
    <xf numFmtId="2" fontId="14" fillId="49" borderId="4" pivotButton="0" quotePrefix="0" xfId="0"/>
    <xf numFmtId="2" fontId="12" fillId="50" borderId="4" pivotButton="0" quotePrefix="0" xfId="0"/>
    <xf numFmtId="2" fontId="12" fillId="51" borderId="4" pivotButton="0" quotePrefix="0" xfId="0"/>
    <xf numFmtId="2" fontId="12" fillId="52" borderId="4" pivotButton="0" quotePrefix="0" xfId="0"/>
    <xf numFmtId="2" fontId="12" fillId="53" borderId="4" pivotButton="0" quotePrefix="0" xfId="0"/>
    <xf numFmtId="2" fontId="12" fillId="54" borderId="4" pivotButton="0" quotePrefix="0" xfId="0"/>
    <xf numFmtId="2" fontId="12" fillId="55" borderId="4" pivotButton="0" quotePrefix="0" xfId="0"/>
    <xf numFmtId="2" fontId="12" fillId="56" borderId="4" pivotButton="0" quotePrefix="0" xfId="0"/>
    <xf numFmtId="2" fontId="12" fillId="57" borderId="4" pivotButton="0" quotePrefix="0" xfId="0"/>
    <xf numFmtId="2" fontId="12" fillId="58" borderId="4" pivotButton="0" quotePrefix="0" xfId="0"/>
    <xf numFmtId="2" fontId="12" fillId="59" borderId="4" pivotButton="0" quotePrefix="0" xfId="0"/>
    <xf numFmtId="2" fontId="12" fillId="60" borderId="4" pivotButton="0" quotePrefix="0" xfId="0"/>
    <xf numFmtId="2" fontId="12" fillId="61" borderId="4" pivotButton="0" quotePrefix="0" xfId="0"/>
    <xf numFmtId="2" fontId="12" fillId="62" borderId="4" pivotButton="0" quotePrefix="0" xfId="0"/>
    <xf numFmtId="2" fontId="12" fillId="63" borderId="4" pivotButton="0" quotePrefix="0" xfId="0"/>
    <xf numFmtId="2" fontId="12" fillId="64" borderId="4" pivotButton="0" quotePrefix="0" xfId="0"/>
    <xf numFmtId="2" fontId="12" fillId="65" borderId="4" pivotButton="0" quotePrefix="0" xfId="0"/>
    <xf numFmtId="2" fontId="12" fillId="66" borderId="4" pivotButton="0" quotePrefix="0" xfId="0"/>
    <xf numFmtId="1" fontId="12" fillId="67" borderId="0" pivotButton="0" quotePrefix="0" xfId="0"/>
    <xf numFmtId="1" fontId="12" fillId="68" borderId="0" pivotButton="0" quotePrefix="0" xfId="0"/>
    <xf numFmtId="1" fontId="12" fillId="69" borderId="0" pivotButton="0" quotePrefix="0" xfId="0"/>
    <xf numFmtId="1" fontId="12" fillId="134" borderId="0" pivotButton="0" quotePrefix="0" xfId="0"/>
    <xf numFmtId="1" fontId="12" fillId="70" borderId="0" pivotButton="0" quotePrefix="0" xfId="0"/>
    <xf numFmtId="1" fontId="12" fillId="71" borderId="0" pivotButton="0" quotePrefix="0" xfId="0"/>
    <xf numFmtId="1" fontId="12" fillId="72" borderId="0" pivotButton="0" quotePrefix="0" xfId="0"/>
    <xf numFmtId="1" fontId="12" fillId="73" borderId="0" pivotButton="0" quotePrefix="0" xfId="0"/>
    <xf numFmtId="1" fontId="12" fillId="74" borderId="0" pivotButton="0" quotePrefix="0" xfId="0"/>
    <xf numFmtId="1" fontId="12" fillId="75" borderId="0" pivotButton="0" quotePrefix="0" xfId="0"/>
    <xf numFmtId="1" fontId="12" fillId="76" borderId="0" pivotButton="0" quotePrefix="0" xfId="0"/>
    <xf numFmtId="1" fontId="12" fillId="133" borderId="0" pivotButton="0" quotePrefix="0" xfId="0"/>
    <xf numFmtId="1" fontId="12" fillId="77" borderId="0" pivotButton="0" quotePrefix="0" xfId="0"/>
    <xf numFmtId="1" fontId="12" fillId="78" borderId="0" pivotButton="0" quotePrefix="0" xfId="0"/>
    <xf numFmtId="1" fontId="12" fillId="79" borderId="0" pivotButton="0" quotePrefix="0" xfId="0"/>
    <xf numFmtId="1" fontId="12" fillId="80" borderId="0" pivotButton="0" quotePrefix="0" xfId="0"/>
    <xf numFmtId="1" fontId="12" fillId="81" borderId="0" pivotButton="0" quotePrefix="0" xfId="0"/>
    <xf numFmtId="1" fontId="12" fillId="82" borderId="0" pivotButton="0" quotePrefix="0" xfId="0"/>
    <xf numFmtId="1" fontId="12" fillId="83" borderId="0" pivotButton="0" quotePrefix="0" xfId="0"/>
    <xf numFmtId="1" fontId="12" fillId="84" borderId="0" pivotButton="0" quotePrefix="0" xfId="0"/>
    <xf numFmtId="1" fontId="12" fillId="85" borderId="0" pivotButton="0" quotePrefix="0" xfId="0"/>
    <xf numFmtId="1" fontId="12" fillId="86" borderId="0" pivotButton="0" quotePrefix="0" xfId="0"/>
    <xf numFmtId="1" fontId="12" fillId="87" borderId="0" pivotButton="0" quotePrefix="0" xfId="0"/>
    <xf numFmtId="1" fontId="12" fillId="88" borderId="0" pivotButton="0" quotePrefix="0" xfId="0"/>
    <xf numFmtId="1" fontId="12" fillId="89" borderId="0" pivotButton="0" quotePrefix="0" xfId="0"/>
    <xf numFmtId="1" fontId="12" fillId="90" borderId="0" pivotButton="0" quotePrefix="0" xfId="0"/>
    <xf numFmtId="1" fontId="12" fillId="91" borderId="0" pivotButton="0" quotePrefix="0" xfId="0"/>
    <xf numFmtId="1" fontId="12" fillId="92" borderId="0" pivotButton="0" quotePrefix="0" xfId="0"/>
    <xf numFmtId="1" fontId="12" fillId="93" borderId="0" pivotButton="0" quotePrefix="0" xfId="0"/>
    <xf numFmtId="1" fontId="12" fillId="94" borderId="0" pivotButton="0" quotePrefix="0" xfId="0"/>
    <xf numFmtId="1" fontId="12" fillId="95" borderId="0" pivotButton="0" quotePrefix="0" xfId="0"/>
    <xf numFmtId="1" fontId="12" fillId="96" borderId="0" pivotButton="0" quotePrefix="0" xfId="0"/>
    <xf numFmtId="1" fontId="12" fillId="97" borderId="0" pivotButton="0" quotePrefix="0" xfId="0"/>
    <xf numFmtId="1" fontId="12" fillId="98" borderId="0" pivotButton="0" quotePrefix="0" xfId="0"/>
    <xf numFmtId="1" fontId="12" fillId="99" borderId="0" pivotButton="0" quotePrefix="0" xfId="0"/>
    <xf numFmtId="1" fontId="12" fillId="100" borderId="0" pivotButton="0" quotePrefix="0" xfId="0"/>
    <xf numFmtId="1" fontId="12" fillId="101" borderId="0" pivotButton="0" quotePrefix="0" xfId="0"/>
    <xf numFmtId="1" fontId="12" fillId="102" borderId="0" pivotButton="0" quotePrefix="0" xfId="0"/>
    <xf numFmtId="1" fontId="12" fillId="103" borderId="0" pivotButton="0" quotePrefix="0" xfId="0"/>
    <xf numFmtId="1" fontId="12" fillId="104" borderId="0" pivotButton="0" quotePrefix="0" xfId="0"/>
    <xf numFmtId="1" fontId="12" fillId="105" borderId="0" pivotButton="0" quotePrefix="0" xfId="0"/>
    <xf numFmtId="1" fontId="12" fillId="135" borderId="0" pivotButton="0" quotePrefix="0" xfId="0"/>
    <xf numFmtId="1" fontId="12" fillId="106" borderId="0" pivotButton="0" quotePrefix="0" xfId="0"/>
    <xf numFmtId="1" fontId="12" fillId="107" borderId="0" pivotButton="0" quotePrefix="0" xfId="0"/>
    <xf numFmtId="1" fontId="12" fillId="108" borderId="0" pivotButton="0" quotePrefix="0" xfId="0"/>
    <xf numFmtId="1" fontId="12" fillId="109" borderId="0" pivotButton="0" quotePrefix="0" xfId="0"/>
    <xf numFmtId="1" fontId="12" fillId="110" borderId="0" pivotButton="0" quotePrefix="0" xfId="0"/>
    <xf numFmtId="1" fontId="12" fillId="111" borderId="0" pivotButton="0" quotePrefix="0" xfId="0"/>
    <xf numFmtId="1" fontId="12" fillId="112" borderId="0" pivotButton="0" quotePrefix="0" xfId="0"/>
    <xf numFmtId="1" fontId="12" fillId="113" borderId="0" pivotButton="0" quotePrefix="0" xfId="0"/>
    <xf numFmtId="1" fontId="12" fillId="114" borderId="0" pivotButton="0" quotePrefix="0" xfId="0"/>
    <xf numFmtId="1" fontId="12" fillId="115" borderId="0" pivotButton="0" quotePrefix="0" xfId="0"/>
    <xf numFmtId="1" fontId="12" fillId="116" borderId="0" pivotButton="0" quotePrefix="0" xfId="0"/>
    <xf numFmtId="1" fontId="12" fillId="117" borderId="0" pivotButton="0" quotePrefix="0" xfId="0"/>
    <xf numFmtId="1" fontId="12" fillId="118" borderId="0" pivotButton="0" quotePrefix="0" xfId="0"/>
    <xf numFmtId="1" fontId="12" fillId="119" borderId="0" pivotButton="0" quotePrefix="0" xfId="0"/>
    <xf numFmtId="1" fontId="12" fillId="120" borderId="0" pivotButton="0" quotePrefix="0" xfId="0"/>
    <xf numFmtId="1" fontId="12" fillId="121" borderId="0" pivotButton="0" quotePrefix="0" xfId="0"/>
    <xf numFmtId="1" fontId="12" fillId="122" borderId="0" pivotButton="0" quotePrefix="0" xfId="0"/>
    <xf numFmtId="1" fontId="12" fillId="123" borderId="0" pivotButton="0" quotePrefix="0" xfId="0"/>
    <xf numFmtId="1" fontId="12" fillId="124" borderId="0" pivotButton="0" quotePrefix="0" xfId="0"/>
    <xf numFmtId="1" fontId="12" fillId="125" borderId="0" pivotButton="0" quotePrefix="0" xfId="0"/>
    <xf numFmtId="1" fontId="12" fillId="126" borderId="0" pivotButton="0" quotePrefix="0" xfId="0"/>
    <xf numFmtId="1" fontId="12" fillId="127" borderId="0" pivotButton="0" quotePrefix="0" xfId="0"/>
    <xf numFmtId="1" fontId="12" fillId="128" borderId="0" pivotButton="0" quotePrefix="0" xfId="0"/>
    <xf numFmtId="1" fontId="12" fillId="129" borderId="0" pivotButton="0" quotePrefix="0" xfId="0"/>
    <xf numFmtId="1" fontId="12" fillId="130" borderId="0" pivotButton="0" quotePrefix="0" xfId="0"/>
    <xf numFmtId="1" fontId="12" fillId="131" borderId="0" pivotButton="0" quotePrefix="0" xfId="0"/>
    <xf numFmtId="1" fontId="12" fillId="132" borderId="0" pivotButton="0" quotePrefix="0" xfId="0"/>
    <xf numFmtId="1" fontId="0" fillId="0" borderId="0" pivotButton="0" quotePrefix="0" xfId="0"/>
    <xf numFmtId="0" fontId="12" fillId="136" borderId="0" pivotButton="0" quotePrefix="0" xfId="0"/>
    <xf numFmtId="1" fontId="12" fillId="136" borderId="0" pivotButton="0" quotePrefix="0" xfId="0"/>
    <xf numFmtId="0" fontId="12" fillId="137" borderId="0" pivotButton="0" quotePrefix="0" xfId="0"/>
    <xf numFmtId="1" fontId="12" fillId="137" borderId="0" pivotButton="0" quotePrefix="0" xfId="0"/>
    <xf numFmtId="0" fontId="12" fillId="138" borderId="0" pivotButton="0" quotePrefix="0" xfId="0"/>
    <xf numFmtId="1" fontId="12" fillId="138" borderId="0" pivotButton="0" quotePrefix="0" xfId="0"/>
    <xf numFmtId="0" fontId="12" fillId="139" borderId="0" pivotButton="0" quotePrefix="0" xfId="0"/>
    <xf numFmtId="1" fontId="12" fillId="139" borderId="0" pivotButton="0" quotePrefix="0" xfId="0"/>
    <xf numFmtId="0" fontId="12" fillId="140" borderId="0" pivotButton="0" quotePrefix="0" xfId="0"/>
    <xf numFmtId="1" fontId="12" fillId="140" borderId="0" pivotButton="0" quotePrefix="0" xfId="0"/>
    <xf numFmtId="0" fontId="12" fillId="141" borderId="0" pivotButton="0" quotePrefix="0" xfId="0"/>
    <xf numFmtId="1" fontId="12" fillId="141" borderId="0" pivotButton="0" quotePrefix="0" xfId="0"/>
    <xf numFmtId="0" fontId="12" fillId="142" borderId="0" pivotButton="0" quotePrefix="0" xfId="0"/>
    <xf numFmtId="1" fontId="12" fillId="142" borderId="0" pivotButton="0" quotePrefix="0" xfId="0"/>
    <xf numFmtId="0" fontId="12" fillId="143" borderId="0" pivotButton="0" quotePrefix="0" xfId="0"/>
    <xf numFmtId="1" fontId="12" fillId="143" borderId="0" pivotButton="0" quotePrefix="0" xfId="0"/>
    <xf numFmtId="0" fontId="12" fillId="144" borderId="0" pivotButton="0" quotePrefix="0" xfId="0"/>
    <xf numFmtId="1" fontId="12" fillId="144" borderId="0" pivotButton="0" quotePrefix="0" xfId="0"/>
    <xf numFmtId="0" fontId="12" fillId="145" borderId="0" pivotButton="0" quotePrefix="0" xfId="0"/>
    <xf numFmtId="1" fontId="12" fillId="145" borderId="0" pivotButton="0" quotePrefix="0" xfId="0"/>
    <xf numFmtId="0" fontId="12" fillId="146" borderId="0" pivotButton="0" quotePrefix="0" xfId="0"/>
    <xf numFmtId="1" fontId="12" fillId="146" borderId="0" pivotButton="0" quotePrefix="0" xfId="0"/>
    <xf numFmtId="0" fontId="12" fillId="147" borderId="0" pivotButton="0" quotePrefix="0" xfId="0"/>
    <xf numFmtId="1" fontId="12" fillId="147" borderId="0" pivotButton="0" quotePrefix="0" xfId="0"/>
    <xf numFmtId="0" fontId="12" fillId="148" borderId="0" pivotButton="0" quotePrefix="0" xfId="0"/>
    <xf numFmtId="1" fontId="12" fillId="148" borderId="0" pivotButton="0" quotePrefix="0" xfId="0"/>
    <xf numFmtId="0" fontId="12" fillId="149" borderId="0" pivotButton="0" quotePrefix="0" xfId="0"/>
    <xf numFmtId="1" fontId="12" fillId="149" borderId="0" pivotButton="0" quotePrefix="0" xfId="0"/>
    <xf numFmtId="0" fontId="12" fillId="150" borderId="0" pivotButton="0" quotePrefix="0" xfId="0"/>
    <xf numFmtId="1" fontId="12" fillId="150" borderId="0" pivotButton="0" quotePrefix="0" xfId="0"/>
    <xf numFmtId="0" fontId="12" fillId="151" borderId="0" pivotButton="0" quotePrefix="0" xfId="0"/>
    <xf numFmtId="1" fontId="12" fillId="151" borderId="0" pivotButton="0" quotePrefix="0" xfId="0"/>
    <xf numFmtId="0" fontId="12" fillId="152" borderId="0" pivotButton="0" quotePrefix="0" xfId="0"/>
    <xf numFmtId="1" fontId="12" fillId="152" borderId="0" pivotButton="0" quotePrefix="0" xfId="0"/>
    <xf numFmtId="0" fontId="12" fillId="153" borderId="0" pivotButton="0" quotePrefix="0" xfId="0"/>
    <xf numFmtId="1" fontId="12" fillId="153" borderId="0" pivotButton="0" quotePrefix="0" xfId="0"/>
    <xf numFmtId="0" fontId="12" fillId="154" borderId="0" pivotButton="0" quotePrefix="0" xfId="0"/>
    <xf numFmtId="1" fontId="12" fillId="154" borderId="0" pivotButton="0" quotePrefix="0" xfId="0"/>
    <xf numFmtId="0" fontId="12" fillId="155" borderId="0" pivotButton="0" quotePrefix="0" xfId="0"/>
    <xf numFmtId="1" fontId="12" fillId="155" borderId="0" pivotButton="0" quotePrefix="0" xfId="0"/>
    <xf numFmtId="0" fontId="12" fillId="156" borderId="0" pivotButton="0" quotePrefix="0" xfId="0"/>
    <xf numFmtId="1" fontId="12" fillId="156" borderId="0" pivotButton="0" quotePrefix="0" xfId="0"/>
    <xf numFmtId="0" fontId="12" fillId="157" borderId="0" pivotButton="0" quotePrefix="0" xfId="0"/>
    <xf numFmtId="1" fontId="12" fillId="157" borderId="0" pivotButton="0" quotePrefix="0" xfId="0"/>
    <xf numFmtId="0" fontId="12" fillId="158" borderId="0" pivotButton="0" quotePrefix="0" xfId="0"/>
    <xf numFmtId="1" fontId="12" fillId="158" borderId="0" pivotButton="0" quotePrefix="0" xfId="0"/>
    <xf numFmtId="165" fontId="12" fillId="67" borderId="0" pivotButton="0" quotePrefix="0" xfId="0"/>
    <xf numFmtId="165" fontId="12" fillId="68" borderId="0" pivotButton="0" quotePrefix="0" xfId="0"/>
    <xf numFmtId="165" fontId="12" fillId="69" borderId="0" pivotButton="0" quotePrefix="0" xfId="0"/>
    <xf numFmtId="165" fontId="12" fillId="134" borderId="0" pivotButton="0" quotePrefix="0" xfId="0"/>
    <xf numFmtId="165" fontId="12" fillId="70" borderId="0" pivotButton="0" quotePrefix="0" xfId="0"/>
    <xf numFmtId="165" fontId="12" fillId="71" borderId="0" pivotButton="0" quotePrefix="0" xfId="0"/>
    <xf numFmtId="165" fontId="12" fillId="72" borderId="0" pivotButton="0" quotePrefix="0" xfId="0"/>
    <xf numFmtId="165" fontId="12" fillId="73" borderId="0" pivotButton="0" quotePrefix="0" xfId="0"/>
    <xf numFmtId="165" fontId="12" fillId="74" borderId="0" pivotButton="0" quotePrefix="0" xfId="0"/>
    <xf numFmtId="165" fontId="12" fillId="75" borderId="0" pivotButton="0" quotePrefix="0" xfId="0"/>
    <xf numFmtId="165" fontId="12" fillId="76" borderId="0" pivotButton="0" quotePrefix="0" xfId="0"/>
    <xf numFmtId="165" fontId="12" fillId="136" borderId="0" pivotButton="0" quotePrefix="0" xfId="0"/>
    <xf numFmtId="165" fontId="12" fillId="133" borderId="0" pivotButton="0" quotePrefix="0" xfId="0"/>
    <xf numFmtId="165" fontId="12" fillId="137" borderId="0" pivotButton="0" quotePrefix="0" xfId="0"/>
    <xf numFmtId="165" fontId="12" fillId="77" borderId="0" pivotButton="0" quotePrefix="0" xfId="0"/>
    <xf numFmtId="165" fontId="12" fillId="78" borderId="0" pivotButton="0" quotePrefix="0" xfId="0"/>
    <xf numFmtId="165" fontId="12" fillId="79" borderId="0" pivotButton="0" quotePrefix="0" xfId="0"/>
    <xf numFmtId="165" fontId="12" fillId="80" borderId="0" pivotButton="0" quotePrefix="0" xfId="0"/>
    <xf numFmtId="165" fontId="12" fillId="81" borderId="0" pivotButton="0" quotePrefix="0" xfId="0"/>
    <xf numFmtId="165" fontId="12" fillId="82" borderId="0" pivotButton="0" quotePrefix="0" xfId="0"/>
    <xf numFmtId="165" fontId="12" fillId="83" borderId="0" pivotButton="0" quotePrefix="0" xfId="0"/>
    <xf numFmtId="165" fontId="12" fillId="138" borderId="0" pivotButton="0" quotePrefix="0" xfId="0"/>
    <xf numFmtId="165" fontId="12" fillId="139" borderId="0" pivotButton="0" quotePrefix="0" xfId="0"/>
    <xf numFmtId="165" fontId="12" fillId="140" borderId="0" pivotButton="0" quotePrefix="0" xfId="0"/>
    <xf numFmtId="165" fontId="12" fillId="141" borderId="0" pivotButton="0" quotePrefix="0" xfId="0"/>
    <xf numFmtId="165" fontId="12" fillId="84" borderId="0" pivotButton="0" quotePrefix="0" xfId="0"/>
    <xf numFmtId="165" fontId="12" fillId="85" borderId="0" pivotButton="0" quotePrefix="0" xfId="0"/>
    <xf numFmtId="165" fontId="12" fillId="86" borderId="0" pivotButton="0" quotePrefix="0" xfId="0"/>
    <xf numFmtId="165" fontId="12" fillId="87" borderId="0" pivotButton="0" quotePrefix="0" xfId="0"/>
    <xf numFmtId="165" fontId="12" fillId="88" borderId="0" pivotButton="0" quotePrefix="0" xfId="0"/>
    <xf numFmtId="165" fontId="12" fillId="89" borderId="0" pivotButton="0" quotePrefix="0" xfId="0"/>
    <xf numFmtId="165" fontId="12" fillId="90" borderId="0" pivotButton="0" quotePrefix="0" xfId="0"/>
    <xf numFmtId="165" fontId="12" fillId="91" borderId="0" pivotButton="0" quotePrefix="0" xfId="0"/>
    <xf numFmtId="165" fontId="12" fillId="92" borderId="0" pivotButton="0" quotePrefix="0" xfId="0"/>
    <xf numFmtId="165" fontId="12" fillId="93" borderId="0" pivotButton="0" quotePrefix="0" xfId="0"/>
    <xf numFmtId="165" fontId="12" fillId="94" borderId="0" pivotButton="0" quotePrefix="0" xfId="0"/>
    <xf numFmtId="165" fontId="12" fillId="95" borderId="0" pivotButton="0" quotePrefix="0" xfId="0"/>
    <xf numFmtId="165" fontId="12" fillId="96" borderId="0" pivotButton="0" quotePrefix="0" xfId="0"/>
    <xf numFmtId="165" fontId="12" fillId="97" borderId="0" pivotButton="0" quotePrefix="0" xfId="0"/>
    <xf numFmtId="165" fontId="12" fillId="142" borderId="0" pivotButton="0" quotePrefix="0" xfId="0"/>
    <xf numFmtId="165" fontId="12" fillId="143" borderId="0" pivotButton="0" quotePrefix="0" xfId="0"/>
    <xf numFmtId="165" fontId="12" fillId="98" borderId="0" pivotButton="0" quotePrefix="0" xfId="0"/>
    <xf numFmtId="165" fontId="12" fillId="99" borderId="0" pivotButton="0" quotePrefix="0" xfId="0"/>
    <xf numFmtId="165" fontId="12" fillId="100" borderId="0" pivotButton="0" quotePrefix="0" xfId="0"/>
    <xf numFmtId="165" fontId="12" fillId="144" borderId="0" pivotButton="0" quotePrefix="0" xfId="0"/>
    <xf numFmtId="165" fontId="12" fillId="101" borderId="0" pivotButton="0" quotePrefix="0" xfId="0"/>
    <xf numFmtId="165" fontId="12" fillId="145" borderId="0" pivotButton="0" quotePrefix="0" xfId="0"/>
    <xf numFmtId="165" fontId="12" fillId="102" borderId="0" pivotButton="0" quotePrefix="0" xfId="0"/>
    <xf numFmtId="165" fontId="12" fillId="103" borderId="0" pivotButton="0" quotePrefix="0" xfId="0"/>
    <xf numFmtId="165" fontId="12" fillId="104" borderId="0" pivotButton="0" quotePrefix="0" xfId="0"/>
    <xf numFmtId="165" fontId="12" fillId="105" borderId="0" pivotButton="0" quotePrefix="0" xfId="0"/>
    <xf numFmtId="165" fontId="12" fillId="135" borderId="0" pivotButton="0" quotePrefix="0" xfId="0"/>
    <xf numFmtId="165" fontId="12" fillId="106" borderId="0" pivotButton="0" quotePrefix="0" xfId="0"/>
    <xf numFmtId="165" fontId="12" fillId="146" borderId="0" pivotButton="0" quotePrefix="0" xfId="0"/>
    <xf numFmtId="165" fontId="12" fillId="107" borderId="0" pivotButton="0" quotePrefix="0" xfId="0"/>
    <xf numFmtId="165" fontId="12" fillId="108" borderId="0" pivotButton="0" quotePrefix="0" xfId="0"/>
    <xf numFmtId="165" fontId="12" fillId="147" borderId="0" pivotButton="0" quotePrefix="0" xfId="0"/>
    <xf numFmtId="165" fontId="12" fillId="109" borderId="0" pivotButton="0" quotePrefix="0" xfId="0"/>
    <xf numFmtId="165" fontId="12" fillId="110" borderId="0" pivotButton="0" quotePrefix="0" xfId="0"/>
    <xf numFmtId="165" fontId="12" fillId="111" borderId="0" pivotButton="0" quotePrefix="0" xfId="0"/>
    <xf numFmtId="165" fontId="12" fillId="112" borderId="0" pivotButton="0" quotePrefix="0" xfId="0"/>
    <xf numFmtId="165" fontId="12" fillId="148" borderId="0" pivotButton="0" quotePrefix="0" xfId="0"/>
    <xf numFmtId="165" fontId="12" fillId="113" borderId="0" pivotButton="0" quotePrefix="0" xfId="0"/>
    <xf numFmtId="165" fontId="12" fillId="114" borderId="0" pivotButton="0" quotePrefix="0" xfId="0"/>
    <xf numFmtId="165" fontId="12" fillId="115" borderId="0" pivotButton="0" quotePrefix="0" xfId="0"/>
    <xf numFmtId="165" fontId="12" fillId="116" borderId="0" pivotButton="0" quotePrefix="0" xfId="0"/>
    <xf numFmtId="165" fontId="12" fillId="117" borderId="0" pivotButton="0" quotePrefix="0" xfId="0"/>
    <xf numFmtId="165" fontId="12" fillId="118" borderId="0" pivotButton="0" quotePrefix="0" xfId="0"/>
    <xf numFmtId="165" fontId="12" fillId="149" borderId="0" pivotButton="0" quotePrefix="0" xfId="0"/>
    <xf numFmtId="165" fontId="12" fillId="119" borderId="0" pivotButton="0" quotePrefix="0" xfId="0"/>
    <xf numFmtId="165" fontId="12" fillId="120" borderId="0" pivotButton="0" quotePrefix="0" xfId="0"/>
    <xf numFmtId="165" fontId="12" fillId="121" borderId="0" pivotButton="0" quotePrefix="0" xfId="0"/>
    <xf numFmtId="165" fontId="12" fillId="150" borderId="0" pivotButton="0" quotePrefix="0" xfId="0"/>
    <xf numFmtId="165" fontId="12" fillId="151" borderId="0" pivotButton="0" quotePrefix="0" xfId="0"/>
    <xf numFmtId="165" fontId="12" fillId="122" borderId="0" pivotButton="0" quotePrefix="0" xfId="0"/>
    <xf numFmtId="165" fontId="12" fillId="123" borderId="0" pivotButton="0" quotePrefix="0" xfId="0"/>
    <xf numFmtId="165" fontId="12" fillId="124" borderId="0" pivotButton="0" quotePrefix="0" xfId="0"/>
    <xf numFmtId="165" fontId="12" fillId="125" borderId="0" pivotButton="0" quotePrefix="0" xfId="0"/>
    <xf numFmtId="165" fontId="12" fillId="152" borderId="0" pivotButton="0" quotePrefix="0" xfId="0"/>
    <xf numFmtId="165" fontId="12" fillId="126" borderId="0" pivotButton="0" quotePrefix="0" xfId="0"/>
    <xf numFmtId="165" fontId="12" fillId="153" borderId="0" pivotButton="0" quotePrefix="0" xfId="0"/>
    <xf numFmtId="165" fontId="12" fillId="127" borderId="0" pivotButton="0" quotePrefix="0" xfId="0"/>
    <xf numFmtId="165" fontId="12" fillId="128" borderId="0" pivotButton="0" quotePrefix="0" xfId="0"/>
    <xf numFmtId="165" fontId="12" fillId="129" borderId="0" pivotButton="0" quotePrefix="0" xfId="0"/>
    <xf numFmtId="165" fontId="12" fillId="154" borderId="0" pivotButton="0" quotePrefix="0" xfId="0"/>
    <xf numFmtId="165" fontId="12" fillId="155" borderId="0" pivotButton="0" quotePrefix="0" xfId="0"/>
    <xf numFmtId="165" fontId="12" fillId="130" borderId="0" pivotButton="0" quotePrefix="0" xfId="0"/>
    <xf numFmtId="165" fontId="12" fillId="131" borderId="0" pivotButton="0" quotePrefix="0" xfId="0"/>
    <xf numFmtId="165" fontId="12" fillId="156" borderId="0" pivotButton="0" quotePrefix="0" xfId="0"/>
    <xf numFmtId="165" fontId="12" fillId="132" borderId="0" pivotButton="0" quotePrefix="0" xfId="0"/>
    <xf numFmtId="165" fontId="12" fillId="157" borderId="0" pivotButton="0" quotePrefix="0" xfId="0"/>
    <xf numFmtId="165" fontId="12" fillId="158" borderId="0" pivotButton="0" quotePrefix="0" xfId="0"/>
    <xf numFmtId="0" fontId="0" fillId="0" borderId="2" pivotButton="0" quotePrefix="0" xfId="0"/>
    <xf numFmtId="0" fontId="15" fillId="0" borderId="25" pivotButton="0" quotePrefix="0" xfId="0"/>
    <xf numFmtId="0" fontId="12" fillId="159" borderId="4" pivotButton="0" quotePrefix="0" xfId="0"/>
    <xf numFmtId="2" fontId="12" fillId="159" borderId="4" pivotButton="0" quotePrefix="0" xfId="0"/>
    <xf numFmtId="0" fontId="12" fillId="60" borderId="0" pivotButton="0" quotePrefix="0" xfId="0"/>
    <xf numFmtId="0" fontId="12" fillId="61" borderId="0" pivotButton="0" quotePrefix="0" xfId="0"/>
    <xf numFmtId="0" fontId="12" fillId="62" borderId="0" pivotButton="0" quotePrefix="0" xfId="0"/>
    <xf numFmtId="0" fontId="12" fillId="63" borderId="0" pivotButton="0" quotePrefix="0" xfId="0"/>
    <xf numFmtId="165" fontId="10" fillId="3" borderId="4" pivotButton="0" quotePrefix="0" xfId="0"/>
    <xf numFmtId="165" fontId="10" fillId="7" borderId="1" applyAlignment="1" pivotButton="0" quotePrefix="0" xfId="0">
      <alignment horizontal="center" vertical="top" textRotation="45" wrapText="1"/>
    </xf>
    <xf numFmtId="165" fontId="10" fillId="7" borderId="4" pivotButton="0" quotePrefix="0" xfId="0"/>
    <xf numFmtId="165" fontId="10" fillId="7" borderId="8" pivotButton="0" quotePrefix="0" xfId="0"/>
    <xf numFmtId="165" fontId="7" fillId="3" borderId="1" applyAlignment="1" pivotButton="0" quotePrefix="0" xfId="0">
      <alignment horizontal="center" vertical="top" textRotation="45" wrapText="1"/>
    </xf>
    <xf numFmtId="165" fontId="10" fillId="11" borderId="1" applyAlignment="1" pivotButton="0" quotePrefix="0" xfId="0">
      <alignment horizontal="center" vertical="top" textRotation="45" wrapText="1"/>
    </xf>
    <xf numFmtId="165" fontId="10" fillId="11" borderId="4" pivotButton="0" quotePrefix="0" xfId="0"/>
    <xf numFmtId="165" fontId="10" fillId="6" borderId="11" applyAlignment="1" pivotButton="0" quotePrefix="0" xfId="0">
      <alignment horizontal="center" vertical="top" textRotation="45"/>
    </xf>
    <xf numFmtId="165" fontId="10" fillId="6" borderId="4" pivotButton="0" quotePrefix="0" xfId="0"/>
    <xf numFmtId="165" fontId="10" fillId="4" borderId="11" applyAlignment="1" pivotButton="0" quotePrefix="0" xfId="0">
      <alignment horizontal="center" vertical="top" textRotation="45"/>
    </xf>
    <xf numFmtId="165" fontId="10" fillId="4" borderId="4" pivotButton="0" quotePrefix="0" xfId="0"/>
    <xf numFmtId="165" fontId="10" fillId="12" borderId="11" applyAlignment="1" pivotButton="0" quotePrefix="0" xfId="0">
      <alignment horizontal="center" vertical="top" textRotation="45"/>
    </xf>
    <xf numFmtId="165" fontId="10" fillId="12" borderId="4" pivotButton="0" quotePrefix="0" xfId="0"/>
    <xf numFmtId="165" fontId="10" fillId="3" borderId="11" applyAlignment="1" pivotButton="0" quotePrefix="0" xfId="0">
      <alignment horizontal="center" vertical="top" textRotation="45"/>
    </xf>
    <xf numFmtId="165" fontId="7" fillId="2" borderId="21" applyAlignment="1" pivotButton="0" quotePrefix="0" xfId="0">
      <alignment horizontal="center" vertical="top" textRotation="45"/>
    </xf>
    <xf numFmtId="165" fontId="10" fillId="2" borderId="4" pivotButton="0" quotePrefix="0" xfId="0"/>
    <xf numFmtId="165" fontId="7" fillId="5" borderId="11" applyAlignment="1" pivotButton="0" quotePrefix="0" xfId="0">
      <alignment horizontal="center" vertical="top" textRotation="45"/>
    </xf>
    <xf numFmtId="165" fontId="10" fillId="5" borderId="4" pivotButton="0" quotePrefix="0" xfId="0"/>
    <xf numFmtId="0" fontId="14" fillId="115" borderId="0" pivotButton="0" quotePrefix="0" xfId="0"/>
    <xf numFmtId="0" fontId="12" fillId="160" borderId="0" pivotButton="0" quotePrefix="0" xfId="0"/>
    <xf numFmtId="165" fontId="12" fillId="160" borderId="0" pivotButton="0" quotePrefix="0" xfId="0"/>
    <xf numFmtId="1" fontId="12" fillId="160" borderId="0" pivotButton="0" quotePrefix="0" xfId="0"/>
    <xf numFmtId="0" fontId="12" fillId="161" borderId="0" pivotButton="0" quotePrefix="0" xfId="0"/>
    <xf numFmtId="165" fontId="12" fillId="161" borderId="0" pivotButton="0" quotePrefix="0" xfId="0"/>
    <xf numFmtId="1" fontId="12" fillId="161" borderId="0" pivotButton="0" quotePrefix="0" xfId="0"/>
    <xf numFmtId="0" fontId="12" fillId="162" borderId="0" pivotButton="0" quotePrefix="0" xfId="0"/>
    <xf numFmtId="165" fontId="12" fillId="162" borderId="0" pivotButton="0" quotePrefix="0" xfId="0"/>
    <xf numFmtId="1" fontId="12" fillId="162" borderId="0" pivotButton="0" quotePrefix="0" xfId="0"/>
    <xf numFmtId="0" fontId="12" fillId="163" borderId="0" pivotButton="0" quotePrefix="0" xfId="0"/>
    <xf numFmtId="165" fontId="12" fillId="163" borderId="0" pivotButton="0" quotePrefix="0" xfId="0"/>
    <xf numFmtId="1" fontId="12" fillId="163" borderId="0" pivotButton="0" quotePrefix="0" xfId="0"/>
    <xf numFmtId="0" fontId="12" fillId="164" borderId="0" pivotButton="0" quotePrefix="0" xfId="0"/>
    <xf numFmtId="165" fontId="12" fillId="164" borderId="0" pivotButton="0" quotePrefix="0" xfId="0"/>
    <xf numFmtId="1" fontId="12" fillId="164" borderId="0" pivotButton="0" quotePrefix="0" xfId="0"/>
    <xf numFmtId="0" fontId="12" fillId="165" borderId="0" pivotButton="0" quotePrefix="0" xfId="0"/>
    <xf numFmtId="165" fontId="12" fillId="165" borderId="0" pivotButton="0" quotePrefix="0" xfId="0"/>
    <xf numFmtId="1" fontId="12" fillId="165" borderId="0" pivotButton="0" quotePrefix="0" xfId="0"/>
    <xf numFmtId="0" fontId="12" fillId="166" borderId="0" pivotButton="0" quotePrefix="0" xfId="0"/>
    <xf numFmtId="165" fontId="12" fillId="166" borderId="0" pivotButton="0" quotePrefix="0" xfId="0"/>
    <xf numFmtId="1" fontId="12" fillId="166" borderId="0" pivotButton="0" quotePrefix="0" xfId="0"/>
    <xf numFmtId="0" fontId="12" fillId="167" borderId="0" pivotButton="0" quotePrefix="0" xfId="0"/>
    <xf numFmtId="165" fontId="12" fillId="167" borderId="0" pivotButton="0" quotePrefix="0" xfId="0"/>
    <xf numFmtId="1" fontId="12" fillId="167" borderId="0" pivotButton="0" quotePrefix="0" xfId="0"/>
    <xf numFmtId="0" fontId="12" fillId="168" borderId="0" pivotButton="0" quotePrefix="0" xfId="0"/>
    <xf numFmtId="165" fontId="12" fillId="168" borderId="0" pivotButton="0" quotePrefix="0" xfId="0"/>
    <xf numFmtId="1" fontId="12" fillId="168" borderId="0" pivotButton="0" quotePrefix="0" xfId="0"/>
    <xf numFmtId="0" fontId="12" fillId="169" borderId="0" pivotButton="0" quotePrefix="0" xfId="0"/>
    <xf numFmtId="165" fontId="12" fillId="169" borderId="0" pivotButton="0" quotePrefix="0" xfId="0"/>
    <xf numFmtId="1" fontId="12" fillId="169" borderId="0" pivotButton="0" quotePrefix="0" xfId="0"/>
    <xf numFmtId="0" fontId="12" fillId="170" borderId="0" pivotButton="0" quotePrefix="0" xfId="0"/>
    <xf numFmtId="165" fontId="12" fillId="170" borderId="0" pivotButton="0" quotePrefix="0" xfId="0"/>
    <xf numFmtId="1" fontId="12" fillId="170" borderId="0" pivotButton="0" quotePrefix="0" xfId="0"/>
    <xf numFmtId="0" fontId="12" fillId="171" borderId="0" pivotButton="0" quotePrefix="0" xfId="0"/>
    <xf numFmtId="165" fontId="12" fillId="171" borderId="0" pivotButton="0" quotePrefix="0" xfId="0"/>
    <xf numFmtId="1" fontId="12" fillId="171" borderId="0" pivotButton="0" quotePrefix="0" xfId="0"/>
    <xf numFmtId="0" fontId="12" fillId="172" borderId="0" pivotButton="0" quotePrefix="0" xfId="0"/>
    <xf numFmtId="165" fontId="12" fillId="172" borderId="0" pivotButton="0" quotePrefix="0" xfId="0"/>
    <xf numFmtId="1" fontId="12" fillId="172" borderId="0" pivotButton="0" quotePrefix="0" xfId="0"/>
    <xf numFmtId="0" fontId="12" fillId="173" borderId="0" pivotButton="0" quotePrefix="0" xfId="0"/>
    <xf numFmtId="165" fontId="12" fillId="173" borderId="0" pivotButton="0" quotePrefix="0" xfId="0"/>
    <xf numFmtId="1" fontId="12" fillId="173" borderId="0" pivotButton="0" quotePrefix="0" xfId="0"/>
    <xf numFmtId="0" fontId="12" fillId="174" borderId="4" pivotButton="0" quotePrefix="0" xfId="0"/>
    <xf numFmtId="2" fontId="12" fillId="174" borderId="4" pivotButton="0" quotePrefix="0" xfId="0"/>
    <xf numFmtId="165" fontId="10" fillId="7" borderId="17" pivotButton="0" quotePrefix="0" xfId="0"/>
    <xf numFmtId="165" fontId="10" fillId="11" borderId="17" pivotButton="0" quotePrefix="0" xfId="0"/>
    <xf numFmtId="165" fontId="10" fillId="6" borderId="17" pivotButton="0" quotePrefix="0" xfId="0"/>
    <xf numFmtId="165" fontId="10" fillId="4" borderId="17" pivotButton="0" quotePrefix="0" xfId="0"/>
    <xf numFmtId="165" fontId="10" fillId="12" borderId="17" pivotButton="0" quotePrefix="0" xfId="0"/>
    <xf numFmtId="165" fontId="10" fillId="3" borderId="17" pivotButton="0" quotePrefix="0" xfId="0"/>
    <xf numFmtId="165" fontId="10" fillId="2" borderId="17" pivotButton="0" quotePrefix="0" xfId="0"/>
    <xf numFmtId="165" fontId="10" fillId="5" borderId="17" pivotButton="0" quotePrefix="0" xfId="0"/>
    <xf numFmtId="0" fontId="12" fillId="175" borderId="4" pivotButton="0" quotePrefix="0" xfId="0"/>
    <xf numFmtId="2" fontId="12" fillId="175" borderId="4" pivotButton="0" quotePrefix="0" xfId="0"/>
    <xf numFmtId="0" fontId="12" fillId="176" borderId="4" pivotButton="0" quotePrefix="0" xfId="0"/>
    <xf numFmtId="2" fontId="12" fillId="176" borderId="4" pivotButton="0" quotePrefix="0" xfId="0"/>
    <xf numFmtId="0" fontId="12" fillId="177" borderId="17" pivotButton="0" quotePrefix="0" xfId="0"/>
    <xf numFmtId="0" fontId="12" fillId="177" borderId="4" pivotButton="0" quotePrefix="0" xfId="0"/>
    <xf numFmtId="2" fontId="12" fillId="177" borderId="4" pivotButton="0" quotePrefix="0" xfId="0"/>
    <xf numFmtId="0" fontId="12" fillId="178" borderId="17" pivotButton="0" quotePrefix="0" xfId="0"/>
    <xf numFmtId="0" fontId="12" fillId="178" borderId="4" pivotButton="0" quotePrefix="0" xfId="0"/>
    <xf numFmtId="2" fontId="12" fillId="178" borderId="4" pivotButton="0" quotePrefix="0" xfId="0"/>
    <xf numFmtId="0" fontId="12" fillId="178" borderId="0" pivotButton="0" quotePrefix="0" xfId="0"/>
    <xf numFmtId="0" fontId="12" fillId="179" borderId="4" pivotButton="0" quotePrefix="0" xfId="0"/>
    <xf numFmtId="2" fontId="12" fillId="179" borderId="4" pivotButton="0" quotePrefix="0" xfId="0"/>
    <xf numFmtId="0" fontId="12" fillId="180" borderId="4" pivotButton="0" quotePrefix="0" xfId="0"/>
    <xf numFmtId="2" fontId="12" fillId="180" borderId="4" pivotButton="0" quotePrefix="0" xfId="0"/>
    <xf numFmtId="0" fontId="0" fillId="8" borderId="17" applyAlignment="1" pivotButton="0" quotePrefix="0" xfId="0">
      <alignment horizontal="left"/>
    </xf>
    <xf numFmtId="9" fontId="0" fillId="0" borderId="0" applyAlignment="1" pivotButton="0" quotePrefix="0" xfId="3">
      <alignment horizontal="left" vertical="top" textRotation="45"/>
    </xf>
    <xf numFmtId="9" fontId="0" fillId="0" borderId="0" pivotButton="0" quotePrefix="0" xfId="3"/>
    <xf numFmtId="0" fontId="12" fillId="181" borderId="4" pivotButton="0" quotePrefix="0" xfId="0"/>
    <xf numFmtId="2" fontId="12" fillId="181" borderId="4" pivotButton="0" quotePrefix="0" xfId="0"/>
    <xf numFmtId="2" fontId="13" fillId="181" borderId="4" pivotButton="0" quotePrefix="0" xfId="0"/>
    <xf numFmtId="0" fontId="2" fillId="182" borderId="27" pivotButton="0" quotePrefix="0" xfId="0"/>
    <xf numFmtId="0" fontId="12" fillId="36" borderId="17" pivotButton="0" quotePrefix="0" xfId="0"/>
    <xf numFmtId="0" fontId="12" fillId="66" borderId="17" pivotButton="0" quotePrefix="0" xfId="0"/>
    <xf numFmtId="0" fontId="12" fillId="62" borderId="17" pivotButton="0" quotePrefix="0" xfId="0"/>
    <xf numFmtId="0" fontId="12" fillId="63" borderId="17" pivotButton="0" quotePrefix="0" xfId="0"/>
    <xf numFmtId="0" fontId="12" fillId="64" borderId="17" pivotButton="0" quotePrefix="0" xfId="0"/>
    <xf numFmtId="0" fontId="12" fillId="65" borderId="17" pivotButton="0" quotePrefix="0" xfId="0"/>
    <xf numFmtId="0" fontId="12" fillId="194" borderId="4" pivotButton="0" quotePrefix="0" xfId="0"/>
    <xf numFmtId="2" fontId="12" fillId="194" borderId="4" pivotButton="0" quotePrefix="0" xfId="0"/>
    <xf numFmtId="0" fontId="12" fillId="195" borderId="4" pivotButton="0" quotePrefix="0" xfId="0"/>
    <xf numFmtId="2" fontId="12" fillId="195" borderId="4" pivotButton="0" quotePrefix="0" xfId="0"/>
    <xf numFmtId="0" fontId="12" fillId="8" borderId="0" applyAlignment="1" pivotButton="0" quotePrefix="0" xfId="0">
      <alignment horizontal="left"/>
    </xf>
    <xf numFmtId="2" fontId="0" fillId="0" borderId="0" pivotButton="0" quotePrefix="0" xfId="0"/>
    <xf numFmtId="0" fontId="12" fillId="187" borderId="4" pivotButton="0" quotePrefix="0" xfId="0"/>
    <xf numFmtId="0" fontId="12" fillId="192" borderId="4" pivotButton="0" quotePrefix="0" xfId="0"/>
    <xf numFmtId="0" fontId="12" fillId="193" borderId="4" pivotButton="0" quotePrefix="0" xfId="0"/>
    <xf numFmtId="0" fontId="12" fillId="191" borderId="4" pivotButton="0" quotePrefix="0" xfId="0"/>
    <xf numFmtId="0" fontId="12" fillId="184" borderId="4" pivotButton="0" quotePrefix="0" xfId="0"/>
    <xf numFmtId="0" fontId="12" fillId="27" borderId="26" pivotButton="0" quotePrefix="0" xfId="0"/>
    <xf numFmtId="0" fontId="12" fillId="183" borderId="4" pivotButton="0" quotePrefix="0" xfId="0"/>
    <xf numFmtId="2" fontId="5" fillId="2" borderId="3" applyAlignment="1" pivotButton="0" quotePrefix="0" xfId="0">
      <alignment horizontal="center" vertical="top" textRotation="45"/>
    </xf>
    <xf numFmtId="2" fontId="5" fillId="2" borderId="5" applyAlignment="1" pivotButton="0" quotePrefix="0" xfId="0">
      <alignment horizontal="center" vertical="top" textRotation="45"/>
    </xf>
    <xf numFmtId="165" fontId="10" fillId="3" borderId="8" pivotButton="0" quotePrefix="0" xfId="0"/>
    <xf numFmtId="165" fontId="10" fillId="7" borderId="9" pivotButton="0" quotePrefix="0" xfId="0"/>
    <xf numFmtId="165" fontId="10" fillId="11" borderId="8" pivotButton="0" quotePrefix="0" xfId="0"/>
    <xf numFmtId="165" fontId="10" fillId="11" borderId="2" pivotButton="0" quotePrefix="0" xfId="0"/>
    <xf numFmtId="165" fontId="10" fillId="2" borderId="23" pivotButton="0" quotePrefix="0" xfId="0"/>
    <xf numFmtId="165" fontId="10" fillId="2" borderId="25" pivotButton="0" quotePrefix="0" xfId="0"/>
    <xf numFmtId="0" fontId="5" fillId="5" borderId="5" applyAlignment="1" pivotButton="0" quotePrefix="0" xfId="0">
      <alignment horizontal="center" vertical="top" textRotation="45" wrapText="1"/>
    </xf>
    <xf numFmtId="165" fontId="3" fillId="7" borderId="4" pivotButton="0" quotePrefix="0" xfId="0"/>
    <xf numFmtId="165" fontId="3" fillId="7" borderId="17" pivotButton="0" quotePrefix="0" xfId="0"/>
    <xf numFmtId="165" fontId="3" fillId="7" borderId="2" pivotButton="0" quotePrefix="0" xfId="0"/>
    <xf numFmtId="165" fontId="3" fillId="11" borderId="4" pivotButton="0" quotePrefix="0" xfId="0"/>
    <xf numFmtId="165" fontId="3" fillId="11" borderId="17" pivotButton="0" quotePrefix="0" xfId="0"/>
    <xf numFmtId="165" fontId="3" fillId="11" borderId="2" pivotButton="0" quotePrefix="0" xfId="0"/>
    <xf numFmtId="165" fontId="3" fillId="6" borderId="4" pivotButton="0" quotePrefix="0" xfId="0"/>
    <xf numFmtId="165" fontId="3" fillId="6" borderId="17" pivotButton="0" quotePrefix="0" xfId="0"/>
    <xf numFmtId="165" fontId="3" fillId="3" borderId="4" pivotButton="0" quotePrefix="0" xfId="0"/>
    <xf numFmtId="165" fontId="3" fillId="3" borderId="17" pivotButton="0" quotePrefix="0" xfId="0"/>
    <xf numFmtId="165" fontId="3" fillId="3" borderId="2" pivotButton="0" quotePrefix="0" xfId="0"/>
    <xf numFmtId="165" fontId="10" fillId="3" borderId="9" pivotButton="0" quotePrefix="0" xfId="0"/>
    <xf numFmtId="165" fontId="10" fillId="11" borderId="9" pivotButton="0" quotePrefix="0" xfId="0"/>
    <xf numFmtId="165" fontId="3" fillId="4" borderId="4" pivotButton="0" quotePrefix="0" xfId="0"/>
    <xf numFmtId="165" fontId="3" fillId="12" borderId="4" pivotButton="0" quotePrefix="0" xfId="0"/>
    <xf numFmtId="165" fontId="10" fillId="3" borderId="2" pivotButton="0" quotePrefix="0" xfId="0"/>
    <xf numFmtId="165" fontId="3" fillId="2" borderId="4" pivotButton="0" quotePrefix="0" xfId="0"/>
    <xf numFmtId="165" fontId="10" fillId="2" borderId="24" pivotButton="0" quotePrefix="0" xfId="0"/>
    <xf numFmtId="165" fontId="3" fillId="5" borderId="4" pivotButton="0" quotePrefix="0" xfId="0"/>
    <xf numFmtId="165" fontId="3" fillId="6" borderId="2" pivotButton="0" quotePrefix="0" xfId="0"/>
    <xf numFmtId="165" fontId="10" fillId="6" borderId="2" pivotButton="0" quotePrefix="0" xfId="0"/>
    <xf numFmtId="165" fontId="3" fillId="4" borderId="17" pivotButton="0" quotePrefix="0" xfId="0"/>
    <xf numFmtId="165" fontId="3" fillId="4" borderId="2" pivotButton="0" quotePrefix="0" xfId="0"/>
    <xf numFmtId="165" fontId="10" fillId="4" borderId="2" pivotButton="0" quotePrefix="0" xfId="0"/>
    <xf numFmtId="165" fontId="3" fillId="12" borderId="17" pivotButton="0" quotePrefix="0" xfId="0"/>
    <xf numFmtId="165" fontId="3" fillId="12" borderId="2" pivotButton="0" quotePrefix="0" xfId="0"/>
    <xf numFmtId="165" fontId="10" fillId="12" borderId="2" pivotButton="0" quotePrefix="0" xfId="0"/>
    <xf numFmtId="165" fontId="3" fillId="2" borderId="17" pivotButton="0" quotePrefix="0" xfId="0"/>
    <xf numFmtId="165" fontId="3" fillId="2" borderId="2" pivotButton="0" quotePrefix="0" xfId="0"/>
    <xf numFmtId="165" fontId="10" fillId="2" borderId="2" pivotButton="0" quotePrefix="0" xfId="0"/>
    <xf numFmtId="165" fontId="3" fillId="5" borderId="17" pivotButton="0" quotePrefix="0" xfId="0"/>
    <xf numFmtId="165" fontId="3" fillId="5" borderId="2" pivotButton="0" quotePrefix="0" xfId="0"/>
    <xf numFmtId="2" fontId="11" fillId="10" borderId="9" pivotButton="0" quotePrefix="0" xfId="0"/>
    <xf numFmtId="167" fontId="8" fillId="10" borderId="7" applyAlignment="1" pivotButton="0" quotePrefix="0" xfId="0">
      <alignment horizontal="center" vertical="top" textRotation="45" wrapText="1"/>
    </xf>
    <xf numFmtId="168" fontId="0" fillId="0" borderId="0" pivotButton="0" quotePrefix="0" xfId="0"/>
    <xf numFmtId="0" fontId="12" fillId="196" borderId="4" pivotButton="0" quotePrefix="0" xfId="0"/>
    <xf numFmtId="2" fontId="12" fillId="196" borderId="4" pivotButton="0" quotePrefix="0" xfId="0"/>
    <xf numFmtId="0" fontId="12" fillId="197" borderId="4" pivotButton="0" quotePrefix="0" xfId="0"/>
    <xf numFmtId="2" fontId="12" fillId="197" borderId="4" pivotButton="0" quotePrefix="0" xfId="0"/>
    <xf numFmtId="0" fontId="12" fillId="198" borderId="4" pivotButton="0" quotePrefix="0" xfId="0"/>
    <xf numFmtId="2" fontId="12" fillId="198" borderId="4" pivotButton="0" quotePrefix="0" xfId="0"/>
    <xf numFmtId="165" fontId="12" fillId="198" borderId="4" pivotButton="0" quotePrefix="0" xfId="0"/>
    <xf numFmtId="0" fontId="16" fillId="198" borderId="25" pivotButton="0" quotePrefix="0" xfId="0"/>
    <xf numFmtId="0" fontId="12" fillId="198" borderId="0" pivotButton="0" quotePrefix="0" xfId="0"/>
    <xf numFmtId="0" fontId="12" fillId="198" borderId="2" pivotButton="0" quotePrefix="0" xfId="0"/>
    <xf numFmtId="165" fontId="10" fillId="3" borderId="24" pivotButton="0" quotePrefix="0" xfId="0"/>
    <xf numFmtId="165" fontId="10" fillId="3" borderId="0" pivotButton="0" quotePrefix="0" xfId="0"/>
    <xf numFmtId="165" fontId="10" fillId="7" borderId="0" pivotButton="0" quotePrefix="0" xfId="0"/>
    <xf numFmtId="165" fontId="10" fillId="11" borderId="0" pivotButton="0" quotePrefix="0" xfId="0"/>
    <xf numFmtId="165" fontId="10" fillId="6" borderId="0" pivotButton="0" quotePrefix="0" xfId="0"/>
    <xf numFmtId="165" fontId="10" fillId="4" borderId="0" pivotButton="0" quotePrefix="0" xfId="0"/>
    <xf numFmtId="165" fontId="10" fillId="12" borderId="0" pivotButton="0" quotePrefix="0" xfId="0"/>
    <xf numFmtId="165" fontId="10" fillId="2" borderId="0" pivotButton="0" quotePrefix="0" xfId="0"/>
    <xf numFmtId="165" fontId="10" fillId="5" borderId="0" pivotButton="0" quotePrefix="0" xfId="0"/>
    <xf numFmtId="0" fontId="0" fillId="8" borderId="30" applyAlignment="1" pivotButton="0" quotePrefix="0" xfId="0">
      <alignment horizontal="left"/>
    </xf>
    <xf numFmtId="0" fontId="0" fillId="8" borderId="28" applyAlignment="1" pivotButton="0" quotePrefix="0" xfId="0">
      <alignment horizontal="left"/>
    </xf>
    <xf numFmtId="165" fontId="11" fillId="10" borderId="9" pivotButton="0" quotePrefix="0" xfId="0"/>
    <xf numFmtId="165" fontId="5" fillId="2" borderId="0" pivotButton="0" quotePrefix="0" xfId="0"/>
    <xf numFmtId="165" fontId="5" fillId="10" borderId="17" pivotButton="0" quotePrefix="0" xfId="0"/>
    <xf numFmtId="165" fontId="5" fillId="5" borderId="8" pivotButton="0" quotePrefix="0" xfId="0"/>
    <xf numFmtId="165" fontId="5" fillId="5" borderId="17" pivotButton="0" quotePrefix="0" xfId="0"/>
    <xf numFmtId="165" fontId="5" fillId="5" borderId="4" pivotButton="0" quotePrefix="0" xfId="0"/>
    <xf numFmtId="165" fontId="5" fillId="2" borderId="8" pivotButton="0" quotePrefix="0" xfId="0"/>
    <xf numFmtId="165" fontId="0" fillId="2" borderId="0" pivotButton="0" quotePrefix="0" xfId="0"/>
    <xf numFmtId="165" fontId="0" fillId="5" borderId="17" pivotButton="0" quotePrefix="0" xfId="0"/>
    <xf numFmtId="165" fontId="0" fillId="5" borderId="4" pivotButton="0" quotePrefix="0" xfId="0"/>
    <xf numFmtId="165" fontId="11" fillId="10" borderId="0" pivotButton="0" quotePrefix="0" xfId="0"/>
    <xf numFmtId="165" fontId="5" fillId="5" borderId="0" pivotButton="0" quotePrefix="0" xfId="0"/>
    <xf numFmtId="165" fontId="5" fillId="5" borderId="29" pivotButton="0" quotePrefix="0" xfId="0"/>
    <xf numFmtId="0" fontId="7" fillId="3" borderId="10" applyAlignment="1" pivotButton="0" quotePrefix="0" xfId="0">
      <alignment horizontal="center" vertical="top" textRotation="45" wrapText="1"/>
    </xf>
    <xf numFmtId="2" fontId="0" fillId="0" borderId="0" pivotButton="0" quotePrefix="0" xfId="2"/>
    <xf numFmtId="2" fontId="12" fillId="48" borderId="4" pivotButton="0" quotePrefix="0" xfId="0"/>
    <xf numFmtId="2" fontId="12" fillId="49" borderId="4" pivotButton="0" quotePrefix="0" xfId="0"/>
    <xf numFmtId="0" fontId="12" fillId="199" borderId="0" pivotButton="0" quotePrefix="0" xfId="0"/>
    <xf numFmtId="165" fontId="12" fillId="199" borderId="0" pivotButton="0" quotePrefix="0" xfId="0"/>
    <xf numFmtId="1" fontId="12" fillId="199" borderId="0" pivotButton="0" quotePrefix="0" xfId="0"/>
    <xf numFmtId="0" fontId="12" fillId="200" borderId="0" pivotButton="0" quotePrefix="0" xfId="0"/>
    <xf numFmtId="165" fontId="12" fillId="200" borderId="0" pivotButton="0" quotePrefix="0" xfId="0"/>
    <xf numFmtId="1" fontId="12" fillId="200" borderId="0" pivotButton="0" quotePrefix="0" xfId="0"/>
    <xf numFmtId="0" fontId="12" fillId="201" borderId="0" pivotButton="0" quotePrefix="0" xfId="0"/>
    <xf numFmtId="165" fontId="12" fillId="201" borderId="0" pivotButton="0" quotePrefix="0" xfId="0"/>
    <xf numFmtId="1" fontId="12" fillId="201" borderId="0" pivotButton="0" quotePrefix="0" xfId="0"/>
    <xf numFmtId="0" fontId="12" fillId="202" borderId="0" pivotButton="0" quotePrefix="0" xfId="0"/>
    <xf numFmtId="165" fontId="12" fillId="202" borderId="0" pivotButton="0" quotePrefix="0" xfId="0"/>
    <xf numFmtId="1" fontId="12" fillId="202" borderId="0" pivotButton="0" quotePrefix="0" xfId="0"/>
    <xf numFmtId="0" fontId="12" fillId="60" borderId="17" pivotButton="0" quotePrefix="0" xfId="0"/>
    <xf numFmtId="0" fontId="12" fillId="61" borderId="17" pivotButton="0" quotePrefix="0" xfId="0"/>
    <xf numFmtId="0" fontId="12" fillId="39" borderId="17" pivotButton="0" quotePrefix="0" xfId="0"/>
    <xf numFmtId="0" fontId="12" fillId="186" borderId="4" pivotButton="0" quotePrefix="0" xfId="0"/>
    <xf numFmtId="0" fontId="12" fillId="28" borderId="26" pivotButton="0" quotePrefix="0" xfId="0"/>
    <xf numFmtId="0" fontId="12" fillId="180" borderId="26" pivotButton="0" quotePrefix="0" xfId="0"/>
    <xf numFmtId="0" fontId="12" fillId="190" borderId="4" pivotButton="0" quotePrefix="0" xfId="0"/>
    <xf numFmtId="0" fontId="12" fillId="52" borderId="26" pivotButton="0" quotePrefix="0" xfId="0"/>
    <xf numFmtId="0" fontId="12" fillId="189" borderId="4" pivotButton="0" quotePrefix="0" xfId="0"/>
    <xf numFmtId="0" fontId="12" fillId="47" borderId="26" pivotButton="0" quotePrefix="0" xfId="0"/>
    <xf numFmtId="0" fontId="12" fillId="176" borderId="26" pivotButton="0" quotePrefix="0" xfId="0"/>
    <xf numFmtId="0" fontId="12" fillId="188" borderId="4" pivotButton="0" quotePrefix="0" xfId="0"/>
    <xf numFmtId="0" fontId="12" fillId="185" borderId="4" pivotButton="0" quotePrefix="0" xfId="0"/>
    <xf numFmtId="0" fontId="12" fillId="25" borderId="26" pivotButton="0" quotePrefix="0" xfId="0"/>
    <xf numFmtId="0" fontId="12" fillId="29" borderId="26" pivotButton="0" quotePrefix="0" xfId="0"/>
    <xf numFmtId="0" fontId="12" fillId="175" borderId="26" pivotButton="0" quotePrefix="0" xfId="0"/>
    <xf numFmtId="0" fontId="12" fillId="41" borderId="26" pivotButton="0" quotePrefix="0" xfId="0"/>
    <xf numFmtId="0" fontId="5" fillId="6" borderId="31" pivotButton="0" quotePrefix="0" xfId="0"/>
    <xf numFmtId="2" fontId="0" fillId="203" borderId="9" pivotButton="0" quotePrefix="0" xfId="0"/>
    <xf numFmtId="0" fontId="17" fillId="0" borderId="4" applyAlignment="1" pivotButton="0" quotePrefix="0" xfId="0">
      <alignment horizontal="center" vertical="top" textRotation="45"/>
    </xf>
    <xf numFmtId="165" fontId="17" fillId="0" borderId="4" applyAlignment="1" pivotButton="0" quotePrefix="0" xfId="0">
      <alignment horizontal="center" vertical="top" textRotation="45"/>
    </xf>
    <xf numFmtId="0" fontId="17" fillId="0" borderId="4" applyAlignment="1" pivotButton="0" quotePrefix="0" xfId="0">
      <alignment horizontal="center" vertical="top" textRotation="45" wrapText="1"/>
    </xf>
    <xf numFmtId="0" fontId="20" fillId="0" borderId="4" applyAlignment="1" pivotButton="0" quotePrefix="0" xfId="0">
      <alignment horizontal="center" vertical="top" textRotation="45"/>
    </xf>
    <xf numFmtId="0" fontId="17" fillId="0" borderId="2" applyAlignment="1" pivotButton="0" quotePrefix="0" xfId="0">
      <alignment horizontal="center" vertical="top" textRotation="45"/>
    </xf>
    <xf numFmtId="0" fontId="15" fillId="0" borderId="23" applyAlignment="1" pivotButton="0" quotePrefix="0" xfId="0">
      <alignment horizontal="center" vertical="top" textRotation="45"/>
    </xf>
    <xf numFmtId="2" fontId="12" fillId="13" borderId="2" pivotButton="0" quotePrefix="0" xfId="0"/>
    <xf numFmtId="2" fontId="16" fillId="13" borderId="25" pivotButton="0" quotePrefix="0" xfId="0"/>
    <xf numFmtId="2" fontId="12" fillId="13" borderId="0" pivotButton="0" quotePrefix="0" xfId="0"/>
    <xf numFmtId="2" fontId="12" fillId="196" borderId="2" pivotButton="0" quotePrefix="0" xfId="0"/>
    <xf numFmtId="2" fontId="16" fillId="196" borderId="25" pivotButton="0" quotePrefix="0" xfId="0"/>
    <xf numFmtId="2" fontId="12" fillId="196" borderId="0" pivotButton="0" quotePrefix="0" xfId="0"/>
    <xf numFmtId="2" fontId="12" fillId="14" borderId="2" pivotButton="0" quotePrefix="0" xfId="0"/>
    <xf numFmtId="2" fontId="16" fillId="14" borderId="25" pivotButton="0" quotePrefix="0" xfId="0"/>
    <xf numFmtId="2" fontId="12" fillId="14" borderId="0" pivotButton="0" quotePrefix="0" xfId="0"/>
    <xf numFmtId="2" fontId="12" fillId="15" borderId="2" pivotButton="0" quotePrefix="0" xfId="0"/>
    <xf numFmtId="2" fontId="16" fillId="15" borderId="25" pivotButton="0" quotePrefix="0" xfId="0"/>
    <xf numFmtId="2" fontId="12" fillId="15" borderId="0" pivotButton="0" quotePrefix="0" xfId="0"/>
    <xf numFmtId="2" fontId="12" fillId="16" borderId="2" pivotButton="0" quotePrefix="0" xfId="0"/>
    <xf numFmtId="2" fontId="16" fillId="16" borderId="25" pivotButton="0" quotePrefix="0" xfId="0"/>
    <xf numFmtId="2" fontId="12" fillId="16" borderId="0" pivotButton="0" quotePrefix="0" xfId="0"/>
    <xf numFmtId="2" fontId="12" fillId="17" borderId="2" pivotButton="0" quotePrefix="0" xfId="0"/>
    <xf numFmtId="2" fontId="16" fillId="17" borderId="25" pivotButton="0" quotePrefix="0" xfId="0"/>
    <xf numFmtId="2" fontId="12" fillId="17" borderId="0" pivotButton="0" quotePrefix="0" xfId="0"/>
    <xf numFmtId="2" fontId="12" fillId="18" borderId="2" pivotButton="0" quotePrefix="0" xfId="0"/>
    <xf numFmtId="2" fontId="16" fillId="18" borderId="25" pivotButton="0" quotePrefix="0" xfId="0"/>
    <xf numFmtId="2" fontId="12" fillId="18" borderId="0" pivotButton="0" quotePrefix="0" xfId="0"/>
    <xf numFmtId="2" fontId="12" fillId="19" borderId="2" pivotButton="0" quotePrefix="0" xfId="0"/>
    <xf numFmtId="2" fontId="16" fillId="19" borderId="25" pivotButton="0" quotePrefix="0" xfId="0"/>
    <xf numFmtId="2" fontId="12" fillId="19" borderId="0" pivotButton="0" quotePrefix="0" xfId="0"/>
    <xf numFmtId="2" fontId="12" fillId="198" borderId="2" pivotButton="0" quotePrefix="0" xfId="0"/>
    <xf numFmtId="2" fontId="16" fillId="198" borderId="25" pivotButton="0" quotePrefix="0" xfId="0"/>
    <xf numFmtId="2" fontId="12" fillId="198" borderId="0" pivotButton="0" quotePrefix="0" xfId="0"/>
    <xf numFmtId="2" fontId="12" fillId="197" borderId="2" pivotButton="0" quotePrefix="0" xfId="0"/>
    <xf numFmtId="2" fontId="16" fillId="197" borderId="25" pivotButton="0" quotePrefix="0" xfId="0"/>
    <xf numFmtId="2" fontId="12" fillId="197" borderId="0" pivotButton="0" quotePrefix="0" xfId="0"/>
    <xf numFmtId="2" fontId="12" fillId="20" borderId="2" pivotButton="0" quotePrefix="0" xfId="0"/>
    <xf numFmtId="2" fontId="16" fillId="20" borderId="25" pivotButton="0" quotePrefix="0" xfId="0"/>
    <xf numFmtId="2" fontId="12" fillId="20" borderId="0" pivotButton="0" quotePrefix="0" xfId="0"/>
    <xf numFmtId="2" fontId="12" fillId="21" borderId="2" pivotButton="0" quotePrefix="0" xfId="0"/>
    <xf numFmtId="2" fontId="16" fillId="21" borderId="25" pivotButton="0" quotePrefix="0" xfId="0"/>
    <xf numFmtId="2" fontId="12" fillId="21" borderId="0" pivotButton="0" quotePrefix="0" xfId="0"/>
    <xf numFmtId="2" fontId="12" fillId="22" borderId="2" pivotButton="0" quotePrefix="0" xfId="0"/>
    <xf numFmtId="2" fontId="16" fillId="22" borderId="25" pivotButton="0" quotePrefix="0" xfId="0"/>
    <xf numFmtId="2" fontId="12" fillId="22" borderId="0" pivotButton="0" quotePrefix="0" xfId="0"/>
    <xf numFmtId="2" fontId="12" fillId="23" borderId="2" pivotButton="0" quotePrefix="0" xfId="0"/>
    <xf numFmtId="2" fontId="16" fillId="23" borderId="25" pivotButton="0" quotePrefix="0" xfId="0"/>
    <xf numFmtId="2" fontId="12" fillId="23" borderId="0" pivotButton="0" quotePrefix="0" xfId="0"/>
    <xf numFmtId="2" fontId="12" fillId="24" borderId="2" pivotButton="0" quotePrefix="0" xfId="0"/>
    <xf numFmtId="2" fontId="16" fillId="24" borderId="25" pivotButton="0" quotePrefix="0" xfId="0"/>
    <xf numFmtId="2" fontId="12" fillId="24" borderId="0" pivotButton="0" quotePrefix="0" xfId="0"/>
    <xf numFmtId="2" fontId="12" fillId="25" borderId="2" pivotButton="0" quotePrefix="0" xfId="0"/>
    <xf numFmtId="2" fontId="16" fillId="25" borderId="25" pivotButton="0" quotePrefix="0" xfId="0"/>
    <xf numFmtId="2" fontId="12" fillId="25" borderId="0" pivotButton="0" quotePrefix="0" xfId="0"/>
    <xf numFmtId="2" fontId="12" fillId="26" borderId="2" pivotButton="0" quotePrefix="0" xfId="0"/>
    <xf numFmtId="2" fontId="16" fillId="26" borderId="25" pivotButton="0" quotePrefix="0" xfId="0"/>
    <xf numFmtId="2" fontId="12" fillId="26" borderId="0" pivotButton="0" quotePrefix="0" xfId="0"/>
    <xf numFmtId="2" fontId="12" fillId="27" borderId="2" pivotButton="0" quotePrefix="0" xfId="0"/>
    <xf numFmtId="2" fontId="16" fillId="27" borderId="25" pivotButton="0" quotePrefix="0" xfId="0"/>
    <xf numFmtId="2" fontId="12" fillId="27" borderId="0" pivotButton="0" quotePrefix="0" xfId="0"/>
    <xf numFmtId="2" fontId="12" fillId="28" borderId="2" pivotButton="0" quotePrefix="0" xfId="0"/>
    <xf numFmtId="2" fontId="16" fillId="28" borderId="25" pivotButton="0" quotePrefix="0" xfId="0"/>
    <xf numFmtId="2" fontId="12" fillId="28" borderId="0" pivotButton="0" quotePrefix="0" xfId="0"/>
    <xf numFmtId="2" fontId="12" fillId="29" borderId="2" pivotButton="0" quotePrefix="0" xfId="0"/>
    <xf numFmtId="2" fontId="16" fillId="29" borderId="25" pivotButton="0" quotePrefix="0" xfId="0"/>
    <xf numFmtId="2" fontId="12" fillId="29" borderId="0" pivotButton="0" quotePrefix="0" xfId="0"/>
    <xf numFmtId="2" fontId="12" fillId="30" borderId="2" pivotButton="0" quotePrefix="0" xfId="0"/>
    <xf numFmtId="2" fontId="16" fillId="30" borderId="25" pivotButton="0" quotePrefix="0" xfId="0"/>
    <xf numFmtId="2" fontId="12" fillId="30" borderId="0" pivotButton="0" quotePrefix="0" xfId="0"/>
    <xf numFmtId="2" fontId="12" fillId="31" borderId="2" pivotButton="0" quotePrefix="0" xfId="0"/>
    <xf numFmtId="2" fontId="16" fillId="31" borderId="25" pivotButton="0" quotePrefix="0" xfId="0"/>
    <xf numFmtId="2" fontId="12" fillId="31" borderId="0" pivotButton="0" quotePrefix="0" xfId="0"/>
    <xf numFmtId="2" fontId="12" fillId="32" borderId="2" pivotButton="0" quotePrefix="0" xfId="0"/>
    <xf numFmtId="2" fontId="16" fillId="32" borderId="25" pivotButton="0" quotePrefix="0" xfId="0"/>
    <xf numFmtId="2" fontId="12" fillId="32" borderId="0" pivotButton="0" quotePrefix="0" xfId="0"/>
    <xf numFmtId="2" fontId="12" fillId="33" borderId="2" pivotButton="0" quotePrefix="0" xfId="0"/>
    <xf numFmtId="2" fontId="16" fillId="33" borderId="25" pivotButton="0" quotePrefix="0" xfId="0"/>
    <xf numFmtId="2" fontId="12" fillId="33" borderId="0" pivotButton="0" quotePrefix="0" xfId="0"/>
    <xf numFmtId="2" fontId="12" fillId="34" borderId="2" pivotButton="0" quotePrefix="0" xfId="0"/>
    <xf numFmtId="2" fontId="16" fillId="34" borderId="25" pivotButton="0" quotePrefix="0" xfId="0"/>
    <xf numFmtId="2" fontId="12" fillId="34" borderId="0" pivotButton="0" quotePrefix="0" xfId="0"/>
    <xf numFmtId="2" fontId="12" fillId="35" borderId="2" pivotButton="0" quotePrefix="0" xfId="0"/>
    <xf numFmtId="2" fontId="16" fillId="35" borderId="25" pivotButton="0" quotePrefix="0" xfId="0"/>
    <xf numFmtId="2" fontId="12" fillId="35" borderId="0" pivotButton="0" quotePrefix="0" xfId="0"/>
    <xf numFmtId="2" fontId="12" fillId="36" borderId="2" pivotButton="0" quotePrefix="0" xfId="0"/>
    <xf numFmtId="2" fontId="16" fillId="36" borderId="25" pivotButton="0" quotePrefix="0" xfId="0"/>
    <xf numFmtId="2" fontId="12" fillId="36" borderId="0" pivotButton="0" quotePrefix="0" xfId="0"/>
    <xf numFmtId="2" fontId="12" fillId="37" borderId="2" pivotButton="0" quotePrefix="0" xfId="0"/>
    <xf numFmtId="2" fontId="16" fillId="37" borderId="25" pivotButton="0" quotePrefix="0" xfId="0"/>
    <xf numFmtId="2" fontId="12" fillId="37" borderId="0" pivotButton="0" quotePrefix="0" xfId="0"/>
    <xf numFmtId="2" fontId="12" fillId="38" borderId="2" pivotButton="0" quotePrefix="0" xfId="0"/>
    <xf numFmtId="2" fontId="16" fillId="38" borderId="25" pivotButton="0" quotePrefix="0" xfId="0"/>
    <xf numFmtId="2" fontId="12" fillId="38" borderId="0" pivotButton="0" quotePrefix="0" xfId="0"/>
    <xf numFmtId="2" fontId="12" fillId="39" borderId="2" pivotButton="0" quotePrefix="0" xfId="0"/>
    <xf numFmtId="2" fontId="16" fillId="39" borderId="25" pivotButton="0" quotePrefix="0" xfId="0"/>
    <xf numFmtId="2" fontId="12" fillId="39" borderId="0" pivotButton="0" quotePrefix="0" xfId="0"/>
    <xf numFmtId="2" fontId="12" fillId="40" borderId="2" pivotButton="0" quotePrefix="0" xfId="0"/>
    <xf numFmtId="2" fontId="16" fillId="40" borderId="25" pivotButton="0" quotePrefix="0" xfId="0"/>
    <xf numFmtId="2" fontId="12" fillId="40" borderId="0" pivotButton="0" quotePrefix="0" xfId="0"/>
    <xf numFmtId="2" fontId="12" fillId="41" borderId="2" pivotButton="0" quotePrefix="0" xfId="0"/>
    <xf numFmtId="2" fontId="16" fillId="41" borderId="25" pivotButton="0" quotePrefix="0" xfId="0"/>
    <xf numFmtId="2" fontId="12" fillId="41" borderId="0" pivotButton="0" quotePrefix="0" xfId="0"/>
    <xf numFmtId="2" fontId="12" fillId="42" borderId="2" pivotButton="0" quotePrefix="0" xfId="0"/>
    <xf numFmtId="2" fontId="16" fillId="42" borderId="25" pivotButton="0" quotePrefix="0" xfId="0"/>
    <xf numFmtId="2" fontId="12" fillId="42" borderId="0" pivotButton="0" quotePrefix="0" xfId="0"/>
    <xf numFmtId="2" fontId="12" fillId="159" borderId="2" pivotButton="0" quotePrefix="0" xfId="0"/>
    <xf numFmtId="2" fontId="16" fillId="159" borderId="25" pivotButton="0" quotePrefix="0" xfId="0"/>
    <xf numFmtId="2" fontId="12" fillId="159" borderId="0" pivotButton="0" quotePrefix="0" xfId="0"/>
    <xf numFmtId="2" fontId="12" fillId="43" borderId="2" pivotButton="0" quotePrefix="0" xfId="0"/>
    <xf numFmtId="2" fontId="16" fillId="43" borderId="25" pivotButton="0" quotePrefix="0" xfId="0"/>
    <xf numFmtId="2" fontId="12" fillId="43" borderId="0" pivotButton="0" quotePrefix="0" xfId="0"/>
    <xf numFmtId="2" fontId="12" fillId="43" borderId="24" pivotButton="0" quotePrefix="0" xfId="0"/>
    <xf numFmtId="2" fontId="12" fillId="44" borderId="2" pivotButton="0" quotePrefix="0" xfId="0"/>
    <xf numFmtId="2" fontId="16" fillId="44" borderId="25" pivotButton="0" quotePrefix="0" xfId="0"/>
    <xf numFmtId="2" fontId="12" fillId="44" borderId="0" pivotButton="0" quotePrefix="0" xfId="0"/>
    <xf numFmtId="2" fontId="12" fillId="45" borderId="2" pivotButton="0" quotePrefix="0" xfId="0"/>
    <xf numFmtId="2" fontId="16" fillId="45" borderId="25" pivotButton="0" quotePrefix="0" xfId="0"/>
    <xf numFmtId="2" fontId="12" fillId="45" borderId="0" pivotButton="0" quotePrefix="0" xfId="0"/>
    <xf numFmtId="2" fontId="12" fillId="181" borderId="2" pivotButton="0" quotePrefix="0" xfId="0"/>
    <xf numFmtId="2" fontId="16" fillId="181" borderId="25" pivotButton="0" quotePrefix="0" xfId="0"/>
    <xf numFmtId="2" fontId="12" fillId="181" borderId="0" pivotButton="0" quotePrefix="0" xfId="0"/>
    <xf numFmtId="2" fontId="12" fillId="46" borderId="2" pivotButton="0" quotePrefix="0" xfId="0"/>
    <xf numFmtId="2" fontId="16" fillId="46" borderId="25" pivotButton="0" quotePrefix="0" xfId="0"/>
    <xf numFmtId="2" fontId="12" fillId="46" borderId="0" pivotButton="0" quotePrefix="0" xfId="0"/>
    <xf numFmtId="2" fontId="12" fillId="47" borderId="2" pivotButton="0" quotePrefix="0" xfId="0"/>
    <xf numFmtId="2" fontId="16" fillId="47" borderId="25" pivotButton="0" quotePrefix="0" xfId="0"/>
    <xf numFmtId="2" fontId="12" fillId="47" borderId="0" pivotButton="0" quotePrefix="0" xfId="0"/>
    <xf numFmtId="2" fontId="14" fillId="48" borderId="2" pivotButton="0" quotePrefix="0" xfId="0"/>
    <xf numFmtId="2" fontId="16" fillId="48" borderId="25" pivotButton="0" quotePrefix="0" xfId="0"/>
    <xf numFmtId="2" fontId="12" fillId="48" borderId="0" pivotButton="0" quotePrefix="0" xfId="0"/>
    <xf numFmtId="2" fontId="14" fillId="49" borderId="2" pivotButton="0" quotePrefix="0" xfId="0"/>
    <xf numFmtId="2" fontId="16" fillId="49" borderId="25" pivotButton="0" quotePrefix="0" xfId="0"/>
    <xf numFmtId="2" fontId="12" fillId="49" borderId="0" pivotButton="0" quotePrefix="0" xfId="0"/>
    <xf numFmtId="2" fontId="12" fillId="50" borderId="2" pivotButton="0" quotePrefix="0" xfId="0"/>
    <xf numFmtId="2" fontId="16" fillId="50" borderId="25" pivotButton="0" quotePrefix="0" xfId="0"/>
    <xf numFmtId="2" fontId="12" fillId="50" borderId="0" pivotButton="0" quotePrefix="0" xfId="0"/>
    <xf numFmtId="2" fontId="12" fillId="51" borderId="2" pivotButton="0" quotePrefix="0" xfId="0"/>
    <xf numFmtId="2" fontId="16" fillId="51" borderId="25" pivotButton="0" quotePrefix="0" xfId="0"/>
    <xf numFmtId="2" fontId="12" fillId="51" borderId="0" pivotButton="0" quotePrefix="0" xfId="0"/>
    <xf numFmtId="2" fontId="12" fillId="52" borderId="2" pivotButton="0" quotePrefix="0" xfId="0"/>
    <xf numFmtId="2" fontId="16" fillId="52" borderId="25" pivotButton="0" quotePrefix="0" xfId="0"/>
    <xf numFmtId="2" fontId="12" fillId="52" borderId="0" pivotButton="0" quotePrefix="0" xfId="0"/>
    <xf numFmtId="2" fontId="12" fillId="53" borderId="2" pivotButton="0" quotePrefix="0" xfId="0"/>
    <xf numFmtId="2" fontId="16" fillId="53" borderId="25" pivotButton="0" quotePrefix="0" xfId="0"/>
    <xf numFmtId="2" fontId="12" fillId="53" borderId="0" pivotButton="0" quotePrefix="0" xfId="0"/>
    <xf numFmtId="2" fontId="12" fillId="54" borderId="2" pivotButton="0" quotePrefix="0" xfId="0"/>
    <xf numFmtId="2" fontId="16" fillId="54" borderId="25" pivotButton="0" quotePrefix="0" xfId="0"/>
    <xf numFmtId="2" fontId="12" fillId="54" borderId="0" pivotButton="0" quotePrefix="0" xfId="0"/>
    <xf numFmtId="2" fontId="12" fillId="180" borderId="2" pivotButton="0" quotePrefix="0" xfId="0"/>
    <xf numFmtId="2" fontId="16" fillId="180" borderId="25" pivotButton="0" quotePrefix="0" xfId="0"/>
    <xf numFmtId="2" fontId="12" fillId="180" borderId="0" pivotButton="0" quotePrefix="0" xfId="0"/>
    <xf numFmtId="2" fontId="12" fillId="195" borderId="2" pivotButton="0" quotePrefix="0" xfId="0"/>
    <xf numFmtId="2" fontId="16" fillId="195" borderId="25" pivotButton="0" quotePrefix="0" xfId="0"/>
    <xf numFmtId="2" fontId="12" fillId="195" borderId="0" pivotButton="0" quotePrefix="0" xfId="0"/>
    <xf numFmtId="2" fontId="12" fillId="194" borderId="2" pivotButton="0" quotePrefix="0" xfId="0"/>
    <xf numFmtId="2" fontId="16" fillId="194" borderId="25" pivotButton="0" quotePrefix="0" xfId="0"/>
    <xf numFmtId="2" fontId="12" fillId="194" borderId="0" pivotButton="0" quotePrefix="0" xfId="0"/>
    <xf numFmtId="2" fontId="12" fillId="179" borderId="2" pivotButton="0" quotePrefix="0" xfId="0"/>
    <xf numFmtId="2" fontId="16" fillId="179" borderId="25" pivotButton="0" quotePrefix="0" xfId="0"/>
    <xf numFmtId="2" fontId="12" fillId="179" borderId="0" pivotButton="0" quotePrefix="0" xfId="0"/>
    <xf numFmtId="2" fontId="12" fillId="55" borderId="2" pivotButton="0" quotePrefix="0" xfId="0"/>
    <xf numFmtId="2" fontId="16" fillId="55" borderId="25" pivotButton="0" quotePrefix="0" xfId="0"/>
    <xf numFmtId="2" fontId="12" fillId="55" borderId="0" pivotButton="0" quotePrefix="0" xfId="0"/>
    <xf numFmtId="2" fontId="12" fillId="56" borderId="2" pivotButton="0" quotePrefix="0" xfId="0"/>
    <xf numFmtId="2" fontId="16" fillId="56" borderId="25" pivotButton="0" quotePrefix="0" xfId="0"/>
    <xf numFmtId="2" fontId="12" fillId="56" borderId="0" pivotButton="0" quotePrefix="0" xfId="0"/>
    <xf numFmtId="2" fontId="12" fillId="175" borderId="2" pivotButton="0" quotePrefix="0" xfId="0"/>
    <xf numFmtId="2" fontId="16" fillId="175" borderId="25" pivotButton="0" quotePrefix="0" xfId="0"/>
    <xf numFmtId="2" fontId="12" fillId="175" borderId="0" pivotButton="0" quotePrefix="0" xfId="0"/>
    <xf numFmtId="2" fontId="12" fillId="174" borderId="2" pivotButton="0" quotePrefix="0" xfId="0"/>
    <xf numFmtId="2" fontId="16" fillId="174" borderId="25" pivotButton="0" quotePrefix="0" xfId="0"/>
    <xf numFmtId="2" fontId="12" fillId="174" borderId="0" pivotButton="0" quotePrefix="0" xfId="0"/>
    <xf numFmtId="2" fontId="12" fillId="176" borderId="2" pivotButton="0" quotePrefix="0" xfId="0"/>
    <xf numFmtId="2" fontId="16" fillId="176" borderId="25" pivotButton="0" quotePrefix="0" xfId="0"/>
    <xf numFmtId="2" fontId="12" fillId="176" borderId="0" pivotButton="0" quotePrefix="0" xfId="0"/>
    <xf numFmtId="2" fontId="12" fillId="57" borderId="2" pivotButton="0" quotePrefix="0" xfId="0"/>
    <xf numFmtId="2" fontId="16" fillId="57" borderId="25" pivotButton="0" quotePrefix="0" xfId="0"/>
    <xf numFmtId="2" fontId="12" fillId="57" borderId="0" pivotButton="0" quotePrefix="0" xfId="0"/>
    <xf numFmtId="2" fontId="12" fillId="58" borderId="2" pivotButton="0" quotePrefix="0" xfId="0"/>
    <xf numFmtId="2" fontId="16" fillId="58" borderId="25" pivotButton="0" quotePrefix="0" xfId="0"/>
    <xf numFmtId="2" fontId="12" fillId="58" borderId="0" pivotButton="0" quotePrefix="0" xfId="0"/>
    <xf numFmtId="2" fontId="12" fillId="59" borderId="2" pivotButton="0" quotePrefix="0" xfId="0"/>
    <xf numFmtId="2" fontId="16" fillId="59" borderId="25" pivotButton="0" quotePrefix="0" xfId="0"/>
    <xf numFmtId="2" fontId="12" fillId="59" borderId="0" pivotButton="0" quotePrefix="0" xfId="0"/>
    <xf numFmtId="2" fontId="12" fillId="60" borderId="24" pivotButton="0" quotePrefix="0" xfId="0"/>
    <xf numFmtId="2" fontId="16" fillId="60" borderId="25" pivotButton="0" quotePrefix="0" xfId="0"/>
    <xf numFmtId="2" fontId="12" fillId="60" borderId="0" pivotButton="0" quotePrefix="0" xfId="0"/>
    <xf numFmtId="2" fontId="12" fillId="61" borderId="24" pivotButton="0" quotePrefix="0" xfId="0"/>
    <xf numFmtId="2" fontId="16" fillId="61" borderId="25" pivotButton="0" quotePrefix="0" xfId="0"/>
    <xf numFmtId="2" fontId="12" fillId="61" borderId="0" pivotButton="0" quotePrefix="0" xfId="0"/>
    <xf numFmtId="2" fontId="12" fillId="62" borderId="24" pivotButton="0" quotePrefix="0" xfId="0"/>
    <xf numFmtId="2" fontId="16" fillId="62" borderId="25" pivotButton="0" quotePrefix="0" xfId="0"/>
    <xf numFmtId="2" fontId="12" fillId="62" borderId="0" pivotButton="0" quotePrefix="0" xfId="0"/>
    <xf numFmtId="2" fontId="12" fillId="36" borderId="24" pivotButton="0" quotePrefix="0" xfId="0"/>
    <xf numFmtId="2" fontId="12" fillId="63" borderId="24" pivotButton="0" quotePrefix="0" xfId="0"/>
    <xf numFmtId="2" fontId="16" fillId="63" borderId="25" pivotButton="0" quotePrefix="0" xfId="0"/>
    <xf numFmtId="2" fontId="12" fillId="63" borderId="0" pivotButton="0" quotePrefix="0" xfId="0"/>
    <xf numFmtId="2" fontId="12" fillId="178" borderId="24" pivotButton="0" quotePrefix="0" xfId="0"/>
    <xf numFmtId="2" fontId="16" fillId="178" borderId="25" pivotButton="0" quotePrefix="0" xfId="0"/>
    <xf numFmtId="2" fontId="12" fillId="178" borderId="0" pivotButton="0" quotePrefix="0" xfId="0"/>
    <xf numFmtId="2" fontId="12" fillId="177" borderId="24" pivotButton="0" quotePrefix="0" xfId="0"/>
    <xf numFmtId="2" fontId="16" fillId="177" borderId="25" pivotButton="0" quotePrefix="0" xfId="0"/>
    <xf numFmtId="2" fontId="12" fillId="177" borderId="0" pivotButton="0" quotePrefix="0" xfId="0"/>
    <xf numFmtId="2" fontId="12" fillId="64" borderId="24" pivotButton="0" quotePrefix="0" xfId="0"/>
    <xf numFmtId="2" fontId="16" fillId="64" borderId="25" pivotButton="0" quotePrefix="0" xfId="0"/>
    <xf numFmtId="2" fontId="12" fillId="64" borderId="0" pivotButton="0" quotePrefix="0" xfId="0"/>
    <xf numFmtId="2" fontId="12" fillId="65" borderId="24" pivotButton="0" quotePrefix="0" xfId="0"/>
    <xf numFmtId="2" fontId="16" fillId="65" borderId="25" pivotButton="0" quotePrefix="0" xfId="0"/>
    <xf numFmtId="2" fontId="12" fillId="65" borderId="0" pivotButton="0" quotePrefix="0" xfId="0"/>
    <xf numFmtId="2" fontId="12" fillId="66" borderId="24" pivotButton="0" quotePrefix="0" xfId="0"/>
    <xf numFmtId="2" fontId="16" fillId="66" borderId="25" pivotButton="0" quotePrefix="0" xfId="0"/>
    <xf numFmtId="2" fontId="12" fillId="66" borderId="0" pivotButton="0" quotePrefix="0" xfId="0"/>
    <xf numFmtId="167" fontId="8" fillId="10" borderId="7" applyAlignment="1" pivotButton="0" quotePrefix="0" xfId="0">
      <alignment horizontal="center" vertical="top" textRotation="45" wrapText="1"/>
    </xf>
    <xf numFmtId="165" fontId="7" fillId="3" borderId="1" applyAlignment="1" pivotButton="0" quotePrefix="0" xfId="0">
      <alignment horizontal="center" vertical="top" textRotation="45" wrapText="1"/>
    </xf>
    <xf numFmtId="165" fontId="10" fillId="7" borderId="1" applyAlignment="1" pivotButton="0" quotePrefix="0" xfId="0">
      <alignment horizontal="center" vertical="top" textRotation="45" wrapText="1"/>
    </xf>
    <xf numFmtId="165" fontId="10" fillId="11" borderId="1" applyAlignment="1" pivotButton="0" quotePrefix="0" xfId="0">
      <alignment horizontal="center" vertical="top" textRotation="45" wrapText="1"/>
    </xf>
    <xf numFmtId="165" fontId="10" fillId="6" borderId="11" applyAlignment="1" pivotButton="0" quotePrefix="0" xfId="0">
      <alignment horizontal="center" vertical="top" textRotation="45"/>
    </xf>
    <xf numFmtId="165" fontId="10" fillId="4" borderId="11" applyAlignment="1" pivotButton="0" quotePrefix="0" xfId="0">
      <alignment horizontal="center" vertical="top" textRotation="45"/>
    </xf>
    <xf numFmtId="165" fontId="10" fillId="12" borderId="11" applyAlignment="1" pivotButton="0" quotePrefix="0" xfId="0">
      <alignment horizontal="center" vertical="top" textRotation="45"/>
    </xf>
    <xf numFmtId="165" fontId="10" fillId="3" borderId="11" applyAlignment="1" pivotButton="0" quotePrefix="0" xfId="0">
      <alignment horizontal="center" vertical="top" textRotation="45"/>
    </xf>
    <xf numFmtId="165" fontId="7" fillId="2" borderId="21" applyAlignment="1" pivotButton="0" quotePrefix="0" xfId="0">
      <alignment horizontal="center" vertical="top" textRotation="45"/>
    </xf>
    <xf numFmtId="165" fontId="7" fillId="5" borderId="11" applyAlignment="1" pivotButton="0" quotePrefix="0" xfId="0">
      <alignment horizontal="center" vertical="top" textRotation="45"/>
    </xf>
    <xf numFmtId="165" fontId="11" fillId="10" borderId="9" pivotButton="0" quotePrefix="0" xfId="0"/>
    <xf numFmtId="165" fontId="5" fillId="2" borderId="0" pivotButton="0" quotePrefix="0" xfId="0"/>
    <xf numFmtId="165" fontId="5" fillId="10" borderId="17" pivotButton="0" quotePrefix="0" xfId="0"/>
    <xf numFmtId="165" fontId="5" fillId="5" borderId="8" pivotButton="0" quotePrefix="0" xfId="0"/>
    <xf numFmtId="165" fontId="5" fillId="5" borderId="17" pivotButton="0" quotePrefix="0" xfId="0"/>
    <xf numFmtId="165" fontId="5" fillId="5" borderId="4" pivotButton="0" quotePrefix="0" xfId="0"/>
    <xf numFmtId="165" fontId="10" fillId="3" borderId="8" pivotButton="0" quotePrefix="0" xfId="0"/>
    <xf numFmtId="165" fontId="10" fillId="3" borderId="4" pivotButton="0" quotePrefix="0" xfId="0"/>
    <xf numFmtId="165" fontId="3" fillId="3" borderId="4" pivotButton="0" quotePrefix="0" xfId="0"/>
    <xf numFmtId="165" fontId="10" fillId="3" borderId="9" pivotButton="0" quotePrefix="0" xfId="0"/>
    <xf numFmtId="165" fontId="10" fillId="7" borderId="8" pivotButton="0" quotePrefix="0" xfId="0"/>
    <xf numFmtId="165" fontId="10" fillId="7" borderId="4" pivotButton="0" quotePrefix="0" xfId="0"/>
    <xf numFmtId="165" fontId="3" fillId="7" borderId="4" pivotButton="0" quotePrefix="0" xfId="0"/>
    <xf numFmtId="165" fontId="10" fillId="7" borderId="9" pivotButton="0" quotePrefix="0" xfId="0"/>
    <xf numFmtId="165" fontId="10" fillId="11" borderId="8" pivotButton="0" quotePrefix="0" xfId="0"/>
    <xf numFmtId="165" fontId="10" fillId="11" borderId="4" pivotButton="0" quotePrefix="0" xfId="0"/>
    <xf numFmtId="165" fontId="3" fillId="11" borderId="4" pivotButton="0" quotePrefix="0" xfId="0"/>
    <xf numFmtId="165" fontId="10" fillId="11" borderId="9" pivotButton="0" quotePrefix="0" xfId="0"/>
    <xf numFmtId="165" fontId="10" fillId="6" borderId="4" pivotButton="0" quotePrefix="0" xfId="0"/>
    <xf numFmtId="165" fontId="3" fillId="6" borderId="4" pivotButton="0" quotePrefix="0" xfId="0"/>
    <xf numFmtId="165" fontId="10" fillId="4" borderId="4" pivotButton="0" quotePrefix="0" xfId="0"/>
    <xf numFmtId="165" fontId="3" fillId="4" borderId="4" pivotButton="0" quotePrefix="0" xfId="0"/>
    <xf numFmtId="165" fontId="10" fillId="12" borderId="4" pivotButton="0" quotePrefix="0" xfId="0"/>
    <xf numFmtId="165" fontId="3" fillId="12" borderId="4" pivotButton="0" quotePrefix="0" xfId="0"/>
    <xf numFmtId="165" fontId="10" fillId="3" borderId="2" pivotButton="0" quotePrefix="0" xfId="0"/>
    <xf numFmtId="165" fontId="10" fillId="2" borderId="23" pivotButton="0" quotePrefix="0" xfId="0"/>
    <xf numFmtId="165" fontId="10" fillId="2" borderId="4" pivotButton="0" quotePrefix="0" xfId="0"/>
    <xf numFmtId="165" fontId="3" fillId="2" borderId="4" pivotButton="0" quotePrefix="0" xfId="0"/>
    <xf numFmtId="165" fontId="10" fillId="2" borderId="24" pivotButton="0" quotePrefix="0" xfId="0"/>
    <xf numFmtId="165" fontId="10" fillId="5" borderId="17" pivotButton="0" quotePrefix="0" xfId="0"/>
    <xf numFmtId="165" fontId="10" fillId="5" borderId="4" pivotButton="0" quotePrefix="0" xfId="0"/>
    <xf numFmtId="165" fontId="3" fillId="5" borderId="4" pivotButton="0" quotePrefix="0" xfId="0"/>
    <xf numFmtId="165" fontId="5" fillId="2" borderId="8" pivotButton="0" quotePrefix="0" xfId="0"/>
    <xf numFmtId="165" fontId="10" fillId="7" borderId="17" pivotButton="0" quotePrefix="0" xfId="0"/>
    <xf numFmtId="165" fontId="3" fillId="7" borderId="17" pivotButton="0" quotePrefix="0" xfId="0"/>
    <xf numFmtId="165" fontId="3" fillId="7" borderId="2" pivotButton="0" quotePrefix="0" xfId="0"/>
    <xf numFmtId="165" fontId="10" fillId="11" borderId="17" pivotButton="0" quotePrefix="0" xfId="0"/>
    <xf numFmtId="165" fontId="3" fillId="11" borderId="17" pivotButton="0" quotePrefix="0" xfId="0"/>
    <xf numFmtId="165" fontId="3" fillId="11" borderId="2" pivotButton="0" quotePrefix="0" xfId="0"/>
    <xf numFmtId="165" fontId="10" fillId="6" borderId="17" pivotButton="0" quotePrefix="0" xfId="0"/>
    <xf numFmtId="165" fontId="3" fillId="6" borderId="17" pivotButton="0" quotePrefix="0" xfId="0"/>
    <xf numFmtId="165" fontId="3" fillId="6" borderId="2" pivotButton="0" quotePrefix="0" xfId="0"/>
    <xf numFmtId="165" fontId="10" fillId="6" borderId="2" pivotButton="0" quotePrefix="0" xfId="0"/>
    <xf numFmtId="165" fontId="10" fillId="4" borderId="17" pivotButton="0" quotePrefix="0" xfId="0"/>
    <xf numFmtId="165" fontId="3" fillId="4" borderId="17" pivotButton="0" quotePrefix="0" xfId="0"/>
    <xf numFmtId="165" fontId="3" fillId="4" borderId="2" pivotButton="0" quotePrefix="0" xfId="0"/>
    <xf numFmtId="165" fontId="10" fillId="4" borderId="2" pivotButton="0" quotePrefix="0" xfId="0"/>
    <xf numFmtId="165" fontId="10" fillId="12" borderId="17" pivotButton="0" quotePrefix="0" xfId="0"/>
    <xf numFmtId="165" fontId="3" fillId="12" borderId="17" pivotButton="0" quotePrefix="0" xfId="0"/>
    <xf numFmtId="165" fontId="3" fillId="12" borderId="2" pivotButton="0" quotePrefix="0" xfId="0"/>
    <xf numFmtId="165" fontId="10" fillId="12" borderId="2" pivotButton="0" quotePrefix="0" xfId="0"/>
    <xf numFmtId="165" fontId="10" fillId="3" borderId="17" pivotButton="0" quotePrefix="0" xfId="0"/>
    <xf numFmtId="165" fontId="3" fillId="3" borderId="17" pivotButton="0" quotePrefix="0" xfId="0"/>
    <xf numFmtId="165" fontId="3" fillId="3" borderId="2" pivotButton="0" quotePrefix="0" xfId="0"/>
    <xf numFmtId="165" fontId="10" fillId="2" borderId="17" pivotButton="0" quotePrefix="0" xfId="0"/>
    <xf numFmtId="165" fontId="3" fillId="2" borderId="17" pivotButton="0" quotePrefix="0" xfId="0"/>
    <xf numFmtId="165" fontId="3" fillId="2" borderId="2" pivotButton="0" quotePrefix="0" xfId="0"/>
    <xf numFmtId="165" fontId="10" fillId="2" borderId="2" pivotButton="0" quotePrefix="0" xfId="0"/>
    <xf numFmtId="165" fontId="3" fillId="5" borderId="17" pivotButton="0" quotePrefix="0" xfId="0"/>
    <xf numFmtId="165" fontId="3" fillId="5" borderId="2" pivotButton="0" quotePrefix="0" xfId="0"/>
    <xf numFmtId="165" fontId="0" fillId="2" borderId="0" pivotButton="0" quotePrefix="0" xfId="0"/>
    <xf numFmtId="165" fontId="0" fillId="5" borderId="17" pivotButton="0" quotePrefix="0" xfId="0"/>
    <xf numFmtId="165" fontId="0" fillId="5" borderId="4" pivotButton="0" quotePrefix="0" xfId="0"/>
    <xf numFmtId="165" fontId="10" fillId="3" borderId="0" pivotButton="0" quotePrefix="0" xfId="0"/>
    <xf numFmtId="165" fontId="10" fillId="7" borderId="0" pivotButton="0" quotePrefix="0" xfId="0"/>
    <xf numFmtId="165" fontId="10" fillId="11" borderId="2" pivotButton="0" quotePrefix="0" xfId="0"/>
    <xf numFmtId="165" fontId="10" fillId="11" borderId="0" pivotButton="0" quotePrefix="0" xfId="0"/>
    <xf numFmtId="165" fontId="10" fillId="6" borderId="0" pivotButton="0" quotePrefix="0" xfId="0"/>
    <xf numFmtId="165" fontId="10" fillId="4" borderId="0" pivotButton="0" quotePrefix="0" xfId="0"/>
    <xf numFmtId="165" fontId="10" fillId="12" borderId="0" pivotButton="0" quotePrefix="0" xfId="0"/>
    <xf numFmtId="165" fontId="10" fillId="2" borderId="25" pivotButton="0" quotePrefix="0" xfId="0"/>
    <xf numFmtId="165" fontId="10" fillId="5" borderId="0" pivotButton="0" quotePrefix="0" xfId="0"/>
    <xf numFmtId="165" fontId="11" fillId="10" borderId="0" pivotButton="0" quotePrefix="0" xfId="0"/>
    <xf numFmtId="165" fontId="5" fillId="5" borderId="0" pivotButton="0" quotePrefix="0" xfId="0"/>
    <xf numFmtId="165" fontId="5" fillId="5" borderId="29" pivotButton="0" quotePrefix="0" xfId="0"/>
    <xf numFmtId="165" fontId="10" fillId="3" borderId="24" pivotButton="0" quotePrefix="0" xfId="0"/>
    <xf numFmtId="165" fontId="10" fillId="2" borderId="0" pivotButton="0" quotePrefix="0" xfId="0"/>
    <xf numFmtId="164" fontId="0" fillId="0" borderId="0" pivotButton="0" quotePrefix="0" xfId="2"/>
    <xf numFmtId="164" fontId="1" fillId="0" borderId="0" pivotButton="0" quotePrefix="0" xfId="1"/>
    <xf numFmtId="165" fontId="0" fillId="0" borderId="4" pivotButton="0" quotePrefix="0" xfId="0"/>
    <xf numFmtId="165" fontId="17" fillId="0" borderId="4" applyAlignment="1" pivotButton="0" quotePrefix="0" xfId="0">
      <alignment horizontal="center" vertical="top" textRotation="45"/>
    </xf>
    <xf numFmtId="165" fontId="12" fillId="198" borderId="4" pivotButton="0" quotePrefix="0" xfId="0"/>
    <xf numFmtId="165" fontId="12" fillId="157" borderId="0" pivotButton="0" quotePrefix="0" xfId="0"/>
    <xf numFmtId="165" fontId="12" fillId="201" borderId="0" pivotButton="0" quotePrefix="0" xfId="0"/>
    <xf numFmtId="165" fontId="12" fillId="88" borderId="0" pivotButton="0" quotePrefix="0" xfId="0"/>
    <xf numFmtId="165" fontId="12" fillId="154" borderId="0" pivotButton="0" quotePrefix="0" xfId="0"/>
    <xf numFmtId="165" fontId="12" fillId="87" borderId="0" pivotButton="0" quotePrefix="0" xfId="0"/>
    <xf numFmtId="165" fontId="12" fillId="138" borderId="0" pivotButton="0" quotePrefix="0" xfId="0"/>
    <xf numFmtId="165" fontId="12" fillId="83" borderId="0" pivotButton="0" quotePrefix="0" xfId="0"/>
    <xf numFmtId="165" fontId="12" fillId="117" borderId="0" pivotButton="0" quotePrefix="0" xfId="0"/>
    <xf numFmtId="165" fontId="12" fillId="94" borderId="0" pivotButton="0" quotePrefix="0" xfId="0"/>
    <xf numFmtId="165" fontId="12" fillId="82" borderId="0" pivotButton="0" quotePrefix="0" xfId="0"/>
    <xf numFmtId="165" fontId="12" fillId="115" borderId="0" pivotButton="0" quotePrefix="0" xfId="0"/>
    <xf numFmtId="165" fontId="12" fillId="113" borderId="0" pivotButton="0" quotePrefix="0" xfId="0"/>
    <xf numFmtId="165" fontId="12" fillId="120" borderId="0" pivotButton="0" quotePrefix="0" xfId="0"/>
    <xf numFmtId="165" fontId="12" fillId="91" borderId="0" pivotButton="0" quotePrefix="0" xfId="0"/>
    <xf numFmtId="165" fontId="12" fillId="202" borderId="0" pivotButton="0" quotePrefix="0" xfId="0"/>
    <xf numFmtId="165" fontId="12" fillId="109" borderId="0" pivotButton="0" quotePrefix="0" xfId="0"/>
    <xf numFmtId="165" fontId="12" fillId="131" borderId="0" pivotButton="0" quotePrefix="0" xfId="0"/>
    <xf numFmtId="165" fontId="12" fillId="130" borderId="0" pivotButton="0" quotePrefix="0" xfId="0"/>
    <xf numFmtId="165" fontId="12" fillId="73" borderId="0" pivotButton="0" quotePrefix="0" xfId="0"/>
    <xf numFmtId="165" fontId="12" fillId="200" borderId="0" pivotButton="0" quotePrefix="0" xfId="0"/>
    <xf numFmtId="165" fontId="12" fillId="116" borderId="0" pivotButton="0" quotePrefix="0" xfId="0"/>
    <xf numFmtId="165" fontId="12" fillId="110" borderId="0" pivotButton="0" quotePrefix="0" xfId="0"/>
    <xf numFmtId="165" fontId="12" fillId="67" borderId="0" pivotButton="0" quotePrefix="0" xfId="0"/>
    <xf numFmtId="165" fontId="12" fillId="85" borderId="0" pivotButton="0" quotePrefix="0" xfId="0"/>
    <xf numFmtId="165" fontId="12" fillId="125" borderId="0" pivotButton="0" quotePrefix="0" xfId="0"/>
    <xf numFmtId="165" fontId="12" fillId="118" borderId="0" pivotButton="0" quotePrefix="0" xfId="0"/>
    <xf numFmtId="165" fontId="12" fillId="84" borderId="0" pivotButton="0" quotePrefix="0" xfId="0"/>
    <xf numFmtId="165" fontId="12" fillId="93" borderId="0" pivotButton="0" quotePrefix="0" xfId="0"/>
    <xf numFmtId="165" fontId="12" fillId="149" borderId="0" pivotButton="0" quotePrefix="0" xfId="0"/>
    <xf numFmtId="165" fontId="12" fillId="122" borderId="0" pivotButton="0" quotePrefix="0" xfId="0"/>
    <xf numFmtId="165" fontId="12" fillId="156" borderId="0" pivotButton="0" quotePrefix="0" xfId="0"/>
    <xf numFmtId="165" fontId="12" fillId="134" borderId="0" pivotButton="0" quotePrefix="0" xfId="0"/>
    <xf numFmtId="165" fontId="12" fillId="75" borderId="0" pivotButton="0" quotePrefix="0" xfId="0"/>
    <xf numFmtId="165" fontId="12" fillId="90" borderId="0" pivotButton="0" quotePrefix="0" xfId="0"/>
    <xf numFmtId="165" fontId="12" fillId="80" borderId="0" pivotButton="0" quotePrefix="0" xfId="0"/>
    <xf numFmtId="165" fontId="12" fillId="132" borderId="0" pivotButton="0" quotePrefix="0" xfId="0"/>
    <xf numFmtId="165" fontId="12" fillId="123" borderId="0" pivotButton="0" quotePrefix="0" xfId="0"/>
    <xf numFmtId="165" fontId="12" fillId="124" borderId="0" pivotButton="0" quotePrefix="0" xfId="0"/>
    <xf numFmtId="165" fontId="12" fillId="68" borderId="0" pivotButton="0" quotePrefix="0" xfId="0"/>
    <xf numFmtId="165" fontId="12" fillId="69" borderId="0" pivotButton="0" quotePrefix="0" xfId="0"/>
    <xf numFmtId="165" fontId="12" fillId="70" borderId="0" pivotButton="0" quotePrefix="0" xfId="0"/>
    <xf numFmtId="165" fontId="12" fillId="71" borderId="0" pivotButton="0" quotePrefix="0" xfId="0"/>
    <xf numFmtId="165" fontId="12" fillId="72" borderId="0" pivotButton="0" quotePrefix="0" xfId="0"/>
    <xf numFmtId="165" fontId="12" fillId="74" borderId="0" pivotButton="0" quotePrefix="0" xfId="0"/>
    <xf numFmtId="165" fontId="12" fillId="76" borderId="0" pivotButton="0" quotePrefix="0" xfId="0"/>
    <xf numFmtId="165" fontId="12" fillId="136" borderId="0" pivotButton="0" quotePrefix="0" xfId="0"/>
    <xf numFmtId="165" fontId="12" fillId="133" borderId="0" pivotButton="0" quotePrefix="0" xfId="0"/>
    <xf numFmtId="165" fontId="12" fillId="137" borderId="0" pivotButton="0" quotePrefix="0" xfId="0"/>
    <xf numFmtId="165" fontId="12" fillId="77" borderId="0" pivotButton="0" quotePrefix="0" xfId="0"/>
    <xf numFmtId="165" fontId="12" fillId="78" borderId="0" pivotButton="0" quotePrefix="0" xfId="0"/>
    <xf numFmtId="165" fontId="12" fillId="79" borderId="0" pivotButton="0" quotePrefix="0" xfId="0"/>
    <xf numFmtId="165" fontId="12" fillId="81" borderId="0" pivotButton="0" quotePrefix="0" xfId="0"/>
    <xf numFmtId="165" fontId="12" fillId="139" borderId="0" pivotButton="0" quotePrefix="0" xfId="0"/>
    <xf numFmtId="165" fontId="12" fillId="140" borderId="0" pivotButton="0" quotePrefix="0" xfId="0"/>
    <xf numFmtId="165" fontId="12" fillId="141" borderId="0" pivotButton="0" quotePrefix="0" xfId="0"/>
    <xf numFmtId="165" fontId="12" fillId="86" borderId="0" pivotButton="0" quotePrefix="0" xfId="0"/>
    <xf numFmtId="165" fontId="12" fillId="89" borderId="0" pivotButton="0" quotePrefix="0" xfId="0"/>
    <xf numFmtId="165" fontId="12" fillId="92" borderId="0" pivotButton="0" quotePrefix="0" xfId="0"/>
    <xf numFmtId="165" fontId="12" fillId="95" borderId="0" pivotButton="0" quotePrefix="0" xfId="0"/>
    <xf numFmtId="165" fontId="12" fillId="96" borderId="0" pivotButton="0" quotePrefix="0" xfId="0"/>
    <xf numFmtId="165" fontId="12" fillId="97" borderId="0" pivotButton="0" quotePrefix="0" xfId="0"/>
    <xf numFmtId="165" fontId="12" fillId="142" borderId="0" pivotButton="0" quotePrefix="0" xfId="0"/>
    <xf numFmtId="165" fontId="12" fillId="143" borderId="0" pivotButton="0" quotePrefix="0" xfId="0"/>
    <xf numFmtId="165" fontId="12" fillId="98" borderId="0" pivotButton="0" quotePrefix="0" xfId="0"/>
    <xf numFmtId="165" fontId="12" fillId="99" borderId="0" pivotButton="0" quotePrefix="0" xfId="0"/>
    <xf numFmtId="165" fontId="12" fillId="100" borderId="0" pivotButton="0" quotePrefix="0" xfId="0"/>
    <xf numFmtId="165" fontId="12" fillId="144" borderId="0" pivotButton="0" quotePrefix="0" xfId="0"/>
    <xf numFmtId="165" fontId="12" fillId="101" borderId="0" pivotButton="0" quotePrefix="0" xfId="0"/>
    <xf numFmtId="165" fontId="12" fillId="145" borderId="0" pivotButton="0" quotePrefix="0" xfId="0"/>
    <xf numFmtId="165" fontId="12" fillId="102" borderId="0" pivotButton="0" quotePrefix="0" xfId="0"/>
    <xf numFmtId="165" fontId="12" fillId="103" borderId="0" pivotButton="0" quotePrefix="0" xfId="0"/>
    <xf numFmtId="165" fontId="12" fillId="104" borderId="0" pivotButton="0" quotePrefix="0" xfId="0"/>
    <xf numFmtId="165" fontId="12" fillId="105" borderId="0" pivotButton="0" quotePrefix="0" xfId="0"/>
    <xf numFmtId="165" fontId="12" fillId="135" borderId="0" pivotButton="0" quotePrefix="0" xfId="0"/>
    <xf numFmtId="165" fontId="12" fillId="106" borderId="0" pivotButton="0" quotePrefix="0" xfId="0"/>
    <xf numFmtId="165" fontId="12" fillId="146" borderId="0" pivotButton="0" quotePrefix="0" xfId="0"/>
    <xf numFmtId="165" fontId="12" fillId="107" borderId="0" pivotButton="0" quotePrefix="0" xfId="0"/>
    <xf numFmtId="165" fontId="12" fillId="108" borderId="0" pivotButton="0" quotePrefix="0" xfId="0"/>
    <xf numFmtId="165" fontId="12" fillId="147" borderId="0" pivotButton="0" quotePrefix="0" xfId="0"/>
    <xf numFmtId="165" fontId="12" fillId="111" borderId="0" pivotButton="0" quotePrefix="0" xfId="0"/>
    <xf numFmtId="165" fontId="12" fillId="112" borderId="0" pivotButton="0" quotePrefix="0" xfId="0"/>
    <xf numFmtId="165" fontId="12" fillId="148" borderId="0" pivotButton="0" quotePrefix="0" xfId="0"/>
    <xf numFmtId="165" fontId="12" fillId="114" borderId="0" pivotButton="0" quotePrefix="0" xfId="0"/>
    <xf numFmtId="165" fontId="12" fillId="119" borderId="0" pivotButton="0" quotePrefix="0" xfId="0"/>
    <xf numFmtId="165" fontId="12" fillId="121" borderId="0" pivotButton="0" quotePrefix="0" xfId="0"/>
    <xf numFmtId="165" fontId="12" fillId="150" borderId="0" pivotButton="0" quotePrefix="0" xfId="0"/>
    <xf numFmtId="165" fontId="12" fillId="151" borderId="0" pivotButton="0" quotePrefix="0" xfId="0"/>
    <xf numFmtId="165" fontId="12" fillId="152" borderId="0" pivotButton="0" quotePrefix="0" xfId="0"/>
    <xf numFmtId="165" fontId="12" fillId="126" borderId="0" pivotButton="0" quotePrefix="0" xfId="0"/>
    <xf numFmtId="165" fontId="12" fillId="153" borderId="0" pivotButton="0" quotePrefix="0" xfId="0"/>
    <xf numFmtId="165" fontId="12" fillId="127" borderId="0" pivotButton="0" quotePrefix="0" xfId="0"/>
    <xf numFmtId="165" fontId="12" fillId="128" borderId="0" pivotButton="0" quotePrefix="0" xfId="0"/>
    <xf numFmtId="165" fontId="12" fillId="129" borderId="0" pivotButton="0" quotePrefix="0" xfId="0"/>
    <xf numFmtId="165" fontId="12" fillId="155" borderId="0" pivotButton="0" quotePrefix="0" xfId="0"/>
    <xf numFmtId="165" fontId="12" fillId="158" borderId="0" pivotButton="0" quotePrefix="0" xfId="0"/>
    <xf numFmtId="165" fontId="12" fillId="160" borderId="0" pivotButton="0" quotePrefix="0" xfId="0"/>
    <xf numFmtId="165" fontId="12" fillId="161" borderId="0" pivotButton="0" quotePrefix="0" xfId="0"/>
    <xf numFmtId="165" fontId="12" fillId="162" borderId="0" pivotButton="0" quotePrefix="0" xfId="0"/>
    <xf numFmtId="165" fontId="12" fillId="163" borderId="0" pivotButton="0" quotePrefix="0" xfId="0"/>
    <xf numFmtId="165" fontId="12" fillId="164" borderId="0" pivotButton="0" quotePrefix="0" xfId="0"/>
    <xf numFmtId="165" fontId="12" fillId="165" borderId="0" pivotButton="0" quotePrefix="0" xfId="0"/>
    <xf numFmtId="165" fontId="12" fillId="166" borderId="0" pivotButton="0" quotePrefix="0" xfId="0"/>
    <xf numFmtId="165" fontId="12" fillId="167" borderId="0" pivotButton="0" quotePrefix="0" xfId="0"/>
    <xf numFmtId="165" fontId="12" fillId="168" borderId="0" pivotButton="0" quotePrefix="0" xfId="0"/>
    <xf numFmtId="165" fontId="12" fillId="169" borderId="0" pivotButton="0" quotePrefix="0" xfId="0"/>
    <xf numFmtId="165" fontId="12" fillId="170" borderId="0" pivotButton="0" quotePrefix="0" xfId="0"/>
    <xf numFmtId="165" fontId="12" fillId="171" borderId="0" pivotButton="0" quotePrefix="0" xfId="0"/>
    <xf numFmtId="165" fontId="12" fillId="172" borderId="0" pivotButton="0" quotePrefix="0" xfId="0"/>
    <xf numFmtId="165" fontId="12" fillId="173" borderId="0" pivotButton="0" quotePrefix="0" xfId="0"/>
    <xf numFmtId="165" fontId="12" fillId="199" borderId="0" pivotButton="0" quotePrefix="0" xfId="0"/>
    <xf numFmtId="168" fontId="0" fillId="0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vertical="center" wrapText="1"/>
    </xf>
    <xf numFmtId="0" fontId="22" fillId="204" borderId="0" applyAlignment="1" pivotButton="0" quotePrefix="0" xfId="0">
      <alignment horizontal="center" vertical="center" wrapText="1"/>
    </xf>
    <xf numFmtId="0" fontId="0" fillId="205" borderId="32" applyAlignment="1" pivotButton="0" quotePrefix="0" xfId="0">
      <alignment vertical="center" wrapText="1"/>
    </xf>
    <xf numFmtId="0" fontId="0" fillId="0" borderId="32" applyAlignment="1" pivotButton="0" quotePrefix="0" xfId="0">
      <alignment vertical="center" wrapText="1"/>
    </xf>
    <xf numFmtId="0" fontId="0" fillId="206" borderId="32" applyAlignment="1" pivotButton="0" quotePrefix="0" xfId="0">
      <alignment vertical="center" wrapText="1"/>
    </xf>
    <xf numFmtId="0" fontId="0" fillId="207" borderId="32" applyAlignment="1" pivotButton="0" quotePrefix="0" xfId="0">
      <alignment vertical="center" wrapText="1"/>
    </xf>
    <xf numFmtId="0" fontId="0" fillId="208" borderId="32" applyAlignment="1" pivotButton="0" quotePrefix="0" xfId="0">
      <alignment vertical="center" wrapText="1"/>
    </xf>
    <xf numFmtId="0" fontId="23" fillId="0" borderId="0" pivotButton="0" quotePrefix="0" xfId="0"/>
    <xf numFmtId="0" fontId="0" fillId="0" borderId="32" pivotButton="0" quotePrefix="0" xfId="0"/>
    <xf numFmtId="0" fontId="0" fillId="208" borderId="32" applyAlignment="1" pivotButton="0" quotePrefix="0" xfId="0">
      <alignment horizontal="center"/>
    </xf>
    <xf numFmtId="0" fontId="0" fillId="209" borderId="32" applyAlignment="1" pivotButton="0" quotePrefix="0" xfId="0">
      <alignment horizontal="center"/>
    </xf>
    <xf numFmtId="0" fontId="0" fillId="207" borderId="32" applyAlignment="1" pivotButton="0" quotePrefix="0" xfId="0">
      <alignment horizontal="center"/>
    </xf>
    <xf numFmtId="0" fontId="0" fillId="205" borderId="32" applyAlignment="1" pivotButton="0" quotePrefix="0" xfId="0">
      <alignment horizontal="center"/>
    </xf>
    <xf numFmtId="0" fontId="0" fillId="210" borderId="32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4" fillId="204" borderId="0" applyAlignment="1" pivotButton="0" quotePrefix="0" xfId="0">
      <alignment horizontal="center" vertical="center" wrapText="1"/>
    </xf>
    <xf numFmtId="0" fontId="23" fillId="205" borderId="32" applyAlignment="1" pivotButton="0" quotePrefix="0" xfId="0">
      <alignment vertical="center" wrapText="1"/>
    </xf>
    <xf numFmtId="0" fontId="23" fillId="207" borderId="32" applyAlignment="1" pivotButton="0" quotePrefix="0" xfId="0">
      <alignment vertical="center" wrapText="1"/>
    </xf>
    <xf numFmtId="0" fontId="23" fillId="0" borderId="32" applyAlignment="1" pivotButton="0" quotePrefix="0" xfId="0">
      <alignment vertical="center" wrapText="1"/>
    </xf>
    <xf numFmtId="0" fontId="24" fillId="204" borderId="0" pivotButton="0" quotePrefix="0" xfId="0"/>
    <xf numFmtId="0" fontId="0" fillId="205" borderId="32" pivotButton="0" quotePrefix="0" xfId="0"/>
    <xf numFmtId="0" fontId="0" fillId="207" borderId="32" pivotButton="0" quotePrefix="0" xfId="0"/>
    <xf numFmtId="0" fontId="0" fillId="206" borderId="32" pivotButton="0" quotePrefix="0" xfId="0"/>
  </cellXfs>
  <cellStyles count="4">
    <cellStyle name="Normal" xfId="0" builtinId="0"/>
    <cellStyle name="Lien hypertexte" xfId="1" builtinId="8"/>
    <cellStyle name="Monétaire" xfId="2" builtinId="4"/>
    <cellStyle name="Pourcentage" xfId="3" builtinId="5"/>
  </cellStyles>
  <dxfs count="130"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rgb="FF010101"/>
        <extend val="0"/>
        <sz val="12"/>
        <vertAlign val="baseline"/>
        <scheme val="minor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FF0000"/>
        </patternFill>
      </fill>
    </dxf>
    <dxf>
      <fill>
        <patternFill>
          <bgColor rgb="FFFFFD78"/>
        </patternFill>
      </fill>
    </dxf>
    <dxf>
      <fill>
        <patternFill>
          <bgColor theme="6" tint="0.3999450666829432"/>
        </patternFill>
      </fill>
    </dxf>
    <dxf>
      <font>
        <b val="1"/>
        <color theme="9" tint="-0.249946592608417"/>
      </font>
    </dxf>
    <dxf>
      <font>
        <b val="1"/>
        <color rgb="FFC00000"/>
      </font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 style="thin">
          <color theme="9"/>
        </right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fill>
        <patternFill patternType="solid">
          <fgColor indexed="64"/>
          <bgColor rgb="FFFFFD78"/>
        </patternFill>
      </fill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</border>
    </dxf>
    <dxf>
      <border outline="0">
        <top style="thin">
          <color indexed="64"/>
        </top>
        <bottom style="thin">
          <color theme="9"/>
        </bottom>
      </border>
    </dxf>
    <dxf>
      <border outline="0"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theme="9"/>
          <bgColor theme="9"/>
        </patternFill>
      </fill>
      <alignment horizontal="right" vertical="top" textRotation="45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64" formatCode="0.0"/>
      <fill>
        <patternFill patternType="solid">
          <fgColor indexed="64"/>
          <bgColor rgb="FF9ECCA2"/>
        </patternFill>
      </fill>
    </dxf>
    <dxf>
      <font>
        <name val="Aptos Narrow"/>
        <family val="2"/>
        <strike val="0"/>
        <outline val="0"/>
        <shadow val="0"/>
        <condense val="0"/>
        <color rgb="FF010101"/>
        <extend val="0"/>
        <sz val="12"/>
        <vertAlign val="baseline"/>
        <scheme val="minor"/>
      </font>
      <fill>
        <patternFill patternType="solid">
          <fgColor indexed="64"/>
          <bgColor rgb="FF9ECCA2"/>
        </patternFill>
      </fill>
    </dxf>
    <dxf>
      <font>
        <color rgb="FF010101"/>
      </font>
      <fill>
        <patternFill patternType="solid">
          <fgColor indexed="64"/>
          <bgColor rgb="FF9ECCA2"/>
        </patternFill>
      </fill>
    </dxf>
    <dxf>
      <alignment horizontal="general" vertical="bottom" textRotation="45"/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name val="Aptos Narrow"/>
        <strike val="0"/>
        <outline val="0"/>
        <shadow val="0"/>
        <color rgb="FF010101"/>
        <sz val="12"/>
        <vertAlign val="baseline"/>
        <scheme val="minor"/>
      </font>
      <numFmt numFmtId="2" formatCode="0.00"/>
      <fill>
        <patternFill patternType="solid">
          <fgColor indexed="64"/>
          <bgColor rgb="FFE19CAD"/>
        </patternFill>
      </fill>
      <border outline="0">
        <left style="medium">
          <color indexed="64"/>
        </left>
        <right/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medium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rgb="FF010101"/>
        <extend val="0"/>
        <sz val="12"/>
        <vertAlign val="baseline"/>
        <scheme val="minor"/>
      </font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  <border outline="0">
        <left/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</dxf>
    <dxf>
      <font>
        <name val="Aptos Narrow"/>
        <strike val="0"/>
        <outline val="0"/>
        <shadow val="0"/>
        <color theme="0"/>
        <sz val="12"/>
        <vertAlign val="baseline"/>
        <scheme val="minor"/>
      </font>
      <alignment horizontal="center" vertical="center" textRotation="45"/>
      <border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2"/>
        <vertAlign val="baseline"/>
        <scheme val="minor"/>
      </font>
    </dxf>
    <dxf>
      <alignment horizontal="left" vertical="top" textRotation="45"/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FD78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FD78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FD78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FD78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FD78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FD78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 style="thin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8AD8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8AD8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8AD8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8AD8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8AD8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8AD8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883FF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883FF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883FF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883FF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883FF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883FF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6D6FF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6D6FF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6D6FF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6D6FF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6D6FF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6D6FF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3FEFF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3FEFF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3FEFF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3FEFF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3FEFF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3FEFF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3FDD6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3FDD6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3FDD6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3FDD6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3FDD6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3FDD6"/>
        </patternFill>
      </fill>
    </dxf>
    <dxf>
      <font>
        <name val="Aptos Narrow"/>
        <b val="1"/>
        <strike val="0"/>
        <outline val="0"/>
        <shadow val="0"/>
        <sz val="12"/>
        <vertAlign val="baseline"/>
        <scheme val="minor"/>
      </font>
      <numFmt numFmtId="164" formatCode="0.0"/>
      <border outline="0">
        <left style="thin">
          <color indexed="64"/>
        </left>
        <right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 style="thin">
          <color indexed="64"/>
        </left>
        <right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</dxf>
    <dxf>
      <numFmt numFmtId="164" formatCode="0.0"/>
      <fill>
        <patternFill patternType="solid">
          <fgColor indexed="64"/>
          <bgColor rgb="FFFFD579"/>
        </patternFill>
      </fill>
      <border outline="0">
        <left style="thin">
          <color indexed="64"/>
        </left>
        <right style="thick">
          <color indexed="64"/>
        </right>
      </border>
    </dxf>
    <dxf>
      <numFmt numFmtId="164" formatCode="0.0"/>
      <fill>
        <patternFill patternType="solid">
          <fgColor indexed="64"/>
          <bgColor rgb="FFFFD579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  <border outline="0">
        <left style="thick">
          <color auto="1"/>
        </left>
        <right/>
        <top/>
        <bottom/>
      </border>
    </dxf>
    <dxf>
      <font>
        <name val="Aptos Narrow"/>
        <family val="2"/>
        <strike val="0"/>
        <outline val="0"/>
        <shadow val="0"/>
        <color auto="1"/>
        <sz val="12"/>
        <vertAlign val="baseline"/>
        <scheme val="minor"/>
      </font>
      <numFmt numFmtId="164" formatCode="0.0"/>
      <fill>
        <patternFill patternType="solid">
          <fgColor indexed="64"/>
          <bgColor theme="0"/>
        </patternFill>
      </fill>
      <border outline="0">
        <left/>
        <right style="thin">
          <color indexed="64"/>
        </right>
        <top/>
        <bottom/>
      </border>
    </dxf>
    <dxf>
      <numFmt numFmtId="164" formatCode="0.0"/>
      <fill>
        <patternFill>
          <fgColor indexed="64"/>
          <bgColor rgb="FFFFFD78"/>
        </patternFill>
      </fill>
      <border outline="0">
        <left style="thick">
          <color indexed="64"/>
        </left>
      </border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theme="0"/>
        </patternFill>
      </fill>
      <border outline="0">
        <left style="thick">
          <color indexed="64"/>
        </left>
      </border>
    </dxf>
    <dxf>
      <numFmt numFmtId="0" formatCode="General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ont>
        <name val="Aptos Narrow"/>
        <family val="2"/>
        <strike val="0"/>
        <outline val="0"/>
        <shadow val="0"/>
        <color theme="1"/>
        <sz val="8"/>
        <vertAlign val="baseline"/>
        <scheme val="minor"/>
      </font>
      <fill>
        <patternFill patternType="solid">
          <fgColor indexed="64"/>
          <bgColor rgb="FF92D050"/>
        </patternFill>
      </fill>
      <alignment horizontal="left" vertical="bottom"/>
    </dxf>
    <dxf>
      <fill>
        <patternFill patternType="solid">
          <fgColor indexed="64"/>
          <bgColor rgb="FF92D050"/>
        </patternFill>
      </fill>
      <alignment horizontal="left"/>
    </dxf>
    <dxf>
      <border>
        <bottom style="thin">
          <color indexed="64"/>
        </bottom>
      </border>
    </dxf>
    <dxf>
      <alignment horizontal="center" vertical="top" textRotation="45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38</row>
      <rowOff>0</rowOff>
    </from>
    <to>
      <col>6</col>
      <colOff>406400</colOff>
      <row>39</row>
      <rowOff>127000</rowOff>
    </to>
    <pic>
      <nvPicPr>
        <cNvPr id="2" name="Image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388100" y="8572500"/>
          <a:ext cx="406400" cy="330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auProduit" displayName="TableauProduit" ref="A1:BO249" headerRowCount="1" totalsRowShown="0" headerRowDxfId="129" headerRowBorderDxfId="128">
  <autoFilter ref="A1:BN71"/>
  <sortState ref="A2:BN71">
    <sortCondition descending="1" ref="M1:M71"/>
  </sortState>
  <tableColumns count="66">
    <tableColumn id="1" name="Recette" dataDxfId="127"/>
    <tableColumn id="14" name="ID" dataDxfId="126">
      <calculatedColumnFormula>TableauProduit[[#This Row],[Recette]]&amp;TableauProduit[[#This Row],[Conditionnement]]</calculatedColumnFormula>
    </tableColumn>
    <tableColumn id="27" name="Ratio travail" dataDxfId="125"/>
    <tableColumn id="3" name="Poids (g) / unite" dataDxfId="124">
      <calculatedColumnFormula>VLOOKUP(TableauProduit[[#This Row],[Recette]],Temporaire!A$1:B$25,2)</calculatedColumnFormula>
    </tableColumn>
    <tableColumn id="8" name="Conditionnement"/>
    <tableColumn id="9" name="Packaging / unite" dataDxfId="123">
      <calculatedColumnFormula>IFERROR(VLOOKUP(TableauProduit[[#This Row],[Conditionnement]],TableauConditionnement[[Nom]:[Contenance]],4,TRUE),"")</calculatedColumnFormula>
    </tableColumn>
    <tableColumn id="13" name="Prix Achat de plante par kg" dataDxfId="122">
      <calculatedColumnFormula>SUMIFS(TableauRecette[Prix d''achat / kg],TableauRecette[Recette],TableauProduit[[#This Row],[Recette]],TableauRecette[Conditionnement],TableauProduit[[#This Row],[Conditionnement]])</calculatedColumnFormula>
    </tableColumn>
    <tableColumn id="5" name="Prix de vente/U" dataDxfId="121"/>
    <tableColumn id="6" name="Prix de vente/kg" dataDxfId="120">
      <calculatedColumnFormula>1000*TableauProduit[[#This Row],[Prix de vente/U]]/TableauProduit[[#This Row],[Poids (g) / unite]]</calculatedColumnFormula>
    </tableColumn>
    <tableColumn id="2" name="Prix/kg (no BIO)" dataDxfId="119">
      <calculatedColumnFormula>SUMIFS(TableauConcurence[PRIX_KG],TableauConcurence[PRODUIT],TableauProduit[[#This Row],[Recette]],TableauConcurence[DISTRIBUTION],"magasin NON BIO")</calculatedColumnFormula>
    </tableColumn>
    <tableColumn id="11" name="Prix/kg (cook)" dataDxfId="118">
      <calculatedColumnFormula>SUMIFS(TableauConcurence[PRIX_KG],TableauConcurence[PRODUIT],TableauProduit[[#This Row],[Recette]],TableauConcurence[DISTRIBUTION],"magasin BIO")</calculatedColumnFormula>
    </tableColumn>
    <tableColumn id="12" name="Prix/kg (artisant)" dataDxfId="117">
      <calculatedColumnFormula>SUMIFS(TableauConcurence[PRIX_KG],TableauConcurence[PRODUIT],TableauProduit[[#This Row],[Recette]],TableauConcurence[DISTRIBUTION],"artisanale BIO")</calculatedColumnFormula>
    </tableColumn>
    <tableColumn id="17" name="Objectif de vente en unite N1" dataDxfId="116"/>
    <tableColumn id="4" name="Total (kg) N1" dataDxfId="115">
      <calculatedColumnFormula>TableauProduit[[#This Row],[Poids (g) / unite]]*TableauProduit[[#This Row],[Objectif de vente en unite N1]]/1000</calculatedColumnFormula>
    </tableColumn>
    <tableColumn id="15" name="Conditionnement N1" dataDxfId="114">
      <calculatedColumnFormula>TableauProduit[[#This Row],[Objectif de vente en unite N1]]*TableauProduit[[#This Row],[Packaging / unite]]</calculatedColumnFormula>
    </tableColumn>
    <tableColumn id="29" name="Achat par kg N1" dataDxfId="113">
      <calculatedColumnFormula>G2</calculatedColumnFormula>
    </tableColumn>
    <tableColumn id="16" name="Revenue brut N1" dataDxfId="112">
      <calculatedColumnFormula>TableauProduit[[#This Row],[Prix de vente/kg]]*TableauProduit[[#This Row],[Total (kg) N1]]-TableauProduit[[#This Row],[Achat par kg N1]]</calculatedColumnFormula>
    </tableColumn>
    <tableColumn id="7" name="Revenue net N1" dataDxfId="111">
      <calculatedColumnFormula>TableauProduit[[#This Row],[Revenue brut N1]]-TableauProduit[[#This Row],[Conditionnement N1]]</calculatedColumnFormula>
    </tableColumn>
    <tableColumn id="18" name="Objectif de vente en unite N2" dataDxfId="110"/>
    <tableColumn id="10" name="Total (kg) N2" dataDxfId="109">
      <calculatedColumnFormula>TableauProduit[[#This Row],[Poids (g) / unite]]*TableauProduit[[#This Row],[Objectif de vente en unite N1]]/1000</calculatedColumnFormula>
    </tableColumn>
    <tableColumn id="19" name="Conditionnement N2" dataDxfId="108">
      <calculatedColumnFormula>TableauProduit[[#This Row],[Objectif de vente en unite N1]]*TableauProduit[[#This Row],[Packaging / unite]]</calculatedColumnFormula>
    </tableColumn>
    <tableColumn id="30" name="Achat plante / kg de melange N2" dataDxfId="107">
      <calculatedColumnFormula>TableauProduit[[#This Row],[Prix Achat de plante par kg]]*TableauProduit[[#This Row],[Total (kg) N1]]</calculatedColumnFormula>
    </tableColumn>
    <tableColumn id="21" name="Revenue brut N2" dataDxfId="106">
      <calculatedColumnFormula>TableauProduit[[#This Row],[Prix de vente/kg]]*TableauProduit[[#This Row],[Total (kg) N1]]</calculatedColumnFormula>
    </tableColumn>
    <tableColumn id="31" name="Revenue net N2" dataDxfId="105">
      <calculatedColumnFormula>TableauProduit[[#This Row],[Revenue brut N1]]-TableauProduit[[#This Row],[Achat par kg N1]]-TableauProduit[[#This Row],[Conditionnement N1]]</calculatedColumnFormula>
    </tableColumn>
    <tableColumn id="22" name="Objectif de vente en unite N3" dataDxfId="104"/>
    <tableColumn id="23" name="Total (kg) N3" dataDxfId="103">
      <calculatedColumnFormula>TableauProduit[[#This Row],[Poids (g) / unite]]*TableauProduit[[#This Row],[Objectif de vente en unite N1]]/1000</calculatedColumnFormula>
    </tableColumn>
    <tableColumn id="24" name="Conditionnement N3" dataDxfId="102">
      <calculatedColumnFormula>TableauProduit[[#This Row],[Objectif de vente en unite N1]]*TableauProduit[[#This Row],[Packaging / unite]]</calculatedColumnFormula>
    </tableColumn>
    <tableColumn id="32" name="Achat plante / kg de melange N3" dataDxfId="101">
      <calculatedColumnFormula>TableauProduit[[#This Row],[Prix Achat de plante par kg]]*TableauProduit[[#This Row],[Total (kg) N1]]</calculatedColumnFormula>
    </tableColumn>
    <tableColumn id="25" name="Revenue brut N3" dataDxfId="100">
      <calculatedColumnFormula>TableauProduit[[#This Row],[Prix de vente/kg]]*TableauProduit[[#This Row],[Total (kg) N1]]</calculatedColumnFormula>
    </tableColumn>
    <tableColumn id="26" name="Revenue net N3" dataDxfId="99">
      <calculatedColumnFormula>TableauProduit[[#This Row],[Revenue brut N1]]-TableauProduit[[#This Row],[Achat par kg N1]]-TableauProduit[[#This Row],[Conditionnement N1]]</calculatedColumnFormula>
    </tableColumn>
    <tableColumn id="20" name="Objectif de vente en unite N4" dataDxfId="98"/>
    <tableColumn id="28" name="Total (kg) N4" dataDxfId="97">
      <calculatedColumnFormula>TableauProduit[[#This Row],[Poids (g) / unite]]*TableauProduit[[#This Row],[Objectif de vente en unite N1]]/1000</calculatedColumnFormula>
    </tableColumn>
    <tableColumn id="33" name="Conditionnement N4" dataDxfId="96">
      <calculatedColumnFormula>TableauProduit[[#This Row],[Objectif de vente en unite N1]]*TableauProduit[[#This Row],[Packaging / unite]]</calculatedColumnFormula>
    </tableColumn>
    <tableColumn id="34" name="Achat plante / kg de melange N4" dataDxfId="95">
      <calculatedColumnFormula>TableauProduit[[#This Row],[Prix Achat de plante par kg]]*TableauProduit[[#This Row],[Total (kg) N1]]</calculatedColumnFormula>
    </tableColumn>
    <tableColumn id="35" name="Revenue brut N4" dataDxfId="94">
      <calculatedColumnFormula>TableauProduit[[#This Row],[Prix de vente/kg]]*TableauProduit[[#This Row],[Total (kg) N1]]</calculatedColumnFormula>
    </tableColumn>
    <tableColumn id="36" name="Revenue net N4" dataDxfId="93">
      <calculatedColumnFormula>TableauProduit[[#This Row],[Revenue brut N1]]-TableauProduit[[#This Row],[Achat par kg N1]]-TableauProduit[[#This Row],[Conditionnement N1]]</calculatedColumnFormula>
    </tableColumn>
    <tableColumn id="37" name="Objectif de vente en unite N5" dataDxfId="92"/>
    <tableColumn id="38" name="Total (kg) N5" dataDxfId="91">
      <calculatedColumnFormula>TableauProduit[[#This Row],[Poids (g) / unite]]*TableauProduit[[#This Row],[Objectif de vente en unite N1]]/1000</calculatedColumnFormula>
    </tableColumn>
    <tableColumn id="39" name="Conditionnement N5" dataDxfId="90">
      <calculatedColumnFormula>TableauProduit[[#This Row],[Objectif de vente en unite N1]]*TableauProduit[[#This Row],[Packaging / unite]]</calculatedColumnFormula>
    </tableColumn>
    <tableColumn id="40" name="Achat plante / kg de melange N5" dataDxfId="89">
      <calculatedColumnFormula>TableauProduit[[#This Row],[Prix Achat de plante par kg]]*TableauProduit[[#This Row],[Total (kg) N1]]</calculatedColumnFormula>
    </tableColumn>
    <tableColumn id="41" name="Revenue brut N5" dataDxfId="88">
      <calculatedColumnFormula>TableauProduit[[#This Row],[Prix de vente/kg]]*TableauProduit[[#This Row],[Total (kg) N1]]</calculatedColumnFormula>
    </tableColumn>
    <tableColumn id="42" name="Revenue net N5" dataDxfId="87">
      <calculatedColumnFormula>TableauProduit[[#This Row],[Revenue brut N1]]-TableauProduit[[#This Row],[Achat par kg N1]]-TableauProduit[[#This Row],[Conditionnement N1]]</calculatedColumnFormula>
    </tableColumn>
    <tableColumn id="43" name="Objectif de vente en unite N6" dataDxfId="86"/>
    <tableColumn id="44" name="Total (kg) N6" dataDxfId="85">
      <calculatedColumnFormula>TableauProduit[[#This Row],[Poids (g) / unite]]*TableauProduit[[#This Row],[Objectif de vente en unite N1]]/1000</calculatedColumnFormula>
    </tableColumn>
    <tableColumn id="45" name="Conditionnement N6" dataDxfId="84">
      <calculatedColumnFormula>TableauProduit[[#This Row],[Objectif de vente en unite N1]]*TableauProduit[[#This Row],[Packaging / unite]]</calculatedColumnFormula>
    </tableColumn>
    <tableColumn id="46" name="Achat plante / kg de melange N6" dataDxfId="83">
      <calculatedColumnFormula>TableauProduit[[#This Row],[Prix Achat de plante par kg]]*TableauProduit[[#This Row],[Total (kg) N1]]</calculatedColumnFormula>
    </tableColumn>
    <tableColumn id="47" name="Revenue brut N6" dataDxfId="82">
      <calculatedColumnFormula>TableauProduit[[#This Row],[Prix de vente/kg]]*TableauProduit[[#This Row],[Total (kg) N1]]</calculatedColumnFormula>
    </tableColumn>
    <tableColumn id="48" name="Revenue net N6" dataDxfId="81">
      <calculatedColumnFormula>TableauProduit[[#This Row],[Revenue brut N1]]-TableauProduit[[#This Row],[Achat par kg N1]]-TableauProduit[[#This Row],[Conditionnement N1]]</calculatedColumnFormula>
    </tableColumn>
    <tableColumn id="49" name="Objectif de vente en unite N7" dataDxfId="80"/>
    <tableColumn id="50" name="Total (kg) N7" dataDxfId="79">
      <calculatedColumnFormula>TableauProduit[[#This Row],[Poids (g) / unite]]*TableauProduit[[#This Row],[Objectif de vente en unite N1]]/1000</calculatedColumnFormula>
    </tableColumn>
    <tableColumn id="51" name="Conditionnement N7" dataDxfId="78">
      <calculatedColumnFormula>TableauProduit[[#This Row],[Objectif de vente en unite N1]]*TableauProduit[[#This Row],[Packaging / unite]]</calculatedColumnFormula>
    </tableColumn>
    <tableColumn id="52" name="Achat plante / kg de melange N7" dataDxfId="77">
      <calculatedColumnFormula>TableauProduit[[#This Row],[Prix Achat de plante par kg]]*TableauProduit[[#This Row],[Total (kg) N1]]</calculatedColumnFormula>
    </tableColumn>
    <tableColumn id="53" name="Revenue brut N7" dataDxfId="76">
      <calculatedColumnFormula>TableauProduit[[#This Row],[Prix de vente/kg]]*TableauProduit[[#This Row],[Total (kg) N1]]</calculatedColumnFormula>
    </tableColumn>
    <tableColumn id="54" name="Revenue net N7" dataDxfId="75">
      <calculatedColumnFormula>TableauProduit[[#This Row],[Revenue brut N1]]-TableauProduit[[#This Row],[Achat par kg N1]]-TableauProduit[[#This Row],[Conditionnement N1]]</calculatedColumnFormula>
    </tableColumn>
    <tableColumn id="55" name="Objectif de vente en unite N8" dataDxfId="74"/>
    <tableColumn id="56" name="Total (kg) N8" dataDxfId="73">
      <calculatedColumnFormula>TableauProduit[[#This Row],[Poids (g) / unite]]*TableauProduit[[#This Row],[Objectif de vente en unite N1]]/1000</calculatedColumnFormula>
    </tableColumn>
    <tableColumn id="57" name="Conditionnement N8" dataDxfId="72">
      <calculatedColumnFormula>TableauProduit[[#This Row],[Objectif de vente en unite N1]]*TableauProduit[[#This Row],[Packaging / unite]]</calculatedColumnFormula>
    </tableColumn>
    <tableColumn id="58" name="Achat plante / kg de melange N8" dataDxfId="71">
      <calculatedColumnFormula>TableauProduit[[#This Row],[Prix Achat de plante par kg]]*TableauProduit[[#This Row],[Total (kg) N1]]</calculatedColumnFormula>
    </tableColumn>
    <tableColumn id="59" name="Revenue brut N8" dataDxfId="70">
      <calculatedColumnFormula>TableauProduit[[#This Row],[Prix de vente/kg]]*TableauProduit[[#This Row],[Total (kg) N1]]</calculatedColumnFormula>
    </tableColumn>
    <tableColumn id="60" name="Revenue net N8" dataDxfId="69">
      <calculatedColumnFormula>TableauProduit[[#This Row],[Revenue brut N1]]-TableauProduit[[#This Row],[Achat par kg N1]]-TableauProduit[[#This Row],[Conditionnement N1]]</calculatedColumnFormula>
    </tableColumn>
    <tableColumn id="61" name="Objectif de vente en unite N9" dataDxfId="68"/>
    <tableColumn id="62" name="Total (kg) N9" dataDxfId="67">
      <calculatedColumnFormula>TableauProduit[[#This Row],[Poids (g) / unite]]*TableauProduit[[#This Row],[Objectif de vente en unite N1]]/1000</calculatedColumnFormula>
    </tableColumn>
    <tableColumn id="63" name="Conditionnement N9" dataDxfId="66">
      <calculatedColumnFormula>TableauProduit[[#This Row],[Objectif de vente en unite N1]]*TableauProduit[[#This Row],[Packaging / unite]]</calculatedColumnFormula>
    </tableColumn>
    <tableColumn id="64" name="Achat plante / kg de melange N9" dataDxfId="65">
      <calculatedColumnFormula>TableauProduit[[#This Row],[Prix Achat de plante par kg]]*TableauProduit[[#This Row],[Total (kg) N1]]</calculatedColumnFormula>
    </tableColumn>
    <tableColumn id="65" name="Revenue brut N9" dataDxfId="64">
      <calculatedColumnFormula>TableauProduit[[#This Row],[Prix de vente/kg]]*TableauProduit[[#This Row],[Total (kg) N1]]</calculatedColumnFormula>
    </tableColumn>
    <tableColumn id="66" name="Revenue net N9" dataDxfId="63">
      <calculatedColumnFormula>TableauProduit[[#This Row],[Revenue brut N1]]-TableauProduit[[#This Row],[Achat par kg N1]]-TableauProduit[[#This Row],[Conditionnement N1]]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eauIngredients" displayName="TableauIngredients" ref="A1:J249" headerRowCount="1" totalsRowShown="0" headerRowDxfId="62">
  <autoFilter ref="A1:G166"/>
  <sortState ref="A2:G160">
    <sortCondition ref="A1:A160"/>
  </sortState>
  <tableColumns count="7">
    <tableColumn id="1" name="Ingredients" dataDxfId="61">
      <calculatedColumnFormula>PROPER(TableauIngredients[[#This Row],[Ingredients]])</calculatedColumnFormula>
    </tableColumn>
    <tableColumn id="3" name="ratio sechage" dataCellStyle="Pourcentage">
      <calculatedColumnFormula>IF(IFERROR((100-TableauIngredients[[#This Row],[% eau]])/100, 1) &lt; 20,0.2)</calculatedColumnFormula>
    </tableColumn>
    <tableColumn id="4" name="% eau"/>
    <tableColumn id="7" name="Nom de la Production"/>
    <tableColumn id="2" name="Prix de vente"/>
    <tableColumn id="5" name="Prix d'achat (kg)" dataDxfId="60" dataCellStyle="Monétaire"/>
    <tableColumn id="6" name="Lien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id="3" name="TableauRecette" displayName="TableauRecette" ref="A1:T497" headerRowCount="1" totalsRowShown="0" headerRowDxfId="59" dataDxfId="58">
  <autoFilter ref="A1:T462"/>
  <sortState ref="A2:T462">
    <sortCondition ref="A1:A462"/>
  </sortState>
  <tableColumns count="20">
    <tableColumn id="1" name="Recette" dataDxfId="57"/>
    <tableColumn id="12" name="ID" dataDxfId="56">
      <calculatedColumnFormula>TableauRecette[[#This Row],[Recette]]&amp;TableauRecette[[#This Row],[Conditionnement]]</calculatedColumnFormula>
    </tableColumn>
    <tableColumn id="2" name="Ingredients" dataDxfId="55"/>
    <tableColumn id="3" name="Proportion" dataDxfId="54"/>
    <tableColumn id="4" name="Conditionnement" dataDxfId="53"/>
    <tableColumn id="5" name="poids / unite" dataDxfId="52">
      <calculatedColumnFormula>D2/SUMIFS(TableauRecette[Proportion],TableauRecette[Recette],TableauRecette[[#This Row],[Recette]],TableauRecette[Conditionnement],TableauRecette[[#This Row],[Conditionnement]])</calculatedColumnFormula>
    </tableColumn>
    <tableColumn id="6" name="Prix d'achat / kg" dataDxfId="2">
      <calculatedColumnFormula>_xlfn.XLOOKUP(TableauRecette[[#This Row],[Ingredients]],TableauIngredients[Ingredients],TableauIngredients[Prix d''achat (kg)],0)*TableauRecette[[#This Row],[poids / unite]]</calculatedColumnFormula>
    </tableColumn>
    <tableColumn id="10" name="Total Proportion" dataDxfId="0">
      <calculatedColumnFormula>SUMIFS(TableauRecette[Proportion],TableauRecette[Recette],TableauRecette[[#This Row],[Recette]],TableauRecette[Conditionnement],TableauRecette[[#This Row],[Conditionnement]])</calculatedColumnFormula>
    </tableColumn>
    <tableColumn id="11" name="Prix pour kg/ de melange" dataDxfId="1">
      <calculatedColumnFormula>TableauRecette[[#This Row],[Proportion]]*TableauRecette[[#This Row],[Prix d''achat / kg]]/TableauRecette[[#This Row],[Total Proportion]]</calculatedColumnFormula>
    </tableColumn>
    <tableColumn id="7" name="Pays" dataDxfId="51"/>
    <tableColumn id="8" name="Type" dataDxfId="50"/>
    <tableColumn id="9" name="kg / annee 1" dataDxfId="49">
      <calculatedColumnFormula>_xlfn.XLOOKUP(TableauRecette[[#This Row],[ID]],TableauProduit[ID],TableauProduit[Total (kg) N1],0,0,1)*TableauRecette[[#This Row],[poids / unite]]</calculatedColumnFormula>
    </tableColumn>
    <tableColumn id="28" name="kg / annee 2" dataDxfId="48">
      <calculatedColumnFormula>_xlfn.XLOOKUP(TableauRecette[[#This Row],[ID]],TableauProduit[ID],TableauProduit[Total (kg) N2],0,0,1)*TableauRecette[[#This Row],[poids / unite]]</calculatedColumnFormula>
    </tableColumn>
    <tableColumn id="29" name="kg / annee 3" dataDxfId="47">
      <calculatedColumnFormula>_xlfn.XLOOKUP(TableauRecette[[#This Row],[ID]],TableauProduit[ID],TableauProduit[Total (kg) N3],0,0,1)*TableauRecette[[#This Row],[poids / unite]]</calculatedColumnFormula>
    </tableColumn>
    <tableColumn id="30" name="kg / annee 4" dataDxfId="46">
      <calculatedColumnFormula>_xlfn.XLOOKUP(TableauRecette[[#This Row],[ID]],TableauProduit[ID],TableauProduit[Total (kg) N4],0,0,1)*TableauRecette[[#This Row],[poids / unite]]</calculatedColumnFormula>
    </tableColumn>
    <tableColumn id="31" name="kg / annee 5" dataDxfId="45">
      <calculatedColumnFormula>_xlfn.XLOOKUP(TableauRecette[[#This Row],[ID]],TableauProduit[ID],TableauProduit[Total (kg) N5],0,0,1)*TableauRecette[[#This Row],[poids / unite]]</calculatedColumnFormula>
    </tableColumn>
    <tableColumn id="32" name="kg / annee 6" dataDxfId="44">
      <calculatedColumnFormula>_xlfn.XLOOKUP(TableauRecette[[#This Row],[ID]],TableauProduit[ID],TableauProduit[Total (kg) N6],0,0,1)*TableauRecette[[#This Row],[poids / unite]]</calculatedColumnFormula>
    </tableColumn>
    <tableColumn id="33" name="kg / annee 7" dataDxfId="43">
      <calculatedColumnFormula>_xlfn.XLOOKUP(TableauRecette[[#This Row],[ID]],TableauProduit[ID],TableauProduit[Total (kg) N7],0,0,1)*TableauRecette[[#This Row],[poids / unite]]</calculatedColumnFormula>
    </tableColumn>
    <tableColumn id="34" name="kg / annee 8" dataDxfId="42">
      <calculatedColumnFormula>_xlfn.XLOOKUP(TableauRecette[[#This Row],[ID]],TableauProduit[ID],TableauProduit[Total (kg) N8],0,0,1)*TableauRecette[[#This Row],[poids / unite]]</calculatedColumnFormula>
    </tableColumn>
    <tableColumn id="35" name="kg / annee 9" dataDxfId="41">
      <calculatedColumnFormula>_xlfn.XLOOKUP(TableauRecette[[#This Row],[ID]],TableauProduit[ID],TableauProduit[Total (kg) N9],0,0,1)*TableauRecette[[#This Row],[poids / unite]]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ableauProduction" displayName="TableauProduction" ref="A1:J112" headerRowCount="1" totalsRowShown="0" headerRowDxfId="40" dataDxfId="39">
  <autoFilter ref="A1:J112"/>
  <sortState ref="A2:J112">
    <sortCondition descending="1" ref="B1:B112"/>
  </sortState>
  <tableColumns count="10">
    <tableColumn id="1" name="Produit" dataDxfId="38"/>
    <tableColumn id="3" name="annee 1" dataDxfId="37"/>
    <tableColumn id="7" name="annee 2" dataDxfId="36"/>
    <tableColumn id="8" name="annee 3" dataDxfId="35"/>
    <tableColumn id="9" name="annee 4" dataDxfId="34"/>
    <tableColumn id="10" name="poids / unite" dataDxfId="33"/>
    <tableColumn id="11" name="annee 6" dataDxfId="32"/>
    <tableColumn id="12" name="annee 7" dataDxfId="31"/>
    <tableColumn id="13" name="annee 8" dataDxfId="30"/>
    <tableColumn id="14" name="annee 9" dataDxfId="29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TableauConditionnement" displayName="TableauConditionnement" ref="A1:G21" headerRowCount="1" totalsRowShown="0">
  <autoFilter ref="A1:G21"/>
  <sortState ref="A2:G18">
    <sortCondition ref="A1:A19"/>
  </sortState>
  <tableColumns count="7">
    <tableColumn id="1" name="Nom"/>
    <tableColumn id="2" name="Bouchon"/>
    <tableColumn id="3" name="Verre"/>
    <tableColumn id="4" name="Total" dataDxfId="3"/>
    <tableColumn id="5" name="Contenance"/>
    <tableColumn id="6" name="Lien bouchon"/>
    <tableColumn id="7" name="Lien verre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id="6" name="TableauConcurence" displayName="TableauConcurence" ref="A1:G186" headerRowCount="1" totalsRowShown="0">
  <sortState ref="A2:G103">
    <sortCondition ref="A1:A103"/>
  </sortState>
  <tableColumns count="7">
    <tableColumn id="1" name="PRODUIT"/>
    <tableColumn id="2" name="DISTRIBUTION"/>
    <tableColumn id="3" name="NOM"/>
    <tableColumn id="4" name="MARQUE"/>
    <tableColumn id="5" name="GRAMMAGE"/>
    <tableColumn id="6" name="PRIX"/>
    <tableColumn id="7" name="PRIX_K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ld" displayName="Old" ref="A1:O39" headerRowCount="1" totalsRowShown="0" headerRowDxfId="28" headerRowBorderDxfId="27" tableBorderDxfId="26" totalsRowBorderDxfId="25">
  <autoFilter ref="A1:O39"/>
  <tableColumns count="15">
    <tableColumn id="1" name="Recette" dataDxfId="24"/>
    <tableColumn id="2" name="Objectif en unite" dataDxfId="23"/>
    <tableColumn id="3" name="poids/unite (g)" dataDxfId="22"/>
    <tableColumn id="4" name="Total (kg)" dataDxfId="21"/>
    <tableColumn id="5" name="Prix de vente/U" dataDxfId="20"/>
    <tableColumn id="6" name="Prix de vente/kg" dataDxfId="19"/>
    <tableColumn id="7" name="Revenue brut" dataDxfId="18"/>
    <tableColumn id="8" name="Packaging" dataDxfId="17"/>
    <tableColumn id="9" name="Packaging/Unit" dataDxfId="16"/>
    <tableColumn id="10" name="PV/kg frais" dataDxfId="15"/>
    <tableColumn id="11" name="Prix/kg (cook)" dataDxfId="14"/>
    <tableColumn id="12" name="Prix/kg (artisant)" dataDxfId="13"/>
    <tableColumn id="13" name="Colonne2" dataDxfId="12"/>
    <tableColumn id="14" name="Colonne3" dataDxfId="11"/>
    <tableColumn id="15" name="Colonne4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parisbelleville01.lecodrive.com/boutique/amande-douce-decortiquee-bio-espagne/" TargetMode="External" Id="rId1"/><Relationship Type="http://schemas.openxmlformats.org/officeDocument/2006/relationships/hyperlink" Target="https://www.etsy.com/fr/listing/538432371/poudre-de-mangue-biologique-poudre?gpla=1&amp;gao=1&amp;" TargetMode="External" Id="rId2"/><Relationship Type="http://schemas.openxmlformats.org/officeDocument/2006/relationships/hyperlink" Target="https://vracbio.com/products/badiane-anis-etoile-bio-en-vrac?variant=31584511361139&amp;currency=EUR&amp;utm_medium=product_sync&amp;utm_source=google&amp;utm_content=sag_organic&amp;utm_campaign=sag_organic&amp;utm_campaign=gs-2020-05-12&amp;utm_source=google&amp;utm_medium=smart_campaign&amp;gad_source=1&amp;gclid=Cj0KCQjwwMqvBhCtARIsAIXsZpbzhzDINtZH-k_NigcEf1sWrPuGZLuWxNXCpnF2Jb13CK9238FySTMaAgwfEALw_wcB" TargetMode="External" Id="rId3"/><Relationship Type="http://schemas.openxmlformats.org/officeDocument/2006/relationships/hyperlink" Target="https://www.googleadservices.com/pagead/aclk?sa=L&amp;ai=DChcSEwi8_L7IkfSEAxWWtWgJHdrGBpYYABAFGgJ3Zg&amp;ase=2&amp;gclid=Cj0KCQjwwMqvBhCtARIsAIXsZpYLT1VmI5Kq1BaXTkjkzxCxD3tRu3FW4QihyZ5AVHNacB5EEIP-EacaAtVBEALw_wcB&amp;ohost=www.google.com&amp;cid=CAESV-D25s4w_xgCt61JSCPtz_-6MB53MwZOqMSR3C53fMpAlGsUxYYNIVZyeD-U7TQmjoP8BSO5N0eb6P53Wc_pyXFm3Td7A7f5dhB2yVtf84Fpc8W6xGvNkg&amp;sig=AOD64_1j_v1y63lx74Qe3EwzAJMUknrPPQ&amp;ctype=5&amp;q=&amp;nis=4&amp;ved=2ahUKEwii3bjIkfSEAxUTUKQEHfKUBKUQ9aACKAB6BAgBECM&amp;adurl=" TargetMode="External" Id="rId4"/><Relationship Type="http://schemas.openxmlformats.org/officeDocument/2006/relationships/hyperlink" Target="https://www.googleadservices.com/pagead/aclk?sa=L&amp;ai=DChcSEwichuSekfSEAxVyQUECHat2BNwYABAMGgJ3cw&amp;ase=2&amp;gclid=Cj0KCQjwwMqvBhCtARIsAIXsZpZmpmc8fHRm_JGzy1Gmr0JI0grkfyuAV2XraPO2cYJ_I7mDJZoaepwaAlFBEALw_wcB&amp;ohost=www.google.com&amp;cid=CAESV-D2fcXVl2hyBhRmKKHyR9Mar6Ywa7Gxq7dChedDWqueLOlHIrSO08ZTbW6I8tjACgEP8JedobbYSxK8ul5eMEPhhJEPba-FfAwg293CrvZFTOWQMeyZvg&amp;sig=AOD64_00twfFYjSyymtiLPJAcag4fPwi1w&amp;ctype=5&amp;q=&amp;nis=4&amp;ved=2ahUKEwjQud6ekfSEAxVXU6QEHZs-CdUQ9aACKAB6BAgEEBM&amp;adurl=" TargetMode="External" Id="rId5"/><Relationship Type="http://schemas.openxmlformats.org/officeDocument/2006/relationships/hyperlink" Target="https://www.etsy.com/fr/listing/1671728644/zeste-de-mandarine-sechee-biologique?gpla=1&amp;gao=1&amp;" TargetMode="External" Id="rId6"/><Relationship Type="http://schemas.openxmlformats.org/officeDocument/2006/relationships/hyperlink" Target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TargetMode="External" Id="rId7"/><Relationship Type="http://schemas.openxmlformats.org/officeDocument/2006/relationships/hyperlink" Target="https://thesdirect.com/products/girofle-clou-entier-bio?variant=42278504759535&amp;utm_medium=paidsearch&amp;utm_source=google&amp;utm_campaign=FR-PMC-Global&amp;utm_term=&amp;utm_content=&amp;gad_source=1&amp;gclid=Cj0KCQjwwMqvBhCtARIsAIXsZpYMcYHxWw4LzdPFYu1RLdfNCwEEgQ89WYbpA_kBagvr-9lOLjM_5DwaAt_uEALw_wcB" TargetMode="External" Id="rId8"/><Relationship Type="http://schemas.openxmlformats.org/officeDocument/2006/relationships/hyperlink" Target="https://thesdirect.com/products/coriandre-graine-entiere-bio-origine-france?variant=46717581754710" TargetMode="External" Id="rId9"/><Relationship Type="http://schemas.openxmlformats.org/officeDocument/2006/relationships/hyperlink" Target="https://thesdirect.com/products/grosssite-cumin-graine-poudre-bio-vente-en-gros?_pos=2&amp;_sid=3c51b5f81&amp;_ss=r" TargetMode="External" Id="rId10"/><Relationship Type="http://schemas.openxmlformats.org/officeDocument/2006/relationships/hyperlink" Target="https://thesdirect.com/products/cumin-noir-nigelle-graine-entiere-bio?_pos=1&amp;_sid=3c51b5f81&amp;_ss=r" TargetMode="External" Id="rId11"/><Relationship Type="http://schemas.openxmlformats.org/officeDocument/2006/relationships/hyperlink" Target="https://www.pharma5avenue.com/blog/mode-de-production-du-curcuma-longa-n63" TargetMode="External" Id="rId12"/><Relationship Type="http://schemas.openxmlformats.org/officeDocument/2006/relationships/hyperlink" Target="https://www.pharma5avenue.com/blog/mode-de-production-du-curcuma-longa-n63" TargetMode="External" Id="rId13"/><Relationship Type="http://schemas.openxmlformats.org/officeDocument/2006/relationships/hyperlink" Target="https://www.pharma5avenue.com/blog/mode-de-production-du-curcuma-longa-n63" TargetMode="External" Id="rId14"/><Relationship Type="http://schemas.openxmlformats.org/officeDocument/2006/relationships/hyperlink" Target="https://www.pharma5avenue.com/blog/mode-de-production-du-curcuma-longa-n63" TargetMode="External" Id="rId15"/><Relationship Type="http://schemas.openxmlformats.org/officeDocument/2006/relationships/hyperlink" Target="https://thesdirect.com/products/laurier-feuille-coupee-bio?_pos=1&amp;_sid=01cd0a848&amp;_ss=r" TargetMode="External" Id="rId16"/><Relationship Type="http://schemas.openxmlformats.org/officeDocument/2006/relationships/hyperlink" Target="https://thesdirect.com/products/gingembre-rhizome-poudre-bio?_pos=7&amp;_sid=90d482203&amp;_ss=r" TargetMode="External" Id="rId17"/><Relationship Type="http://schemas.openxmlformats.org/officeDocument/2006/relationships/hyperlink" Target="https://thesdirect.com/products/cardamome-fruit-entier-bio?_pos=1&amp;_sid=0d54a836c&amp;_ss=r" TargetMode="External" Id="rId18"/><Relationship Type="http://schemas.openxmlformats.org/officeDocument/2006/relationships/hyperlink" Target="https://thesdirect.com/products/carvi-graine-entiere-bio?_pos=1&amp;_sid=0340e6674&amp;_ss=r" TargetMode="External" Id="rId19"/><Relationship Type="http://schemas.openxmlformats.org/officeDocument/2006/relationships/hyperlink" Target="https://thesdirect.com/products/grosssite-cumin-graine-poudre-bio-vente-en-gros?_pos=2&amp;_sid=3c51b5f81&amp;_ss=r" TargetMode="External" Id="rId20"/><Relationship Type="http://schemas.openxmlformats.org/officeDocument/2006/relationships/hyperlink" Target="https://thesdirect.com/products/graine-de-fenugrec-bio-en-vrac?_pos=1&amp;_sid=e3b571ae1&amp;_ss=r" TargetMode="External" Id="rId21"/><Relationship Type="http://schemas.openxmlformats.org/officeDocument/2006/relationships/hyperlink" Target="https://thesdirect.com/products/graine-de-moutarde-jaune-bio-en-vrac?_pos=2&amp;_sid=ed731c47b&amp;_ss=r" TargetMode="External" Id="rId22"/><Relationship Type="http://schemas.openxmlformats.org/officeDocument/2006/relationships/hyperlink" Target="https://thesdirect.com/products/graine-de-moutarde-noir-bio-en-vrac?_pos=1&amp;_sid=ed731c47b&amp;_ss=r" TargetMode="External" Id="rId23"/><Relationship Type="http://schemas.openxmlformats.org/officeDocument/2006/relationships/hyperlink" Target="https://thesdirect.com/products/cumin-noir-nigelle-graine-entiere-bio?_pos=1&amp;_sid=952bb7c98&amp;_ss=r" TargetMode="External" Id="rId24"/><Relationship Type="http://schemas.openxmlformats.org/officeDocument/2006/relationships/hyperlink" Target="https://thesdirect.com/products/ortie-piquante-partie-aerienne-poudre-bio-origine-france?_pos=3&amp;_sid=da77c7ad6&amp;_ss=r" TargetMode="External" Id="rId25"/><Relationship Type="http://schemas.openxmlformats.org/officeDocument/2006/relationships/hyperlink" Target="https://thesdirect.com/products/harpagophytum-racine-coupee-bio?variant=46723154116950&amp;utm_medium=paidsearch&amp;utm_source=google&amp;utm_campaign=FR-PMC-Global&amp;utm_term=&amp;utm_content=&amp;gad_source=1" TargetMode="External" Id="rId26"/><Relationship Type="http://schemas.openxmlformats.org/officeDocument/2006/relationships/hyperlink" Target="https://www.etsy.com/fr/listing/897347569/tisane-en-vrac-helichrysum-immortelle" TargetMode="External" Id="rId27"/><Relationship Type="http://schemas.openxmlformats.org/officeDocument/2006/relationships/hyperlink" Target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TargetMode="External" Id="rId28"/><Relationship Type="http://schemas.openxmlformats.org/officeDocument/2006/relationships/hyperlink" Target="https://thesdirect.com/products/lavandin-fleur-entiere-bio-origine-france?variant=46723154575702" TargetMode="External" Id="rId29"/><Relationship Type="http://schemas.openxmlformats.org/officeDocument/2006/relationships/hyperlink" Target="https://www.autourduriz.com/sauces-asiatiques-bio/423-sauce-nuoc-mam-bio-veggie-3760275575203.html" TargetMode="External" Id="rId30"/><Relationship Type="http://schemas.openxmlformats.org/officeDocument/2006/relationships/hyperlink" Target="https://thesdirect.com/products/origan-vert-feuille-entiere-bio-origine-france?_pos=1&amp;_sid=92a128b15&amp;_ss=r" TargetMode="External" Id="rId31"/><Relationship Type="http://schemas.openxmlformats.org/officeDocument/2006/relationships/hyperlink" Target="https://www.capsicums.fr/piments/piment-mexicain-ancho-entier/" TargetMode="External" Id="rId32"/><Relationship Type="http://schemas.openxmlformats.org/officeDocument/2006/relationships/hyperlink" Target="https://occitanie.chambre-agriculture.fr/fileadmin/user_upload/Occitanie/076_Inst-Occitanie/Documents/Productions_techniques/Agriculture_biologique/Espace_ressource_bio/Maraichage_bio/ITK-LR-PoivronVenteDirecte.pdf" TargetMode="External" Id="rId33"/><Relationship Type="http://schemas.openxmlformats.org/officeDocument/2006/relationships/hyperlink" Target="https://occitanie.chambre-agriculture.fr/fileadmin/user_upload/Occitanie/076_Inst-Occitanie/Documents/Productions_techniques/Agriculture_biologique/Espace_ressource_bio/Maraichage_bio/ITK-LR-PoivronVenteDirecte.pdf" TargetMode="External" Id="rId34"/><Relationship Type="http://schemas.openxmlformats.org/officeDocument/2006/relationships/hyperlink" Target="https://occitanie.chambre-agriculture.fr/fileadmin/user_upload/Occitanie/076_Inst-Occitanie/Documents/Productions_techniques/Agriculture_biologique/Espace_ressource_bio/Maraichage_bio/ITK-LR-PoivronVenteDirecte.pdf" TargetMode="External" Id="rId35"/><Relationship Type="http://schemas.openxmlformats.org/officeDocument/2006/relationships/hyperlink" Target="https://www.autourduriz.com/sauces-asiatiques-vrac/332-shoyu-sauce-soja-5-l-3760275573025.html" TargetMode="External" Id="rId36"/><Relationship Type="http://schemas.openxmlformats.org/officeDocument/2006/relationships/hyperlink" Target="https://www.apiculture.net/sirop/7606-palette-sucre-de-canne-biologique-1080kg-alimentaire-54x20kg.html?kk=a4c626f-18e411b23ef-a3fee&amp;kgclid=CjwKCAjw48-vBhBbEiwAzqrZVI_0Pn7Eoe7X5_JvZvbTWxkK5E4ji2yIrkTdaQkY6n_lq79bD6I5HBoCb08QAvD_BwE&amp;utm_source=kelkoofr&amp;utm_medium=cpc&amp;utm_campaign=kelkooclick&amp;utm_term=Apiculture.net+-+Mat%C3%A9riel+apicole+fran%C3%A7a" TargetMode="External" Id="rId37"/><Relationship Type="http://schemas.openxmlformats.org/officeDocument/2006/relationships/drawing" Target="/xl/drawings/drawing1.xml" Id="rId38"/><Relationship Type="http://schemas.openxmlformats.org/officeDocument/2006/relationships/table" Target="/xl/tables/table2.xml" Id="rId39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bouteilles-et-bocaux.com/bouchon-pour-pot-a-epices-distributeur-plastique-pp-rouge-pour-col-gpi-38-400-100000230?referralCode=344f636f14874df59416c60d47218b06&amp;utm_medium=sea&amp;utm_source=google&amp;gad_source=1&amp;gclid=CjwKCAiAopuvBhBCEiwAm8jaMRvkyaCkj4LfwgUmeOXFwEVybp5GM9cMjo6i2XXHdi_SmUDOQN4bRRoCVVAQAvD_BwE" TargetMode="External" Id="rId1"/><Relationship Type="http://schemas.openxmlformats.org/officeDocument/2006/relationships/hyperlink" Target="https://www.packari.com/fr/Produits/Flacons-en-verre-col-large/Flacons-en-verre-brun-sans-fermeture/Flacon-comprim-s-en-verre-marron-col-large-100-ml-38-400-sans-bouchon.html" TargetMode="External" Id="rId2"/><Relationship Type="http://schemas.openxmlformats.org/officeDocument/2006/relationships/hyperlink" Target="https://www.bouteilles-et-bocaux.com/bouchon-pour-pot-a-epices-moulin-plastique-pp-noir-pour-col-gpi-38-400-100000220" TargetMode="External" Id="rId3"/><Relationship Type="http://schemas.openxmlformats.org/officeDocument/2006/relationships/hyperlink" Target="https://www.packari.com/fr/Produits/Flacons-en-verre-col-large/Flacons-en-verre-brun-sans-fermeture/Flacon-comprim-s-en-verre-marron-col-large-100-ml-38-400-sans-bouchon.html" TargetMode="External" Id="rId4"/><Relationship Type="http://schemas.openxmlformats.org/officeDocument/2006/relationships/hyperlink" Target="https://www.bouteilles-et-bocaux.com/pot-en-gres-270-ml-ceramique-blanc-col-couvercle-cloche-100035660?referralCode=344f636f14874df59416c60d47218b06&amp;utm_medium=sea&amp;utm_source=google&amp;gad_source=1&amp;gclid=CjwKCAiAopuvBhBCEiwAm8jaMYLe7_a0mGr35npPhJKfVuzxK0lpcyfagab4K3pMzvBsxnSqC3GYDhoCgu0QAvD_BwE" TargetMode="External" Id="rId5"/><Relationship Type="http://schemas.openxmlformats.org/officeDocument/2006/relationships/hyperlink" Target="https://www.bouteilles-et-bocaux.com/bocal-cylindrique-haut-212-ml-col-twist-off-to-53-100012480" TargetMode="External" Id="rId6"/><Relationship Type="http://schemas.openxmlformats.org/officeDocument/2006/relationships/hyperlink" Target="https://www.bouteilles-et-bocaux.com/bocal-cylindrique-haut-212-ml-col-twist-off-to-53-100012480" TargetMode="External" Id="rId7"/><Relationship Type="http://schemas.openxmlformats.org/officeDocument/2006/relationships/hyperlink" Target="https://www.bouteilles-et-bocaux.com/bouteille-en-verre-100-ml-tulipano-col-liege-100018170?referralCode=344f636f14874df59416c60d47218b06&amp;utm_medium=sea&amp;utm_source=google&amp;gad_source=1&amp;gclid=CjwKCAiAopuvBhBCEiwAm8jaMTskXVOIzZ5rIxKF0pqFc9jqHsHuFuUd6kJ7IRF1_elI1heMCZJ8WxoCAGwQAvD_BwE" TargetMode="External" Id="rId8"/><Relationship Type="http://schemas.openxmlformats.org/officeDocument/2006/relationships/hyperlink" Target="https://www.bouteilles-et-bocaux.com/bouteille-de-vinaigre-d-huile-250-ml-oleum-verre-vert-antique-col-dop-100034870?referralCode=344f636f14874df59416c60d47218b06&amp;utm_medium=sea&amp;utm_source=google&amp;gad_source=1&amp;gclid=CjwKCAiAopuvBhBCEiwAm8jaMeaR3q1S8hCLAwRtq5MXdAumMc4tNe8kzahJPqJxkQvjUHB9PdyHrRoCIKIQAvD_BwE" TargetMode="External" Id="rId9"/><Relationship Type="http://schemas.openxmlformats.org/officeDocument/2006/relationships/hyperlink" Target="https://www.bouteilles-et-bocaux.com/seau-2-5-l-plastique-pp-blanc-100015070?referralCode=344f636f14874df59416c60d47218b06&amp;configurator=%255B%257B%2522productId%2522%253A%25220nolid%2522%252C%2522groupId%2522%253A%25220%2522%257D%252C%257B%2522productId%2522%253A%25221nolid%2522%252C%2522groupId%2522%253A%25221%2522%257D%255D&amp;utm_medium=sea&amp;utm_source=google&amp;galt=Cj0KCQjwlZixBhCoARIsAIC745BA22oQIFzXcivfuWmhgVWGHKmhHv_wy2W8_eDHTHF86yHAjltRI4MaAmbVEALw_wcB&amp;gad_source=1&amp;gclid=Cj0KCQjwlZixBhCoARIsAIC745BA22oQIFzXcivfuWmhgVWGHKmhHv_wy2W8_eDHTHF86yHAjltRI4MaAmbVEALw_wcB" TargetMode="External" Id="rId10"/><Relationship Type="http://schemas.openxmlformats.org/officeDocument/2006/relationships/hyperlink" Target="https://www.bouteilles-et-bocaux.com/verrine-haute-350-ml-col-twist-off-to-82-100036140" TargetMode="External" Id="rId11"/><Relationship Type="http://schemas.openxmlformats.org/officeDocument/2006/relationships/hyperlink" Target="https://de.aliexpress.com/item/1005005532498174.html1007.40000.327270.0&amp;scm-url=1007.40000.327270.0&amp;pvid=d7f30d2d-9c81-4a76-abd9-d1b5dab0f6ac&amp;_t=gps-id:pcDetailTopMoreOtherSeller,scm-url:1007.40000.327270.0,pvid:d7f30d2d-9c81-4a76-abd9-d1b5dab0f6ac,tpp_buckets:668%232846%238115%232000&amp;pdp_npi=4%40dis%21EUR%215.38%211.88%21%21%2141.12%2114.39%21%402103890117096883118564836e954f%2112000033437633735%21rec%21FR%212461724979%21&amp;utparam-url=scene%3ApcDetailTopMoreOtherSeller%7Cquery_from%3A" TargetMode="External" Id="rId12"/><Relationship Type="http://schemas.openxmlformats.org/officeDocument/2006/relationships/hyperlink" Target="https://www.berlinpackaging.eu/fr/81/bouteilles-huile-d-olive/11010/bouteille-alex--olio-250-ml-bg-a-vis" TargetMode="External" Id="rId13"/><Relationship Type="http://schemas.openxmlformats.org/officeDocument/2006/relationships/hyperlink" Target="https://www.bouteilles-et-bocaux.com/bocal-cylindrique-262-ml-monza-col-deep-twist-off-dto-82-100033050" TargetMode="External" Id="rId14"/><Relationship Type="http://schemas.openxmlformats.org/officeDocument/2006/relationships/table" Target="/xl/tables/table5.xml" Id="rId15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2" customWidth="1" min="4" max="4"/>
    <col width="10" customWidth="1" min="5" max="5"/>
    <col width="55" customWidth="1" min="6" max="6"/>
    <col width="30" customWidth="1" min="7" max="7"/>
    <col width="10" customWidth="1" min="8" max="8"/>
    <col width="12" customWidth="1" min="9" max="9"/>
    <col width="22" customWidth="1" min="10" max="10"/>
    <col width="18" customWidth="1" min="11" max="11"/>
    <col width="40" customWidth="1" min="12" max="12"/>
  </cols>
  <sheetData>
    <row r="1">
      <c r="A1" s="1090" t="inlineStr">
        <is>
          <t>Sélection recettes — faible eau + STRATÉGIE MÉLANGES (pas de brut conditionné)</t>
        </is>
      </c>
    </row>
    <row r="2" ht="40" customHeight="1">
      <c r="A2" s="1105" t="inlineStr">
        <is>
          <t>Basé sur les fiches Obsidian (## Besoin en eau) + classement garrigue de l'index plantes. Sel/sucre/eau ignorés dans le score. Priorité : recettes 100 % ou quasi-ferme sur plantes xérophiles.</t>
        </is>
      </c>
    </row>
    <row r="3" ht="35" customHeight="1">
      <c r="A3" s="1106" t="inlineStr">
        <is>
          <t>Priorité</t>
        </is>
      </c>
      <c r="B3" s="1106" t="inlineStr">
        <is>
          <t>Recette</t>
        </is>
      </c>
      <c r="C3" s="1106" t="inlineStr">
        <is>
          <t>Score eau</t>
        </is>
      </c>
      <c r="D3" s="1106" t="inlineStr">
        <is>
          <t>% plantes faible eau</t>
        </is>
      </c>
      <c r="E3" s="1106" t="inlineStr">
        <is>
          <t>Nb plantes élevées</t>
        </is>
      </c>
      <c r="F3" s="1106" t="inlineStr">
        <is>
          <t>Plantes (ferme)</t>
        </is>
      </c>
      <c r="G3" s="1106" t="inlineStr">
        <is>
          <t>Imports / hors eau</t>
        </is>
      </c>
      <c r="H3" s="1106" t="inlineStr">
        <is>
          <t>Type</t>
        </is>
      </c>
      <c r="I3" s="1106" t="inlineStr">
        <is>
          <t>Dans Produit Excel</t>
        </is>
      </c>
      <c r="J3" s="1106" t="inlineStr">
        <is>
          <t>Reco An1-3</t>
        </is>
      </c>
      <c r="K3" s="1106" t="inlineStr">
        <is>
          <t>Conditionnement suggéré</t>
        </is>
      </c>
      <c r="L3" s="1106" t="inlineStr">
        <is>
          <t>Notes</t>
        </is>
      </c>
    </row>
    <row r="4">
      <c r="A4" s="1107" t="inlineStr">
        <is>
          <t>A — Cœur sec</t>
        </is>
      </c>
      <c r="B4" s="1093" t="inlineStr">
        <is>
          <t>Herbes de Provence</t>
        </is>
      </c>
      <c r="C4" s="1093" t="inlineStr">
        <is>
          <t>faible</t>
        </is>
      </c>
      <c r="D4" s="1093" t="n">
        <v>100</v>
      </c>
      <c r="E4" s="1094" t="n">
        <v>0</v>
      </c>
      <c r="F4" s="1094" t="inlineStr">
        <is>
          <t>Thym [faible]; Romarin [faible]; Sarriette [faible]; Origan [faible]; Marjolaine [faible]; Lavande (facultatif, style « Provence ») [faible]</t>
        </is>
      </c>
      <c r="G4" s="1094" t="inlineStr">
        <is>
          <t>—</t>
        </is>
      </c>
      <c r="H4" s="1094" t="inlineStr">
        <is>
          <t>SEC</t>
        </is>
      </c>
      <c r="I4" s="1094" t="inlineStr">
        <is>
          <t>oui</t>
        </is>
      </c>
      <c r="J4" s="1094" t="inlineStr">
        <is>
          <t>An1–3 prioritaire</t>
        </is>
      </c>
      <c r="K4" s="1094" t="inlineStr">
        <is>
          <t>Epice 100ml</t>
        </is>
      </c>
      <c r="L4" s="1094" t="inlineStr">
        <is>
          <t>100 % garrigue — produit signature sec</t>
        </is>
      </c>
    </row>
    <row r="5">
      <c r="A5" s="1107" t="inlineStr">
        <is>
          <t>A — Cœur sec</t>
        </is>
      </c>
      <c r="B5" s="1093" t="inlineStr">
        <is>
          <t>Zaatar</t>
        </is>
      </c>
      <c r="C5" s="1093" t="inlineStr">
        <is>
          <t>faible</t>
        </is>
      </c>
      <c r="D5" s="1093" t="n">
        <v>100</v>
      </c>
      <c r="E5" s="1094" t="n">
        <v>0</v>
      </c>
      <c r="F5" s="1094" t="inlineStr">
        <is>
          <t>Thym (ou mélange thym/Origan/Sarriette) [faible]; Sumac (baies moulues) [faible]; Sésame (grillé) [faible]; Cumin (facultatif) [faible]</t>
        </is>
      </c>
      <c r="G5" s="1094" t="inlineStr">
        <is>
          <t>Sel</t>
        </is>
      </c>
      <c r="H5" s="1094" t="inlineStr">
        <is>
          <t>SEC</t>
        </is>
      </c>
      <c r="I5" s="1094" t="inlineStr">
        <is>
          <t>oui</t>
        </is>
      </c>
      <c r="J5" s="1094" t="inlineStr">
        <is>
          <t>An1–3 prioritaire</t>
        </is>
      </c>
      <c r="K5" s="1094" t="inlineStr">
        <is>
          <t>Epice 100ml</t>
        </is>
      </c>
      <c r="L5" s="1094" t="inlineStr">
        <is>
          <t>Sumac An5 ; sésame = achat/essai</t>
        </is>
      </c>
    </row>
    <row r="6">
      <c r="A6" s="1107" t="inlineStr">
        <is>
          <t>A — Cœur sec</t>
        </is>
      </c>
      <c r="B6" s="1093" t="inlineStr">
        <is>
          <t>Faux-poivre de garrigue</t>
        </is>
      </c>
      <c r="C6" s="1093" t="inlineStr">
        <is>
          <t>faible</t>
        </is>
      </c>
      <c r="D6" s="1093" t="n">
        <v>80</v>
      </c>
      <c r="E6" s="1094" t="n">
        <v>0</v>
      </c>
      <c r="F6" s="1094" t="inlineStr">
        <is>
          <t>Poivre de Sichuan (baies) [faible]; Poivre de Timut (baies) [faible]; Genévrier commun (baies) [faible]; Gattilier (poivre des moines) [faible]; Maceron (baies, faux-poivre) [modéré]</t>
        </is>
      </c>
      <c r="G6" s="1094" t="inlineStr">
        <is>
          <t>—</t>
        </is>
      </c>
      <c r="H6" s="1094" t="inlineStr">
        <is>
          <t>SEC</t>
        </is>
      </c>
      <c r="I6" s="1094" t="inlineStr">
        <is>
          <t>oui</t>
        </is>
      </c>
      <c r="J6" s="1094" t="inlineStr">
        <is>
          <t>An1–3 prioritaire</t>
        </is>
      </c>
      <c r="K6" s="1094" t="inlineStr">
        <is>
          <t>Epice 100ml</t>
        </is>
      </c>
      <c r="L6" s="1094" t="inlineStr">
        <is>
          <t>Arbustes An4–7 pour volume plein — démarrer plants An1</t>
        </is>
      </c>
    </row>
    <row r="7">
      <c r="A7" s="1107" t="inlineStr">
        <is>
          <t>A — Cœur sec</t>
        </is>
      </c>
      <c r="B7" s="1093" t="inlineStr">
        <is>
          <t>Sel de garrigue</t>
        </is>
      </c>
      <c r="C7" s="1093" t="inlineStr">
        <is>
          <t>faible</t>
        </is>
      </c>
      <c r="D7" s="1093" t="n">
        <v>80</v>
      </c>
      <c r="E7" s="1094" t="n">
        <v>0</v>
      </c>
      <c r="F7" s="1094" t="inlineStr">
        <is>
          <t>Thym [faible]; Romarin [faible]; Sarriette [faible]; Ail (semoule) [modéré]; Lavande (facultatif) [faible]</t>
        </is>
      </c>
      <c r="G7" s="1094" t="inlineStr">
        <is>
          <t>Sel (marin / gemme)</t>
        </is>
      </c>
      <c r="H7" s="1094" t="inlineStr">
        <is>
          <t>sel</t>
        </is>
      </c>
      <c r="I7" s="1094" t="inlineStr">
        <is>
          <t>oui</t>
        </is>
      </c>
      <c r="J7" s="1094" t="inlineStr">
        <is>
          <t>An1–3 prioritaire</t>
        </is>
      </c>
      <c r="K7" s="1094" t="inlineStr">
        <is>
          <t>Epice 100ml</t>
        </is>
      </c>
      <c r="L7" s="1094" t="inlineStr"/>
    </row>
    <row r="8">
      <c r="A8" s="1108" t="inlineStr">
        <is>
          <t>B — Complément sec</t>
        </is>
      </c>
      <c r="B8" s="1096" t="inlineStr">
        <is>
          <t>Sucre aux fleurs</t>
        </is>
      </c>
      <c r="C8" s="1096" t="inlineStr">
        <is>
          <t>modéré-sec</t>
        </is>
      </c>
      <c r="D8" s="1096" t="n">
        <v>67</v>
      </c>
      <c r="E8" s="1094" t="n">
        <v>0</v>
      </c>
      <c r="F8" s="1094" t="inlineStr">
        <is>
          <t>Lavande (fleurs) [faible]; Rose (pétales) [modéré]; Souci / Bleuet (pétales, couleur) [faible]</t>
        </is>
      </c>
      <c r="G8" s="1094" t="inlineStr">
        <is>
          <t>Sucre (canne roux / betterave)</t>
        </is>
      </c>
      <c r="H8" s="1094" t="inlineStr">
        <is>
          <t>sucre</t>
        </is>
      </c>
      <c r="I8" s="1094" t="inlineStr">
        <is>
          <t>oui</t>
        </is>
      </c>
      <c r="J8" s="1094" t="inlineStr">
        <is>
          <t>An1–2 OK</t>
        </is>
      </c>
      <c r="K8" s="1094" t="inlineStr">
        <is>
          <t>Epice 100ml</t>
        </is>
      </c>
      <c r="L8" s="1094" t="inlineStr"/>
    </row>
    <row r="9">
      <c r="A9" s="1096" t="inlineStr">
        <is>
          <t>B — Complément sec</t>
        </is>
      </c>
      <c r="B9" s="1096" t="inlineStr">
        <is>
          <t>Sirop aux fleurs</t>
        </is>
      </c>
      <c r="C9" s="1096" t="inlineStr">
        <is>
          <t>modéré-sec</t>
        </is>
      </c>
      <c r="D9" s="1096" t="n">
        <v>50</v>
      </c>
      <c r="E9" s="1094" t="n">
        <v>0</v>
      </c>
      <c r="F9" s="1094" t="inlineStr">
        <is>
          <t>Fleur au choix : Lavande / Rose / Hibiscus [faible]; Jus de citron [inconnu]</t>
        </is>
      </c>
      <c r="G9" s="1094" t="inlineStr">
        <is>
          <t>Eau; Sucre</t>
        </is>
      </c>
      <c r="H9" s="1094" t="inlineStr">
        <is>
          <t>sirop</t>
        </is>
      </c>
      <c r="I9" s="1094" t="inlineStr">
        <is>
          <t>oui</t>
        </is>
      </c>
      <c r="J9" s="1094" t="inlineStr">
        <is>
          <t>An1–2 OK</t>
        </is>
      </c>
      <c r="K9" s="1094" t="inlineStr">
        <is>
          <t>Epice 100ml</t>
        </is>
      </c>
      <c r="L9" s="1094" t="inlineStr"/>
    </row>
    <row r="10">
      <c r="A10" s="1108" t="inlineStr">
        <is>
          <t>B — Complément sec</t>
        </is>
      </c>
      <c r="B10" s="1096" t="inlineStr">
        <is>
          <t>Sirop de thym</t>
        </is>
      </c>
      <c r="C10" s="1096" t="inlineStr">
        <is>
          <t>modéré-sec</t>
        </is>
      </c>
      <c r="D10" s="1096" t="n">
        <v>50</v>
      </c>
      <c r="E10" s="1094" t="n">
        <v>0</v>
      </c>
      <c r="F10" s="1094" t="inlineStr">
        <is>
          <t>Thym (frais ou sec) [faible]; Jus de citron [inconnu]</t>
        </is>
      </c>
      <c r="G10" s="1094" t="inlineStr">
        <is>
          <t>Eau; Sucre</t>
        </is>
      </c>
      <c r="H10" s="1094" t="inlineStr">
        <is>
          <t>sirop</t>
        </is>
      </c>
      <c r="I10" s="1094" t="inlineStr">
        <is>
          <t>oui</t>
        </is>
      </c>
      <c r="J10" s="1094" t="inlineStr">
        <is>
          <t>An1–2 OK</t>
        </is>
      </c>
      <c r="K10" s="1094" t="inlineStr">
        <is>
          <t>Epice 100ml</t>
        </is>
      </c>
      <c r="L10" s="1094" t="inlineStr">
        <is>
          <t>Thym sec + sucre import — bon compromis</t>
        </is>
      </c>
    </row>
    <row r="11">
      <c r="A11" s="1094" t="inlineStr">
        <is>
          <t>C — Mixte</t>
        </is>
      </c>
      <c r="B11" s="1094" t="inlineStr">
        <is>
          <t>Choucroute</t>
        </is>
      </c>
      <c r="C11" s="1094" t="inlineStr">
        <is>
          <t>mixte (surtout sec)</t>
        </is>
      </c>
      <c r="D11" s="1094" t="n">
        <v>75</v>
      </c>
      <c r="E11" s="1094" t="n">
        <v>1</v>
      </c>
      <c r="F11" s="1094" t="inlineStr">
        <is>
          <t>Chou (blanc) [élevé]; Genévrier commun (baies) [faible]; Carvi (graines) [faible]; Laurier sauce [faible]</t>
        </is>
      </c>
      <c r="G11" s="1094" t="inlineStr">
        <is>
          <t>Sel (non iodé)</t>
        </is>
      </c>
      <c r="H11" s="1094" t="inlineStr">
        <is>
          <t>lacto</t>
        </is>
      </c>
      <c r="I11" s="1094" t="inlineStr">
        <is>
          <t>oui</t>
        </is>
      </c>
      <c r="J11" s="1094" t="inlineStr">
        <is>
          <t>An2–3 (arbustes / part sec)</t>
        </is>
      </c>
      <c r="K11" s="1094" t="inlineStr">
        <is>
          <t>Epice 100ml</t>
        </is>
      </c>
      <c r="L11" s="1094" t="inlineStr"/>
    </row>
    <row r="12">
      <c r="A12" s="1109" t="inlineStr">
        <is>
          <t>C — Mixte</t>
        </is>
      </c>
      <c r="B12" s="1094" t="inlineStr">
        <is>
          <t>Épices viandes rouges</t>
        </is>
      </c>
      <c r="C12" s="1094" t="inlineStr">
        <is>
          <t>mixte (surtout sec)</t>
        </is>
      </c>
      <c r="D12" s="1094" t="n">
        <v>71</v>
      </c>
      <c r="E12" s="1094" t="n">
        <v>1</v>
      </c>
      <c r="F12" s="1094" t="inlineStr">
        <is>
          <t>Poivre de Sichuan + Poivre de Timut (faux-poivres) [faible]; Piment (paprika, doux) [élevé]; Ail (semoule) [modéré]; Thym [faible]; Romarin [faible]; Genévrier commun (baies) [faible]; Moutarde (graine) [faible]</t>
        </is>
      </c>
      <c r="G12" s="1094" t="inlineStr">
        <is>
          <t>Sel (optionnel, pour un « rub »)</t>
        </is>
      </c>
      <c r="H12" s="1094" t="inlineStr">
        <is>
          <t>SEC</t>
        </is>
      </c>
      <c r="I12" s="1094" t="inlineStr">
        <is>
          <t>oui</t>
        </is>
      </c>
      <c r="J12" s="1094" t="inlineStr">
        <is>
          <t>An2–3 (arbustes / part sec)</t>
        </is>
      </c>
      <c r="K12" s="1094" t="inlineStr">
        <is>
          <t>Epice 100ml</t>
        </is>
      </c>
      <c r="L12" s="1094" t="inlineStr"/>
    </row>
    <row r="13">
      <c r="A13" s="1094" t="inlineStr">
        <is>
          <t>C — Mixte</t>
        </is>
      </c>
      <c r="B13" s="1094" t="inlineStr">
        <is>
          <t>Tisane d'hiver</t>
        </is>
      </c>
      <c r="C13" s="1094" t="inlineStr">
        <is>
          <t>mixte (surtout sec)</t>
        </is>
      </c>
      <c r="D13" s="1094" t="n">
        <v>60</v>
      </c>
      <c r="E13" s="1094" t="n">
        <v>2</v>
      </c>
      <c r="F13" s="1094" t="inlineStr">
        <is>
          <t>Thym [faible]; Sureau (fleurs) [élevé]; Églantier (cynorrhodon, sans akènes) [faible]; Sauge [faible]; Cassis (feuilles/baies, facultatif) [élevé]</t>
        </is>
      </c>
      <c r="G13" s="1094" t="inlineStr">
        <is>
          <t>—</t>
        </is>
      </c>
      <c r="H13" s="1094" t="inlineStr">
        <is>
          <t>tisane</t>
        </is>
      </c>
      <c r="I13" s="1094" t="inlineStr">
        <is>
          <t>oui</t>
        </is>
      </c>
      <c r="J13" s="1094" t="inlineStr">
        <is>
          <t>An2–3 (arbustes / part sec)</t>
        </is>
      </c>
      <c r="K13" s="1094" t="inlineStr">
        <is>
          <t>Epice 100ml</t>
        </is>
      </c>
      <c r="L13" s="1094" t="inlineStr"/>
    </row>
    <row r="14">
      <c r="A14" s="1094" t="inlineStr">
        <is>
          <t>D — Humide / import</t>
        </is>
      </c>
      <c r="B14" s="1094" t="inlineStr">
        <is>
          <t>Cornichons lactofermentés</t>
        </is>
      </c>
      <c r="C14" s="1094" t="inlineStr">
        <is>
          <t>modéré</t>
        </is>
      </c>
      <c r="D14" s="1094" t="n">
        <v>50</v>
      </c>
      <c r="E14" s="1094" t="n">
        <v>1</v>
      </c>
      <c r="F14" s="1094" t="inlineStr">
        <is>
          <t>Cornichons (frais) [élevé]; Ail (gousses) [modéré]; Moutarde (graine) [faible]; Laurier sauce [faible]</t>
        </is>
      </c>
      <c r="G14" s="1094" t="inlineStr">
        <is>
          <t>Eau; Sel (non iodé)</t>
        </is>
      </c>
      <c r="H14" s="1094" t="inlineStr">
        <is>
          <t>lacto</t>
        </is>
      </c>
      <c r="I14" s="1094" t="inlineStr">
        <is>
          <t>oui</t>
        </is>
      </c>
      <c r="J14" s="1094" t="inlineStr">
        <is>
          <t>Limiter ou hors cœur sec</t>
        </is>
      </c>
      <c r="K14" s="1094" t="inlineStr">
        <is>
          <t>Cornichon fin</t>
        </is>
      </c>
      <c r="L14" s="1094" t="inlineStr"/>
    </row>
    <row r="15">
      <c r="A15" s="1094" t="inlineStr">
        <is>
          <t>D — Humide / import</t>
        </is>
      </c>
      <c r="B15" s="1094" t="inlineStr">
        <is>
          <t>Curry</t>
        </is>
      </c>
      <c r="C15" s="1094" t="inlineStr">
        <is>
          <t>modéré</t>
        </is>
      </c>
      <c r="D15" s="1094" t="n">
        <v>50</v>
      </c>
      <c r="E15" s="1094" t="n">
        <v>3</v>
      </c>
      <c r="F15" s="1094" t="inlineStr">
        <is>
          <t>Coriandre (graine) [faible]; Curcuma (poudre) [élevé]; Cumin (graine) [faible]; Fenugrec (graine) [faible]; Gingembre (sec) [élevé]; Moutarde (graine jaune) [faible]; Piment (Cayenne, doux) [élevé]; Feuille de curry (facultatif) [inconnu]</t>
        </is>
      </c>
      <c r="G15" s="1094" t="inlineStr">
        <is>
          <t>Poivre noir; Cannelle; Cardamome verte; Girofle</t>
        </is>
      </c>
      <c r="H15" s="1094" t="inlineStr">
        <is>
          <t>SEC</t>
        </is>
      </c>
      <c r="I15" s="1094" t="inlineStr">
        <is>
          <t>oui</t>
        </is>
      </c>
      <c r="J15" s="1094" t="inlineStr">
        <is>
          <t>Limiter ou hors cœur sec</t>
        </is>
      </c>
      <c r="K15" s="1094" t="inlineStr">
        <is>
          <t>Epice 100ml</t>
        </is>
      </c>
      <c r="L15" s="1094" t="inlineStr"/>
    </row>
    <row r="16">
      <c r="A16" s="1094" t="inlineStr">
        <is>
          <t>D — Humide / import</t>
        </is>
      </c>
      <c r="B16" s="1094" t="inlineStr">
        <is>
          <t>Curry Madras</t>
        </is>
      </c>
      <c r="C16" s="1094" t="inlineStr">
        <is>
          <t>modéré</t>
        </is>
      </c>
      <c r="D16" s="1094" t="n">
        <v>50</v>
      </c>
      <c r="E16" s="1094" t="n">
        <v>3</v>
      </c>
      <c r="F16" s="1094" t="inlineStr">
        <is>
          <t>Coriandre (graine) [faible]; Curcuma (poudre) [élevé]; Cumin (graine) [faible]; Piment (Cayenne, fort) [élevé]; Fenugrec (graine) [faible]; Gingembre (sec) [élevé]; Moutarde (graine) [faible]; Feuille de curry [inconnu]</t>
        </is>
      </c>
      <c r="G16" s="1094" t="inlineStr">
        <is>
          <t>Poivre noir; Cannelle; Cardamome; Girofle</t>
        </is>
      </c>
      <c r="H16" s="1094" t="inlineStr">
        <is>
          <t>SEC</t>
        </is>
      </c>
      <c r="I16" s="1094" t="inlineStr">
        <is>
          <t>oui</t>
        </is>
      </c>
      <c r="J16" s="1094" t="inlineStr">
        <is>
          <t>Limiter ou hors cœur sec</t>
        </is>
      </c>
      <c r="K16" s="1094" t="inlineStr">
        <is>
          <t>Epice 100ml</t>
        </is>
      </c>
      <c r="L16" s="1094" t="inlineStr"/>
    </row>
    <row r="17">
      <c r="A17" s="1109" t="inlineStr">
        <is>
          <t>D — Humide / import</t>
        </is>
      </c>
      <c r="B17" s="1094" t="inlineStr">
        <is>
          <t>Mélange à poissons anisé</t>
        </is>
      </c>
      <c r="C17" s="1094" t="inlineStr">
        <is>
          <t>modéré</t>
        </is>
      </c>
      <c r="D17" s="1094" t="n">
        <v>50</v>
      </c>
      <c r="E17" s="1094" t="n">
        <v>1</v>
      </c>
      <c r="F17" s="1094" t="inlineStr">
        <is>
          <t>Fenouil (graine) [faible]; Aneth (graine + feuille) [modéré]; Anis vert (graine) [faible]; Zeste séché (Mandarinier) [inconnu]; Cerfeuil (séché) [élevé]; Thym (note citronnée) [faible]</t>
        </is>
      </c>
      <c r="G17" s="1094" t="inlineStr">
        <is>
          <t>—</t>
        </is>
      </c>
      <c r="H17" s="1094" t="inlineStr">
        <is>
          <t>SEC</t>
        </is>
      </c>
      <c r="I17" s="1094" t="inlineStr">
        <is>
          <t>oui</t>
        </is>
      </c>
      <c r="J17" s="1094" t="inlineStr">
        <is>
          <t>Limiter ou hors cœur sec</t>
        </is>
      </c>
      <c r="K17" s="1094" t="inlineStr">
        <is>
          <t>Epice 100ml</t>
        </is>
      </c>
      <c r="L17" s="1094" t="inlineStr"/>
    </row>
    <row r="18">
      <c r="A18" s="1094" t="inlineStr">
        <is>
          <t>D — Humide / import</t>
        </is>
      </c>
      <c r="B18" s="1094" t="inlineStr">
        <is>
          <t>Timur ko chhop</t>
        </is>
      </c>
      <c r="C18" s="1094" t="inlineStr">
        <is>
          <t>modéré</t>
        </is>
      </c>
      <c r="D18" s="1094" t="n">
        <v>50</v>
      </c>
      <c r="E18" s="1094" t="n">
        <v>3</v>
      </c>
      <c r="F18" s="1094" t="inlineStr">
        <is>
          <t>Poivre de Timut (baies) [faible]; Piment (sec, moyen) [élevé]; Ail (semoule) [modéré]; Coriandre (graine) [faible]; Cumin (graine) [faible]; Gingembre (sec) [élevé]; Curcuma (poudre) [élevé]; Fenugrec (graine) [faible]</t>
        </is>
      </c>
      <c r="G18" s="1094" t="inlineStr">
        <is>
          <t>Sel</t>
        </is>
      </c>
      <c r="H18" s="1094" t="inlineStr">
        <is>
          <t>SEC</t>
        </is>
      </c>
      <c r="I18" s="1094" t="inlineStr">
        <is>
          <t>oui</t>
        </is>
      </c>
      <c r="J18" s="1094" t="inlineStr">
        <is>
          <t>Limiter ou hors cœur sec</t>
        </is>
      </c>
      <c r="K18" s="1094" t="inlineStr">
        <is>
          <t>Epice 100ml</t>
        </is>
      </c>
      <c r="L18" s="1094" t="inlineStr"/>
    </row>
    <row r="19">
      <c r="A19" s="1094" t="inlineStr">
        <is>
          <t>D — Humide / import</t>
        </is>
      </c>
      <c r="B19" s="1094" t="inlineStr">
        <is>
          <t>Shichimi togarashi</t>
        </is>
      </c>
      <c r="C19" s="1094" t="inlineStr">
        <is>
          <t>modéré</t>
        </is>
      </c>
      <c r="D19" s="1094" t="n">
        <v>43</v>
      </c>
      <c r="E19" s="1094" t="n">
        <v>2</v>
      </c>
      <c r="F19" s="1094" t="inlineStr">
        <is>
          <t>Piment (togarashi / Cayenne) [élevé]; Poivre de Sichuan (sansho) [faible]; Zeste d'agrume séché (Mandarinier / Combava) [inconnu]; Sésame (blanc + noir, grillé) [faible]; Pavot (graines) ou chanvre [faible]; Gingembre (sec) [élevé]; Algue nori (émiettée) [inconnu]</t>
        </is>
      </c>
      <c r="G19" s="1094" t="inlineStr">
        <is>
          <t>—</t>
        </is>
      </c>
      <c r="H19" s="1094" t="inlineStr">
        <is>
          <t>SEC</t>
        </is>
      </c>
      <c r="I19" s="1094" t="inlineStr">
        <is>
          <t>oui</t>
        </is>
      </c>
      <c r="J19" s="1094" t="inlineStr">
        <is>
          <t>Limiter ou hors cœur sec</t>
        </is>
      </c>
      <c r="K19" s="1094" t="inlineStr">
        <is>
          <t>Epice 100ml</t>
        </is>
      </c>
      <c r="L19" s="1094" t="inlineStr"/>
    </row>
    <row r="20">
      <c r="A20" s="1094" t="inlineStr">
        <is>
          <t>D — Humide / import</t>
        </is>
      </c>
      <c r="B20" s="1094" t="inlineStr">
        <is>
          <t>Épices tandoori</t>
        </is>
      </c>
      <c r="C20" s="1094" t="inlineStr">
        <is>
          <t>modéré</t>
        </is>
      </c>
      <c r="D20" s="1094" t="n">
        <v>43</v>
      </c>
      <c r="E20" s="1094" t="n">
        <v>3</v>
      </c>
      <c r="F20" s="1094" t="inlineStr">
        <is>
          <t>Piment (paprika doux, couleur) [élevé]; Coriandre (graine) [faible]; Cumin (graine) [faible]; Ail (semoule) [modéré]; Gingembre (sec) [élevé]; Piment (Cayenne, fort) [élevé]; Fenugrec (graine) [faible]</t>
        </is>
      </c>
      <c r="G20" s="1094" t="inlineStr">
        <is>
          <t>Poivre noir; Cannelle; Girofle; Cardamome; Muscade</t>
        </is>
      </c>
      <c r="H20" s="1094" t="inlineStr">
        <is>
          <t>SEC</t>
        </is>
      </c>
      <c r="I20" s="1094" t="inlineStr">
        <is>
          <t>oui</t>
        </is>
      </c>
      <c r="J20" s="1094" t="inlineStr">
        <is>
          <t>Limiter ou hors cœur sec</t>
        </is>
      </c>
      <c r="K20" s="1094" t="inlineStr">
        <is>
          <t>Epice 100ml</t>
        </is>
      </c>
      <c r="L20" s="1094" t="inlineStr"/>
    </row>
    <row r="21">
      <c r="A21" s="1095" t="inlineStr">
        <is>
          <t>D — Humide / import</t>
        </is>
      </c>
      <c r="B21" s="1095" t="inlineStr">
        <is>
          <t>Tisane digestive</t>
        </is>
      </c>
      <c r="C21" s="1095" t="inlineStr">
        <is>
          <t>élevé</t>
        </is>
      </c>
      <c r="D21" s="1095" t="n">
        <v>40</v>
      </c>
      <c r="E21" s="1094" t="n">
        <v>3</v>
      </c>
      <c r="F21" s="1094" t="inlineStr">
        <is>
          <t>Menthe [élevé]; Fenouil (graines) [faible]; Mélisse [élevé]; Camomille matricaire (fleurs) [faible]; Verveine citronnelle [élevé]</t>
        </is>
      </c>
      <c r="G21" s="1094" t="inlineStr">
        <is>
          <t>—</t>
        </is>
      </c>
      <c r="H21" s="1094" t="inlineStr">
        <is>
          <t>tisane</t>
        </is>
      </c>
      <c r="I21" s="1094" t="inlineStr">
        <is>
          <t>oui</t>
        </is>
      </c>
      <c r="J21" s="1094" t="inlineStr">
        <is>
          <t>Limiter ou hors cœur sec</t>
        </is>
      </c>
      <c r="K21" s="1094" t="inlineStr">
        <is>
          <t>Epice 100ml</t>
        </is>
      </c>
      <c r="L21" s="1094" t="inlineStr"/>
    </row>
    <row r="22">
      <c r="A22" s="1094" t="inlineStr">
        <is>
          <t>D — Humide / import</t>
        </is>
      </c>
      <c r="B22" s="1094" t="inlineStr">
        <is>
          <t>Tisane du soir</t>
        </is>
      </c>
      <c r="C22" s="1094" t="inlineStr">
        <is>
          <t>modéré</t>
        </is>
      </c>
      <c r="D22" s="1094" t="n">
        <v>40</v>
      </c>
      <c r="E22" s="1094" t="n">
        <v>2</v>
      </c>
      <c r="F22" s="1094" t="inlineStr">
        <is>
          <t>Verveine citronnelle [élevé]; Tilleul (fleurs + bractées) [modéré]; Camomille matricaire (fleurs) [faible]; Mélisse [élevé]; Lavande (fleurs, pointe) [faible]</t>
        </is>
      </c>
      <c r="G22" s="1094" t="inlineStr">
        <is>
          <t>—</t>
        </is>
      </c>
      <c r="H22" s="1094" t="inlineStr">
        <is>
          <t>tisane</t>
        </is>
      </c>
      <c r="I22" s="1094" t="inlineStr">
        <is>
          <t>oui</t>
        </is>
      </c>
      <c r="J22" s="1094" t="inlineStr">
        <is>
          <t>Limiter ou hors cœur sec</t>
        </is>
      </c>
      <c r="K22" s="1094" t="inlineStr">
        <is>
          <t>Recharge craft 100ml</t>
        </is>
      </c>
      <c r="L22" s="1094" t="inlineStr"/>
    </row>
    <row r="23">
      <c r="A23" s="1095" t="inlineStr">
        <is>
          <t>D — Humide / import</t>
        </is>
      </c>
      <c r="B23" s="1095" t="inlineStr">
        <is>
          <t>Paprika fumé</t>
        </is>
      </c>
      <c r="C23" s="1095" t="inlineStr">
        <is>
          <t>élevé</t>
        </is>
      </c>
      <c r="D23" s="1095" t="n">
        <v>0</v>
      </c>
      <c r="E23" s="1094" t="n">
        <v>2</v>
      </c>
      <c r="F23" s="1094" t="inlineStr">
        <is>
          <t>Piment (variété paprika, doux) [élevé]; Piment (Cayenne, pour version « picante ») [élevé]</t>
        </is>
      </c>
      <c r="G23" s="1094" t="inlineStr">
        <is>
          <t>—</t>
        </is>
      </c>
      <c r="H23" s="1094" t="inlineStr">
        <is>
          <t>SEC</t>
        </is>
      </c>
      <c r="I23" s="1094" t="inlineStr">
        <is>
          <t>oui</t>
        </is>
      </c>
      <c r="J23" s="1094" t="inlineStr">
        <is>
          <t>Limiter ou hors cœur sec</t>
        </is>
      </c>
      <c r="K23" s="1094" t="inlineStr">
        <is>
          <t>Epice 100ml</t>
        </is>
      </c>
      <c r="L23" s="1094" t="inlineStr"/>
    </row>
    <row r="24">
      <c r="A24" s="1109" t="inlineStr">
        <is>
          <t>D — Humide / import</t>
        </is>
      </c>
      <c r="B24" s="1094" t="inlineStr">
        <is>
          <t>Sel fumé</t>
        </is>
      </c>
      <c r="C24" s="1094" t="inlineStr">
        <is>
          <t>modéré</t>
        </is>
      </c>
      <c r="D24" s="1094" t="n">
        <v>0</v>
      </c>
      <c r="E24" s="1094" t="n">
        <v>0</v>
      </c>
      <c r="F24" s="1094" t="inlineStr">
        <is>
          <t>Paprika fumé (variante colorée) [inconnu]</t>
        </is>
      </c>
      <c r="G24" s="1094" t="inlineStr">
        <is>
          <t>Sel (marin, gros ou fin)</t>
        </is>
      </c>
      <c r="H24" s="1094" t="inlineStr">
        <is>
          <t>sel</t>
        </is>
      </c>
      <c r="I24" s="1094" t="inlineStr">
        <is>
          <t>oui</t>
        </is>
      </c>
      <c r="J24" s="1094" t="inlineStr">
        <is>
          <t>Limiter ou hors cœur sec</t>
        </is>
      </c>
      <c r="K24" s="1094" t="inlineStr">
        <is>
          <t>Epice 100ml</t>
        </is>
      </c>
      <c r="L24" s="1094" t="inlineStr"/>
    </row>
    <row r="25">
      <c r="A25" s="1095" t="inlineStr">
        <is>
          <t>D — Humide / import</t>
        </is>
      </c>
      <c r="B25" s="1095" t="inlineStr">
        <is>
          <t>Sirop de basilic</t>
        </is>
      </c>
      <c r="C25" s="1095" t="inlineStr">
        <is>
          <t>élevé</t>
        </is>
      </c>
      <c r="D25" s="1095" t="n">
        <v>0</v>
      </c>
      <c r="E25" s="1094" t="n">
        <v>1</v>
      </c>
      <c r="F25" s="1094" t="inlineStr">
        <is>
          <t>Basilic (feuilles fraîches) [élevé]; Jus de citron [inconnu]</t>
        </is>
      </c>
      <c r="G25" s="1094" t="inlineStr">
        <is>
          <t>Eau; Sucre</t>
        </is>
      </c>
      <c r="H25" s="1094" t="inlineStr">
        <is>
          <t>sirop</t>
        </is>
      </c>
      <c r="I25" s="1094" t="inlineStr">
        <is>
          <t>oui</t>
        </is>
      </c>
      <c r="J25" s="1094" t="inlineStr">
        <is>
          <t>Limiter ou hors cœur sec</t>
        </is>
      </c>
      <c r="K25" s="1094" t="inlineStr">
        <is>
          <t>Epice 100ml</t>
        </is>
      </c>
      <c r="L25" s="1094" t="inlineStr"/>
    </row>
    <row r="26">
      <c r="A26" s="1095" t="inlineStr">
        <is>
          <t>D — Humide / import</t>
        </is>
      </c>
      <c r="B26" s="1095" t="inlineStr">
        <is>
          <t>Sirop de menthe classique</t>
        </is>
      </c>
      <c r="C26" s="1095" t="inlineStr">
        <is>
          <t>élevé</t>
        </is>
      </c>
      <c r="D26" s="1095" t="n">
        <v>0</v>
      </c>
      <c r="E26" s="1094" t="n">
        <v>1</v>
      </c>
      <c r="F26" s="1094" t="inlineStr">
        <is>
          <t>Menthe (fraîche ou sèche) [élevé]; Jus de citron (acidifiant) [inconnu]</t>
        </is>
      </c>
      <c r="G26" s="1094" t="inlineStr">
        <is>
          <t>Eau; Sucre</t>
        </is>
      </c>
      <c r="H26" s="1094" t="inlineStr">
        <is>
          <t>sirop</t>
        </is>
      </c>
      <c r="I26" s="1094" t="inlineStr">
        <is>
          <t>oui</t>
        </is>
      </c>
      <c r="J26" s="1094" t="inlineStr">
        <is>
          <t>Limiter ou hors cœur sec</t>
        </is>
      </c>
      <c r="K26" s="1094" t="inlineStr">
        <is>
          <t>Epice 100ml</t>
        </is>
      </c>
      <c r="L26" s="1094" t="inlineStr"/>
    </row>
    <row r="27">
      <c r="A27" s="1095" t="inlineStr">
        <is>
          <t>D — Humide / import</t>
        </is>
      </c>
      <c r="B27" s="1095" t="inlineStr">
        <is>
          <t>Sirop de sureau</t>
        </is>
      </c>
      <c r="C27" s="1095" t="inlineStr">
        <is>
          <t>élevé</t>
        </is>
      </c>
      <c r="D27" s="1095" t="n">
        <v>0</v>
      </c>
      <c r="E27" s="1094" t="n">
        <v>2</v>
      </c>
      <c r="F27" s="1094" t="inlineStr">
        <is>
          <t>Sureau (ombelles de fleurs) [élevé]; Citron (tranches + jus) [élevé]</t>
        </is>
      </c>
      <c r="G27" s="1094" t="inlineStr">
        <is>
          <t>Eau; Sucre</t>
        </is>
      </c>
      <c r="H27" s="1094" t="inlineStr">
        <is>
          <t>sirop</t>
        </is>
      </c>
      <c r="I27" s="1094" t="inlineStr">
        <is>
          <t>oui</t>
        </is>
      </c>
      <c r="J27" s="1094" t="inlineStr">
        <is>
          <t>Limiter ou hors cœur sec</t>
        </is>
      </c>
      <c r="K27" s="1094" t="inlineStr">
        <is>
          <t>Sirop 500 ml</t>
        </is>
      </c>
      <c r="L27" s="1094" t="inlineStr"/>
    </row>
    <row r="28">
      <c r="A28" s="1095" t="inlineStr">
        <is>
          <t>D — Humide / import</t>
        </is>
      </c>
      <c r="B28" s="1095" t="inlineStr">
        <is>
          <t>Sucre à l'hibiscus</t>
        </is>
      </c>
      <c r="C28" s="1095" t="inlineStr">
        <is>
          <t>élevé</t>
        </is>
      </c>
      <c r="D28" s="1095" t="n">
        <v>0</v>
      </c>
      <c r="E28" s="1094" t="n">
        <v>1</v>
      </c>
      <c r="F28" s="1094" t="inlineStr">
        <is>
          <t>Hibiscus (calices séchés) [élevé]</t>
        </is>
      </c>
      <c r="G28" s="1094" t="inlineStr">
        <is>
          <t>Sucre (canne roux / betterave)</t>
        </is>
      </c>
      <c r="H28" s="1094" t="inlineStr">
        <is>
          <t>sucre</t>
        </is>
      </c>
      <c r="I28" s="1094" t="inlineStr">
        <is>
          <t>oui</t>
        </is>
      </c>
      <c r="J28" s="1094" t="inlineStr">
        <is>
          <t>Limiter ou hors cœur sec</t>
        </is>
      </c>
      <c r="K28" s="1094" t="inlineStr">
        <is>
          <t>Epice 100ml</t>
        </is>
      </c>
      <c r="L28" s="1094" t="inlineStr"/>
    </row>
    <row r="29">
      <c r="A29" s="1095" t="inlineStr">
        <is>
          <t>D — Humide / import</t>
        </is>
      </c>
      <c r="B29" s="1095" t="inlineStr">
        <is>
          <t>Tisane rafraîchissante</t>
        </is>
      </c>
      <c r="C29" s="1095" t="inlineStr">
        <is>
          <t>élevé</t>
        </is>
      </c>
      <c r="D29" s="1095" t="n">
        <v>0</v>
      </c>
      <c r="E29" s="1094" t="n">
        <v>4</v>
      </c>
      <c r="F29" s="1094" t="inlineStr">
        <is>
          <t>Menthe [élevé]; Verveine citronnelle [élevé]; Hibiscus (calices) [élevé]; Mélisse [élevé]</t>
        </is>
      </c>
      <c r="G29" s="1094" t="inlineStr">
        <is>
          <t>—</t>
        </is>
      </c>
      <c r="H29" s="1094" t="inlineStr">
        <is>
          <t>tisane</t>
        </is>
      </c>
      <c r="I29" s="1094" t="inlineStr">
        <is>
          <t>oui</t>
        </is>
      </c>
      <c r="J29" s="1094" t="inlineStr">
        <is>
          <t>Limiter ou hors cœur sec</t>
        </is>
      </c>
      <c r="K29" s="1094" t="inlineStr">
        <is>
          <t>Recharge craft 100ml</t>
        </is>
      </c>
      <c r="L29" s="1094" t="inlineStr"/>
    </row>
    <row r="30"/>
    <row r="31">
      <c r="A31" s="1098" t="inlineStr">
        <is>
          <t>SHORTLIST recommandée (cœur sec 1 UTH, faible eau) :</t>
        </is>
      </c>
    </row>
    <row r="32">
      <c r="A32" t="inlineStr">
        <is>
          <t>Faux-poivre de garrigue · Herbes de Provence · Mélange à poissons anisé · Sel de garrigue · Sel fumé · Sirop de thym · Sucre aux fleurs · Zaatar · Épices viandes rouges</t>
        </is>
      </c>
    </row>
    <row r="33"/>
    <row r="34">
      <c r="A34" t="inlineStr">
        <is>
          <t>Légende score : FAIBLE = ≥80 % plantes faible eau, 0 plante élevée · MODÉRÉ-SEC = ≥50 % faible, 0 élevée · MIXTE = majorité sec mais 1+ plante élevée · ÉLEVÉ = forte part plantes gourmandes en eau.</t>
        </is>
      </c>
    </row>
    <row r="35">
      <c r="A35" t="inlineStr">
        <is>
          <t>Vert = score faible · Jaune = modéré-sec · Orange = élevé. Plantes garrigue (index Obsidian) = thym, romarin, lavande, sarriette, hélichryse, sauge, origan, marjolaine, hysope, sumac, genévrier, gattilier, cumin…</t>
        </is>
      </c>
    </row>
    <row r="36"/>
    <row r="37">
      <c r="A37" t="inlineStr">
        <is>
          <t>Stratégie v19 : cumin graine, carvi graine, paprika, ail semoule etc. → objectifs 0. Cumin/carvi consommés via Curry Madras, Zaatar, Quatre épices, Épices viandes rouges, Garam masala.</t>
        </is>
      </c>
    </row>
    <row r="38">
      <c r="A38" t="n">
        <v>37</v>
      </c>
      <c r="B38" t="inlineStr">
        <is>
          <t>Sirop de menthe chocolat</t>
        </is>
      </c>
      <c r="C38" t="inlineStr">
        <is>
          <t>modéré</t>
        </is>
      </c>
      <c r="D38" t="inlineStr">
        <is>
          <t>Menthe variété chocolat — ferme</t>
        </is>
      </c>
    </row>
    <row r="39">
      <c r="A39" t="n">
        <v>38</v>
      </c>
      <c r="B39" t="inlineStr">
        <is>
          <t>Sirop de verveine</t>
        </is>
      </c>
      <c r="C39" t="inlineStr">
        <is>
          <t>modéré</t>
        </is>
      </c>
      <c r="D39" t="inlineStr">
        <is>
          <t>Verveine citronnelle — abri</t>
        </is>
      </c>
    </row>
  </sheetData>
  <autoFilter ref="A3:L29"/>
  <mergeCells count="6">
    <mergeCell ref="A2:L2"/>
    <mergeCell ref="A1:L1"/>
    <mergeCell ref="A37:H37"/>
    <mergeCell ref="A32:H32"/>
    <mergeCell ref="A34:L34"/>
    <mergeCell ref="A35:L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12" customWidth="1" min="5" max="5"/>
    <col width="18" customWidth="1" min="6" max="6"/>
    <col width="55" customWidth="1" min="7" max="7"/>
  </cols>
  <sheetData>
    <row r="1">
      <c r="A1" s="1090" t="inlineStr">
        <is>
          <t>Catalogue plantes — import Obsidian (111 fiches)</t>
        </is>
      </c>
    </row>
    <row r="2">
      <c r="A2" s="1110" t="inlineStr">
        <is>
          <t>Nom</t>
        </is>
      </c>
      <c r="B2" s="1110" t="inlineStr">
        <is>
          <t>Latin</t>
        </is>
      </c>
      <c r="C2" s="1110" t="inlineStr">
        <is>
          <t>Besoin en eau</t>
        </is>
      </c>
      <c r="D2" s="1110" t="inlineStr">
        <is>
          <t>% eau (indic.)</t>
        </is>
      </c>
      <c r="E2" s="1110" t="inlineStr">
        <is>
          <t>Ratio séchage</t>
        </is>
      </c>
      <c r="F2" s="1110" t="inlineStr">
        <is>
          <t>Milieu</t>
        </is>
      </c>
      <c r="G2" s="1110" t="inlineStr">
        <is>
          <t>Notes fiche</t>
        </is>
      </c>
    </row>
    <row r="3">
      <c r="A3" s="1099" t="inlineStr">
        <is>
          <t>Absinthe</t>
        </is>
      </c>
      <c r="B3" s="1099" t="inlineStr">
        <is>
          <t>*Artemisia absinthium*</t>
        </is>
      </c>
      <c r="C3" s="1111" t="inlineStr">
        <is>
          <t>faible</t>
        </is>
      </c>
      <c r="D3" s="1099" t="n">
        <v>80</v>
      </c>
      <c r="E3" s="1099" t="n"/>
      <c r="F3" s="1099" t="inlineStr">
        <is>
          <t>Garrigue / sec</t>
        </is>
      </c>
      <c r="G3" s="1099" t="inlineStr">
        <is>
          <t>**Très faible.** Xérophile. Aucune irrigation après installation.</t>
        </is>
      </c>
    </row>
    <row r="4">
      <c r="A4" s="1099" t="inlineStr">
        <is>
          <t>Achillée millefeuille</t>
        </is>
      </c>
      <c r="B4" s="1099" t="inlineStr">
        <is>
          <t>*Achillea millefolium*</t>
        </is>
      </c>
      <c r="C4" s="1111" t="inlineStr">
        <is>
          <t>faible</t>
        </is>
      </c>
      <c r="D4" s="1099" t="n">
        <v>80</v>
      </c>
      <c r="E4" s="1099" t="n"/>
      <c r="F4" s="1099" t="inlineStr">
        <is>
          <t>Garrigue / sec</t>
        </is>
      </c>
      <c r="G4" s="1099" t="inlineStr">
        <is>
          <t>**Très faible.** Xérophile, idéale en sol sec.</t>
        </is>
      </c>
    </row>
    <row r="5">
      <c r="A5" s="1099" t="inlineStr">
        <is>
          <t>Ajowan</t>
        </is>
      </c>
      <c r="B5" s="1099" t="inlineStr">
        <is>
          <t>*Trachyspermum ammi*</t>
        </is>
      </c>
      <c r="C5" s="1111" t="inlineStr">
        <is>
          <t>faible</t>
        </is>
      </c>
      <c r="D5" s="1099" t="n">
        <v>80</v>
      </c>
      <c r="E5" s="1099" t="n"/>
      <c r="F5" s="1099" t="inlineStr">
        <is>
          <t>Garrigue / sec</t>
        </is>
      </c>
      <c r="G5" s="1099" t="inlineStr">
        <is>
          <t>**Faible.** Plante de climat chaud et sec. Arrosage modéré à la levée, peu ensuite.</t>
        </is>
      </c>
    </row>
    <row r="6">
      <c r="A6" s="1099" t="inlineStr">
        <is>
          <t>Anis vert</t>
        </is>
      </c>
      <c r="B6" s="1099" t="inlineStr">
        <is>
          <t>*Pimpinella anisum*</t>
        </is>
      </c>
      <c r="C6" s="1111" t="inlineStr">
        <is>
          <t>faible</t>
        </is>
      </c>
      <c r="D6" s="1099" t="n">
        <v>30</v>
      </c>
      <c r="E6" s="1099" t="n">
        <v>0.7</v>
      </c>
      <c r="F6" s="1099" t="inlineStr">
        <is>
          <t>Garrigue / sec</t>
        </is>
      </c>
      <c r="G6" s="1099" t="inlineStr">
        <is>
          <t>**Faible à modéré.** Arrosage régulier à la levée, puis modéré. Sécheresse tolérée une fois installé, mais l'humidité ré</t>
        </is>
      </c>
    </row>
    <row r="7">
      <c r="A7" s="1099" t="inlineStr">
        <is>
          <t>Armoise commune</t>
        </is>
      </c>
      <c r="B7" s="1099" t="inlineStr">
        <is>
          <t>*Artemisia vulgaris*</t>
        </is>
      </c>
      <c r="C7" s="1111" t="inlineStr">
        <is>
          <t>faible</t>
        </is>
      </c>
      <c r="D7" s="1099" t="n">
        <v>80</v>
      </c>
      <c r="E7" s="1099" t="n"/>
      <c r="F7" s="1099" t="inlineStr">
        <is>
          <t>Garrigue / sec</t>
        </is>
      </c>
      <c r="G7" s="1099" t="inlineStr">
        <is>
          <t>**Faible.** Très résistante à la sécheresse.</t>
        </is>
      </c>
    </row>
    <row r="8">
      <c r="A8" s="1099" t="inlineStr">
        <is>
          <t>Asafoetida</t>
        </is>
      </c>
      <c r="B8" s="1099" t="inlineStr">
        <is>
          <t>*Ferula assa-foetida*</t>
        </is>
      </c>
      <c r="C8" s="1111" t="inlineStr">
        <is>
          <t>faible</t>
        </is>
      </c>
      <c r="D8" s="1099" t="n">
        <v>80</v>
      </c>
      <c r="E8" s="1099" t="n"/>
      <c r="F8" s="1099" t="inlineStr">
        <is>
          <t>Garrigue / sec</t>
        </is>
      </c>
      <c r="G8" s="1099" t="inlineStr">
        <is>
          <t>**Très faible.** Sécheresse estivale nécessaire. L'excès d'eau est fatal (pourriture du collet et des racines). Aucune i</t>
        </is>
      </c>
    </row>
    <row r="9">
      <c r="A9" s="1099" t="inlineStr">
        <is>
          <t>Aubépine</t>
        </is>
      </c>
      <c r="B9" s="1099" t="inlineStr">
        <is>
          <t>*Crataegus monogyna*</t>
        </is>
      </c>
      <c r="C9" s="1111" t="inlineStr">
        <is>
          <t>faible</t>
        </is>
      </c>
      <c r="D9" s="1099" t="n">
        <v>80</v>
      </c>
      <c r="E9" s="1099" t="n"/>
      <c r="F9" s="1099" t="inlineStr">
        <is>
          <t>Garrigue / sec</t>
        </is>
      </c>
      <c r="G9" s="1099" t="inlineStr">
        <is>
          <t>**Faible.** Très résistante à la sécheresse une fois établie.</t>
        </is>
      </c>
    </row>
    <row r="10">
      <c r="A10" s="1099" t="inlineStr">
        <is>
          <t>Aurone</t>
        </is>
      </c>
      <c r="B10" s="1099" t="inlineStr">
        <is>
          <t>*Artemisia abrotanum*</t>
        </is>
      </c>
      <c r="C10" s="1111" t="inlineStr">
        <is>
          <t>faible</t>
        </is>
      </c>
      <c r="D10" s="1099" t="n">
        <v>80</v>
      </c>
      <c r="E10" s="1099" t="n"/>
      <c r="F10" s="1099" t="inlineStr">
        <is>
          <t>Garrigue / sec</t>
        </is>
      </c>
      <c r="G10" s="1099" t="inlineStr">
        <is>
          <t>**Faible.** Xérophile. Arrosage minimal.</t>
        </is>
      </c>
    </row>
    <row r="11">
      <c r="A11" s="1099" t="inlineStr">
        <is>
          <t>Bleuet</t>
        </is>
      </c>
      <c r="B11" s="1099" t="inlineStr">
        <is>
          <t>*Centaurea cyanus*</t>
        </is>
      </c>
      <c r="C11" s="1111" t="inlineStr">
        <is>
          <t>faible</t>
        </is>
      </c>
      <c r="D11" s="1099" t="n">
        <v>80</v>
      </c>
      <c r="E11" s="1099" t="n">
        <v>0.2</v>
      </c>
      <c r="F11" s="1099" t="inlineStr">
        <is>
          <t>Garrigue / sec</t>
        </is>
      </c>
      <c r="G11" s="1099" t="inlineStr">
        <is>
          <t>**Très faible.** Xérophile. Parfait pour les sols superficiels drainants.</t>
        </is>
      </c>
    </row>
    <row r="12">
      <c r="A12" s="1099" t="inlineStr">
        <is>
          <t>Camomille matricaire</t>
        </is>
      </c>
      <c r="B12" s="1099" t="inlineStr">
        <is>
          <t>*Matricaria chamomilla*</t>
        </is>
      </c>
      <c r="C12" s="1111" t="inlineStr">
        <is>
          <t>faible</t>
        </is>
      </c>
      <c r="D12" s="1099" t="n">
        <v>80</v>
      </c>
      <c r="E12" s="1099" t="n"/>
      <c r="F12" s="1099" t="inlineStr">
        <is>
          <t>Garrigue / sec</t>
        </is>
      </c>
      <c r="G12" s="1099" t="inlineStr">
        <is>
          <t>**Faible.** Résistante à la sécheresse.</t>
        </is>
      </c>
    </row>
    <row r="13">
      <c r="A13" s="1099" t="inlineStr">
        <is>
          <t>Carthame</t>
        </is>
      </c>
      <c r="B13" s="1099" t="inlineStr">
        <is>
          <t>*Carthamus tinctorius*</t>
        </is>
      </c>
      <c r="C13" s="1111" t="inlineStr">
        <is>
          <t>faible</t>
        </is>
      </c>
      <c r="D13" s="1099" t="n">
        <v>80</v>
      </c>
      <c r="E13" s="1099" t="n"/>
      <c r="F13" s="1099" t="inlineStr">
        <is>
          <t>Garrigue / sec</t>
        </is>
      </c>
      <c r="G13" s="1099" t="inlineStr">
        <is>
          <t>**Très faible.** Résistant à la sécheresse une fois installé (racine pivotante). Sensible à l'excès d'eau.</t>
        </is>
      </c>
    </row>
    <row r="14">
      <c r="A14" s="1099" t="inlineStr">
        <is>
          <t>Carvi</t>
        </is>
      </c>
      <c r="B14" s="1099" t="inlineStr">
        <is>
          <t>*Carum carvi*</t>
        </is>
      </c>
      <c r="C14" s="1111" t="inlineStr">
        <is>
          <t>faible</t>
        </is>
      </c>
      <c r="D14" s="1099" t="n">
        <v>30</v>
      </c>
      <c r="E14" s="1099" t="n">
        <v>0.7</v>
      </c>
      <c r="F14" s="1099" t="inlineStr">
        <is>
          <t>Garrigue / sec</t>
        </is>
      </c>
      <c r="G14" s="1099" t="inlineStr">
        <is>
          <t>**Modéré.** Arrosage régulier la 1ère année. Moins exigeant en 2ème année. Supporte une sécheresse estivale modérée.</t>
        </is>
      </c>
    </row>
    <row r="15">
      <c r="A15" s="1099" t="inlineStr">
        <is>
          <t>Coriandre</t>
        </is>
      </c>
      <c r="B15" s="1099" t="inlineStr">
        <is>
          <t>*Coriandrum sativum*</t>
        </is>
      </c>
      <c r="C15" s="1111" t="inlineStr">
        <is>
          <t>faible</t>
        </is>
      </c>
      <c r="D15" s="1099" t="n">
        <v>80</v>
      </c>
      <c r="E15" s="1099" t="n">
        <v>0.2</v>
      </c>
      <c r="F15" s="1099" t="inlineStr">
        <is>
          <t>Garrigue / sec</t>
        </is>
      </c>
      <c r="G15" s="1099" t="inlineStr">
        <is>
          <t>**Modéré.** La coriandre monte rapidement en graines par chaleur et sécheresse. Arrosage régulier pour prolonger la prod</t>
        </is>
      </c>
    </row>
    <row r="16">
      <c r="A16" s="1099" t="inlineStr">
        <is>
          <t>Cumin</t>
        </is>
      </c>
      <c r="B16" s="1099" t="inlineStr">
        <is>
          <t>*Cuminum cyminum*</t>
        </is>
      </c>
      <c r="C16" s="1111" t="inlineStr">
        <is>
          <t>faible</t>
        </is>
      </c>
      <c r="D16" s="1099" t="n">
        <v>30</v>
      </c>
      <c r="E16" s="1099" t="n">
        <v>0.7</v>
      </c>
      <c r="F16" s="1099" t="inlineStr">
        <is>
          <t>Garrigue / sec</t>
        </is>
      </c>
      <c r="G16" s="1099" t="inlineStr">
        <is>
          <t>**Faible.** Plante de climat semi-aride. Arrosage léger à la levée puis très peu — l'excès d'eau nuit à la concentration</t>
        </is>
      </c>
    </row>
    <row r="17">
      <c r="A17" s="1099" t="inlineStr">
        <is>
          <t>Câprier</t>
        </is>
      </c>
      <c r="B17" s="1099" t="inlineStr">
        <is>
          <t>*Capparis spinosa*</t>
        </is>
      </c>
      <c r="C17" s="1111" t="inlineStr">
        <is>
          <t>faible</t>
        </is>
      </c>
      <c r="D17" s="1099" t="n">
        <v>80</v>
      </c>
      <c r="E17" s="1099" t="n"/>
      <c r="F17" s="1099" t="inlineStr">
        <is>
          <t>Garrigue / sec</t>
        </is>
      </c>
      <c r="G17" s="1099" t="inlineStr">
        <is>
          <t>**Très faible.** Xérophile extrême (racines profondes). L'**excès d'eau, surtout en hiver, est fatal.**</t>
        </is>
      </c>
    </row>
    <row r="18">
      <c r="A18" s="1099" t="inlineStr">
        <is>
          <t>Fenouil</t>
        </is>
      </c>
      <c r="B18" s="1099" t="inlineStr">
        <is>
          <t>*Foeniculum vulgare*</t>
        </is>
      </c>
      <c r="C18" s="1111" t="inlineStr">
        <is>
          <t>faible</t>
        </is>
      </c>
      <c r="D18" s="1099" t="n">
        <v>30</v>
      </c>
      <c r="E18" s="1099" t="n">
        <v>0.7</v>
      </c>
      <c r="F18" s="1099" t="inlineStr">
        <is>
          <t>Garrigue / sec</t>
        </is>
      </c>
      <c r="G18" s="1099" t="inlineStr">
        <is>
          <t>Faible à modéré. Résistant à la sécheresse une fois installé. Arrosage en période de canicule pour la qualité des graine</t>
        </is>
      </c>
    </row>
    <row r="19">
      <c r="A19" s="1099" t="inlineStr">
        <is>
          <t>Fenugrec</t>
        </is>
      </c>
      <c r="B19" s="1099" t="inlineStr">
        <is>
          <t>*Trigonella foenum-graecum*</t>
        </is>
      </c>
      <c r="C19" s="1111" t="inlineStr">
        <is>
          <t>faible</t>
        </is>
      </c>
      <c r="D19" s="1099" t="n">
        <v>30</v>
      </c>
      <c r="E19" s="1099" t="n">
        <v>0.7</v>
      </c>
      <c r="F19" s="1099" t="inlineStr">
        <is>
          <t>Garrigue / sec</t>
        </is>
      </c>
      <c r="G19" s="1099" t="inlineStr">
        <is>
          <t>Faible à modéré. Résistant à la sécheresse une fois établi.</t>
        </is>
      </c>
    </row>
    <row r="20">
      <c r="A20" s="1099" t="inlineStr">
        <is>
          <t>Gattilier</t>
        </is>
      </c>
      <c r="B20" s="1099" t="inlineStr">
        <is>
          <t>*Vitex agnus-castus*</t>
        </is>
      </c>
      <c r="C20" s="1111" t="inlineStr">
        <is>
          <t>faible</t>
        </is>
      </c>
      <c r="D20" s="1099" t="n">
        <v>80</v>
      </c>
      <c r="E20" s="1099" t="n"/>
      <c r="F20" s="1099" t="inlineStr">
        <is>
          <t>Garrigue / sec</t>
        </is>
      </c>
      <c r="G20" s="1099" t="inlineStr">
        <is>
          <t>**Faible.** Résistant à la sécheresse une fois installé. Arrosage les premières années.</t>
        </is>
      </c>
    </row>
    <row r="21">
      <c r="A21" s="1099" t="inlineStr">
        <is>
          <t>Genévrier commun</t>
        </is>
      </c>
      <c r="B21" s="1099" t="inlineStr">
        <is>
          <t>*Juniperus communis*</t>
        </is>
      </c>
      <c r="C21" s="1111" t="inlineStr">
        <is>
          <t>faible</t>
        </is>
      </c>
      <c r="D21" s="1099" t="n">
        <v>80</v>
      </c>
      <c r="E21" s="1099" t="n"/>
      <c r="F21" s="1099" t="inlineStr">
        <is>
          <t>Garrigue / sec</t>
        </is>
      </c>
      <c r="G21" s="1099" t="inlineStr">
        <is>
          <t>**Très faible.** Xérophile. Aucune irrigation après installation.</t>
        </is>
      </c>
    </row>
    <row r="22">
      <c r="A22" s="1099" t="inlineStr">
        <is>
          <t>Hysope</t>
        </is>
      </c>
      <c r="B22" s="1099" t="inlineStr">
        <is>
          <t>*Hyssopus officinalis*</t>
        </is>
      </c>
      <c r="C22" s="1111" t="inlineStr">
        <is>
          <t>faible</t>
        </is>
      </c>
      <c r="D22" s="1099" t="n">
        <v>80</v>
      </c>
      <c r="E22" s="1099" t="n"/>
      <c r="F22" s="1099" t="inlineStr">
        <is>
          <t>Garrigue / sec</t>
        </is>
      </c>
      <c r="G22" s="1099" t="inlineStr">
        <is>
          <t>**Très faible.** Xérophile. Arrosage à la plantation seulement. L'excès d'eau provoque la pourriture.</t>
        </is>
      </c>
    </row>
    <row r="23">
      <c r="A23" s="1099" t="inlineStr">
        <is>
          <t>Hélichryse</t>
        </is>
      </c>
      <c r="B23" s="1099" t="inlineStr">
        <is>
          <t>*Helichrysum italicum*</t>
        </is>
      </c>
      <c r="C23" s="1111" t="inlineStr">
        <is>
          <t>faible</t>
        </is>
      </c>
      <c r="D23" s="1099" t="n">
        <v>80</v>
      </c>
      <c r="E23" s="1099" t="n">
        <v>0.2</v>
      </c>
      <c r="F23" s="1099" t="inlineStr">
        <is>
          <t>Garrigue / sec</t>
        </is>
      </c>
      <c r="G23" s="1099" t="inlineStr">
        <is>
          <t>**Très faible.** Espèce typiquement méditerranéenne xérophyte. Très résistante à la sécheresse estivale. Arrosage unique</t>
        </is>
      </c>
    </row>
    <row r="24">
      <c r="A24" s="1099" t="inlineStr">
        <is>
          <t>Iris</t>
        </is>
      </c>
      <c r="B24" s="1099" t="inlineStr">
        <is>
          <t>*Iris pallida*, *Iris germanica*</t>
        </is>
      </c>
      <c r="C24" s="1111" t="inlineStr">
        <is>
          <t>faible</t>
        </is>
      </c>
      <c r="D24" s="1099" t="n">
        <v>80</v>
      </c>
      <c r="E24" s="1099" t="n"/>
      <c r="F24" s="1099" t="inlineStr">
        <is>
          <t>Garrigue / sec</t>
        </is>
      </c>
      <c r="G24" s="1099" t="inlineStr">
        <is>
          <t>**Très faible.** Xérophile. L'excès d'eau fait pourrir le rhizome. Aucune irrigation.</t>
        </is>
      </c>
    </row>
    <row r="25">
      <c r="A25" s="1099" t="inlineStr">
        <is>
          <t>Laurier sauce</t>
        </is>
      </c>
      <c r="B25" s="1099" t="inlineStr">
        <is>
          <t>*Laurus nobilis*</t>
        </is>
      </c>
      <c r="C25" s="1111" t="inlineStr">
        <is>
          <t>faible</t>
        </is>
      </c>
      <c r="D25" s="1099" t="n">
        <v>65</v>
      </c>
      <c r="E25" s="1099" t="n">
        <v>0.35</v>
      </c>
      <c r="F25" s="1099" t="inlineStr">
        <is>
          <t>Garrigue / sec</t>
        </is>
      </c>
      <c r="G25" s="1099" t="inlineStr">
        <is>
          <t>**Modéré.** Arrosage régulier les premières années et en sécheresse ; établi, assez résistant.</t>
        </is>
      </c>
    </row>
    <row r="26">
      <c r="A26" s="1099" t="inlineStr">
        <is>
          <t>Lavande</t>
        </is>
      </c>
      <c r="B26" s="1099" t="inlineStr">
        <is>
          <t>*Lavandula angustifolia*</t>
        </is>
      </c>
      <c r="C26" s="1111" t="inlineStr">
        <is>
          <t>faible</t>
        </is>
      </c>
      <c r="D26" s="1099" t="n">
        <v>80</v>
      </c>
      <c r="E26" s="1099" t="n">
        <v>0.2</v>
      </c>
      <c r="F26" s="1099" t="inlineStr">
        <is>
          <t>Garrigue / sec</t>
        </is>
      </c>
      <c r="G26" s="1099" t="inlineStr">
        <is>
          <t>Faible. Résistante à la sécheresse. Arrosage à l'implantation (5 L/plant), puis uniquement en cas de sécheresse prolongé</t>
        </is>
      </c>
    </row>
    <row r="27">
      <c r="A27" s="1099" t="inlineStr">
        <is>
          <t>Lilas</t>
        </is>
      </c>
      <c r="B27" s="1099" t="inlineStr">
        <is>
          <t>*Syringa vulgaris*</t>
        </is>
      </c>
      <c r="C27" s="1111" t="inlineStr">
        <is>
          <t>faible</t>
        </is>
      </c>
      <c r="D27" s="1099" t="n">
        <v>80</v>
      </c>
      <c r="E27" s="1099" t="n">
        <v>0.2</v>
      </c>
      <c r="F27" s="1099" t="inlineStr">
        <is>
          <t>Garrigue / sec</t>
        </is>
      </c>
      <c r="G27" s="1099" t="inlineStr">
        <is>
          <t>Faible une fois établi. Arrosage modéré les premières années.</t>
        </is>
      </c>
    </row>
    <row r="28">
      <c r="A28" s="1099" t="inlineStr">
        <is>
          <t>Marjolaine</t>
        </is>
      </c>
      <c r="B28" s="1099" t="inlineStr">
        <is>
          <t>*Origanum majorana*</t>
        </is>
      </c>
      <c r="C28" s="1111" t="inlineStr">
        <is>
          <t>faible</t>
        </is>
      </c>
      <c r="D28" s="1099" t="n">
        <v>80</v>
      </c>
      <c r="E28" s="1099" t="n">
        <v>0.2</v>
      </c>
      <c r="F28" s="1099" t="inlineStr">
        <is>
          <t>Garrigue / sec</t>
        </is>
      </c>
      <c r="G28" s="1099" t="inlineStr">
        <is>
          <t>Faible. Xerophile. Irrigation minimale sauf en cas de canicule prolongée.</t>
        </is>
      </c>
    </row>
    <row r="29">
      <c r="A29" s="1099" t="inlineStr">
        <is>
          <t>Marrube blanc</t>
        </is>
      </c>
      <c r="B29" s="1099" t="inlineStr">
        <is>
          <t>*Marrubium vulgare*</t>
        </is>
      </c>
      <c r="C29" s="1111" t="inlineStr">
        <is>
          <t>faible</t>
        </is>
      </c>
      <c r="D29" s="1099" t="n">
        <v>80</v>
      </c>
      <c r="E29" s="1099" t="n"/>
      <c r="F29" s="1099" t="inlineStr">
        <is>
          <t>Garrigue / sec</t>
        </is>
      </c>
      <c r="G29" s="1099" t="inlineStr">
        <is>
          <t>**Très faible.** Xérophile. Aucune irrigation après installation.</t>
        </is>
      </c>
    </row>
    <row r="30">
      <c r="A30" s="1099" t="inlineStr">
        <is>
          <t>Mauve</t>
        </is>
      </c>
      <c r="B30" s="1099" t="inlineStr">
        <is>
          <t>*Malva sylvestris*</t>
        </is>
      </c>
      <c r="C30" s="1111" t="inlineStr">
        <is>
          <t>faible</t>
        </is>
      </c>
      <c r="D30" s="1099" t="n">
        <v>80</v>
      </c>
      <c r="E30" s="1099" t="n">
        <v>0.2</v>
      </c>
      <c r="F30" s="1099" t="inlineStr">
        <is>
          <t>Garrigue / sec</t>
        </is>
      </c>
      <c r="G30" s="1099" t="inlineStr">
        <is>
          <t>Faible à modéré. Résistante à la sécheresse.</t>
        </is>
      </c>
    </row>
    <row r="31">
      <c r="A31" s="1099" t="inlineStr">
        <is>
          <t>Moutarde</t>
        </is>
      </c>
      <c r="B31" s="1099" t="inlineStr">
        <is>
          <t>*Sinapis alba* / *Brassica nigra* / *Brassica juncea*</t>
        </is>
      </c>
      <c r="C31" s="1111" t="inlineStr">
        <is>
          <t>faible</t>
        </is>
      </c>
      <c r="D31" s="1099" t="n">
        <v>30</v>
      </c>
      <c r="E31" s="1099" t="n">
        <v>0.7</v>
      </c>
      <c r="F31" s="1099" t="inlineStr">
        <is>
          <t>Garrigue / sec</t>
        </is>
      </c>
      <c r="G31" s="1099" t="inlineStr">
        <is>
          <t>**Modéré.** Résistante à la sécheresse une fois établie. Bon engrais vert entre les rangées.</t>
        </is>
      </c>
    </row>
    <row r="32">
      <c r="A32" s="1099" t="inlineStr">
        <is>
          <t>Myrte</t>
        </is>
      </c>
      <c r="B32" s="1099" t="inlineStr">
        <is>
          <t>*Myrtus communis*</t>
        </is>
      </c>
      <c r="C32" s="1111" t="inlineStr">
        <is>
          <t>faible</t>
        </is>
      </c>
      <c r="D32" s="1099" t="n">
        <v>80</v>
      </c>
      <c r="E32" s="1099" t="n"/>
      <c r="F32" s="1099" t="inlineStr">
        <is>
          <t>Garrigue / sec</t>
        </is>
      </c>
      <c r="G32" s="1099" t="inlineStr">
        <is>
          <t>**Faible à modéré.** Résistant à la sécheresse estivale. Arrosage les premières années.</t>
        </is>
      </c>
    </row>
    <row r="33">
      <c r="A33" s="1099" t="inlineStr">
        <is>
          <t>Mélilot</t>
        </is>
      </c>
      <c r="B33" s="1099" t="inlineStr">
        <is>
          <t>*Melilotus officinalis*</t>
        </is>
      </c>
      <c r="C33" s="1111" t="inlineStr">
        <is>
          <t>faible</t>
        </is>
      </c>
      <c r="D33" s="1099" t="n">
        <v>80</v>
      </c>
      <c r="E33" s="1099" t="n">
        <v>0.2</v>
      </c>
      <c r="F33" s="1099" t="inlineStr">
        <is>
          <t>Garrigue / sec</t>
        </is>
      </c>
      <c r="G33" s="1099" t="inlineStr">
        <is>
          <t>**Très faible.** Xérophile. Résistante à la sécheresse.</t>
        </is>
      </c>
    </row>
    <row r="34">
      <c r="A34" s="1099" t="inlineStr">
        <is>
          <t>Nigelle</t>
        </is>
      </c>
      <c r="B34" s="1099" t="inlineStr">
        <is>
          <t>*Nigella sativa*</t>
        </is>
      </c>
      <c r="C34" s="1111" t="inlineStr">
        <is>
          <t>faible</t>
        </is>
      </c>
      <c r="D34" s="1099" t="n">
        <v>30</v>
      </c>
      <c r="E34" s="1099" t="n">
        <v>0.7</v>
      </c>
      <c r="F34" s="1099" t="inlineStr">
        <is>
          <t>Garrigue / sec</t>
        </is>
      </c>
      <c r="G34" s="1099" t="inlineStr">
        <is>
          <t>Faible. Résistante à la sécheresse. Arrosage minimal après germination.</t>
        </is>
      </c>
    </row>
    <row r="35">
      <c r="A35" s="1099" t="inlineStr">
        <is>
          <t>Oeillet d'Inde</t>
        </is>
      </c>
      <c r="B35" s="1099" t="inlineStr">
        <is>
          <t>*Tagetes patula*</t>
        </is>
      </c>
      <c r="C35" s="1111" t="inlineStr">
        <is>
          <t>faible</t>
        </is>
      </c>
      <c r="D35" s="1099" t="n">
        <v>80</v>
      </c>
      <c r="E35" s="1099" t="n">
        <v>0.2</v>
      </c>
      <c r="F35" s="1099" t="inlineStr">
        <is>
          <t>Garrigue / sec</t>
        </is>
      </c>
      <c r="G35" s="1099" t="inlineStr">
        <is>
          <t>Faible à modéré. Arrosage modéré.</t>
        </is>
      </c>
    </row>
    <row r="36">
      <c r="A36" s="1099" t="inlineStr">
        <is>
          <t>Origan</t>
        </is>
      </c>
      <c r="B36" s="1099" t="inlineStr">
        <is>
          <t>*Origanum vulgare*</t>
        </is>
      </c>
      <c r="C36" s="1111" t="inlineStr">
        <is>
          <t>faible</t>
        </is>
      </c>
      <c r="D36" s="1099" t="n">
        <v>80</v>
      </c>
      <c r="E36" s="1099" t="n">
        <v>0.2</v>
      </c>
      <c r="F36" s="1099" t="inlineStr">
        <is>
          <t>Garrigue / sec</t>
        </is>
      </c>
      <c r="G36" s="1099" t="inlineStr">
        <is>
          <t>Faible à modéré. Plus souple que le thym, accepte une légère humidité. Arrosage en cas de sécheresse sévère uniquement.</t>
        </is>
      </c>
    </row>
    <row r="37">
      <c r="A37" s="1099" t="inlineStr">
        <is>
          <t>Pavot</t>
        </is>
      </c>
      <c r="B37" s="1099" t="inlineStr">
        <is>
          <t>*Papaver somniferum*</t>
        </is>
      </c>
      <c r="C37" s="1111" t="inlineStr">
        <is>
          <t>faible</t>
        </is>
      </c>
      <c r="D37" s="1099" t="n">
        <v>80</v>
      </c>
      <c r="E37" s="1099" t="n"/>
      <c r="F37" s="1099" t="inlineStr">
        <is>
          <t>Garrigue / sec</t>
        </is>
      </c>
      <c r="G37" s="1099" t="inlineStr">
        <is>
          <t>**Faible à modéré.** Résistant à la sécheresse. Arrosage modéré jusqu'à floraison.</t>
        </is>
      </c>
    </row>
    <row r="38">
      <c r="A38" s="1099" t="inlineStr">
        <is>
          <t>Pimprenelle</t>
        </is>
      </c>
      <c r="B38" s="1099" t="inlineStr">
        <is>
          <t>*Sanguisorba minor*</t>
        </is>
      </c>
      <c r="C38" s="1111" t="inlineStr">
        <is>
          <t>faible</t>
        </is>
      </c>
      <c r="D38" s="1099" t="n">
        <v>80</v>
      </c>
      <c r="E38" s="1099" t="n"/>
      <c r="F38" s="1099" t="inlineStr">
        <is>
          <t>Garrigue / sec</t>
        </is>
      </c>
      <c r="G38" s="1099" t="inlineStr">
        <is>
          <t>**Faible.** Xérophile. Aucune irrigation après installation.</t>
        </is>
      </c>
    </row>
    <row r="39">
      <c r="A39" s="1099" t="inlineStr">
        <is>
          <t>Poivre de Sichuan</t>
        </is>
      </c>
      <c r="B39" s="1099" t="inlineStr">
        <is>
          <t>*Zanthoxylum simulans*</t>
        </is>
      </c>
      <c r="C39" s="1111" t="inlineStr">
        <is>
          <t>faible</t>
        </is>
      </c>
      <c r="D39" s="1099" t="n">
        <v>50</v>
      </c>
      <c r="E39" s="1099" t="n">
        <v>0.5</v>
      </c>
      <c r="F39" s="1099" t="inlineStr">
        <is>
          <t>Garrigue / sec</t>
        </is>
      </c>
      <c r="G39" s="1099" t="inlineStr">
        <is>
          <t xml:space="preserve">**Modéré.** Plus gourmand en eau que le thym ou la lavande. Besoin de 2-3 arrosages copieux par an en cas de sécheresse </t>
        </is>
      </c>
    </row>
    <row r="40">
      <c r="A40" s="1099" t="inlineStr">
        <is>
          <t>Poivre de Timut</t>
        </is>
      </c>
      <c r="B40" s="1099" t="inlineStr">
        <is>
          <t>*Zanthoxylum armatum*</t>
        </is>
      </c>
      <c r="C40" s="1111" t="inlineStr">
        <is>
          <t>faible</t>
        </is>
      </c>
      <c r="D40" s="1099" t="n">
        <v>80</v>
      </c>
      <c r="E40" s="1099" t="n"/>
      <c r="F40" s="1099" t="inlineStr">
        <is>
          <t>Garrigue / sec</t>
        </is>
      </c>
      <c r="G40" s="1099" t="inlineStr">
        <is>
          <t>**Modéré.** Plus exigeant que les plantes de garrigue. Sol frais préféré ; arrosage en sécheresse estivale.</t>
        </is>
      </c>
    </row>
    <row r="41">
      <c r="A41" s="1099" t="inlineStr">
        <is>
          <t>Prunellier</t>
        </is>
      </c>
      <c r="B41" s="1099" t="inlineStr">
        <is>
          <t>*Prunus spinosa*</t>
        </is>
      </c>
      <c r="C41" s="1111" t="inlineStr">
        <is>
          <t>faible</t>
        </is>
      </c>
      <c r="D41" s="1099" t="n">
        <v>80</v>
      </c>
      <c r="E41" s="1099" t="n"/>
      <c r="F41" s="1099" t="inlineStr">
        <is>
          <t>Garrigue / sec</t>
        </is>
      </c>
      <c r="G41" s="1099" t="inlineStr">
        <is>
          <t>**Faible.** Résistant à la sécheresse.</t>
        </is>
      </c>
    </row>
    <row r="42">
      <c r="A42" s="1099" t="inlineStr">
        <is>
          <t>Romarin</t>
        </is>
      </c>
      <c r="B42" s="1099" t="inlineStr">
        <is>
          <t>*Salvia rosmarinus*, syn. *Rosmarinus officinalis*</t>
        </is>
      </c>
      <c r="C42" s="1111" t="inlineStr">
        <is>
          <t>faible</t>
        </is>
      </c>
      <c r="D42" s="1099" t="n">
        <v>80</v>
      </c>
      <c r="E42" s="1099" t="n">
        <v>0.2</v>
      </c>
      <c r="F42" s="1099" t="inlineStr">
        <is>
          <t>Garrigue / sec</t>
        </is>
      </c>
      <c r="G42" s="1099" t="inlineStr">
        <is>
          <t xml:space="preserve">Très faible. Excellente résistance à la sécheresse. Arrosage uniquement la 1ère année (5 L/plant à l'implantation, puis </t>
        </is>
      </c>
    </row>
    <row r="43">
      <c r="A43" s="1099" t="inlineStr">
        <is>
          <t>Réglisse</t>
        </is>
      </c>
      <c r="B43" s="1099" t="inlineStr">
        <is>
          <t>*Glycyrrhiza glabra*</t>
        </is>
      </c>
      <c r="C43" s="1111" t="inlineStr">
        <is>
          <t>faible</t>
        </is>
      </c>
      <c r="D43" s="1099" t="n">
        <v>80</v>
      </c>
      <c r="E43" s="1099" t="n"/>
      <c r="F43" s="1099" t="inlineStr">
        <is>
          <t>Garrigue / sec</t>
        </is>
      </c>
      <c r="G43" s="1099" t="inlineStr">
        <is>
          <t>**Faible à modéré.** Résistante à la sécheresse une fois installée (racine profonde). Arrosage les 2 premières années.</t>
        </is>
      </c>
    </row>
    <row r="44">
      <c r="A44" s="1099" t="inlineStr">
        <is>
          <t>Safran</t>
        </is>
      </c>
      <c r="B44" s="1099" t="inlineStr">
        <is>
          <t>*Crocus sativus*</t>
        </is>
      </c>
      <c r="C44" s="1111" t="inlineStr">
        <is>
          <t>faible</t>
        </is>
      </c>
      <c r="D44" s="1099" t="n">
        <v>80</v>
      </c>
      <c r="E44" s="1099" t="n"/>
      <c r="F44" s="1099" t="inlineStr">
        <is>
          <t>Garrigue / sec</t>
        </is>
      </c>
      <c r="G44" s="1099" t="inlineStr">
        <is>
          <t>**Faible.** Sécheresse estivale nécessaire (repos végétatif du bulbe). Quelques pluies/arrosages en septembre déclenchen</t>
        </is>
      </c>
    </row>
    <row r="45">
      <c r="A45" s="1099" t="inlineStr">
        <is>
          <t>Sarriette</t>
        </is>
      </c>
      <c r="B45" s="1099" t="inlineStr">
        <is>
          <t>*Satureja montana*</t>
        </is>
      </c>
      <c r="C45" s="1111" t="inlineStr">
        <is>
          <t>faible</t>
        </is>
      </c>
      <c r="D45" s="1099" t="n">
        <v>65</v>
      </c>
      <c r="E45" s="1099" t="n">
        <v>0.35</v>
      </c>
      <c r="F45" s="1099" t="inlineStr">
        <is>
          <t>Garrigue / sec</t>
        </is>
      </c>
      <c r="G45" s="1099" t="inlineStr">
        <is>
          <t>Très faible. Espèce xerophile typique. Ne nécessite pas d'irrigation une fois établie. Arrosage uniquement à la plantati</t>
        </is>
      </c>
    </row>
    <row r="46">
      <c r="A46" s="1099" t="inlineStr">
        <is>
          <t>Sarriette annuelle</t>
        </is>
      </c>
      <c r="B46" s="1099" t="inlineStr">
        <is>
          <t>*Satureja hortensis*</t>
        </is>
      </c>
      <c r="C46" s="1111" t="inlineStr">
        <is>
          <t>faible</t>
        </is>
      </c>
      <c r="D46" s="1099" t="n">
        <v>65</v>
      </c>
      <c r="E46" s="1099" t="n"/>
      <c r="F46" s="1099" t="inlineStr">
        <is>
          <t>Garrigue / sec</t>
        </is>
      </c>
      <c r="G46" s="1099" t="inlineStr">
        <is>
          <t>**Faible à modéré.** Arrosage modéré ; supporte la sécheresse.</t>
        </is>
      </c>
    </row>
    <row r="47">
      <c r="A47" s="1099" t="inlineStr">
        <is>
          <t>Sauge</t>
        </is>
      </c>
      <c r="B47" s="1099" t="inlineStr">
        <is>
          <t>*Salvia officinalis*</t>
        </is>
      </c>
      <c r="C47" s="1111" t="inlineStr">
        <is>
          <t>faible</t>
        </is>
      </c>
      <c r="D47" s="1099" t="n">
        <v>65</v>
      </c>
      <c r="E47" s="1099" t="n"/>
      <c r="F47" s="1099" t="inlineStr">
        <is>
          <t>Garrigue / sec</t>
        </is>
      </c>
      <c r="G47" s="1099" t="inlineStr">
        <is>
          <t>Faible. Résistante à la sécheresse en été. Arrosage à la plantation, puis rare. Sensible à l'excès d'eau hivernal.</t>
        </is>
      </c>
    </row>
    <row r="48">
      <c r="A48" s="1099" t="inlineStr">
        <is>
          <t>Sauge sclarée</t>
        </is>
      </c>
      <c r="B48" s="1099" t="inlineStr">
        <is>
          <t>*Salvia sclarea*</t>
        </is>
      </c>
      <c r="C48" s="1111" t="inlineStr">
        <is>
          <t>faible</t>
        </is>
      </c>
      <c r="D48" s="1099" t="n">
        <v>65</v>
      </c>
      <c r="E48" s="1099" t="n"/>
      <c r="F48" s="1099" t="inlineStr">
        <is>
          <t>Garrigue / sec</t>
        </is>
      </c>
      <c r="G48" s="1099" t="inlineStr">
        <is>
          <t>**Faible.** Xérophile une fois installée. Arrosage la 1ère année seulement.</t>
        </is>
      </c>
    </row>
    <row r="49">
      <c r="A49" s="1099" t="inlineStr">
        <is>
          <t>Souci</t>
        </is>
      </c>
      <c r="B49" s="1099" t="inlineStr">
        <is>
          <t>*Calendula officinalis*</t>
        </is>
      </c>
      <c r="C49" s="1111" t="inlineStr">
        <is>
          <t>faible</t>
        </is>
      </c>
      <c r="D49" s="1099" t="n">
        <v>80</v>
      </c>
      <c r="E49" s="1099" t="n">
        <v>0.2</v>
      </c>
      <c r="F49" s="1099" t="inlineStr">
        <is>
          <t>Garrigue / sec</t>
        </is>
      </c>
      <c r="G49" s="1099" t="inlineStr">
        <is>
          <t>Faible à modéré. Résistant à la sécheresse. Arrosage léger en été.</t>
        </is>
      </c>
    </row>
    <row r="50">
      <c r="A50" s="1099" t="inlineStr">
        <is>
          <t>Sumac</t>
        </is>
      </c>
      <c r="B50" s="1099" t="inlineStr">
        <is>
          <t>*Rhus coriaria*</t>
        </is>
      </c>
      <c r="C50" s="1111" t="inlineStr">
        <is>
          <t>faible</t>
        </is>
      </c>
      <c r="D50" s="1099" t="n">
        <v>80</v>
      </c>
      <c r="E50" s="1099" t="n"/>
      <c r="F50" s="1099" t="inlineStr">
        <is>
          <t>Garrigue / sec</t>
        </is>
      </c>
      <c r="G50" s="1099" t="inlineStr">
        <is>
          <t>**Faible.** Xérophile une fois installé. Arrosage les premières années.</t>
        </is>
      </c>
    </row>
    <row r="51">
      <c r="A51" s="1099" t="inlineStr">
        <is>
          <t>Sésame</t>
        </is>
      </c>
      <c r="B51" s="1099" t="inlineStr">
        <is>
          <t>*Sesamum indicum*</t>
        </is>
      </c>
      <c r="C51" s="1111" t="inlineStr">
        <is>
          <t>faible</t>
        </is>
      </c>
      <c r="D51" s="1099" t="n">
        <v>80</v>
      </c>
      <c r="E51" s="1099" t="n"/>
      <c r="F51" s="1099" t="inlineStr">
        <is>
          <t>Garrigue / sec</t>
        </is>
      </c>
      <c r="G51" s="1099" t="inlineStr">
        <is>
          <t>**Faible à modéré.** Résistant à la sécheresse une fois levé. Sensible à l'excès d'eau et au froid.</t>
        </is>
      </c>
    </row>
    <row r="52">
      <c r="A52" s="1099" t="inlineStr">
        <is>
          <t>Tanaisie</t>
        </is>
      </c>
      <c r="B52" s="1099" t="inlineStr">
        <is>
          <t>*Tanacetum vulgare*</t>
        </is>
      </c>
      <c r="C52" s="1111" t="inlineStr">
        <is>
          <t>faible</t>
        </is>
      </c>
      <c r="D52" s="1099" t="n">
        <v>80</v>
      </c>
      <c r="E52" s="1099" t="n"/>
      <c r="F52" s="1099" t="inlineStr">
        <is>
          <t>Garrigue / sec</t>
        </is>
      </c>
      <c r="G52" s="1099" t="inlineStr">
        <is>
          <t>**Faible.** Résistante à la sécheresse.</t>
        </is>
      </c>
    </row>
    <row r="53">
      <c r="A53" s="1099" t="inlineStr">
        <is>
          <t>Thym</t>
        </is>
      </c>
      <c r="B53" s="1099" t="inlineStr">
        <is>
          <t>*Thymus vulgaris*</t>
        </is>
      </c>
      <c r="C53" s="1111" t="inlineStr">
        <is>
          <t>faible</t>
        </is>
      </c>
      <c r="D53" s="1099" t="n">
        <v>65</v>
      </c>
      <c r="E53" s="1099" t="n">
        <v>0.35</v>
      </c>
      <c r="F53" s="1099" t="inlineStr">
        <is>
          <t>Garrigue / sec</t>
        </is>
      </c>
      <c r="G53" s="1099" t="inlineStr">
        <is>
          <t>Très faible. Résistant à la sécheresse une fois installé. Arrosage uniquement à la plantation (environ 5 L/plant) et lor</t>
        </is>
      </c>
    </row>
    <row r="54">
      <c r="A54" s="1099" t="inlineStr">
        <is>
          <t>Échalote</t>
        </is>
      </c>
      <c r="B54" s="1099" t="inlineStr">
        <is>
          <t>*Allium cepa* groupe Aggregatum</t>
        </is>
      </c>
      <c r="C54" s="1111" t="inlineStr">
        <is>
          <t>faible</t>
        </is>
      </c>
      <c r="D54" s="1099" t="n">
        <v>80</v>
      </c>
      <c r="E54" s="1099" t="n"/>
      <c r="F54" s="1099" t="inlineStr">
        <is>
          <t>Garrigue / sec</t>
        </is>
      </c>
      <c r="G54" s="1099" t="inlineStr">
        <is>
          <t>**Faible à modéré.** Peu exigeante ; cesser l'eau avant récolte.</t>
        </is>
      </c>
    </row>
    <row r="55">
      <c r="A55" s="1099" t="inlineStr">
        <is>
          <t>Églantier</t>
        </is>
      </c>
      <c r="B55" s="1099" t="inlineStr">
        <is>
          <t>*Rosa canina*</t>
        </is>
      </c>
      <c r="C55" s="1111" t="inlineStr">
        <is>
          <t>faible</t>
        </is>
      </c>
      <c r="D55" s="1099" t="n">
        <v>80</v>
      </c>
      <c r="E55" s="1099" t="n"/>
      <c r="F55" s="1099" t="inlineStr">
        <is>
          <t>Garrigue / sec</t>
        </is>
      </c>
      <c r="G55" s="1099" t="inlineStr">
        <is>
          <t>**Faible.** Résistant à la sécheresse.</t>
        </is>
      </c>
    </row>
    <row r="56">
      <c r="A56" s="1099" t="inlineStr">
        <is>
          <t>Épazote</t>
        </is>
      </c>
      <c r="B56" s="1099" t="inlineStr">
        <is>
          <t>*Dysphania ambrosioides*</t>
        </is>
      </c>
      <c r="C56" s="1111" t="inlineStr">
        <is>
          <t>faible</t>
        </is>
      </c>
      <c r="D56" s="1099" t="n">
        <v>80</v>
      </c>
      <c r="E56" s="1099" t="n"/>
      <c r="F56" s="1099" t="inlineStr">
        <is>
          <t>Garrigue / sec</t>
        </is>
      </c>
      <c r="G56" s="1099" t="inlineStr">
        <is>
          <t>**Faible.** Résistant à la sécheresse.</t>
        </is>
      </c>
    </row>
    <row r="57">
      <c r="A57" s="1099" t="inlineStr">
        <is>
          <t>Épine-vinette</t>
        </is>
      </c>
      <c r="B57" s="1099" t="inlineStr">
        <is>
          <t>*Berberis vulgaris*</t>
        </is>
      </c>
      <c r="C57" s="1111" t="inlineStr">
        <is>
          <t>faible</t>
        </is>
      </c>
      <c r="D57" s="1099" t="n">
        <v>80</v>
      </c>
      <c r="E57" s="1099" t="n"/>
      <c r="F57" s="1099" t="inlineStr">
        <is>
          <t>Garrigue / sec</t>
        </is>
      </c>
      <c r="G57" s="1099" t="inlineStr">
        <is>
          <t>**Faible.** Rustique et frugale une fois installée. Arrosage les premières années seulement. Parfaite pour les sols secs</t>
        </is>
      </c>
    </row>
    <row r="58">
      <c r="A58" s="1099" t="inlineStr">
        <is>
          <t>Agastache</t>
        </is>
      </c>
      <c r="B58" s="1099" t="inlineStr">
        <is>
          <t>*Agastache foeniculum*</t>
        </is>
      </c>
      <c r="C58" s="1112" t="inlineStr">
        <is>
          <t>modéré</t>
        </is>
      </c>
      <c r="D58" s="1099" t="n">
        <v>80</v>
      </c>
      <c r="E58" s="1099" t="n">
        <v>0.2</v>
      </c>
      <c r="F58" s="1099" t="inlineStr">
        <is>
          <t>Intermédiaire</t>
        </is>
      </c>
      <c r="G58" s="1099" t="inlineStr">
        <is>
          <t>Modéré. Arrosage en cas de sécheresse prolongée.</t>
        </is>
      </c>
    </row>
    <row r="59">
      <c r="A59" s="1099" t="inlineStr">
        <is>
          <t>Ail</t>
        </is>
      </c>
      <c r="B59" s="1099" t="inlineStr">
        <is>
          <t>*Allium sativum*</t>
        </is>
      </c>
      <c r="C59" s="1112" t="inlineStr">
        <is>
          <t>modéré</t>
        </is>
      </c>
      <c r="D59" s="1099" t="n">
        <v>60</v>
      </c>
      <c r="E59" s="1099" t="n">
        <v>0.4</v>
      </c>
      <c r="F59" s="1099" t="inlineStr">
        <is>
          <t>Intermédiaire</t>
        </is>
      </c>
      <c r="G59" s="1099" t="inlineStr">
        <is>
          <t>**Modéré.** Arrosage modéré pendant la croissance, cesser 2 semaines avant récolte pour favoriser la conservation des bu</t>
        </is>
      </c>
    </row>
    <row r="60">
      <c r="A60" s="1099" t="inlineStr">
        <is>
          <t>Aneth</t>
        </is>
      </c>
      <c r="B60" s="1099" t="inlineStr">
        <is>
          <t>*Anethum graveolens*</t>
        </is>
      </c>
      <c r="C60" s="1112" t="inlineStr">
        <is>
          <t>modéré</t>
        </is>
      </c>
      <c r="D60" s="1099" t="n">
        <v>80</v>
      </c>
      <c r="E60" s="1099" t="n">
        <v>0.2</v>
      </c>
      <c r="F60" s="1099" t="inlineStr">
        <is>
          <t>Intermédiaire</t>
        </is>
      </c>
      <c r="G60" s="1099" t="inlineStr">
        <is>
          <t>**Modéré.** Arrosage régulier pour prolonger la production foliaire. Pour les graines : moins d'eau en fin de saison.</t>
        </is>
      </c>
    </row>
    <row r="61">
      <c r="A61" s="1099" t="inlineStr">
        <is>
          <t>Berce commune</t>
        </is>
      </c>
      <c r="B61" s="1099" t="inlineStr">
        <is>
          <t>*Heracleum sphondylium*</t>
        </is>
      </c>
      <c r="C61" s="1112" t="inlineStr">
        <is>
          <t>modéré</t>
        </is>
      </c>
      <c r="D61" s="1099" t="n">
        <v>80</v>
      </c>
      <c r="E61" s="1099" t="n"/>
      <c r="F61" s="1099" t="inlineStr">
        <is>
          <t>Intermédiaire</t>
        </is>
      </c>
      <c r="G61" s="1099" t="inlineStr">
        <is>
          <t>**Modéré.** Sol frais préféré. Très résistante (indigène).</t>
        </is>
      </c>
    </row>
    <row r="62">
      <c r="A62" s="1099" t="inlineStr">
        <is>
          <t>Bergamotier</t>
        </is>
      </c>
      <c r="B62" s="1099" t="inlineStr">
        <is>
          <t>*Citrus bergamia*</t>
        </is>
      </c>
      <c r="C62" s="1112" t="inlineStr">
        <is>
          <t>modéré</t>
        </is>
      </c>
      <c r="D62" s="1099" t="n">
        <v>80</v>
      </c>
      <c r="E62" s="1099" t="n"/>
      <c r="F62" s="1099" t="inlineStr">
        <is>
          <t>Intermédiaire</t>
        </is>
      </c>
      <c r="G62" s="1099" t="inlineStr">
        <is>
          <t>**Modéré et régulier** en saison, à l'**eau non calcaire** ; **réduit** en hivernage. Ne jamais détremper la motte.</t>
        </is>
      </c>
    </row>
    <row r="63">
      <c r="A63" s="1099" t="inlineStr">
        <is>
          <t>Bourrache</t>
        </is>
      </c>
      <c r="B63" s="1099" t="inlineStr">
        <is>
          <t>*Borago officinalis*</t>
        </is>
      </c>
      <c r="C63" s="1112" t="inlineStr">
        <is>
          <t>modéré</t>
        </is>
      </c>
      <c r="D63" s="1099" t="n">
        <v>80</v>
      </c>
      <c r="E63" s="1099" t="n"/>
      <c r="F63" s="1099" t="inlineStr">
        <is>
          <t>Intermédiaire</t>
        </is>
      </c>
      <c r="G63" s="1099" t="inlineStr">
        <is>
          <t>**Modéré.** Tolère la sécheresse une fois installée.</t>
        </is>
      </c>
    </row>
    <row r="64">
      <c r="A64" s="1099" t="inlineStr">
        <is>
          <t>Capucine</t>
        </is>
      </c>
      <c r="B64" s="1099" t="inlineStr">
        <is>
          <t>*Tropaeolum majus*</t>
        </is>
      </c>
      <c r="C64" s="1112" t="inlineStr">
        <is>
          <t>modéré</t>
        </is>
      </c>
      <c r="D64" s="1099" t="n">
        <v>80</v>
      </c>
      <c r="E64" s="1099" t="n"/>
      <c r="F64" s="1099" t="inlineStr">
        <is>
          <t>Intermédiaire</t>
        </is>
      </c>
      <c r="G64" s="1099" t="inlineStr">
        <is>
          <t>**Modéré.** Arrosage régulier ; tolère une sécheresse légère.</t>
        </is>
      </c>
    </row>
    <row r="65">
      <c r="A65" s="1099" t="inlineStr">
        <is>
          <t>Ciboulette</t>
        </is>
      </c>
      <c r="B65" s="1099" t="inlineStr">
        <is>
          <t>*Allium schoenoprasum*, *Allium fistulosum*</t>
        </is>
      </c>
      <c r="C65" s="1112" t="inlineStr">
        <is>
          <t>modéré</t>
        </is>
      </c>
      <c r="D65" s="1099" t="n">
        <v>80</v>
      </c>
      <c r="E65" s="1099" t="n"/>
      <c r="F65" s="1099" t="inlineStr">
        <is>
          <t>Intermédiaire</t>
        </is>
      </c>
      <c r="G65" s="1099" t="inlineStr">
        <is>
          <t>**Modéré.** Sol frais pour un feuillage tendre ; tolère la sécheresse (entre en repos).</t>
        </is>
      </c>
    </row>
    <row r="66">
      <c r="A66" s="1099" t="inlineStr">
        <is>
          <t>Combava</t>
        </is>
      </c>
      <c r="B66" s="1099" t="inlineStr">
        <is>
          <t>*Citrus hystrix*</t>
        </is>
      </c>
      <c r="C66" s="1112" t="inlineStr">
        <is>
          <t>modéré</t>
        </is>
      </c>
      <c r="D66" s="1099" t="n">
        <v>80</v>
      </c>
      <c r="E66" s="1099" t="n"/>
      <c r="F66" s="1099" t="inlineStr">
        <is>
          <t>Intermédiaire</t>
        </is>
      </c>
      <c r="G66" s="1099" t="inlineStr">
        <is>
          <t>**Modéré et régulier** en saison (eau non calcaire) ; **réduit** en hivernage. Crainte de l'excès d'eau (chlorose, pourr</t>
        </is>
      </c>
    </row>
    <row r="67">
      <c r="A67" s="1099" t="inlineStr">
        <is>
          <t>Estragon du Mexique</t>
        </is>
      </c>
      <c r="B67" s="1099" t="inlineStr">
        <is>
          <t>*Tagetes lucida*</t>
        </is>
      </c>
      <c r="C67" s="1112" t="inlineStr">
        <is>
          <t>modéré</t>
        </is>
      </c>
      <c r="D67" s="1099" t="n">
        <v>80</v>
      </c>
      <c r="E67" s="1099" t="n"/>
      <c r="F67" s="1099" t="inlineStr">
        <is>
          <t>Intermédiaire</t>
        </is>
      </c>
      <c r="G67" s="1099" t="inlineStr">
        <is>
          <t>**Modéré.** Tolère la sécheresse.</t>
        </is>
      </c>
    </row>
    <row r="68">
      <c r="A68" s="1099" t="inlineStr">
        <is>
          <t>Gentiane jaune</t>
        </is>
      </c>
      <c r="B68" s="1099" t="inlineStr">
        <is>
          <t>*Gentiana lutea*</t>
        </is>
      </c>
      <c r="C68" s="1112" t="inlineStr">
        <is>
          <t>modéré</t>
        </is>
      </c>
      <c r="D68" s="1099" t="n">
        <v>80</v>
      </c>
      <c r="E68" s="1099" t="n"/>
      <c r="F68" s="1099" t="inlineStr">
        <is>
          <t>Intermédiaire</t>
        </is>
      </c>
      <c r="G68" s="1099" t="inlineStr">
        <is>
          <t>**Modéré.** Sol frais de prairie de montagne. Pas de sécheresse prolongée.</t>
        </is>
      </c>
    </row>
    <row r="69">
      <c r="A69" s="1099" t="inlineStr">
        <is>
          <t>Hémérocalle</t>
        </is>
      </c>
      <c r="B69" s="1099" t="inlineStr">
        <is>
          <t>*Hemerocallis* spp.</t>
        </is>
      </c>
      <c r="C69" s="1112" t="inlineStr">
        <is>
          <t>modéré</t>
        </is>
      </c>
      <c r="D69" s="1099" t="n">
        <v>80</v>
      </c>
      <c r="E69" s="1099" t="n">
        <v>0.2</v>
      </c>
      <c r="F69" s="1099" t="inlineStr">
        <is>
          <t>Intermédiaire</t>
        </is>
      </c>
      <c r="G69" s="1099" t="inlineStr">
        <is>
          <t>Modéré. Arrosage régulier en été pour la floraison.</t>
        </is>
      </c>
    </row>
    <row r="70">
      <c r="A70" s="1099" t="inlineStr">
        <is>
          <t>Maceron</t>
        </is>
      </c>
      <c r="B70" s="1099" t="inlineStr">
        <is>
          <t>*Smyrnium olusatrum*</t>
        </is>
      </c>
      <c r="C70" s="1112" t="inlineStr">
        <is>
          <t>modéré</t>
        </is>
      </c>
      <c r="D70" s="1099" t="n">
        <v>30</v>
      </c>
      <c r="E70" s="1099" t="n">
        <v>0.7</v>
      </c>
      <c r="F70" s="1099" t="inlineStr">
        <is>
          <t>Intermédiaire</t>
        </is>
      </c>
      <c r="G70" s="1099" t="inlineStr">
        <is>
          <t>**Modéré.** Apprécie la fraîcheur du sol la première année (rosette). Résiste mieux à la sécheresse en deuxième année, à</t>
        </is>
      </c>
    </row>
    <row r="71">
      <c r="A71" s="1099" t="inlineStr">
        <is>
          <t>Mandarinier</t>
        </is>
      </c>
      <c r="B71" s="1099" t="inlineStr">
        <is>
          <t>*Citrus reticulata*, *Citrus × sinensis*</t>
        </is>
      </c>
      <c r="C71" s="1112" t="inlineStr">
        <is>
          <t>modéré</t>
        </is>
      </c>
      <c r="D71" s="1099" t="n">
        <v>80</v>
      </c>
      <c r="E71" s="1099" t="n"/>
      <c r="F71" s="1099" t="inlineStr">
        <is>
          <t>Intermédiaire</t>
        </is>
      </c>
      <c r="G71" s="1099" t="inlineStr">
        <is>
          <t>**Modéré et régulier** en saison (eau non calcaire) ; **réduit** en hivernage. Ne pas détremper.</t>
        </is>
      </c>
    </row>
    <row r="72">
      <c r="A72" s="1099" t="inlineStr">
        <is>
          <t>Oignon</t>
        </is>
      </c>
      <c r="B72" s="1099" t="inlineStr">
        <is>
          <t>*Allium cepa*</t>
        </is>
      </c>
      <c r="C72" s="1112" t="inlineStr">
        <is>
          <t>modéré</t>
        </is>
      </c>
      <c r="D72" s="1099" t="n">
        <v>80</v>
      </c>
      <c r="E72" s="1099" t="n">
        <v>0.2</v>
      </c>
      <c r="F72" s="1099" t="inlineStr">
        <is>
          <t>Intermédiaire</t>
        </is>
      </c>
      <c r="G72" s="1099" t="inlineStr">
        <is>
          <t>**Modéré.** Régulier en croissance ; **cesser l'arrosage** 2-3 semaines avant récolte pour favoriser le séchage et la co</t>
        </is>
      </c>
    </row>
    <row r="73">
      <c r="A73" s="1099" t="inlineStr">
        <is>
          <t>Pelargonium</t>
        </is>
      </c>
      <c r="B73" s="1099" t="inlineStr">
        <is>
          <t>*Pelargonium graveolens*</t>
        </is>
      </c>
      <c r="C73" s="1112" t="inlineStr">
        <is>
          <t>modéré</t>
        </is>
      </c>
      <c r="D73" s="1099" t="n">
        <v>80</v>
      </c>
      <c r="E73" s="1099" t="n">
        <v>0.2</v>
      </c>
      <c r="F73" s="1099" t="inlineStr">
        <is>
          <t>Intermédiaire</t>
        </is>
      </c>
      <c r="G73" s="1099" t="inlineStr">
        <is>
          <t>**Modéré.** Arrosage régulier en été mais jamais en excès.</t>
        </is>
      </c>
    </row>
    <row r="74">
      <c r="A74" s="1099" t="inlineStr">
        <is>
          <t>Pensée</t>
        </is>
      </c>
      <c r="B74" s="1099" t="inlineStr">
        <is>
          <t>*Viola tricolor*</t>
        </is>
      </c>
      <c r="C74" s="1112" t="inlineStr">
        <is>
          <t>modéré</t>
        </is>
      </c>
      <c r="D74" s="1099" t="n">
        <v>80</v>
      </c>
      <c r="E74" s="1099" t="n">
        <v>0.2</v>
      </c>
      <c r="F74" s="1099" t="inlineStr">
        <is>
          <t>Intermédiaire</t>
        </is>
      </c>
      <c r="G74" s="1099" t="inlineStr">
        <is>
          <t>Modéré. Arrosage régulier. Ne supporte pas la sécheresse prolongée.</t>
        </is>
      </c>
    </row>
    <row r="75">
      <c r="A75" s="1099" t="inlineStr">
        <is>
          <t>Raifort</t>
        </is>
      </c>
      <c r="B75" s="1099" t="inlineStr">
        <is>
          <t>*Armoracia rusticana*</t>
        </is>
      </c>
      <c r="C75" s="1112" t="inlineStr">
        <is>
          <t>modéré</t>
        </is>
      </c>
      <c r="D75" s="1099" t="n">
        <v>80</v>
      </c>
      <c r="E75" s="1099" t="n"/>
      <c r="F75" s="1099" t="inlineStr">
        <is>
          <t>Intermédiaire</t>
        </is>
      </c>
      <c r="G75" s="1099" t="inlineStr">
        <is>
          <t>**Modéré.** Sol frais pour des racines charnues. Résistant une fois installé.</t>
        </is>
      </c>
    </row>
    <row r="76">
      <c r="A76" s="1099" t="inlineStr">
        <is>
          <t>Rose</t>
        </is>
      </c>
      <c r="B76" s="1099" t="inlineStr">
        <is>
          <t>*Rosa* spp.</t>
        </is>
      </c>
      <c r="C76" s="1112" t="inlineStr">
        <is>
          <t>modéré</t>
        </is>
      </c>
      <c r="D76" s="1099" t="n">
        <v>80</v>
      </c>
      <c r="E76" s="1099" t="n">
        <v>0.2</v>
      </c>
      <c r="F76" s="1099" t="inlineStr">
        <is>
          <t>Intermédiaire</t>
        </is>
      </c>
      <c r="G76" s="1099" t="inlineStr">
        <is>
          <t>Modéré. Arrosage régulier, surtout en période de floraison. Paillage au pied.</t>
        </is>
      </c>
    </row>
    <row r="77">
      <c r="A77" s="1099" t="inlineStr">
        <is>
          <t>Stévia</t>
        </is>
      </c>
      <c r="B77" s="1099" t="inlineStr">
        <is>
          <t>*Stevia rebaudiana*</t>
        </is>
      </c>
      <c r="C77" s="1112" t="inlineStr">
        <is>
          <t>modéré</t>
        </is>
      </c>
      <c r="D77" s="1099" t="n">
        <v>80</v>
      </c>
      <c r="E77" s="1099" t="n"/>
      <c r="F77" s="1099" t="inlineStr">
        <is>
          <t>Intermédiaire</t>
        </is>
      </c>
      <c r="G77" s="1099" t="inlineStr">
        <is>
          <t>**Modéré.** Sol frais mais drainant ; n'aime ni la sécheresse ni l'excès d'eau.</t>
        </is>
      </c>
    </row>
    <row r="78">
      <c r="A78" s="1099" t="inlineStr">
        <is>
          <t>Tilleul</t>
        </is>
      </c>
      <c r="B78" s="1099" t="inlineStr">
        <is>
          <t>*Tilia cordata*, *Tilia platyphyllos*</t>
        </is>
      </c>
      <c r="C78" s="1112" t="inlineStr">
        <is>
          <t>modéré</t>
        </is>
      </c>
      <c r="D78" s="1099" t="n">
        <v>80</v>
      </c>
      <c r="E78" s="1099" t="n"/>
      <c r="F78" s="1099" t="inlineStr">
        <is>
          <t>Intermédiaire</t>
        </is>
      </c>
      <c r="G78" s="1099" t="inlineStr">
        <is>
          <t>**Modéré.** Sol frais préféré ; résistant une fois établi.</t>
        </is>
      </c>
    </row>
    <row r="79">
      <c r="A79" s="1099" t="inlineStr">
        <is>
          <t>Acore odorant</t>
        </is>
      </c>
      <c r="B79" s="1099" t="inlineStr">
        <is>
          <t>*Acorus calamus*</t>
        </is>
      </c>
      <c r="C79" s="1113" t="inlineStr">
        <is>
          <t>élevé</t>
        </is>
      </c>
      <c r="D79" s="1099" t="n">
        <v>80</v>
      </c>
      <c r="E79" s="1099" t="n"/>
      <c r="F79" s="1099" t="inlineStr">
        <is>
          <t>Frais / humide</t>
        </is>
      </c>
      <c r="G79" s="1099" t="inlineStr">
        <is>
          <t>**Permanent / saturé.** Plante de zone humide stricte — sol détrempé ou eau peu profonde (0-20 cm).</t>
        </is>
      </c>
    </row>
    <row r="80">
      <c r="A80" s="1099" t="inlineStr">
        <is>
          <t>Ail des ours</t>
        </is>
      </c>
      <c r="B80" s="1099" t="inlineStr">
        <is>
          <t>*Allium ursinum*</t>
        </is>
      </c>
      <c r="C80" s="1113" t="inlineStr">
        <is>
          <t>élevé</t>
        </is>
      </c>
      <c r="D80" s="1099" t="n">
        <v>80</v>
      </c>
      <c r="E80" s="1099" t="n"/>
      <c r="F80" s="1099" t="inlineStr">
        <is>
          <t>Frais / humide</t>
        </is>
      </c>
      <c r="G80" s="1099" t="inlineStr">
        <is>
          <t>**Élevé au printemps.** Sol frais et humifère. La plante entre en dormance estivale (feuillage disparu) — supporte alors</t>
        </is>
      </c>
    </row>
    <row r="81">
      <c r="A81" s="1099" t="inlineStr">
        <is>
          <t>Angélique</t>
        </is>
      </c>
      <c r="B81" s="1099" t="inlineStr">
        <is>
          <t>*Angelica archangelica*</t>
        </is>
      </c>
      <c r="C81" s="1113" t="inlineStr">
        <is>
          <t>élevé</t>
        </is>
      </c>
      <c r="D81" s="1099" t="n">
        <v>80</v>
      </c>
      <c r="E81" s="1099" t="n"/>
      <c r="F81" s="1099" t="inlineStr">
        <is>
          <t>Frais / humide</t>
        </is>
      </c>
      <c r="G81" s="1099" t="inlineStr">
        <is>
          <t>**Élevé.** Sol frais à humide indispensable. À placer près des points d'eau, sources ou en bas de pente.</t>
        </is>
      </c>
    </row>
    <row r="82">
      <c r="A82" s="1099" t="inlineStr">
        <is>
          <t>Aspérule odorante</t>
        </is>
      </c>
      <c r="B82" s="1099" t="inlineStr">
        <is>
          <t>*Galium odoratum*</t>
        </is>
      </c>
      <c r="C82" s="1113" t="inlineStr">
        <is>
          <t>élevé</t>
        </is>
      </c>
      <c r="D82" s="1099" t="n">
        <v>80</v>
      </c>
      <c r="E82" s="1099" t="n"/>
      <c r="F82" s="1099" t="inlineStr">
        <is>
          <t>Frais / humide</t>
        </is>
      </c>
      <c r="G82" s="1099" t="inlineStr">
        <is>
          <t>**Modéré à élevé.** Sol frais et humifère constant.</t>
        </is>
      </c>
    </row>
    <row r="83">
      <c r="A83" s="1099" t="inlineStr">
        <is>
          <t>Aunée</t>
        </is>
      </c>
      <c r="B83" s="1099" t="inlineStr">
        <is>
          <t>*Inula helenium*</t>
        </is>
      </c>
      <c r="C83" s="1113" t="inlineStr">
        <is>
          <t>élevé</t>
        </is>
      </c>
      <c r="D83" s="1099" t="n">
        <v>80</v>
      </c>
      <c r="E83" s="1099" t="n"/>
      <c r="F83" s="1099" t="inlineStr">
        <is>
          <t>Frais / humide</t>
        </is>
      </c>
      <c r="G83" s="1099" t="inlineStr">
        <is>
          <t>**Modéré.** Sol frais apprécié ; résistante une fois installée (racine profonde).</t>
        </is>
      </c>
    </row>
    <row r="84">
      <c r="A84" s="1099" t="inlineStr">
        <is>
          <t>Basilic</t>
        </is>
      </c>
      <c r="B84" s="1099" t="inlineStr">
        <is>
          <t>*Ocimum basilicum*</t>
        </is>
      </c>
      <c r="C84" s="1113" t="inlineStr">
        <is>
          <t>élevé</t>
        </is>
      </c>
      <c r="D84" s="1099" t="n">
        <v>80</v>
      </c>
      <c r="E84" s="1099" t="n">
        <v>0.2</v>
      </c>
      <c r="F84" s="1099" t="inlineStr">
        <is>
          <t>Frais / humide</t>
        </is>
      </c>
      <c r="G84" s="1099" t="inlineStr">
        <is>
          <t>**Modéré à élevé.** Besoin régulier en eau, surtout lors des canicules. Arrosage au pied (éviter le feuillage). Paillage</t>
        </is>
      </c>
    </row>
    <row r="85">
      <c r="A85" s="1099" t="inlineStr">
        <is>
          <t>Caloupilé</t>
        </is>
      </c>
      <c r="B85" s="1099" t="inlineStr">
        <is>
          <t>*Murraya koenigii*</t>
        </is>
      </c>
      <c r="C85" s="1113" t="inlineStr">
        <is>
          <t>élevé</t>
        </is>
      </c>
      <c r="D85" s="1099" t="n">
        <v>80</v>
      </c>
      <c r="E85" s="1099" t="n"/>
      <c r="F85" s="1099" t="inlineStr">
        <is>
          <t>Frais / humide</t>
        </is>
      </c>
      <c r="G85" s="1099" t="inlineStr">
        <is>
          <t>**Modéré à élevé** en saison ; **réduit** en hivernage. Drainage nécessaire.</t>
        </is>
      </c>
    </row>
    <row r="86">
      <c r="A86" s="1099" t="inlineStr">
        <is>
          <t>Camomille Romaine</t>
        </is>
      </c>
      <c r="B86" s="1099" t="inlineStr">
        <is>
          <t>*Chamaemelum nobile*</t>
        </is>
      </c>
      <c r="C86" s="1113" t="inlineStr">
        <is>
          <t>élevé</t>
        </is>
      </c>
      <c r="D86" s="1099" t="n">
        <v>80</v>
      </c>
      <c r="E86" s="1099" t="n">
        <v>0.2</v>
      </c>
      <c r="F86" s="1099" t="inlineStr">
        <is>
          <t>Frais / humide</t>
        </is>
      </c>
      <c r="G86" s="1099" t="inlineStr">
        <is>
          <t>Faible. Résistante à la sécheresse une fois bien installée. Arrosage modéré les premières semaines.</t>
        </is>
      </c>
    </row>
    <row r="87">
      <c r="A87" s="1099" t="inlineStr">
        <is>
          <t>Cannelier</t>
        </is>
      </c>
      <c r="B87" s="1099" t="inlineStr">
        <is>
          <t>*Cinnamomum verum*</t>
        </is>
      </c>
      <c r="C87" s="1113" t="inlineStr">
        <is>
          <t>élevé</t>
        </is>
      </c>
      <c r="D87" s="1099" t="n">
        <v>80</v>
      </c>
      <c r="E87" s="1099" t="n"/>
      <c r="F87" s="1099" t="inlineStr">
        <is>
          <t>Frais / humide</t>
        </is>
      </c>
      <c r="G87" s="1099" t="inlineStr">
        <is>
          <t>**Élevé et constant.** Humidité de l'air et du sol permanente ; eau non calcaire.</t>
        </is>
      </c>
    </row>
    <row r="88">
      <c r="A88" s="1099" t="inlineStr">
        <is>
          <t>Cardamome</t>
        </is>
      </c>
      <c r="B88" s="1099" t="inlineStr">
        <is>
          <t>*Elettaria cardamomum*</t>
        </is>
      </c>
      <c r="C88" s="1113" t="inlineStr">
        <is>
          <t>élevé</t>
        </is>
      </c>
      <c r="D88" s="1099" t="n">
        <v>80</v>
      </c>
      <c r="E88" s="1099" t="n"/>
      <c r="F88" s="1099" t="inlineStr">
        <is>
          <t>Frais / humide</t>
        </is>
      </c>
      <c r="G88" s="1099" t="inlineStr">
        <is>
          <t>**Très élevé et constant.** Humidité de l'air (&gt;70 %) et du sol permanente. Eau non calcaire.</t>
        </is>
      </c>
    </row>
    <row r="89">
      <c r="A89" s="1099" t="inlineStr">
        <is>
          <t>Cassis</t>
        </is>
      </c>
      <c r="B89" s="1099" t="inlineStr">
        <is>
          <t>*Ribes nigrum*</t>
        </is>
      </c>
      <c r="C89" s="1113" t="inlineStr">
        <is>
          <t>élevé</t>
        </is>
      </c>
      <c r="D89" s="1099" t="n">
        <v>80</v>
      </c>
      <c r="E89" s="1099" t="n"/>
      <c r="F89" s="1099" t="inlineStr">
        <is>
          <t>Frais / humide</t>
        </is>
      </c>
      <c r="G89" s="1099" t="inlineStr">
        <is>
          <t>**Modéré à élevé.** Sol frais constant ; sensible à la sécheresse (chute des fruits). Paillage recommandé.</t>
        </is>
      </c>
    </row>
    <row r="90">
      <c r="A90" s="1099" t="inlineStr">
        <is>
          <t>Cerfeuil</t>
        </is>
      </c>
      <c r="B90" s="1099" t="inlineStr">
        <is>
          <t>*Anthriscus cerefolium*</t>
        </is>
      </c>
      <c r="C90" s="1113" t="inlineStr">
        <is>
          <t>élevé</t>
        </is>
      </c>
      <c r="D90" s="1099" t="n">
        <v>80</v>
      </c>
      <c r="E90" s="1099" t="n"/>
      <c r="F90" s="1099" t="inlineStr">
        <is>
          <t>Frais / humide</t>
        </is>
      </c>
      <c r="G90" s="1099" t="inlineStr">
        <is>
          <t>**Modéré à élevé.** Sol frais constant. Le stress hydrique provoque la montaison.</t>
        </is>
      </c>
    </row>
    <row r="91">
      <c r="A91" s="1099" t="inlineStr">
        <is>
          <t>Cerfeuil musqué</t>
        </is>
      </c>
      <c r="B91" s="1099" t="inlineStr">
        <is>
          <t>*Myrrhis odorata*</t>
        </is>
      </c>
      <c r="C91" s="1113" t="inlineStr">
        <is>
          <t>élevé</t>
        </is>
      </c>
      <c r="D91" s="1099" t="n">
        <v>80</v>
      </c>
      <c r="E91" s="1099" t="n"/>
      <c r="F91" s="1099" t="inlineStr">
        <is>
          <t>Frais / humide</t>
        </is>
      </c>
      <c r="G91" s="1099" t="inlineStr">
        <is>
          <t>**Modéré à élevé.** Sol frais constant. Bonne résistance grâce à sa racine pivotante profonde.</t>
        </is>
      </c>
    </row>
    <row r="92">
      <c r="A92" s="1099" t="inlineStr">
        <is>
          <t>Citronnelle</t>
        </is>
      </c>
      <c r="B92" s="1099" t="inlineStr">
        <is>
          <t>*Cymbopogon citratus*</t>
        </is>
      </c>
      <c r="C92" s="1113" t="inlineStr">
        <is>
          <t>élevé</t>
        </is>
      </c>
      <c r="D92" s="1099" t="n">
        <v>80</v>
      </c>
      <c r="E92" s="1099" t="n"/>
      <c r="F92" s="1099" t="inlineStr">
        <is>
          <t>Frais / humide</t>
        </is>
      </c>
      <c r="G92" s="1099" t="inlineStr">
        <is>
          <t>**Élevé** en saison (plante de zone humide tropicale). **Réduire fortement** en hivernage.</t>
        </is>
      </c>
    </row>
    <row r="93">
      <c r="A93" s="1099" t="inlineStr">
        <is>
          <t>Cresson alénois</t>
        </is>
      </c>
      <c r="B93" s="1099" t="inlineStr">
        <is>
          <t>*Lepidium sativum*</t>
        </is>
      </c>
      <c r="C93" s="1113" t="inlineStr">
        <is>
          <t>élevé</t>
        </is>
      </c>
      <c r="D93" s="1099" t="n">
        <v>80</v>
      </c>
      <c r="E93" s="1099" t="n"/>
      <c r="F93" s="1099" t="inlineStr">
        <is>
          <t>Frais / humide</t>
        </is>
      </c>
      <c r="G93" s="1099" t="inlineStr">
        <is>
          <t>**Modéré à élevé.** Sol frais constant ; le stress hydrique provoque la montaison et le piquant excessif.</t>
        </is>
      </c>
    </row>
    <row r="94">
      <c r="A94" s="1099" t="inlineStr">
        <is>
          <t>Curcuma</t>
        </is>
      </c>
      <c r="B94" s="1099" t="inlineStr">
        <is>
          <t>*Curcuma longa*</t>
        </is>
      </c>
      <c r="C94" s="1113" t="inlineStr">
        <is>
          <t>élevé</t>
        </is>
      </c>
      <c r="D94" s="1099" t="n">
        <v>15</v>
      </c>
      <c r="E94" s="1099" t="n">
        <v>0.85</v>
      </c>
      <c r="F94" s="1099" t="inlineStr">
        <is>
          <t>Frais / humide</t>
        </is>
      </c>
      <c r="G94" s="1099" t="inlineStr">
        <is>
          <t>**Élevé.** Sol constamment frais mais bien drainé. Arrosage régulier tout l'été.</t>
        </is>
      </c>
    </row>
    <row r="95">
      <c r="A95" s="1099" t="inlineStr">
        <is>
          <t>Céleri</t>
        </is>
      </c>
      <c r="B95" s="1099" t="inlineStr">
        <is>
          <t>*Apium graveolens*</t>
        </is>
      </c>
      <c r="C95" s="1113" t="inlineStr">
        <is>
          <t>élevé</t>
        </is>
      </c>
      <c r="D95" s="1099" t="n">
        <v>80</v>
      </c>
      <c r="E95" s="1099" t="n"/>
      <c r="F95" s="1099" t="inlineStr">
        <is>
          <t>Frais / humide</t>
        </is>
      </c>
      <c r="G95" s="1099" t="inlineStr">
        <is>
          <t>**Élevé.** Le céleri est exigeant en eau — sol constamment frais. Paillage recommandé. Pour la production de graines (2è</t>
        </is>
      </c>
    </row>
    <row r="96">
      <c r="A96" s="1099" t="inlineStr">
        <is>
          <t>Estragon</t>
        </is>
      </c>
      <c r="B96" s="1099" t="inlineStr">
        <is>
          <t>*Artemisia dracunculus* var. *sativa*</t>
        </is>
      </c>
      <c r="C96" s="1113" t="inlineStr">
        <is>
          <t>élevé</t>
        </is>
      </c>
      <c r="D96" s="1099" t="n">
        <v>80</v>
      </c>
      <c r="E96" s="1099" t="n">
        <v>0.2</v>
      </c>
      <c r="F96" s="1099" t="inlineStr">
        <is>
          <t>Frais / humide</t>
        </is>
      </c>
      <c r="G96" s="1099" t="inlineStr">
        <is>
          <t>**Modéré.** Apprécie un sol frais mais pas détrempé. Arrosage régulier en été. Convient aux parcelles de maraîchage [[Ma</t>
        </is>
      </c>
    </row>
    <row r="97">
      <c r="A97" s="1099" t="inlineStr">
        <is>
          <t>Gaultheria</t>
        </is>
      </c>
      <c r="B97" s="1099" t="inlineStr">
        <is>
          <t>*Gaultheria procumbens*</t>
        </is>
      </c>
      <c r="C97" s="1113" t="inlineStr">
        <is>
          <t>élevé</t>
        </is>
      </c>
      <c r="D97" s="1099" t="n">
        <v>80</v>
      </c>
      <c r="E97" s="1099" t="n"/>
      <c r="F97" s="1099" t="inlineStr">
        <is>
          <t>Frais / humide</t>
        </is>
      </c>
      <c r="G97" s="1099" t="inlineStr">
        <is>
          <t>**Modéré à élevé.** Sol frais et acide constant. Eau non calcaire (pluie) préférable.</t>
        </is>
      </c>
    </row>
    <row r="98">
      <c r="A98" s="1099" t="inlineStr">
        <is>
          <t>Gingembre</t>
        </is>
      </c>
      <c r="B98" s="1099" t="inlineStr">
        <is>
          <t>*Zingiber officinale*</t>
        </is>
      </c>
      <c r="C98" s="1113" t="inlineStr">
        <is>
          <t>élevé</t>
        </is>
      </c>
      <c r="D98" s="1099" t="n">
        <v>15</v>
      </c>
      <c r="E98" s="1099" t="n">
        <v>0.85</v>
      </c>
      <c r="F98" s="1099" t="inlineStr">
        <is>
          <t>Frais / humide</t>
        </is>
      </c>
      <c r="G98" s="1099" t="inlineStr">
        <is>
          <t>**Élevé.** Arrosage régulier, humidité de l'air appréciée.</t>
        </is>
      </c>
    </row>
    <row r="99">
      <c r="A99" s="1099" t="inlineStr">
        <is>
          <t>Grande Ortie</t>
        </is>
      </c>
      <c r="B99" s="1099" t="inlineStr">
        <is>
          <t>*Urtica dioica*</t>
        </is>
      </c>
      <c r="C99" s="1113" t="inlineStr">
        <is>
          <t>élevé</t>
        </is>
      </c>
      <c r="D99" s="1099" t="n">
        <v>80</v>
      </c>
      <c r="E99" s="1099" t="n">
        <v>0.2</v>
      </c>
      <c r="F99" s="1099" t="inlineStr">
        <is>
          <t>Frais / humide</t>
        </is>
      </c>
      <c r="G99" s="1099" t="inlineStr">
        <is>
          <t>**Élevé.** Indicatrice de sol riche et humide. Zones humides du terrain.</t>
        </is>
      </c>
    </row>
    <row r="100">
      <c r="A100" s="1099" t="inlineStr">
        <is>
          <t>Guimauve</t>
        </is>
      </c>
      <c r="B100" s="1099" t="inlineStr">
        <is>
          <t>*Althaea officinalis*</t>
        </is>
      </c>
      <c r="C100" s="1113" t="inlineStr">
        <is>
          <t>élevé</t>
        </is>
      </c>
      <c r="D100" s="1099" t="n">
        <v>80</v>
      </c>
      <c r="E100" s="1099" t="n"/>
      <c r="F100" s="1099" t="inlineStr">
        <is>
          <t>Frais / humide</t>
        </is>
      </c>
      <c r="G100" s="1099" t="inlineStr">
        <is>
          <t>**Modéré à élevé.** Arrosage régulier en été pour maintenir les propriétés médicinales des racines.</t>
        </is>
      </c>
    </row>
    <row r="101">
      <c r="A101" s="1099" t="inlineStr">
        <is>
          <t>Hibiscus</t>
        </is>
      </c>
      <c r="B101" s="1099" t="inlineStr">
        <is>
          <t>*Hibiscus sabdariffa*</t>
        </is>
      </c>
      <c r="C101" s="1113" t="inlineStr">
        <is>
          <t>élevé</t>
        </is>
      </c>
      <c r="D101" s="1099" t="n">
        <v>80</v>
      </c>
      <c r="E101" s="1099" t="n">
        <v>0.2</v>
      </c>
      <c r="F101" s="1099" t="inlineStr">
        <is>
          <t>Frais / humide</t>
        </is>
      </c>
      <c r="G101" s="1099" t="inlineStr">
        <is>
          <t>**Modéré à élevé.** Arrosage régulier pendant la croissance, réduire en fin de saison.</t>
        </is>
      </c>
    </row>
    <row r="102">
      <c r="A102" s="1099" t="inlineStr">
        <is>
          <t>Houblon</t>
        </is>
      </c>
      <c r="B102" s="1099" t="inlineStr">
        <is>
          <t>*Humulus lupulus*</t>
        </is>
      </c>
      <c r="C102" s="1113" t="inlineStr">
        <is>
          <t>élevé</t>
        </is>
      </c>
      <c r="D102" s="1099" t="n">
        <v>80</v>
      </c>
      <c r="E102" s="1099" t="n"/>
      <c r="F102" s="1099" t="inlineStr">
        <is>
          <t>Frais / humide</t>
        </is>
      </c>
      <c r="G102" s="1099" t="inlineStr">
        <is>
          <t>**Modéré à élevé.** Sol frais ; arrosage en sécheresse (forte croissance estivale).</t>
        </is>
      </c>
    </row>
    <row r="103">
      <c r="A103" s="1099" t="inlineStr">
        <is>
          <t>Livèche</t>
        </is>
      </c>
      <c r="B103" s="1099" t="inlineStr">
        <is>
          <t>*Levisticum officinale*</t>
        </is>
      </c>
      <c r="C103" s="1113" t="inlineStr">
        <is>
          <t>élevé</t>
        </is>
      </c>
      <c r="D103" s="1099" t="n">
        <v>80</v>
      </c>
      <c r="E103" s="1099" t="n"/>
      <c r="F103" s="1099" t="inlineStr">
        <is>
          <t>Frais / humide</t>
        </is>
      </c>
      <c r="G103" s="1099" t="inlineStr">
        <is>
          <t>**Modéré à élevé.** Sol frais apprécié. Très résistante une fois installée grâce à ses racines profondes.</t>
        </is>
      </c>
    </row>
    <row r="104">
      <c r="A104" s="1099" t="inlineStr">
        <is>
          <t>Menthe</t>
        </is>
      </c>
      <c r="B104" s="1099" t="inlineStr">
        <is>
          <t>*Mentha spicata*</t>
        </is>
      </c>
      <c r="C104" s="1113" t="inlineStr">
        <is>
          <t>élevé</t>
        </is>
      </c>
      <c r="D104" s="1099" t="n">
        <v>80</v>
      </c>
      <c r="E104" s="1099" t="n">
        <v>0.2</v>
      </c>
      <c r="F104" s="1099" t="inlineStr">
        <is>
          <t>Frais / humide</t>
        </is>
      </c>
      <c r="G104" s="1099" t="inlineStr">
        <is>
          <t>**Élevé.** La menthe nécessite un sol constamment frais. Convient aux zones à sol plus profond et arrosées. Compatible a</t>
        </is>
      </c>
    </row>
    <row r="105">
      <c r="A105" s="1099" t="inlineStr">
        <is>
          <t>Monarde</t>
        </is>
      </c>
      <c r="B105" s="1099" t="inlineStr">
        <is>
          <t>*Monarda didyma / Monarda fistulosa*</t>
        </is>
      </c>
      <c r="C105" s="1113" t="inlineStr">
        <is>
          <t>élevé</t>
        </is>
      </c>
      <c r="D105" s="1099" t="n">
        <v>80</v>
      </c>
      <c r="E105" s="1099" t="n">
        <v>0.2</v>
      </c>
      <c r="F105" s="1099" t="inlineStr">
        <is>
          <t>Frais / humide</t>
        </is>
      </c>
      <c r="G105" s="1099" t="inlineStr">
        <is>
          <t>**Modéré à élevé.** Arrosage en période sèche. *M. fistulosa* plus xerophile que *M. didyma*.</t>
        </is>
      </c>
    </row>
    <row r="106">
      <c r="A106" s="1099" t="inlineStr">
        <is>
          <t>Mélisse</t>
        </is>
      </c>
      <c r="B106" s="1099" t="inlineStr">
        <is>
          <t>*Melissa officinalis*</t>
        </is>
      </c>
      <c r="C106" s="1113" t="inlineStr">
        <is>
          <t>élevé</t>
        </is>
      </c>
      <c r="D106" s="1099" t="n">
        <v>80</v>
      </c>
      <c r="E106" s="1099" t="n"/>
      <c r="F106" s="1099" t="inlineStr">
        <is>
          <t>Frais / humide</t>
        </is>
      </c>
      <c r="G106" s="1099" t="inlineStr">
        <is>
          <t>**Modéré.** Sol frais apprécié. Tolère une sécheresse modérée mais l'arôme baisse.</t>
        </is>
      </c>
    </row>
    <row r="107">
      <c r="A107" s="1099" t="inlineStr">
        <is>
          <t>Persil</t>
        </is>
      </c>
      <c r="B107" s="1099" t="inlineStr">
        <is>
          <t>*Petroselinum crispum*</t>
        </is>
      </c>
      <c r="C107" s="1113" t="inlineStr">
        <is>
          <t>élevé</t>
        </is>
      </c>
      <c r="D107" s="1099" t="n">
        <v>80</v>
      </c>
      <c r="E107" s="1099" t="n">
        <v>0.2</v>
      </c>
      <c r="F107" s="1099" t="inlineStr">
        <is>
          <t>Frais / humide</t>
        </is>
      </c>
      <c r="G107" s="1099" t="inlineStr">
        <is>
          <t>**Modéré à élevé.** Arrosage régulier pour éviter le brunissement et la montée en graines. Paillage recommandé.</t>
        </is>
      </c>
    </row>
    <row r="108">
      <c r="A108" s="1099" t="inlineStr">
        <is>
          <t>Piment</t>
        </is>
      </c>
      <c r="B108" s="1099" t="inlineStr">
        <is>
          <t>*Capsicum annuum* et *Capsicum chinense*</t>
        </is>
      </c>
      <c r="C108" s="1113" t="inlineStr">
        <is>
          <t>élevé</t>
        </is>
      </c>
      <c r="D108" s="1099" t="n">
        <v>80</v>
      </c>
      <c r="E108" s="1099" t="n">
        <v>0.2</v>
      </c>
      <c r="F108" s="1099" t="inlineStr">
        <is>
          <t>Frais / humide</t>
        </is>
      </c>
      <c r="G108" s="1099" t="inlineStr">
        <is>
          <t>**Modéré à élevé.** Arrosage régulier mais éviter l'excès (pourriture). Paillage indispensable pour maintenir l'humidité</t>
        </is>
      </c>
    </row>
    <row r="109">
      <c r="A109" s="1099" t="inlineStr">
        <is>
          <t>Reine des prés</t>
        </is>
      </c>
      <c r="B109" s="1099" t="inlineStr">
        <is>
          <t>*Filipendula ulmaria*</t>
        </is>
      </c>
      <c r="C109" s="1113" t="inlineStr">
        <is>
          <t>élevé</t>
        </is>
      </c>
      <c r="D109" s="1099" t="n">
        <v>80</v>
      </c>
      <c r="E109" s="1099" t="n"/>
      <c r="F109" s="1099" t="inlineStr">
        <is>
          <t>Frais / humide</t>
        </is>
      </c>
      <c r="G109" s="1099" t="inlineStr">
        <is>
          <t>**Élevé.** Sol humide indispensable. Idéale en bordure de mare, ruisseau ou zone basse humide.</t>
        </is>
      </c>
    </row>
    <row r="110">
      <c r="A110" s="1099" t="inlineStr">
        <is>
          <t>Shiso</t>
        </is>
      </c>
      <c r="B110" s="1099" t="inlineStr">
        <is>
          <t>*Perilla frutescens*</t>
        </is>
      </c>
      <c r="C110" s="1113" t="inlineStr">
        <is>
          <t>élevé</t>
        </is>
      </c>
      <c r="D110" s="1099" t="n">
        <v>80</v>
      </c>
      <c r="E110" s="1099" t="n"/>
      <c r="F110" s="1099" t="inlineStr">
        <is>
          <t>Frais / humide</t>
        </is>
      </c>
      <c r="G110" s="1099" t="inlineStr">
        <is>
          <t>**Modéré.** Sol frais ; arrosage régulier en été.</t>
        </is>
      </c>
    </row>
    <row r="111">
      <c r="A111" s="1099" t="inlineStr">
        <is>
          <t>Sureau</t>
        </is>
      </c>
      <c r="B111" s="1099" t="inlineStr">
        <is>
          <t>*Sambucus nigra*</t>
        </is>
      </c>
      <c r="C111" s="1113" t="inlineStr">
        <is>
          <t>élevé</t>
        </is>
      </c>
      <c r="D111" s="1099" t="n">
        <v>80</v>
      </c>
      <c r="E111" s="1099" t="n">
        <v>0.2</v>
      </c>
      <c r="F111" s="1099" t="inlineStr">
        <is>
          <t>Frais / humide</t>
        </is>
      </c>
      <c r="G111" s="1099" t="inlineStr">
        <is>
          <t>Faible à modéré. Rustique une fois établi. Tolère des périodes de sécheresse.</t>
        </is>
      </c>
    </row>
    <row r="112">
      <c r="A112" s="1099" t="inlineStr">
        <is>
          <t>Verveine citronnelle</t>
        </is>
      </c>
      <c r="B112" s="1099" t="inlineStr">
        <is>
          <t>*Aloysia citrodora*</t>
        </is>
      </c>
      <c r="C112" s="1113" t="inlineStr">
        <is>
          <t>élevé</t>
        </is>
      </c>
      <c r="D112" s="1099" t="n">
        <v>80</v>
      </c>
      <c r="E112" s="1099" t="n"/>
      <c r="F112" s="1099" t="inlineStr">
        <is>
          <t>Frais / humide</t>
        </is>
      </c>
      <c r="G112" s="1099" t="inlineStr">
        <is>
          <t>**Modéré.** Arrosage régulier en saison ; réduire fortement en hiver (repos).</t>
        </is>
      </c>
    </row>
    <row r="113">
      <c r="A113" s="1099" t="inlineStr">
        <is>
          <t>Wasabi</t>
        </is>
      </c>
      <c r="B113" s="1099" t="inlineStr">
        <is>
          <t>*Eutrema japonicum*</t>
        </is>
      </c>
      <c r="C113" s="1113" t="inlineStr">
        <is>
          <t>élevé</t>
        </is>
      </c>
      <c r="D113" s="1099" t="n">
        <v>80</v>
      </c>
      <c r="E113" s="1099" t="n"/>
      <c r="F113" s="1099" t="inlineStr">
        <is>
          <t>Frais / humide</t>
        </is>
      </c>
      <c r="G113" s="1099" t="inlineStr">
        <is>
          <t>**Très élevé et constant.** Humidité permanente de l'air et du substrat, mais **sans stagnation** (eau fraîche circulant</t>
        </is>
      </c>
    </row>
  </sheetData>
  <autoFilter ref="A2:G113"/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Feuil2">
    <outlinePr summaryBelow="1" summaryRight="1"/>
    <pageSetUpPr/>
  </sheetPr>
  <dimension ref="A1:BO249"/>
  <sheetViews>
    <sheetView zoomScale="144" workbookViewId="0">
      <pane ySplit="1" topLeftCell="A19" activePane="bottomLeft" state="frozen"/>
      <selection pane="bottomLeft" activeCell="G8" sqref="G8"/>
    </sheetView>
  </sheetViews>
  <sheetFormatPr baseColWidth="10" defaultColWidth="11" defaultRowHeight="16"/>
  <cols>
    <col width="26.6640625" bestFit="1" customWidth="1" min="1" max="1"/>
    <col width="24.83203125" bestFit="1" customWidth="1" min="2" max="2"/>
    <col width="10" bestFit="1" customWidth="1" min="3" max="3"/>
    <col width="5.33203125" customWidth="1" min="4" max="4"/>
    <col width="19.83203125" customWidth="1" min="5" max="5"/>
    <col width="5.6640625" customWidth="1" min="6" max="6"/>
    <col width="10.5" customWidth="1" min="7" max="7"/>
    <col width="7.6640625" customWidth="1" min="9" max="10"/>
    <col width="6" customWidth="1" min="11" max="11"/>
    <col width="6.33203125" customWidth="1" min="12" max="12"/>
    <col width="8.5" customWidth="1" min="13" max="13"/>
    <col width="7" customWidth="1" min="14" max="14"/>
    <col width="4.1640625" customWidth="1" min="15" max="15"/>
    <col width="4.5" customWidth="1" min="16" max="16"/>
    <col width="5.6640625" customWidth="1" min="17" max="17"/>
    <col width="11.5" customWidth="1" min="18" max="18"/>
    <col width="8.1640625" customWidth="1" min="19" max="19"/>
    <col width="7" customWidth="1" min="20" max="20"/>
    <col width="4" customWidth="1" min="21" max="22"/>
    <col width="4.5" customWidth="1" min="23" max="23"/>
    <col width="8.83203125" customWidth="1" min="24" max="24"/>
    <col width="7" customWidth="1" min="25" max="26"/>
    <col width="4" customWidth="1" min="27" max="28"/>
    <col width="4.5" customWidth="1" min="29" max="29"/>
    <col width="8.83203125" customWidth="1" min="30" max="30"/>
    <col width="7" customWidth="1" min="31" max="32"/>
    <col width="4" customWidth="1" min="33" max="34"/>
    <col width="4.5" customWidth="1" min="35" max="35"/>
    <col width="8.83203125" customWidth="1" min="36" max="36"/>
    <col width="7" customWidth="1" min="37" max="38"/>
    <col width="4" customWidth="1" min="39" max="40"/>
    <col width="4.5" customWidth="1" min="41" max="41"/>
    <col width="8.83203125" customWidth="1" min="42" max="42"/>
    <col width="7" customWidth="1" min="43" max="44"/>
    <col width="4" customWidth="1" min="45" max="46"/>
    <col width="4.5" customWidth="1" min="47" max="47"/>
    <col width="8.83203125" customWidth="1" min="48" max="48"/>
    <col width="7" customWidth="1" min="49" max="50"/>
    <col width="4" customWidth="1" min="51" max="52"/>
    <col width="4.5" customWidth="1" min="53" max="53"/>
    <col width="8.83203125" customWidth="1" min="54" max="54"/>
    <col width="7" customWidth="1" min="55" max="56"/>
    <col width="4" customWidth="1" min="57" max="58"/>
    <col width="4.5" customWidth="1" min="59" max="59"/>
    <col width="8.83203125" customWidth="1" min="60" max="60"/>
    <col width="7" customWidth="1" min="61" max="62"/>
    <col width="4" customWidth="1" min="63" max="64"/>
    <col width="4.5" customWidth="1" min="65" max="65"/>
    <col width="8.83203125" customWidth="1" min="66" max="66"/>
  </cols>
  <sheetData>
    <row r="1" ht="142" customFormat="1" customHeight="1" s="5">
      <c r="A1" s="12" t="inlineStr">
        <is>
          <t>Recette</t>
        </is>
      </c>
      <c r="B1" s="12" t="inlineStr">
        <is>
          <t>ID</t>
        </is>
      </c>
      <c r="C1" s="10" t="inlineStr">
        <is>
          <t>Ratio travail</t>
        </is>
      </c>
      <c r="D1" s="10" t="inlineStr">
        <is>
          <t>Poids (g) / unité</t>
        </is>
      </c>
      <c r="E1" s="8" t="inlineStr">
        <is>
          <t>Conditionnement</t>
        </is>
      </c>
      <c r="F1" s="9" t="inlineStr">
        <is>
          <t>Packaging / unité</t>
        </is>
      </c>
      <c r="G1" s="887" t="inlineStr">
        <is>
          <t>Prix achat plantes / kg</t>
        </is>
      </c>
      <c r="H1" s="563" t="inlineStr">
        <is>
          <t>Prix de vente/U</t>
        </is>
      </c>
      <c r="I1" s="562" t="inlineStr">
        <is>
          <t>Prix de vente/kg</t>
        </is>
      </c>
      <c r="J1" s="18" t="inlineStr">
        <is>
          <t>Prix/kg (no BIO)</t>
        </is>
      </c>
      <c r="K1" s="17" t="inlineStr">
        <is>
          <t>Prix/kg (cook)</t>
        </is>
      </c>
      <c r="L1" s="570" t="inlineStr">
        <is>
          <t>Prix/kg (artisan)</t>
        </is>
      </c>
      <c r="M1" s="640" t="inlineStr">
        <is>
          <t>Objectif de vente en unité N1</t>
        </is>
      </c>
      <c r="N1" s="888" t="inlineStr">
        <is>
          <t>Total (kg) N1</t>
        </is>
      </c>
      <c r="O1" s="28" t="inlineStr">
        <is>
          <t>Conditionnement N1</t>
        </is>
      </c>
      <c r="P1" s="28" t="inlineStr">
        <is>
          <t>Achat plantes N1</t>
        </is>
      </c>
      <c r="Q1" s="28" t="inlineStr">
        <is>
          <t>Revenu brut N1</t>
        </is>
      </c>
      <c r="R1" s="29" t="inlineStr">
        <is>
          <t>Revenu net N1</t>
        </is>
      </c>
      <c r="S1" s="31" t="inlineStr">
        <is>
          <t>Objectif de vente en unité N2</t>
        </is>
      </c>
      <c r="T1" s="889" t="inlineStr">
        <is>
          <t>Total (kg) N2</t>
        </is>
      </c>
      <c r="U1" s="45" t="inlineStr">
        <is>
          <t>Conditionnement N2</t>
        </is>
      </c>
      <c r="V1" s="45" t="inlineStr">
        <is>
          <t>Achat plantes N2</t>
        </is>
      </c>
      <c r="W1" s="45" t="inlineStr">
        <is>
          <t>Revenu brut N2</t>
        </is>
      </c>
      <c r="X1" s="39" t="inlineStr">
        <is>
          <t>Revenu net N2</t>
        </is>
      </c>
      <c r="Y1" s="32" t="inlineStr">
        <is>
          <t>Objectif de vente en unité N3</t>
        </is>
      </c>
      <c r="Z1" s="890" t="inlineStr">
        <is>
          <t>Total (kg) N3</t>
        </is>
      </c>
      <c r="AA1" s="46" t="inlineStr">
        <is>
          <t>Conditionnement N3</t>
        </is>
      </c>
      <c r="AB1" s="46" t="inlineStr">
        <is>
          <t>Achat plantes N3</t>
        </is>
      </c>
      <c r="AC1" s="46" t="inlineStr">
        <is>
          <t>Revenu brut N3</t>
        </is>
      </c>
      <c r="AD1" s="40" t="inlineStr">
        <is>
          <t>Revenu net N3</t>
        </is>
      </c>
      <c r="AE1" s="33" t="inlineStr">
        <is>
          <t>Objectif de vente en unité N4</t>
        </is>
      </c>
      <c r="AF1" s="891" t="inlineStr">
        <is>
          <t>Total (kg) N4</t>
        </is>
      </c>
      <c r="AG1" s="47" t="inlineStr">
        <is>
          <t>Conditionnement N4</t>
        </is>
      </c>
      <c r="AH1" s="47" t="inlineStr">
        <is>
          <t>Achat plantes N4</t>
        </is>
      </c>
      <c r="AI1" s="47" t="inlineStr">
        <is>
          <t>Revenu brut N4</t>
        </is>
      </c>
      <c r="AJ1" s="41" t="inlineStr">
        <is>
          <t>Revenu net N4</t>
        </is>
      </c>
      <c r="AK1" s="34" t="inlineStr">
        <is>
          <t>Objectif de vente en unité N5</t>
        </is>
      </c>
      <c r="AL1" s="892" t="inlineStr">
        <is>
          <t>Total (kg) N5</t>
        </is>
      </c>
      <c r="AM1" s="48" t="inlineStr">
        <is>
          <t>Conditionnement N5</t>
        </is>
      </c>
      <c r="AN1" s="48" t="inlineStr">
        <is>
          <t>Achat plantes N5</t>
        </is>
      </c>
      <c r="AO1" s="48" t="inlineStr">
        <is>
          <t>Revenu brut N5</t>
        </is>
      </c>
      <c r="AP1" s="42" t="inlineStr">
        <is>
          <t>Revenu net N5</t>
        </is>
      </c>
      <c r="AQ1" s="35" t="inlineStr">
        <is>
          <t>Objectif de vente en unité N6</t>
        </is>
      </c>
      <c r="AR1" s="893" t="inlineStr">
        <is>
          <t>Total (kg) N6</t>
        </is>
      </c>
      <c r="AS1" s="49" t="inlineStr">
        <is>
          <t>Conditionnement N6</t>
        </is>
      </c>
      <c r="AT1" s="49" t="inlineStr">
        <is>
          <t>Achat plantes N6</t>
        </is>
      </c>
      <c r="AU1" s="49" t="inlineStr">
        <is>
          <t>Revenu brut N6</t>
        </is>
      </c>
      <c r="AV1" s="43" t="inlineStr">
        <is>
          <t>Revenu net N6</t>
        </is>
      </c>
      <c r="AW1" s="30" t="inlineStr">
        <is>
          <t>Objectif de vente en unité N7</t>
        </is>
      </c>
      <c r="AX1" s="894" t="inlineStr">
        <is>
          <t>Total (kg) N7</t>
        </is>
      </c>
      <c r="AY1" s="50" t="inlineStr">
        <is>
          <t>Conditionnement N7</t>
        </is>
      </c>
      <c r="AZ1" s="50" t="inlineStr">
        <is>
          <t>Achat plantes N7</t>
        </is>
      </c>
      <c r="BA1" s="50" t="inlineStr">
        <is>
          <t>Revenu brut N7</t>
        </is>
      </c>
      <c r="BB1" s="44" t="inlineStr">
        <is>
          <t>Revenu net N7</t>
        </is>
      </c>
      <c r="BC1" s="36" t="inlineStr">
        <is>
          <t>Objectif de vente en unité N8</t>
        </is>
      </c>
      <c r="BD1" s="895" t="inlineStr">
        <is>
          <t>Total (kg) N8</t>
        </is>
      </c>
      <c r="BE1" s="51" t="inlineStr">
        <is>
          <t>Conditionnement N8</t>
        </is>
      </c>
      <c r="BF1" s="51" t="inlineStr">
        <is>
          <t>Achat plantes N8</t>
        </is>
      </c>
      <c r="BG1" s="51" t="inlineStr">
        <is>
          <t>Revenu brut N8</t>
        </is>
      </c>
      <c r="BH1" s="37" t="inlineStr">
        <is>
          <t>Revenu net N8</t>
        </is>
      </c>
      <c r="BI1" s="53" t="inlineStr">
        <is>
          <t>Objectif de vente en unité N9</t>
        </is>
      </c>
      <c r="BJ1" s="896" t="inlineStr">
        <is>
          <t>Total (kg) N9</t>
        </is>
      </c>
      <c r="BK1" s="52" t="inlineStr">
        <is>
          <t>Conditionnement N9</t>
        </is>
      </c>
      <c r="BL1" s="52" t="inlineStr">
        <is>
          <t>Achat plantes N9</t>
        </is>
      </c>
      <c r="BM1" s="52" t="inlineStr">
        <is>
          <t>Revenu brut N9</t>
        </is>
      </c>
      <c r="BN1" s="38" t="inlineStr">
        <is>
          <t>Revenu net N9</t>
        </is>
      </c>
      <c r="BO1" t="inlineStr">
        <is>
          <t>Type gamme</t>
        </is>
      </c>
    </row>
    <row r="2">
      <c r="A2" s="13" t="inlineStr">
        <is>
          <t>Herbes de Provence</t>
        </is>
      </c>
      <c r="B2" s="54">
        <f>TableauProduit[[#This Row],[Recette]]&amp;TableauProduit[[#This Row],[Conditionnement]]</f>
        <v/>
      </c>
      <c r="C2" s="11" t="n">
        <v>1</v>
      </c>
      <c r="D2" s="11" t="n">
        <v>80</v>
      </c>
      <c r="E2" s="6" t="inlineStr">
        <is>
          <t>Epice 200ml</t>
        </is>
      </c>
      <c r="F2" s="7">
        <f>IFERROR(VLOOKUP(TableauProduit[[#This Row],[Conditionnement]],TableauConditionnement[[Nom]:[Contenance]],4,FALSE),"")</f>
        <v/>
      </c>
      <c r="G2" s="897">
        <f>IFERROR(SUMIFS(TableauRecette[Prix d''achat / kg],TableauRecette[Recette],TableauProduit[[#This Row],[Recette]],TableauRecette[Conditionnement],TableauProduit[[#This Row],[Conditionnement]]),0)</f>
        <v/>
      </c>
      <c r="H2" s="898" t="n">
        <v>7.5</v>
      </c>
      <c r="I2" s="899">
        <f>1000*TableauProduit[[#This Row],[Prix de vente/U]]/TableauProduit[[#This Row],[Poids (g) / unité]]</f>
        <v/>
      </c>
      <c r="J2" s="900">
        <f>SUMIFS(TableauConcurence[PRIX_KG],TableauConcurence[PRODUIT],TableauProduit[[#This Row],[Recette]],TableauConcurence[DISTRIBUTION],"magasin NON BIO")</f>
        <v/>
      </c>
      <c r="K2" s="901">
        <f>SUMIFS(TableauConcurence[PRIX_KG],TableauConcurence[PRODUIT],TableauProduit[[#This Row],[Recette]],TableauConcurence[DISTRIBUTION],"magasin BIO")</f>
        <v/>
      </c>
      <c r="L2" s="902">
        <f>SUMIFS(TableauConcurence[PRIX_KG],TableauConcurence[PRODUIT],TableauProduit[[#This Row],[Recette]],TableauConcurence[DISTRIBUTION],"artisanale BIO")</f>
        <v/>
      </c>
      <c r="M2" s="903" t="n">
        <v>750</v>
      </c>
      <c r="N2" s="904">
        <f>TableauProduit[[#This Row],[Poids (g) / unité]]*TableauProduit[[#This Row],[Objectif de vente en unité N1]]/1000</f>
        <v/>
      </c>
      <c r="O2" s="905">
        <f>TableauProduit[[#This Row],[Objectif de vente en unité N1]]*TableauProduit[[#This Row],[Packaging / unité]]</f>
        <v/>
      </c>
      <c r="P2" s="905">
        <f>TableauProduit[[#This Row],[Prix achat plantes / kg]]*TableauProduit[[#This Row],[Total (kg) N1]]</f>
        <v/>
      </c>
      <c r="Q2" s="905">
        <f>TableauProduit[[#This Row],[Prix de vente/kg]]*TableauProduit[[#This Row],[Total (kg) N1]]</f>
        <v/>
      </c>
      <c r="R2" s="906">
        <f>TableauProduit[[#This Row],[Revenu brut N1]]-TableauProduit[[#This Row],[Achat plantes N1]]-TableauProduit[[#This Row],[Conditionnement N1]]</f>
        <v/>
      </c>
      <c r="S2" s="907" t="n">
        <v>1125</v>
      </c>
      <c r="T2" s="908">
        <f>TableauProduit[[#This Row],[Poids (g) / unité]]*TableauProduit[[#This Row],[Objectif de vente en unité N2]]/1000</f>
        <v/>
      </c>
      <c r="U2" s="909">
        <f>TableauProduit[[#This Row],[Objectif de vente en unité N2]]*TableauProduit[[#This Row],[Packaging / unité]]</f>
        <v/>
      </c>
      <c r="V2" s="909">
        <f>TableauProduit[[#This Row],[Prix achat plantes / kg]]*TableauProduit[[#This Row],[Total (kg) N2]]</f>
        <v/>
      </c>
      <c r="W2" s="909">
        <f>TableauProduit[[#This Row],[Prix de vente/kg]]*TableauProduit[[#This Row],[Total (kg) N2]]</f>
        <v/>
      </c>
      <c r="X2" s="910">
        <f>TableauProduit[[#This Row],[Revenu brut N2]]-TableauProduit[[#This Row],[Achat plantes N2]]-TableauProduit[[#This Row],[Conditionnement N2]]</f>
        <v/>
      </c>
      <c r="Y2" s="911" t="n">
        <v>1312</v>
      </c>
      <c r="Z2" s="912">
        <f>TableauProduit[[#This Row],[Poids (g) / unité]]*TableauProduit[[#This Row],[Objectif de vente en unité N3]]/1000</f>
        <v/>
      </c>
      <c r="AA2" s="913">
        <f>TableauProduit[[#This Row],[Objectif de vente en unité N3]]*TableauProduit[[#This Row],[Packaging / unité]]</f>
        <v/>
      </c>
      <c r="AB2" s="913">
        <f>TableauProduit[[#This Row],[Prix achat plantes / kg]]*TableauProduit[[#This Row],[Total (kg) N3]]</f>
        <v/>
      </c>
      <c r="AC2" s="913">
        <f>TableauProduit[[#This Row],[Prix de vente/kg]]*TableauProduit[[#This Row],[Total (kg) N3]]</f>
        <v/>
      </c>
      <c r="AD2" s="914">
        <f>TableauProduit[[#This Row],[Revenu brut N3]]-TableauProduit[[#This Row],[Achat plantes N3]]-TableauProduit[[#This Row],[Conditionnement N3]]</f>
        <v/>
      </c>
      <c r="AE2" s="915" t="n">
        <v>1425</v>
      </c>
      <c r="AF2" s="915">
        <f>TableauProduit[[#This Row],[Poids (g) / unité]]*TableauProduit[[#This Row],[Objectif de vente en unité N4]]/1000</f>
        <v/>
      </c>
      <c r="AG2" s="916">
        <f>TableauProduit[[#This Row],[Objectif de vente en unité N4]]*TableauProduit[[#This Row],[Packaging / unité]]</f>
        <v/>
      </c>
      <c r="AH2" s="916">
        <f>TableauProduit[[#This Row],[Prix achat plantes / kg]]*TableauProduit[[#This Row],[Total (kg) N4]]</f>
        <v/>
      </c>
      <c r="AI2" s="916">
        <f>TableauProduit[[#This Row],[Prix de vente/kg]]*TableauProduit[[#This Row],[Total (kg) N4]]</f>
        <v/>
      </c>
      <c r="AJ2" s="915">
        <f>TableauProduit[[#This Row],[Revenu brut N4]]-TableauProduit[[#This Row],[Achat plantes N4]]-TableauProduit[[#This Row],[Conditionnement N4]]</f>
        <v/>
      </c>
      <c r="AK2" s="917" t="n">
        <v>1500</v>
      </c>
      <c r="AL2" s="917">
        <f>TableauProduit[[#This Row],[Poids (g) / unité]]*TableauProduit[[#This Row],[Objectif de vente en unité N5]]/1000</f>
        <v/>
      </c>
      <c r="AM2" s="918">
        <f>TableauProduit[[#This Row],[Objectif de vente en unité N5]]*TableauProduit[[#This Row],[Packaging / unité]]</f>
        <v/>
      </c>
      <c r="AN2" s="918">
        <f>TableauProduit[[#This Row],[Prix achat plantes / kg]]*TableauProduit[[#This Row],[Total (kg) N5]]</f>
        <v/>
      </c>
      <c r="AO2" s="918">
        <f>TableauProduit[[#This Row],[Prix de vente/kg]]*TableauProduit[[#This Row],[Total (kg) N5]]</f>
        <v/>
      </c>
      <c r="AP2" s="917">
        <f>TableauProduit[[#This Row],[Revenu brut N5]]-TableauProduit[[#This Row],[Achat plantes N5]]-TableauProduit[[#This Row],[Conditionnement N5]]</f>
        <v/>
      </c>
      <c r="AQ2" s="919" t="n">
        <v>1500</v>
      </c>
      <c r="AR2" s="919">
        <f>TableauProduit[[#This Row],[Poids (g) / unité]]*TableauProduit[[#This Row],[Objectif de vente en unité N6]]/1000</f>
        <v/>
      </c>
      <c r="AS2" s="920">
        <f>TableauProduit[[#This Row],[Objectif de vente en unité N6]]*TableauProduit[[#This Row],[Packaging / unité]]</f>
        <v/>
      </c>
      <c r="AT2" s="920">
        <f>TableauProduit[[#This Row],[Prix achat plantes / kg]]*TableauProduit[[#This Row],[Total (kg) N6]]</f>
        <v/>
      </c>
      <c r="AU2" s="920">
        <f>TableauProduit[[#This Row],[Prix de vente/kg]]*TableauProduit[[#This Row],[Total (kg) N6]]</f>
        <v/>
      </c>
      <c r="AV2" s="919">
        <f>TableauProduit[[#This Row],[Revenu brut N6]]-TableauProduit[[#This Row],[Achat plantes N6]]-TableauProduit[[#This Row],[Conditionnement N6]]</f>
        <v/>
      </c>
      <c r="AW2" s="904" t="n">
        <v>1500</v>
      </c>
      <c r="AX2" s="904">
        <f>TableauProduit[[#This Row],[Poids (g) / unité]]*TableauProduit[[#This Row],[Objectif de vente en unité N7]]/1000</f>
        <v/>
      </c>
      <c r="AY2" s="905">
        <f>TableauProduit[[#This Row],[Objectif de vente en unité N7]]*TableauProduit[[#This Row],[Packaging / unité]]</f>
        <v/>
      </c>
      <c r="AZ2" s="905">
        <f>TableauProduit[[#This Row],[Prix achat plantes / kg]]*TableauProduit[[#This Row],[Total (kg) N7]]</f>
        <v/>
      </c>
      <c r="BA2" s="905">
        <f>TableauProduit[[#This Row],[Prix de vente/kg]]*TableauProduit[[#This Row],[Total (kg) N7]]</f>
        <v/>
      </c>
      <c r="BB2" s="921">
        <f>TableauProduit[[#This Row],[Revenu brut N7]]-TableauProduit[[#This Row],[Achat plantes N7]]-TableauProduit[[#This Row],[Conditionnement N7]]</f>
        <v/>
      </c>
      <c r="BC2" s="922" t="n">
        <v>1500</v>
      </c>
      <c r="BD2" s="923">
        <f>TableauProduit[[#This Row],[Poids (g) / unité]]*TableauProduit[[#This Row],[Objectif de vente en unité N8]]/1000</f>
        <v/>
      </c>
      <c r="BE2" s="924">
        <f>TableauProduit[[#This Row],[Objectif de vente en unité N8]]*TableauProduit[[#This Row],[Packaging / unité]]</f>
        <v/>
      </c>
      <c r="BF2" s="924">
        <f>TableauProduit[[#This Row],[Prix achat plantes / kg]]*TableauProduit[[#This Row],[Total (kg) N8]]</f>
        <v/>
      </c>
      <c r="BG2" s="924">
        <f>TableauProduit[[#This Row],[Prix de vente/kg]]*TableauProduit[[#This Row],[Total (kg) N8]]</f>
        <v/>
      </c>
      <c r="BH2" s="925">
        <f>TableauProduit[[#This Row],[Revenu brut N8]]-TableauProduit[[#This Row],[Achat plantes N8]]-TableauProduit[[#This Row],[Conditionnement N8]]</f>
        <v/>
      </c>
      <c r="BI2" s="926" t="n">
        <v>1500</v>
      </c>
      <c r="BJ2" s="927">
        <f>TableauProduit[[#This Row],[Poids (g) / unité]]*TableauProduit[[#This Row],[Objectif de vente en unité N9]]/1000</f>
        <v/>
      </c>
      <c r="BK2" s="928">
        <f>TableauProduit[[#This Row],[Objectif de vente en unité N9]]*TableauProduit[[#This Row],[Packaging / unité]]</f>
        <v/>
      </c>
      <c r="BL2" s="928">
        <f>TableauProduit[[#This Row],[Prix achat plantes / kg]]*TableauProduit[[#This Row],[Total (kg) N9]]</f>
        <v/>
      </c>
      <c r="BM2" s="928">
        <f>TableauProduit[[#This Row],[Prix de vente/kg]]*TableauProduit[[#This Row],[Total (kg) N9]]</f>
        <v/>
      </c>
      <c r="BN2" s="927">
        <f>TableauProduit[[#This Row],[Revenu brut N9]]-TableauProduit[[#This Row],[Achat plantes N9]]-TableauProduit[[#This Row],[Conditionnement N9]]</f>
        <v/>
      </c>
      <c r="BO2" t="inlineStr">
        <is>
          <t>Mélange</t>
        </is>
      </c>
    </row>
    <row r="3">
      <c r="A3" s="13" t="inlineStr">
        <is>
          <t>Moutarde à l'ancienne</t>
        </is>
      </c>
      <c r="B3" s="54">
        <f>TableauProduit[[#This Row],[Recette]]&amp;TableauProduit[[#This Row],[Conditionnement]]</f>
        <v/>
      </c>
      <c r="C3" s="11" t="n">
        <v>1</v>
      </c>
      <c r="D3" s="11" t="n">
        <v>250</v>
      </c>
      <c r="E3" s="6" t="inlineStr">
        <is>
          <t>Moutarde verre 265 ml</t>
        </is>
      </c>
      <c r="F3" s="7">
        <f>IFERROR(VLOOKUP(TableauProduit[[#This Row],[Conditionnement]],TableauConditionnement[[Nom]:[Contenance]],4,FALSE),"")</f>
        <v/>
      </c>
      <c r="G3" s="897">
        <f>IFERROR(SUMIFS(TableauRecette[Prix d''achat / kg],TableauRecette[Recette],TableauProduit[[#This Row],[Recette]],TableauRecette[Conditionnement],TableauProduit[[#This Row],[Conditionnement]]),0)</f>
        <v/>
      </c>
      <c r="H3" s="929" t="n">
        <v>5</v>
      </c>
      <c r="I3" s="899">
        <f>1000*TableauProduit[[#This Row],[Prix de vente/U]]/TableauProduit[[#This Row],[Poids (g) / unité]]</f>
        <v/>
      </c>
      <c r="J3" s="900">
        <f>SUMIFS(TableauConcurence[PRIX_KG],TableauConcurence[PRODUIT],TableauProduit[[#This Row],[Recette]],TableauConcurence[DISTRIBUTION],"magasin NON BIO")</f>
        <v/>
      </c>
      <c r="K3" s="901">
        <f>SUMIFS(TableauConcurence[PRIX_KG],TableauConcurence[PRODUIT],TableauProduit[[#This Row],[Recette]],TableauConcurence[DISTRIBUTION],"magasin BIO")</f>
        <v/>
      </c>
      <c r="L3" s="902">
        <f>SUMIFS(TableauConcurence[PRIX_KG],TableauConcurence[PRODUIT],TableauProduit[[#This Row],[Recette]],TableauConcurence[DISTRIBUTION],"artisanale BIO")</f>
        <v/>
      </c>
      <c r="M3" s="903" t="n">
        <v>750</v>
      </c>
      <c r="N3" s="904">
        <f>TableauProduit[[#This Row],[Poids (g) / unité]]*TableauProduit[[#This Row],[Objectif de vente en unité N1]]/1000</f>
        <v/>
      </c>
      <c r="O3" s="905">
        <f>TableauProduit[[#This Row],[Objectif de vente en unité N1]]*TableauProduit[[#This Row],[Packaging / unité]]</f>
        <v/>
      </c>
      <c r="P3" s="905">
        <f>TableauProduit[[#This Row],[Prix achat plantes / kg]]*TableauProduit[[#This Row],[Total (kg) N1]]</f>
        <v/>
      </c>
      <c r="Q3" s="905">
        <f>TableauProduit[[#This Row],[Prix de vente/kg]]*TableauProduit[[#This Row],[Total (kg) N1]]</f>
        <v/>
      </c>
      <c r="R3" s="906">
        <f>TableauProduit[[#This Row],[Revenu brut N1]]-TableauProduit[[#This Row],[Achat plantes N1]]-TableauProduit[[#This Row],[Conditionnement N1]]</f>
        <v/>
      </c>
      <c r="S3" s="907" t="n">
        <v>1125</v>
      </c>
      <c r="T3" s="930">
        <f>TableauProduit[[#This Row],[Poids (g) / unité]]*TableauProduit[[#This Row],[Objectif de vente en unité N2]]/1000</f>
        <v/>
      </c>
      <c r="U3" s="931">
        <f>TableauProduit[[#This Row],[Objectif de vente en unité N2]]*TableauProduit[[#This Row],[Packaging / unité]]</f>
        <v/>
      </c>
      <c r="V3" s="909">
        <f>TableauProduit[[#This Row],[Prix achat plantes / kg]]*TableauProduit[[#This Row],[Total (kg) N2]]</f>
        <v/>
      </c>
      <c r="W3" s="932">
        <f>TableauProduit[[#This Row],[Prix de vente/kg]]*TableauProduit[[#This Row],[Total (kg) N2]]</f>
        <v/>
      </c>
      <c r="X3" s="910">
        <f>TableauProduit[[#This Row],[Revenu brut N2]]-TableauProduit[[#This Row],[Achat plantes N2]]-TableauProduit[[#This Row],[Conditionnement N2]]</f>
        <v/>
      </c>
      <c r="Y3" s="911" t="n">
        <v>1312</v>
      </c>
      <c r="Z3" s="933">
        <f>TableauProduit[[#This Row],[Poids (g) / unité]]*TableauProduit[[#This Row],[Objectif de vente en unité N3]]/1000</f>
        <v/>
      </c>
      <c r="AA3" s="934">
        <f>TableauProduit[[#This Row],[Objectif de vente en unité N3]]*TableauProduit[[#This Row],[Packaging / unité]]</f>
        <v/>
      </c>
      <c r="AB3" s="913">
        <f>TableauProduit[[#This Row],[Prix achat plantes / kg]]*TableauProduit[[#This Row],[Total (kg) N3]]</f>
        <v/>
      </c>
      <c r="AC3" s="935">
        <f>TableauProduit[[#This Row],[Prix de vente/kg]]*TableauProduit[[#This Row],[Total (kg) N3]]</f>
        <v/>
      </c>
      <c r="AD3" s="914">
        <f>TableauProduit[[#This Row],[Revenu brut N3]]-TableauProduit[[#This Row],[Achat plantes N3]]-TableauProduit[[#This Row],[Conditionnement N3]]</f>
        <v/>
      </c>
      <c r="AE3" s="915" t="n">
        <v>1425</v>
      </c>
      <c r="AF3" s="936">
        <f>TableauProduit[[#This Row],[Poids (g) / unité]]*TableauProduit[[#This Row],[Objectif de vente en unité N4]]/1000</f>
        <v/>
      </c>
      <c r="AG3" s="937">
        <f>TableauProduit[[#This Row],[Objectif de vente en unité N4]]*TableauProduit[[#This Row],[Packaging / unité]]</f>
        <v/>
      </c>
      <c r="AH3" s="916">
        <f>TableauProduit[[#This Row],[Prix achat plantes / kg]]*TableauProduit[[#This Row],[Total (kg) N4]]</f>
        <v/>
      </c>
      <c r="AI3" s="938">
        <f>TableauProduit[[#This Row],[Prix de vente/kg]]*TableauProduit[[#This Row],[Total (kg) N4]]</f>
        <v/>
      </c>
      <c r="AJ3" s="939">
        <f>TableauProduit[[#This Row],[Revenu brut N4]]-TableauProduit[[#This Row],[Achat plantes N4]]-TableauProduit[[#This Row],[Conditionnement N4]]</f>
        <v/>
      </c>
      <c r="AK3" s="917" t="n">
        <v>1500</v>
      </c>
      <c r="AL3" s="940">
        <f>TableauProduit[[#This Row],[Poids (g) / unité]]*TableauProduit[[#This Row],[Objectif de vente en unité N5]]/1000</f>
        <v/>
      </c>
      <c r="AM3" s="941">
        <f>TableauProduit[[#This Row],[Objectif de vente en unité N5]]*TableauProduit[[#This Row],[Packaging / unité]]</f>
        <v/>
      </c>
      <c r="AN3" s="918">
        <f>TableauProduit[[#This Row],[Prix achat plantes / kg]]*TableauProduit[[#This Row],[Total (kg) N5]]</f>
        <v/>
      </c>
      <c r="AO3" s="942">
        <f>TableauProduit[[#This Row],[Prix de vente/kg]]*TableauProduit[[#This Row],[Total (kg) N5]]</f>
        <v/>
      </c>
      <c r="AP3" s="943">
        <f>TableauProduit[[#This Row],[Revenu brut N5]]-TableauProduit[[#This Row],[Achat plantes N5]]-TableauProduit[[#This Row],[Conditionnement N5]]</f>
        <v/>
      </c>
      <c r="AQ3" s="919" t="n">
        <v>1500</v>
      </c>
      <c r="AR3" s="944">
        <f>TableauProduit[[#This Row],[Poids (g) / unité]]*TableauProduit[[#This Row],[Objectif de vente en unité N6]]/1000</f>
        <v/>
      </c>
      <c r="AS3" s="945">
        <f>TableauProduit[[#This Row],[Objectif de vente en unité N6]]*TableauProduit[[#This Row],[Packaging / unité]]</f>
        <v/>
      </c>
      <c r="AT3" s="920">
        <f>TableauProduit[[#This Row],[Prix achat plantes / kg]]*TableauProduit[[#This Row],[Total (kg) N6]]</f>
        <v/>
      </c>
      <c r="AU3" s="946">
        <f>TableauProduit[[#This Row],[Prix de vente/kg]]*TableauProduit[[#This Row],[Total (kg) N6]]</f>
        <v/>
      </c>
      <c r="AV3" s="947">
        <f>TableauProduit[[#This Row],[Revenu brut N6]]-TableauProduit[[#This Row],[Achat plantes N6]]-TableauProduit[[#This Row],[Conditionnement N6]]</f>
        <v/>
      </c>
      <c r="AW3" s="904" t="n">
        <v>1500</v>
      </c>
      <c r="AX3" s="948">
        <f>TableauProduit[[#This Row],[Poids (g) / unité]]*TableauProduit[[#This Row],[Objectif de vente en unité N7]]/1000</f>
        <v/>
      </c>
      <c r="AY3" s="949">
        <f>TableauProduit[[#This Row],[Objectif de vente en unité N7]]*TableauProduit[[#This Row],[Packaging / unité]]</f>
        <v/>
      </c>
      <c r="AZ3" s="905">
        <f>TableauProduit[[#This Row],[Prix achat plantes / kg]]*TableauProduit[[#This Row],[Total (kg) N7]]</f>
        <v/>
      </c>
      <c r="BA3" s="950">
        <f>TableauProduit[[#This Row],[Prix de vente/kg]]*TableauProduit[[#This Row],[Total (kg) N7]]</f>
        <v/>
      </c>
      <c r="BB3" s="921">
        <f>TableauProduit[[#This Row],[Revenu brut N7]]-TableauProduit[[#This Row],[Achat plantes N7]]-TableauProduit[[#This Row],[Conditionnement N7]]</f>
        <v/>
      </c>
      <c r="BC3" s="922" t="n">
        <v>1500</v>
      </c>
      <c r="BD3" s="951">
        <f>TableauProduit[[#This Row],[Poids (g) / unité]]*TableauProduit[[#This Row],[Objectif de vente en unité N8]]/1000</f>
        <v/>
      </c>
      <c r="BE3" s="952">
        <f>TableauProduit[[#This Row],[Objectif de vente en unité N8]]*TableauProduit[[#This Row],[Packaging / unité]]</f>
        <v/>
      </c>
      <c r="BF3" s="924">
        <f>TableauProduit[[#This Row],[Prix achat plantes / kg]]*TableauProduit[[#This Row],[Total (kg) N8]]</f>
        <v/>
      </c>
      <c r="BG3" s="953">
        <f>TableauProduit[[#This Row],[Prix de vente/kg]]*TableauProduit[[#This Row],[Total (kg) N8]]</f>
        <v/>
      </c>
      <c r="BH3" s="954">
        <f>TableauProduit[[#This Row],[Revenu brut N8]]-TableauProduit[[#This Row],[Achat plantes N8]]-TableauProduit[[#This Row],[Conditionnement N8]]</f>
        <v/>
      </c>
      <c r="BI3" s="926" t="n">
        <v>1500</v>
      </c>
      <c r="BJ3" s="926">
        <f>TableauProduit[[#This Row],[Poids (g) / unité]]*TableauProduit[[#This Row],[Objectif de vente en unité N9]]/1000</f>
        <v/>
      </c>
      <c r="BK3" s="955">
        <f>TableauProduit[[#This Row],[Objectif de vente en unité N9]]*TableauProduit[[#This Row],[Packaging / unité]]</f>
        <v/>
      </c>
      <c r="BL3" s="928">
        <f>TableauProduit[[#This Row],[Prix achat plantes / kg]]*TableauProduit[[#This Row],[Total (kg) N9]]</f>
        <v/>
      </c>
      <c r="BM3" s="956">
        <f>TableauProduit[[#This Row],[Prix de vente/kg]]*TableauProduit[[#This Row],[Total (kg) N9]]</f>
        <v/>
      </c>
      <c r="BN3" s="927">
        <f>TableauProduit[[#This Row],[Revenu brut N9]]-TableauProduit[[#This Row],[Achat plantes N9]]-TableauProduit[[#This Row],[Conditionnement N9]]</f>
        <v/>
      </c>
      <c r="BO3" t="inlineStr">
        <is>
          <t>Transformé</t>
        </is>
      </c>
    </row>
    <row r="4">
      <c r="A4" s="13" t="inlineStr">
        <is>
          <t>Choucroute</t>
        </is>
      </c>
      <c r="B4" s="54">
        <f>TableauProduit[[#This Row],[Recette]]&amp;TableauProduit[[#This Row],[Conditionnement]]</f>
        <v/>
      </c>
      <c r="C4" s="11" t="n">
        <v>1</v>
      </c>
      <c r="D4" s="11" t="n">
        <v>1000</v>
      </c>
      <c r="E4" s="6" t="inlineStr">
        <is>
          <t>Seau 2,5 l, plastique</t>
        </is>
      </c>
      <c r="F4" s="7">
        <f>IFERROR(VLOOKUP(TableauProduit[[#This Row],[Conditionnement]],TableauConditionnement[[Nom]:[Contenance]],4,FALSE),"")</f>
        <v/>
      </c>
      <c r="G4" s="897">
        <f>IFERROR(SUMIFS(TableauRecette[Prix d''achat / kg],TableauRecette[Recette],TableauProduit[[#This Row],[Recette]],TableauRecette[Conditionnement],TableauProduit[[#This Row],[Conditionnement]]),0)</f>
        <v/>
      </c>
      <c r="H4" s="898" t="n">
        <v>4</v>
      </c>
      <c r="I4" s="899">
        <f>1000*TableauProduit[[#This Row],[Prix de vente/U]]/TableauProduit[[#This Row],[Poids (g) / unité]]</f>
        <v/>
      </c>
      <c r="J4" s="900">
        <f>SUMIFS(TableauConcurence[PRIX_KG],TableauConcurence[PRODUIT],TableauProduit[[#This Row],[Recette]],TableauConcurence[DISTRIBUTION],"magasin NON BIO")</f>
        <v/>
      </c>
      <c r="K4" s="901">
        <f>SUMIFS(TableauConcurence[PRIX_KG],TableauConcurence[PRODUIT],TableauProduit[[#This Row],[Recette]],TableauConcurence[DISTRIBUTION],"magasin BIO")</f>
        <v/>
      </c>
      <c r="L4" s="902">
        <f>SUMIFS(TableauConcurence[PRIX_KG],TableauConcurence[PRODUIT],TableauProduit[[#This Row],[Recette]],TableauConcurence[DISTRIBUTION],"artisanale BIO")</f>
        <v/>
      </c>
      <c r="M4" s="903" t="n">
        <v>450</v>
      </c>
      <c r="N4" s="904">
        <f>TableauProduit[[#This Row],[Poids (g) / unité]]*TableauProduit[[#This Row],[Objectif de vente en unité N1]]/1000</f>
        <v/>
      </c>
      <c r="O4" s="905">
        <f>TableauProduit[[#This Row],[Objectif de vente en unité N1]]*TableauProduit[[#This Row],[Packaging / unité]]</f>
        <v/>
      </c>
      <c r="P4" s="905">
        <f>TableauProduit[[#This Row],[Prix achat plantes / kg]]*TableauProduit[[#This Row],[Total (kg) N1]]</f>
        <v/>
      </c>
      <c r="Q4" s="905">
        <f>TableauProduit[[#This Row],[Prix de vente/kg]]*TableauProduit[[#This Row],[Total (kg) N1]]</f>
        <v/>
      </c>
      <c r="R4" s="906">
        <f>TableauProduit[[#This Row],[Revenu brut N1]]-TableauProduit[[#This Row],[Achat plantes N1]]-TableauProduit[[#This Row],[Conditionnement N1]]</f>
        <v/>
      </c>
      <c r="S4" s="907" t="n">
        <v>675</v>
      </c>
      <c r="T4" s="908">
        <f>TableauProduit[[#This Row],[Poids (g) / unité]]*TableauProduit[[#This Row],[Objectif de vente en unité N2]]/1000</f>
        <v/>
      </c>
      <c r="U4" s="909">
        <f>TableauProduit[[#This Row],[Objectif de vente en unité N2]]*TableauProduit[[#This Row],[Packaging / unité]]</f>
        <v/>
      </c>
      <c r="V4" s="909">
        <f>TableauProduit[[#This Row],[Prix achat plantes / kg]]*TableauProduit[[#This Row],[Total (kg) N2]]</f>
        <v/>
      </c>
      <c r="W4" s="909">
        <f>TableauProduit[[#This Row],[Prix de vente/kg]]*TableauProduit[[#This Row],[Total (kg) N2]]</f>
        <v/>
      </c>
      <c r="X4" s="910">
        <f>TableauProduit[[#This Row],[Revenu brut N2]]-TableauProduit[[#This Row],[Achat plantes N2]]-TableauProduit[[#This Row],[Conditionnement N2]]</f>
        <v/>
      </c>
      <c r="Y4" s="911" t="n">
        <v>788</v>
      </c>
      <c r="Z4" s="912">
        <f>TableauProduit[[#This Row],[Poids (g) / unité]]*TableauProduit[[#This Row],[Objectif de vente en unité N3]]/1000</f>
        <v/>
      </c>
      <c r="AA4" s="913">
        <f>TableauProduit[[#This Row],[Objectif de vente en unité N3]]*TableauProduit[[#This Row],[Packaging / unité]]</f>
        <v/>
      </c>
      <c r="AB4" s="913">
        <f>TableauProduit[[#This Row],[Prix achat plantes / kg]]*TableauProduit[[#This Row],[Total (kg) N3]]</f>
        <v/>
      </c>
      <c r="AC4" s="913">
        <f>TableauProduit[[#This Row],[Prix de vente/kg]]*TableauProduit[[#This Row],[Total (kg) N3]]</f>
        <v/>
      </c>
      <c r="AD4" s="914">
        <f>TableauProduit[[#This Row],[Revenu brut N3]]-TableauProduit[[#This Row],[Achat plantes N3]]-TableauProduit[[#This Row],[Conditionnement N3]]</f>
        <v/>
      </c>
      <c r="AE4" s="915" t="n">
        <v>855</v>
      </c>
      <c r="AF4" s="915">
        <f>TableauProduit[[#This Row],[Poids (g) / unité]]*TableauProduit[[#This Row],[Objectif de vente en unité N4]]/1000</f>
        <v/>
      </c>
      <c r="AG4" s="916">
        <f>TableauProduit[[#This Row],[Objectif de vente en unité N4]]*TableauProduit[[#This Row],[Packaging / unité]]</f>
        <v/>
      </c>
      <c r="AH4" s="916">
        <f>TableauProduit[[#This Row],[Prix achat plantes / kg]]*TableauProduit[[#This Row],[Total (kg) N4]]</f>
        <v/>
      </c>
      <c r="AI4" s="916">
        <f>TableauProduit[[#This Row],[Prix de vente/kg]]*TableauProduit[[#This Row],[Total (kg) N4]]</f>
        <v/>
      </c>
      <c r="AJ4" s="915">
        <f>TableauProduit[[#This Row],[Revenu brut N4]]-TableauProduit[[#This Row],[Achat plantes N4]]-TableauProduit[[#This Row],[Conditionnement N4]]</f>
        <v/>
      </c>
      <c r="AK4" s="917" t="n">
        <v>900</v>
      </c>
      <c r="AL4" s="917">
        <f>TableauProduit[[#This Row],[Poids (g) / unité]]*TableauProduit[[#This Row],[Objectif de vente en unité N5]]/1000</f>
        <v/>
      </c>
      <c r="AM4" s="918">
        <f>TableauProduit[[#This Row],[Objectif de vente en unité N5]]*TableauProduit[[#This Row],[Packaging / unité]]</f>
        <v/>
      </c>
      <c r="AN4" s="918">
        <f>TableauProduit[[#This Row],[Prix achat plantes / kg]]*TableauProduit[[#This Row],[Total (kg) N5]]</f>
        <v/>
      </c>
      <c r="AO4" s="918">
        <f>TableauProduit[[#This Row],[Prix de vente/kg]]*TableauProduit[[#This Row],[Total (kg) N5]]</f>
        <v/>
      </c>
      <c r="AP4" s="917">
        <f>TableauProduit[[#This Row],[Revenu brut N5]]-TableauProduit[[#This Row],[Achat plantes N5]]-TableauProduit[[#This Row],[Conditionnement N5]]</f>
        <v/>
      </c>
      <c r="AQ4" s="919" t="n">
        <v>900</v>
      </c>
      <c r="AR4" s="919">
        <f>TableauProduit[[#This Row],[Poids (g) / unité]]*TableauProduit[[#This Row],[Objectif de vente en unité N6]]/1000</f>
        <v/>
      </c>
      <c r="AS4" s="920">
        <f>TableauProduit[[#This Row],[Objectif de vente en unité N6]]*TableauProduit[[#This Row],[Packaging / unité]]</f>
        <v/>
      </c>
      <c r="AT4" s="920">
        <f>TableauProduit[[#This Row],[Prix achat plantes / kg]]*TableauProduit[[#This Row],[Total (kg) N6]]</f>
        <v/>
      </c>
      <c r="AU4" s="920">
        <f>TableauProduit[[#This Row],[Prix de vente/kg]]*TableauProduit[[#This Row],[Total (kg) N6]]</f>
        <v/>
      </c>
      <c r="AV4" s="919">
        <f>TableauProduit[[#This Row],[Revenu brut N6]]-TableauProduit[[#This Row],[Achat plantes N6]]-TableauProduit[[#This Row],[Conditionnement N6]]</f>
        <v/>
      </c>
      <c r="AW4" s="904" t="n">
        <v>900</v>
      </c>
      <c r="AX4" s="904">
        <f>TableauProduit[[#This Row],[Poids (g) / unité]]*TableauProduit[[#This Row],[Objectif de vente en unité N7]]/1000</f>
        <v/>
      </c>
      <c r="AY4" s="905">
        <f>TableauProduit[[#This Row],[Objectif de vente en unité N7]]*TableauProduit[[#This Row],[Packaging / unité]]</f>
        <v/>
      </c>
      <c r="AZ4" s="905">
        <f>TableauProduit[[#This Row],[Prix achat plantes / kg]]*TableauProduit[[#This Row],[Total (kg) N7]]</f>
        <v/>
      </c>
      <c r="BA4" s="905">
        <f>TableauProduit[[#This Row],[Prix de vente/kg]]*TableauProduit[[#This Row],[Total (kg) N7]]</f>
        <v/>
      </c>
      <c r="BB4" s="921">
        <f>TableauProduit[[#This Row],[Revenu brut N7]]-TableauProduit[[#This Row],[Achat plantes N7]]-TableauProduit[[#This Row],[Conditionnement N7]]</f>
        <v/>
      </c>
      <c r="BC4" s="922" t="n">
        <v>900</v>
      </c>
      <c r="BD4" s="923">
        <f>TableauProduit[[#This Row],[Poids (g) / unité]]*TableauProduit[[#This Row],[Objectif de vente en unité N8]]/1000</f>
        <v/>
      </c>
      <c r="BE4" s="924">
        <f>TableauProduit[[#This Row],[Objectif de vente en unité N8]]*TableauProduit[[#This Row],[Packaging / unité]]</f>
        <v/>
      </c>
      <c r="BF4" s="924">
        <f>TableauProduit[[#This Row],[Prix achat plantes / kg]]*TableauProduit[[#This Row],[Total (kg) N8]]</f>
        <v/>
      </c>
      <c r="BG4" s="924">
        <f>TableauProduit[[#This Row],[Prix de vente/kg]]*TableauProduit[[#This Row],[Total (kg) N8]]</f>
        <v/>
      </c>
      <c r="BH4" s="925">
        <f>TableauProduit[[#This Row],[Revenu brut N8]]-TableauProduit[[#This Row],[Achat plantes N8]]-TableauProduit[[#This Row],[Conditionnement N8]]</f>
        <v/>
      </c>
      <c r="BI4" s="926" t="n">
        <v>900</v>
      </c>
      <c r="BJ4" s="927">
        <f>TableauProduit[[#This Row],[Poids (g) / unité]]*TableauProduit[[#This Row],[Objectif de vente en unité N9]]/1000</f>
        <v/>
      </c>
      <c r="BK4" s="928">
        <f>TableauProduit[[#This Row],[Objectif de vente en unité N9]]*TableauProduit[[#This Row],[Packaging / unité]]</f>
        <v/>
      </c>
      <c r="BL4" s="928">
        <f>TableauProduit[[#This Row],[Prix achat plantes / kg]]*TableauProduit[[#This Row],[Total (kg) N9]]</f>
        <v/>
      </c>
      <c r="BM4" s="928">
        <f>TableauProduit[[#This Row],[Prix de vente/kg]]*TableauProduit[[#This Row],[Total (kg) N9]]</f>
        <v/>
      </c>
      <c r="BN4" s="927">
        <f>TableauProduit[[#This Row],[Revenu brut N9]]-TableauProduit[[#This Row],[Achat plantes N9]]-TableauProduit[[#This Row],[Conditionnement N9]]</f>
        <v/>
      </c>
      <c r="BO4" t="inlineStr">
        <is>
          <t>Transformé</t>
        </is>
      </c>
    </row>
    <row r="5">
      <c r="A5" s="13" t="inlineStr">
        <is>
          <t>Cumin graine</t>
        </is>
      </c>
      <c r="B5" s="54">
        <f>TableauProduit[[#This Row],[Recette]]&amp;TableauProduit[[#This Row],[Conditionnement]]</f>
        <v/>
      </c>
      <c r="C5" s="11" t="n">
        <v>1</v>
      </c>
      <c r="D5" s="11" t="n">
        <v>40</v>
      </c>
      <c r="E5" s="6" t="inlineStr">
        <is>
          <t>Epice 100ml</t>
        </is>
      </c>
      <c r="F5" s="7">
        <f>IFERROR(VLOOKUP(TableauProduit[[#This Row],[Conditionnement]],TableauConditionnement[[Nom]:[Contenance]],4,FALSE),"")</f>
        <v/>
      </c>
      <c r="G5" s="897">
        <f>IFERROR(SUMIFS(TableauRecette[Prix d''achat / kg],TableauRecette[Recette],TableauProduit[[#This Row],[Recette]],TableauRecette[Conditionnement],TableauProduit[[#This Row],[Conditionnement]]),0)</f>
        <v/>
      </c>
      <c r="H5" s="898" t="n">
        <v>2.5</v>
      </c>
      <c r="I5" s="899">
        <f>1000*TableauProduit[[#This Row],[Prix de vente/U]]/TableauProduit[[#This Row],[Poids (g) / unité]]</f>
        <v/>
      </c>
      <c r="J5" s="900">
        <f>SUMIFS(TableauConcurence[PRIX_KG],TableauConcurence[PRODUIT],TableauProduit[[#This Row],[Recette]],TableauConcurence[DISTRIBUTION],"magasin NON BIO")</f>
        <v/>
      </c>
      <c r="K5" s="901">
        <f>SUMIFS(TableauConcurence[PRIX_KG],TableauConcurence[PRODUIT],TableauProduit[[#This Row],[Recette]],TableauConcurence[DISTRIBUTION],"magasin BIO")</f>
        <v/>
      </c>
      <c r="L5" s="902">
        <f>SUMIFS(TableauConcurence[PRIX_KG],TableauConcurence[PRODUIT],TableauProduit[[#This Row],[Recette]],TableauConcurence[DISTRIBUTION],"artisanale BIO")</f>
        <v/>
      </c>
      <c r="M5" s="903" t="n">
        <v>0</v>
      </c>
      <c r="N5" s="904">
        <f>TableauProduit[[#This Row],[Poids (g) / unité]]*TableauProduit[[#This Row],[Objectif de vente en unité N1]]/1000</f>
        <v/>
      </c>
      <c r="O5" s="905">
        <f>TableauProduit[[#This Row],[Objectif de vente en unité N1]]*TableauProduit[[#This Row],[Packaging / unité]]</f>
        <v/>
      </c>
      <c r="P5" s="905">
        <f>TableauProduit[[#This Row],[Prix achat plantes / kg]]*TableauProduit[[#This Row],[Total (kg) N1]]</f>
        <v/>
      </c>
      <c r="Q5" s="905">
        <f>TableauProduit[[#This Row],[Prix de vente/kg]]*TableauProduit[[#This Row],[Total (kg) N1]]</f>
        <v/>
      </c>
      <c r="R5" s="906">
        <f>TableauProduit[[#This Row],[Revenu brut N1]]-TableauProduit[[#This Row],[Achat plantes N1]]-TableauProduit[[#This Row],[Conditionnement N1]]</f>
        <v/>
      </c>
      <c r="S5" s="907" t="n">
        <v>0</v>
      </c>
      <c r="T5" s="908">
        <f>TableauProduit[[#This Row],[Poids (g) / unité]]*TableauProduit[[#This Row],[Objectif de vente en unité N2]]/1000</f>
        <v/>
      </c>
      <c r="U5" s="909">
        <f>TableauProduit[[#This Row],[Objectif de vente en unité N2]]*TableauProduit[[#This Row],[Packaging / unité]]</f>
        <v/>
      </c>
      <c r="V5" s="909">
        <f>TableauProduit[[#This Row],[Prix achat plantes / kg]]*TableauProduit[[#This Row],[Total (kg) N2]]</f>
        <v/>
      </c>
      <c r="W5" s="909">
        <f>TableauProduit[[#This Row],[Prix de vente/kg]]*TableauProduit[[#This Row],[Total (kg) N2]]</f>
        <v/>
      </c>
      <c r="X5" s="910">
        <f>TableauProduit[[#This Row],[Revenu brut N2]]-TableauProduit[[#This Row],[Achat plantes N2]]-TableauProduit[[#This Row],[Conditionnement N2]]</f>
        <v/>
      </c>
      <c r="Y5" s="911" t="n">
        <v>0</v>
      </c>
      <c r="Z5" s="912">
        <f>TableauProduit[[#This Row],[Poids (g) / unité]]*TableauProduit[[#This Row],[Objectif de vente en unité N3]]/1000</f>
        <v/>
      </c>
      <c r="AA5" s="913">
        <f>TableauProduit[[#This Row],[Objectif de vente en unité N3]]*TableauProduit[[#This Row],[Packaging / unité]]</f>
        <v/>
      </c>
      <c r="AB5" s="913">
        <f>TableauProduit[[#This Row],[Prix achat plantes / kg]]*TableauProduit[[#This Row],[Total (kg) N3]]</f>
        <v/>
      </c>
      <c r="AC5" s="913">
        <f>TableauProduit[[#This Row],[Prix de vente/kg]]*TableauProduit[[#This Row],[Total (kg) N3]]</f>
        <v/>
      </c>
      <c r="AD5" s="914">
        <f>TableauProduit[[#This Row],[Revenu brut N3]]-TableauProduit[[#This Row],[Achat plantes N3]]-TableauProduit[[#This Row],[Conditionnement N3]]</f>
        <v/>
      </c>
      <c r="AE5" s="915" t="n">
        <v>0</v>
      </c>
      <c r="AF5" s="915">
        <f>TableauProduit[[#This Row],[Poids (g) / unité]]*TableauProduit[[#This Row],[Objectif de vente en unité N4]]/1000</f>
        <v/>
      </c>
      <c r="AG5" s="916">
        <f>TableauProduit[[#This Row],[Objectif de vente en unité N4]]*TableauProduit[[#This Row],[Packaging / unité]]</f>
        <v/>
      </c>
      <c r="AH5" s="916">
        <f>TableauProduit[[#This Row],[Prix achat plantes / kg]]*TableauProduit[[#This Row],[Total (kg) N4]]</f>
        <v/>
      </c>
      <c r="AI5" s="916">
        <f>TableauProduit[[#This Row],[Prix de vente/kg]]*TableauProduit[[#This Row],[Total (kg) N4]]</f>
        <v/>
      </c>
      <c r="AJ5" s="915">
        <f>TableauProduit[[#This Row],[Revenu brut N4]]-TableauProduit[[#This Row],[Achat plantes N4]]-TableauProduit[[#This Row],[Conditionnement N4]]</f>
        <v/>
      </c>
      <c r="AK5" s="917" t="n">
        <v>0</v>
      </c>
      <c r="AL5" s="917">
        <f>TableauProduit[[#This Row],[Poids (g) / unité]]*TableauProduit[[#This Row],[Objectif de vente en unité N5]]/1000</f>
        <v/>
      </c>
      <c r="AM5" s="918">
        <f>TableauProduit[[#This Row],[Objectif de vente en unité N5]]*TableauProduit[[#This Row],[Packaging / unité]]</f>
        <v/>
      </c>
      <c r="AN5" s="918">
        <f>TableauProduit[[#This Row],[Prix achat plantes / kg]]*TableauProduit[[#This Row],[Total (kg) N5]]</f>
        <v/>
      </c>
      <c r="AO5" s="918">
        <f>TableauProduit[[#This Row],[Prix de vente/kg]]*TableauProduit[[#This Row],[Total (kg) N5]]</f>
        <v/>
      </c>
      <c r="AP5" s="917">
        <f>TableauProduit[[#This Row],[Revenu brut N5]]-TableauProduit[[#This Row],[Achat plantes N5]]-TableauProduit[[#This Row],[Conditionnement N5]]</f>
        <v/>
      </c>
      <c r="AQ5" s="919" t="n">
        <v>0</v>
      </c>
      <c r="AR5" s="919">
        <f>TableauProduit[[#This Row],[Poids (g) / unité]]*TableauProduit[[#This Row],[Objectif de vente en unité N6]]/1000</f>
        <v/>
      </c>
      <c r="AS5" s="920">
        <f>TableauProduit[[#This Row],[Objectif de vente en unité N6]]*TableauProduit[[#This Row],[Packaging / unité]]</f>
        <v/>
      </c>
      <c r="AT5" s="920">
        <f>TableauProduit[[#This Row],[Prix achat plantes / kg]]*TableauProduit[[#This Row],[Total (kg) N6]]</f>
        <v/>
      </c>
      <c r="AU5" s="920">
        <f>TableauProduit[[#This Row],[Prix de vente/kg]]*TableauProduit[[#This Row],[Total (kg) N6]]</f>
        <v/>
      </c>
      <c r="AV5" s="919">
        <f>TableauProduit[[#This Row],[Revenu brut N6]]-TableauProduit[[#This Row],[Achat plantes N6]]-TableauProduit[[#This Row],[Conditionnement N6]]</f>
        <v/>
      </c>
      <c r="AW5" s="904" t="n">
        <v>0</v>
      </c>
      <c r="AX5" s="904">
        <f>TableauProduit[[#This Row],[Poids (g) / unité]]*TableauProduit[[#This Row],[Objectif de vente en unité N7]]/1000</f>
        <v/>
      </c>
      <c r="AY5" s="905">
        <f>TableauProduit[[#This Row],[Objectif de vente en unité N7]]*TableauProduit[[#This Row],[Packaging / unité]]</f>
        <v/>
      </c>
      <c r="AZ5" s="905">
        <f>TableauProduit[[#This Row],[Prix achat plantes / kg]]*TableauProduit[[#This Row],[Total (kg) N7]]</f>
        <v/>
      </c>
      <c r="BA5" s="905">
        <f>TableauProduit[[#This Row],[Prix de vente/kg]]*TableauProduit[[#This Row],[Total (kg) N7]]</f>
        <v/>
      </c>
      <c r="BB5" s="921">
        <f>TableauProduit[[#This Row],[Revenu brut N7]]-TableauProduit[[#This Row],[Achat plantes N7]]-TableauProduit[[#This Row],[Conditionnement N7]]</f>
        <v/>
      </c>
      <c r="BC5" s="922" t="n">
        <v>0</v>
      </c>
      <c r="BD5" s="923">
        <f>TableauProduit[[#This Row],[Poids (g) / unité]]*TableauProduit[[#This Row],[Objectif de vente en unité N8]]/1000</f>
        <v/>
      </c>
      <c r="BE5" s="924">
        <f>TableauProduit[[#This Row],[Objectif de vente en unité N8]]*TableauProduit[[#This Row],[Packaging / unité]]</f>
        <v/>
      </c>
      <c r="BF5" s="924">
        <f>TableauProduit[[#This Row],[Prix achat plantes / kg]]*TableauProduit[[#This Row],[Total (kg) N8]]</f>
        <v/>
      </c>
      <c r="BG5" s="924">
        <f>TableauProduit[[#This Row],[Prix de vente/kg]]*TableauProduit[[#This Row],[Total (kg) N8]]</f>
        <v/>
      </c>
      <c r="BH5" s="925">
        <f>TableauProduit[[#This Row],[Revenu brut N8]]-TableauProduit[[#This Row],[Achat plantes N8]]-TableauProduit[[#This Row],[Conditionnement N8]]</f>
        <v/>
      </c>
      <c r="BI5" s="926" t="n">
        <v>0</v>
      </c>
      <c r="BJ5" s="927">
        <f>TableauProduit[[#This Row],[Poids (g) / unité]]*TableauProduit[[#This Row],[Objectif de vente en unité N9]]/1000</f>
        <v/>
      </c>
      <c r="BK5" s="928">
        <f>TableauProduit[[#This Row],[Objectif de vente en unité N9]]*TableauProduit[[#This Row],[Packaging / unité]]</f>
        <v/>
      </c>
      <c r="BL5" s="928">
        <f>TableauProduit[[#This Row],[Prix achat plantes / kg]]*TableauProduit[[#This Row],[Total (kg) N9]]</f>
        <v/>
      </c>
      <c r="BM5" s="928">
        <f>TableauProduit[[#This Row],[Prix de vente/kg]]*TableauProduit[[#This Row],[Total (kg) N9]]</f>
        <v/>
      </c>
      <c r="BN5" s="927">
        <f>TableauProduit[[#This Row],[Revenu brut N9]]-TableauProduit[[#This Row],[Achat plantes N9]]-TableauProduit[[#This Row],[Conditionnement N9]]</f>
        <v/>
      </c>
      <c r="BO5" t="inlineStr">
        <is>
          <t>Brut (hors gamme)</t>
        </is>
      </c>
    </row>
    <row r="6">
      <c r="A6" s="13" t="inlineStr">
        <is>
          <t>Cumin moulu</t>
        </is>
      </c>
      <c r="B6" s="54">
        <f>TableauProduit[[#This Row],[Recette]]&amp;TableauProduit[[#This Row],[Conditionnement]]</f>
        <v/>
      </c>
      <c r="C6" s="11" t="n">
        <v>1</v>
      </c>
      <c r="D6" s="11" t="n">
        <v>50</v>
      </c>
      <c r="E6" s="6" t="inlineStr">
        <is>
          <t>Epice 100ml</t>
        </is>
      </c>
      <c r="F6" s="7">
        <f>IFERROR(VLOOKUP(TableauProduit[[#This Row],[Conditionnement]],TableauConditionnement[[Nom]:[Contenance]],4,FALSE),"")</f>
        <v/>
      </c>
      <c r="G6" s="897">
        <f>IFERROR(SUMIFS(TableauRecette[Prix d''achat / kg],TableauRecette[Recette],TableauProduit[[#This Row],[Recette]],TableauRecette[Conditionnement],TableauProduit[[#This Row],[Conditionnement]]),0)</f>
        <v/>
      </c>
      <c r="H6" s="898" t="n">
        <v>3.5</v>
      </c>
      <c r="I6" s="899">
        <f>1000*TableauProduit[[#This Row],[Prix de vente/U]]/TableauProduit[[#This Row],[Poids (g) / unité]]</f>
        <v/>
      </c>
      <c r="J6" s="900">
        <f>SUMIFS(TableauConcurence[PRIX_KG],TableauConcurence[PRODUIT],TableauProduit[[#This Row],[Recette]],TableauConcurence[DISTRIBUTION],"magasin NON BIO")</f>
        <v/>
      </c>
      <c r="K6" s="901">
        <f>SUMIFS(TableauConcurence[PRIX_KG],TableauConcurence[PRODUIT],TableauProduit[[#This Row],[Recette]],TableauConcurence[DISTRIBUTION],"magasin BIO")</f>
        <v/>
      </c>
      <c r="L6" s="902">
        <f>SUMIFS(TableauConcurence[PRIX_KG],TableauConcurence[PRODUIT],TableauProduit[[#This Row],[Recette]],TableauConcurence[DISTRIBUTION],"artisanale BIO")</f>
        <v/>
      </c>
      <c r="M6" s="903" t="n">
        <v>0</v>
      </c>
      <c r="N6" s="904">
        <f>TableauProduit[[#This Row],[Poids (g) / unité]]*TableauProduit[[#This Row],[Objectif de vente en unité N1]]/1000</f>
        <v/>
      </c>
      <c r="O6" s="905">
        <f>TableauProduit[[#This Row],[Objectif de vente en unité N1]]*TableauProduit[[#This Row],[Packaging / unité]]</f>
        <v/>
      </c>
      <c r="P6" s="905">
        <f>TableauProduit[[#This Row],[Prix achat plantes / kg]]*TableauProduit[[#This Row],[Total (kg) N1]]</f>
        <v/>
      </c>
      <c r="Q6" s="905">
        <f>TableauProduit[[#This Row],[Prix de vente/kg]]*TableauProduit[[#This Row],[Total (kg) N1]]</f>
        <v/>
      </c>
      <c r="R6" s="906">
        <f>TableauProduit[[#This Row],[Revenu brut N1]]-TableauProduit[[#This Row],[Achat plantes N1]]-TableauProduit[[#This Row],[Conditionnement N1]]</f>
        <v/>
      </c>
      <c r="S6" s="907" t="n">
        <v>0</v>
      </c>
      <c r="T6" s="908">
        <f>TableauProduit[[#This Row],[Poids (g) / unité]]*TableauProduit[[#This Row],[Objectif de vente en unité N2]]/1000</f>
        <v/>
      </c>
      <c r="U6" s="909">
        <f>TableauProduit[[#This Row],[Objectif de vente en unité N2]]*TableauProduit[[#This Row],[Packaging / unité]]</f>
        <v/>
      </c>
      <c r="V6" s="909">
        <f>TableauProduit[[#This Row],[Prix achat plantes / kg]]*TableauProduit[[#This Row],[Total (kg) N2]]</f>
        <v/>
      </c>
      <c r="W6" s="909">
        <f>TableauProduit[[#This Row],[Prix de vente/kg]]*TableauProduit[[#This Row],[Total (kg) N2]]</f>
        <v/>
      </c>
      <c r="X6" s="910">
        <f>TableauProduit[[#This Row],[Revenu brut N2]]-TableauProduit[[#This Row],[Achat plantes N2]]-TableauProduit[[#This Row],[Conditionnement N2]]</f>
        <v/>
      </c>
      <c r="Y6" s="911" t="n">
        <v>0</v>
      </c>
      <c r="Z6" s="912">
        <f>TableauProduit[[#This Row],[Poids (g) / unité]]*TableauProduit[[#This Row],[Objectif de vente en unité N3]]/1000</f>
        <v/>
      </c>
      <c r="AA6" s="913">
        <f>TableauProduit[[#This Row],[Objectif de vente en unité N3]]*TableauProduit[[#This Row],[Packaging / unité]]</f>
        <v/>
      </c>
      <c r="AB6" s="913">
        <f>TableauProduit[[#This Row],[Prix achat plantes / kg]]*TableauProduit[[#This Row],[Total (kg) N3]]</f>
        <v/>
      </c>
      <c r="AC6" s="913">
        <f>TableauProduit[[#This Row],[Prix de vente/kg]]*TableauProduit[[#This Row],[Total (kg) N3]]</f>
        <v/>
      </c>
      <c r="AD6" s="914">
        <f>TableauProduit[[#This Row],[Revenu brut N3]]-TableauProduit[[#This Row],[Achat plantes N3]]-TableauProduit[[#This Row],[Conditionnement N3]]</f>
        <v/>
      </c>
      <c r="AE6" s="915" t="n">
        <v>0</v>
      </c>
      <c r="AF6" s="915">
        <f>TableauProduit[[#This Row],[Poids (g) / unité]]*TableauProduit[[#This Row],[Objectif de vente en unité N4]]/1000</f>
        <v/>
      </c>
      <c r="AG6" s="916">
        <f>TableauProduit[[#This Row],[Objectif de vente en unité N4]]*TableauProduit[[#This Row],[Packaging / unité]]</f>
        <v/>
      </c>
      <c r="AH6" s="916">
        <f>TableauProduit[[#This Row],[Prix achat plantes / kg]]*TableauProduit[[#This Row],[Total (kg) N4]]</f>
        <v/>
      </c>
      <c r="AI6" s="916">
        <f>TableauProduit[[#This Row],[Prix de vente/kg]]*TableauProduit[[#This Row],[Total (kg) N4]]</f>
        <v/>
      </c>
      <c r="AJ6" s="915">
        <f>TableauProduit[[#This Row],[Revenu brut N4]]-TableauProduit[[#This Row],[Achat plantes N4]]-TableauProduit[[#This Row],[Conditionnement N4]]</f>
        <v/>
      </c>
      <c r="AK6" s="917" t="n">
        <v>0</v>
      </c>
      <c r="AL6" s="917">
        <f>TableauProduit[[#This Row],[Poids (g) / unité]]*TableauProduit[[#This Row],[Objectif de vente en unité N5]]/1000</f>
        <v/>
      </c>
      <c r="AM6" s="918">
        <f>TableauProduit[[#This Row],[Objectif de vente en unité N5]]*TableauProduit[[#This Row],[Packaging / unité]]</f>
        <v/>
      </c>
      <c r="AN6" s="918">
        <f>TableauProduit[[#This Row],[Prix achat plantes / kg]]*TableauProduit[[#This Row],[Total (kg) N5]]</f>
        <v/>
      </c>
      <c r="AO6" s="918">
        <f>TableauProduit[[#This Row],[Prix de vente/kg]]*TableauProduit[[#This Row],[Total (kg) N5]]</f>
        <v/>
      </c>
      <c r="AP6" s="917">
        <f>TableauProduit[[#This Row],[Revenu brut N5]]-TableauProduit[[#This Row],[Achat plantes N5]]-TableauProduit[[#This Row],[Conditionnement N5]]</f>
        <v/>
      </c>
      <c r="AQ6" s="919" t="n">
        <v>0</v>
      </c>
      <c r="AR6" s="919">
        <f>TableauProduit[[#This Row],[Poids (g) / unité]]*TableauProduit[[#This Row],[Objectif de vente en unité N6]]/1000</f>
        <v/>
      </c>
      <c r="AS6" s="920">
        <f>TableauProduit[[#This Row],[Objectif de vente en unité N6]]*TableauProduit[[#This Row],[Packaging / unité]]</f>
        <v/>
      </c>
      <c r="AT6" s="920">
        <f>TableauProduit[[#This Row],[Prix achat plantes / kg]]*TableauProduit[[#This Row],[Total (kg) N6]]</f>
        <v/>
      </c>
      <c r="AU6" s="920">
        <f>TableauProduit[[#This Row],[Prix de vente/kg]]*TableauProduit[[#This Row],[Total (kg) N6]]</f>
        <v/>
      </c>
      <c r="AV6" s="919">
        <f>TableauProduit[[#This Row],[Revenu brut N6]]-TableauProduit[[#This Row],[Achat plantes N6]]-TableauProduit[[#This Row],[Conditionnement N6]]</f>
        <v/>
      </c>
      <c r="AW6" s="904" t="n">
        <v>0</v>
      </c>
      <c r="AX6" s="904">
        <f>TableauProduit[[#This Row],[Poids (g) / unité]]*TableauProduit[[#This Row],[Objectif de vente en unité N7]]/1000</f>
        <v/>
      </c>
      <c r="AY6" s="905">
        <f>TableauProduit[[#This Row],[Objectif de vente en unité N7]]*TableauProduit[[#This Row],[Packaging / unité]]</f>
        <v/>
      </c>
      <c r="AZ6" s="905">
        <f>TableauProduit[[#This Row],[Prix achat plantes / kg]]*TableauProduit[[#This Row],[Total (kg) N7]]</f>
        <v/>
      </c>
      <c r="BA6" s="905">
        <f>TableauProduit[[#This Row],[Prix de vente/kg]]*TableauProduit[[#This Row],[Total (kg) N7]]</f>
        <v/>
      </c>
      <c r="BB6" s="921">
        <f>TableauProduit[[#This Row],[Revenu brut N7]]-TableauProduit[[#This Row],[Achat plantes N7]]-TableauProduit[[#This Row],[Conditionnement N7]]</f>
        <v/>
      </c>
      <c r="BC6" s="922" t="n">
        <v>0</v>
      </c>
      <c r="BD6" s="923">
        <f>TableauProduit[[#This Row],[Poids (g) / unité]]*TableauProduit[[#This Row],[Objectif de vente en unité N8]]/1000</f>
        <v/>
      </c>
      <c r="BE6" s="924">
        <f>TableauProduit[[#This Row],[Objectif de vente en unité N8]]*TableauProduit[[#This Row],[Packaging / unité]]</f>
        <v/>
      </c>
      <c r="BF6" s="924">
        <f>TableauProduit[[#This Row],[Prix achat plantes / kg]]*TableauProduit[[#This Row],[Total (kg) N8]]</f>
        <v/>
      </c>
      <c r="BG6" s="924">
        <f>TableauProduit[[#This Row],[Prix de vente/kg]]*TableauProduit[[#This Row],[Total (kg) N8]]</f>
        <v/>
      </c>
      <c r="BH6" s="925">
        <f>TableauProduit[[#This Row],[Revenu brut N8]]-TableauProduit[[#This Row],[Achat plantes N8]]-TableauProduit[[#This Row],[Conditionnement N8]]</f>
        <v/>
      </c>
      <c r="BI6" s="926" t="n">
        <v>0</v>
      </c>
      <c r="BJ6" s="927">
        <f>TableauProduit[[#This Row],[Poids (g) / unité]]*TableauProduit[[#This Row],[Objectif de vente en unité N9]]/1000</f>
        <v/>
      </c>
      <c r="BK6" s="928">
        <f>TableauProduit[[#This Row],[Objectif de vente en unité N9]]*TableauProduit[[#This Row],[Packaging / unité]]</f>
        <v/>
      </c>
      <c r="BL6" s="928">
        <f>TableauProduit[[#This Row],[Prix achat plantes / kg]]*TableauProduit[[#This Row],[Total (kg) N9]]</f>
        <v/>
      </c>
      <c r="BM6" s="928">
        <f>TableauProduit[[#This Row],[Prix de vente/kg]]*TableauProduit[[#This Row],[Total (kg) N9]]</f>
        <v/>
      </c>
      <c r="BN6" s="927">
        <f>TableauProduit[[#This Row],[Revenu brut N9]]-TableauProduit[[#This Row],[Achat plantes N9]]-TableauProduit[[#This Row],[Conditionnement N9]]</f>
        <v/>
      </c>
      <c r="BO6" t="inlineStr">
        <is>
          <t>Brut (hors gamme)</t>
        </is>
      </c>
    </row>
    <row r="7">
      <c r="A7" s="13" t="inlineStr">
        <is>
          <t>Épices viandes rouges</t>
        </is>
      </c>
      <c r="B7" s="54">
        <f>TableauProduit[[#This Row],[Recette]]&amp;TableauProduit[[#This Row],[Conditionnement]]</f>
        <v/>
      </c>
      <c r="C7" s="11" t="n">
        <v>1</v>
      </c>
      <c r="D7" s="11" t="n">
        <v>50</v>
      </c>
      <c r="E7" s="6" t="inlineStr">
        <is>
          <t>Epice 100ml</t>
        </is>
      </c>
      <c r="F7" s="7">
        <f>IFERROR(VLOOKUP(TableauProduit[[#This Row],[Conditionnement]],TableauConditionnement[[Nom]:[Contenance]],4,FALSE),"")</f>
        <v/>
      </c>
      <c r="G7" s="897">
        <f>IFERROR(SUMIFS(TableauRecette[Prix d''achat / kg],TableauRecette[Recette],TableauProduit[[#This Row],[Recette]],TableauRecette[Conditionnement],TableauProduit[[#This Row],[Conditionnement]]),0)</f>
        <v/>
      </c>
      <c r="H7" s="898" t="n">
        <v>5.5</v>
      </c>
      <c r="I7" s="899">
        <f>1000*TableauProduit[[#This Row],[Prix de vente/U]]/TableauProduit[[#This Row],[Poids (g) / unité]]</f>
        <v/>
      </c>
      <c r="J7" s="900">
        <f>SUMIFS(TableauConcurence[PRIX_KG],TableauConcurence[PRODUIT],TableauProduit[[#This Row],[Recette]],TableauConcurence[DISTRIBUTION],"magasin NON BIO")</f>
        <v/>
      </c>
      <c r="K7" s="901">
        <f>SUMIFS(TableauConcurence[PRIX_KG],TableauConcurence[PRODUIT],TableauProduit[[#This Row],[Recette]],TableauConcurence[DISTRIBUTION],"magasin BIO")</f>
        <v/>
      </c>
      <c r="L7" s="902">
        <f>SUMIFS(TableauConcurence[PRIX_KG],TableauConcurence[PRODUIT],TableauProduit[[#This Row],[Recette]],TableauConcurence[DISTRIBUTION],"artisanale BIO")</f>
        <v/>
      </c>
      <c r="M7" s="903" t="n">
        <v>550</v>
      </c>
      <c r="N7" s="904">
        <f>TableauProduit[[#This Row],[Poids (g) / unité]]*TableauProduit[[#This Row],[Objectif de vente en unité N1]]/1000</f>
        <v/>
      </c>
      <c r="O7" s="905">
        <f>TableauProduit[[#This Row],[Objectif de vente en unité N1]]*TableauProduit[[#This Row],[Packaging / unité]]</f>
        <v/>
      </c>
      <c r="P7" s="905">
        <f>TableauProduit[[#This Row],[Prix achat plantes / kg]]*TableauProduit[[#This Row],[Total (kg) N1]]</f>
        <v/>
      </c>
      <c r="Q7" s="905">
        <f>TableauProduit[[#This Row],[Prix de vente/kg]]*TableauProduit[[#This Row],[Total (kg) N1]]</f>
        <v/>
      </c>
      <c r="R7" s="906">
        <f>TableauProduit[[#This Row],[Revenu brut N1]]-TableauProduit[[#This Row],[Achat plantes N1]]-TableauProduit[[#This Row],[Conditionnement N1]]</f>
        <v/>
      </c>
      <c r="S7" s="907" t="n">
        <v>825</v>
      </c>
      <c r="T7" s="908">
        <f>TableauProduit[[#This Row],[Poids (g) / unité]]*TableauProduit[[#This Row],[Objectif de vente en unité N2]]/1000</f>
        <v/>
      </c>
      <c r="U7" s="909">
        <f>TableauProduit[[#This Row],[Objectif de vente en unité N2]]*TableauProduit[[#This Row],[Packaging / unité]]</f>
        <v/>
      </c>
      <c r="V7" s="909">
        <f>TableauProduit[[#This Row],[Prix achat plantes / kg]]*TableauProduit[[#This Row],[Total (kg) N2]]</f>
        <v/>
      </c>
      <c r="W7" s="909">
        <f>TableauProduit[[#This Row],[Prix de vente/kg]]*TableauProduit[[#This Row],[Total (kg) N2]]</f>
        <v/>
      </c>
      <c r="X7" s="910">
        <f>TableauProduit[[#This Row],[Revenu brut N2]]-TableauProduit[[#This Row],[Achat plantes N2]]-TableauProduit[[#This Row],[Conditionnement N2]]</f>
        <v/>
      </c>
      <c r="Y7" s="911" t="n">
        <v>962</v>
      </c>
      <c r="Z7" s="912">
        <f>TableauProduit[[#This Row],[Poids (g) / unité]]*TableauProduit[[#This Row],[Objectif de vente en unité N3]]/1000</f>
        <v/>
      </c>
      <c r="AA7" s="913">
        <f>TableauProduit[[#This Row],[Objectif de vente en unité N3]]*TableauProduit[[#This Row],[Packaging / unité]]</f>
        <v/>
      </c>
      <c r="AB7" s="913">
        <f>TableauProduit[[#This Row],[Prix achat plantes / kg]]*TableauProduit[[#This Row],[Total (kg) N3]]</f>
        <v/>
      </c>
      <c r="AC7" s="913">
        <f>TableauProduit[[#This Row],[Prix de vente/kg]]*TableauProduit[[#This Row],[Total (kg) N3]]</f>
        <v/>
      </c>
      <c r="AD7" s="914">
        <f>TableauProduit[[#This Row],[Revenu brut N3]]-TableauProduit[[#This Row],[Achat plantes N3]]-TableauProduit[[#This Row],[Conditionnement N3]]</f>
        <v/>
      </c>
      <c r="AE7" s="915" t="n">
        <v>1045</v>
      </c>
      <c r="AF7" s="915">
        <f>TableauProduit[[#This Row],[Poids (g) / unité]]*TableauProduit[[#This Row],[Objectif de vente en unité N4]]/1000</f>
        <v/>
      </c>
      <c r="AG7" s="916">
        <f>TableauProduit[[#This Row],[Objectif de vente en unité N4]]*TableauProduit[[#This Row],[Packaging / unité]]</f>
        <v/>
      </c>
      <c r="AH7" s="916">
        <f>TableauProduit[[#This Row],[Prix achat plantes / kg]]*TableauProduit[[#This Row],[Total (kg) N4]]</f>
        <v/>
      </c>
      <c r="AI7" s="916">
        <f>TableauProduit[[#This Row],[Prix de vente/kg]]*TableauProduit[[#This Row],[Total (kg) N4]]</f>
        <v/>
      </c>
      <c r="AJ7" s="915">
        <f>TableauProduit[[#This Row],[Revenu brut N4]]-TableauProduit[[#This Row],[Achat plantes N4]]-TableauProduit[[#This Row],[Conditionnement N4]]</f>
        <v/>
      </c>
      <c r="AK7" s="917" t="n">
        <v>1100</v>
      </c>
      <c r="AL7" s="917">
        <f>TableauProduit[[#This Row],[Poids (g) / unité]]*TableauProduit[[#This Row],[Objectif de vente en unité N5]]/1000</f>
        <v/>
      </c>
      <c r="AM7" s="918">
        <f>TableauProduit[[#This Row],[Objectif de vente en unité N5]]*TableauProduit[[#This Row],[Packaging / unité]]</f>
        <v/>
      </c>
      <c r="AN7" s="918">
        <f>TableauProduit[[#This Row],[Prix achat plantes / kg]]*TableauProduit[[#This Row],[Total (kg) N5]]</f>
        <v/>
      </c>
      <c r="AO7" s="918">
        <f>TableauProduit[[#This Row],[Prix de vente/kg]]*TableauProduit[[#This Row],[Total (kg) N5]]</f>
        <v/>
      </c>
      <c r="AP7" s="917">
        <f>TableauProduit[[#This Row],[Revenu brut N5]]-TableauProduit[[#This Row],[Achat plantes N5]]-TableauProduit[[#This Row],[Conditionnement N5]]</f>
        <v/>
      </c>
      <c r="AQ7" s="919" t="n">
        <v>1100</v>
      </c>
      <c r="AR7" s="919">
        <f>TableauProduit[[#This Row],[Poids (g) / unité]]*TableauProduit[[#This Row],[Objectif de vente en unité N6]]/1000</f>
        <v/>
      </c>
      <c r="AS7" s="920">
        <f>TableauProduit[[#This Row],[Objectif de vente en unité N6]]*TableauProduit[[#This Row],[Packaging / unité]]</f>
        <v/>
      </c>
      <c r="AT7" s="920">
        <f>TableauProduit[[#This Row],[Prix achat plantes / kg]]*TableauProduit[[#This Row],[Total (kg) N6]]</f>
        <v/>
      </c>
      <c r="AU7" s="920">
        <f>TableauProduit[[#This Row],[Prix de vente/kg]]*TableauProduit[[#This Row],[Total (kg) N6]]</f>
        <v/>
      </c>
      <c r="AV7" s="919">
        <f>TableauProduit[[#This Row],[Revenu brut N6]]-TableauProduit[[#This Row],[Achat plantes N6]]-TableauProduit[[#This Row],[Conditionnement N6]]</f>
        <v/>
      </c>
      <c r="AW7" s="904" t="n">
        <v>1100</v>
      </c>
      <c r="AX7" s="904">
        <f>TableauProduit[[#This Row],[Poids (g) / unité]]*TableauProduit[[#This Row],[Objectif de vente en unité N7]]/1000</f>
        <v/>
      </c>
      <c r="AY7" s="905">
        <f>TableauProduit[[#This Row],[Objectif de vente en unité N7]]*TableauProduit[[#This Row],[Packaging / unité]]</f>
        <v/>
      </c>
      <c r="AZ7" s="905">
        <f>TableauProduit[[#This Row],[Prix achat plantes / kg]]*TableauProduit[[#This Row],[Total (kg) N7]]</f>
        <v/>
      </c>
      <c r="BA7" s="905">
        <f>TableauProduit[[#This Row],[Prix de vente/kg]]*TableauProduit[[#This Row],[Total (kg) N7]]</f>
        <v/>
      </c>
      <c r="BB7" s="921">
        <f>TableauProduit[[#This Row],[Revenu brut N7]]-TableauProduit[[#This Row],[Achat plantes N7]]-TableauProduit[[#This Row],[Conditionnement N7]]</f>
        <v/>
      </c>
      <c r="BC7" s="922" t="n">
        <v>1100</v>
      </c>
      <c r="BD7" s="923">
        <f>TableauProduit[[#This Row],[Poids (g) / unité]]*TableauProduit[[#This Row],[Objectif de vente en unité N8]]/1000</f>
        <v/>
      </c>
      <c r="BE7" s="924">
        <f>TableauProduit[[#This Row],[Objectif de vente en unité N8]]*TableauProduit[[#This Row],[Packaging / unité]]</f>
        <v/>
      </c>
      <c r="BF7" s="924">
        <f>TableauProduit[[#This Row],[Prix achat plantes / kg]]*TableauProduit[[#This Row],[Total (kg) N8]]</f>
        <v/>
      </c>
      <c r="BG7" s="924">
        <f>TableauProduit[[#This Row],[Prix de vente/kg]]*TableauProduit[[#This Row],[Total (kg) N8]]</f>
        <v/>
      </c>
      <c r="BH7" s="925">
        <f>TableauProduit[[#This Row],[Revenu brut N8]]-TableauProduit[[#This Row],[Achat plantes N8]]-TableauProduit[[#This Row],[Conditionnement N8]]</f>
        <v/>
      </c>
      <c r="BI7" s="926" t="n">
        <v>1100</v>
      </c>
      <c r="BJ7" s="927">
        <f>TableauProduit[[#This Row],[Poids (g) / unité]]*TableauProduit[[#This Row],[Objectif de vente en unité N9]]/1000</f>
        <v/>
      </c>
      <c r="BK7" s="928">
        <f>TableauProduit[[#This Row],[Objectif de vente en unité N9]]*TableauProduit[[#This Row],[Packaging / unité]]</f>
        <v/>
      </c>
      <c r="BL7" s="928">
        <f>TableauProduit[[#This Row],[Prix achat plantes / kg]]*TableauProduit[[#This Row],[Total (kg) N9]]</f>
        <v/>
      </c>
      <c r="BM7" s="928">
        <f>TableauProduit[[#This Row],[Prix de vente/kg]]*TableauProduit[[#This Row],[Total (kg) N9]]</f>
        <v/>
      </c>
      <c r="BN7" s="927">
        <f>TableauProduit[[#This Row],[Revenu brut N9]]-TableauProduit[[#This Row],[Achat plantes N9]]-TableauProduit[[#This Row],[Conditionnement N9]]</f>
        <v/>
      </c>
      <c r="BO7" t="inlineStr">
        <is>
          <t>Mélange</t>
        </is>
      </c>
    </row>
    <row r="8">
      <c r="A8" s="13" t="inlineStr">
        <is>
          <t>Gingembre</t>
        </is>
      </c>
      <c r="B8" s="54">
        <f>TableauProduit[[#This Row],[Recette]]&amp;TableauProduit[[#This Row],[Conditionnement]]</f>
        <v/>
      </c>
      <c r="C8" s="11" t="n">
        <v>1</v>
      </c>
      <c r="D8" s="11" t="n">
        <v>60</v>
      </c>
      <c r="E8" s="6" t="inlineStr">
        <is>
          <t>Epice 100ml</t>
        </is>
      </c>
      <c r="F8" s="7">
        <f>IFERROR(VLOOKUP(TableauProduit[[#This Row],[Conditionnement]],TableauConditionnement[[Nom]:[Contenance]],4,FALSE),"")</f>
        <v/>
      </c>
      <c r="G8" s="897">
        <f>IFERROR(SUMIFS(TableauRecette[Prix d''achat / kg],TableauRecette[Recette],TableauProduit[[#This Row],[Recette]],TableauRecette[Conditionnement],TableauProduit[[#This Row],[Conditionnement]]),0)</f>
        <v/>
      </c>
      <c r="H8" s="898" t="n">
        <v>4.2</v>
      </c>
      <c r="I8" s="899">
        <f>1000*TableauProduit[[#This Row],[Prix de vente/U]]/TableauProduit[[#This Row],[Poids (g) / unité]]</f>
        <v/>
      </c>
      <c r="J8" s="900">
        <f>SUMIFS(TableauConcurence[PRIX_KG],TableauConcurence[PRODUIT],TableauProduit[[#This Row],[Recette]],TableauConcurence[DISTRIBUTION],"magasin NON BIO")</f>
        <v/>
      </c>
      <c r="K8" s="901">
        <f>SUMIFS(TableauConcurence[PRIX_KG],TableauConcurence[PRODUIT],TableauProduit[[#This Row],[Recette]],TableauConcurence[DISTRIBUTION],"magasin BIO")</f>
        <v/>
      </c>
      <c r="L8" s="902">
        <f>SUMIFS(TableauConcurence[PRIX_KG],TableauConcurence[PRODUIT],TableauProduit[[#This Row],[Recette]],TableauConcurence[DISTRIBUTION],"artisanale BIO")</f>
        <v/>
      </c>
      <c r="M8" s="903" t="n">
        <v>0</v>
      </c>
      <c r="N8" s="904">
        <f>TableauProduit[[#This Row],[Poids (g) / unité]]*TableauProduit[[#This Row],[Objectif de vente en unité N1]]/1000</f>
        <v/>
      </c>
      <c r="O8" s="905">
        <f>TableauProduit[[#This Row],[Objectif de vente en unité N1]]*TableauProduit[[#This Row],[Packaging / unité]]</f>
        <v/>
      </c>
      <c r="P8" s="905">
        <f>TableauProduit[[#This Row],[Prix achat plantes / kg]]*TableauProduit[[#This Row],[Total (kg) N1]]</f>
        <v/>
      </c>
      <c r="Q8" s="905">
        <f>TableauProduit[[#This Row],[Prix de vente/kg]]*TableauProduit[[#This Row],[Total (kg) N1]]</f>
        <v/>
      </c>
      <c r="R8" s="906">
        <f>TableauProduit[[#This Row],[Revenu brut N1]]-TableauProduit[[#This Row],[Achat plantes N1]]-TableauProduit[[#This Row],[Conditionnement N1]]</f>
        <v/>
      </c>
      <c r="S8" s="907" t="n">
        <v>0</v>
      </c>
      <c r="T8" s="908">
        <f>TableauProduit[[#This Row],[Poids (g) / unité]]*TableauProduit[[#This Row],[Objectif de vente en unité N2]]/1000</f>
        <v/>
      </c>
      <c r="U8" s="909">
        <f>TableauProduit[[#This Row],[Objectif de vente en unité N2]]*TableauProduit[[#This Row],[Packaging / unité]]</f>
        <v/>
      </c>
      <c r="V8" s="909">
        <f>TableauProduit[[#This Row],[Prix achat plantes / kg]]*TableauProduit[[#This Row],[Total (kg) N2]]</f>
        <v/>
      </c>
      <c r="W8" s="909">
        <f>TableauProduit[[#This Row],[Prix de vente/kg]]*TableauProduit[[#This Row],[Total (kg) N2]]</f>
        <v/>
      </c>
      <c r="X8" s="910">
        <f>TableauProduit[[#This Row],[Revenu brut N2]]-TableauProduit[[#This Row],[Achat plantes N2]]-TableauProduit[[#This Row],[Conditionnement N2]]</f>
        <v/>
      </c>
      <c r="Y8" s="911" t="n">
        <v>0</v>
      </c>
      <c r="Z8" s="912">
        <f>TableauProduit[[#This Row],[Poids (g) / unité]]*TableauProduit[[#This Row],[Objectif de vente en unité N3]]/1000</f>
        <v/>
      </c>
      <c r="AA8" s="913">
        <f>TableauProduit[[#This Row],[Objectif de vente en unité N3]]*TableauProduit[[#This Row],[Packaging / unité]]</f>
        <v/>
      </c>
      <c r="AB8" s="913">
        <f>TableauProduit[[#This Row],[Prix achat plantes / kg]]*TableauProduit[[#This Row],[Total (kg) N3]]</f>
        <v/>
      </c>
      <c r="AC8" s="913">
        <f>TableauProduit[[#This Row],[Prix de vente/kg]]*TableauProduit[[#This Row],[Total (kg) N3]]</f>
        <v/>
      </c>
      <c r="AD8" s="914">
        <f>TableauProduit[[#This Row],[Revenu brut N3]]-TableauProduit[[#This Row],[Achat plantes N3]]-TableauProduit[[#This Row],[Conditionnement N3]]</f>
        <v/>
      </c>
      <c r="AE8" s="915" t="n">
        <v>0</v>
      </c>
      <c r="AF8" s="915">
        <f>TableauProduit[[#This Row],[Poids (g) / unité]]*TableauProduit[[#This Row],[Objectif de vente en unité N4]]/1000</f>
        <v/>
      </c>
      <c r="AG8" s="916">
        <f>TableauProduit[[#This Row],[Objectif de vente en unité N4]]*TableauProduit[[#This Row],[Packaging / unité]]</f>
        <v/>
      </c>
      <c r="AH8" s="916">
        <f>TableauProduit[[#This Row],[Prix achat plantes / kg]]*TableauProduit[[#This Row],[Total (kg) N4]]</f>
        <v/>
      </c>
      <c r="AI8" s="916">
        <f>TableauProduit[[#This Row],[Prix de vente/kg]]*TableauProduit[[#This Row],[Total (kg) N4]]</f>
        <v/>
      </c>
      <c r="AJ8" s="915">
        <f>TableauProduit[[#This Row],[Revenu brut N4]]-TableauProduit[[#This Row],[Achat plantes N4]]-TableauProduit[[#This Row],[Conditionnement N4]]</f>
        <v/>
      </c>
      <c r="AK8" s="917" t="n">
        <v>0</v>
      </c>
      <c r="AL8" s="917">
        <f>TableauProduit[[#This Row],[Poids (g) / unité]]*TableauProduit[[#This Row],[Objectif de vente en unité N5]]/1000</f>
        <v/>
      </c>
      <c r="AM8" s="918">
        <f>TableauProduit[[#This Row],[Objectif de vente en unité N5]]*TableauProduit[[#This Row],[Packaging / unité]]</f>
        <v/>
      </c>
      <c r="AN8" s="918">
        <f>TableauProduit[[#This Row],[Prix achat plantes / kg]]*TableauProduit[[#This Row],[Total (kg) N5]]</f>
        <v/>
      </c>
      <c r="AO8" s="918">
        <f>TableauProduit[[#This Row],[Prix de vente/kg]]*TableauProduit[[#This Row],[Total (kg) N5]]</f>
        <v/>
      </c>
      <c r="AP8" s="917">
        <f>TableauProduit[[#This Row],[Revenu brut N5]]-TableauProduit[[#This Row],[Achat plantes N5]]-TableauProduit[[#This Row],[Conditionnement N5]]</f>
        <v/>
      </c>
      <c r="AQ8" s="919" t="n">
        <v>0</v>
      </c>
      <c r="AR8" s="919">
        <f>TableauProduit[[#This Row],[Poids (g) / unité]]*TableauProduit[[#This Row],[Objectif de vente en unité N6]]/1000</f>
        <v/>
      </c>
      <c r="AS8" s="920">
        <f>TableauProduit[[#This Row],[Objectif de vente en unité N6]]*TableauProduit[[#This Row],[Packaging / unité]]</f>
        <v/>
      </c>
      <c r="AT8" s="920">
        <f>TableauProduit[[#This Row],[Prix achat plantes / kg]]*TableauProduit[[#This Row],[Total (kg) N6]]</f>
        <v/>
      </c>
      <c r="AU8" s="920">
        <f>TableauProduit[[#This Row],[Prix de vente/kg]]*TableauProduit[[#This Row],[Total (kg) N6]]</f>
        <v/>
      </c>
      <c r="AV8" s="919">
        <f>TableauProduit[[#This Row],[Revenu brut N6]]-TableauProduit[[#This Row],[Achat plantes N6]]-TableauProduit[[#This Row],[Conditionnement N6]]</f>
        <v/>
      </c>
      <c r="AW8" s="904" t="n">
        <v>0</v>
      </c>
      <c r="AX8" s="904">
        <f>TableauProduit[[#This Row],[Poids (g) / unité]]*TableauProduit[[#This Row],[Objectif de vente en unité N7]]/1000</f>
        <v/>
      </c>
      <c r="AY8" s="905">
        <f>TableauProduit[[#This Row],[Objectif de vente en unité N7]]*TableauProduit[[#This Row],[Packaging / unité]]</f>
        <v/>
      </c>
      <c r="AZ8" s="905">
        <f>TableauProduit[[#This Row],[Prix achat plantes / kg]]*TableauProduit[[#This Row],[Total (kg) N7]]</f>
        <v/>
      </c>
      <c r="BA8" s="905">
        <f>TableauProduit[[#This Row],[Prix de vente/kg]]*TableauProduit[[#This Row],[Total (kg) N7]]</f>
        <v/>
      </c>
      <c r="BB8" s="921">
        <f>TableauProduit[[#This Row],[Revenu brut N7]]-TableauProduit[[#This Row],[Achat plantes N7]]-TableauProduit[[#This Row],[Conditionnement N7]]</f>
        <v/>
      </c>
      <c r="BC8" s="922" t="n">
        <v>0</v>
      </c>
      <c r="BD8" s="923">
        <f>TableauProduit[[#This Row],[Poids (g) / unité]]*TableauProduit[[#This Row],[Objectif de vente en unité N8]]/1000</f>
        <v/>
      </c>
      <c r="BE8" s="924">
        <f>TableauProduit[[#This Row],[Objectif de vente en unité N8]]*TableauProduit[[#This Row],[Packaging / unité]]</f>
        <v/>
      </c>
      <c r="BF8" s="924">
        <f>TableauProduit[[#This Row],[Prix achat plantes / kg]]*TableauProduit[[#This Row],[Total (kg) N8]]</f>
        <v/>
      </c>
      <c r="BG8" s="924">
        <f>TableauProduit[[#This Row],[Prix de vente/kg]]*TableauProduit[[#This Row],[Total (kg) N8]]</f>
        <v/>
      </c>
      <c r="BH8" s="925">
        <f>TableauProduit[[#This Row],[Revenu brut N8]]-TableauProduit[[#This Row],[Achat plantes N8]]-TableauProduit[[#This Row],[Conditionnement N8]]</f>
        <v/>
      </c>
      <c r="BI8" s="926" t="n">
        <v>0</v>
      </c>
      <c r="BJ8" s="927">
        <f>TableauProduit[[#This Row],[Poids (g) / unité]]*TableauProduit[[#This Row],[Objectif de vente en unité N9]]/1000</f>
        <v/>
      </c>
      <c r="BK8" s="928">
        <f>TableauProduit[[#This Row],[Objectif de vente en unité N9]]*TableauProduit[[#This Row],[Packaging / unité]]</f>
        <v/>
      </c>
      <c r="BL8" s="928">
        <f>TableauProduit[[#This Row],[Prix achat plantes / kg]]*TableauProduit[[#This Row],[Total (kg) N9]]</f>
        <v/>
      </c>
      <c r="BM8" s="928">
        <f>TableauProduit[[#This Row],[Prix de vente/kg]]*TableauProduit[[#This Row],[Total (kg) N9]]</f>
        <v/>
      </c>
      <c r="BN8" s="927">
        <f>TableauProduit[[#This Row],[Revenu brut N9]]-TableauProduit[[#This Row],[Achat plantes N9]]-TableauProduit[[#This Row],[Conditionnement N9]]</f>
        <v/>
      </c>
      <c r="BO8" t="inlineStr">
        <is>
          <t>Brut (hors gamme)</t>
        </is>
      </c>
    </row>
    <row r="9">
      <c r="A9" s="13" t="inlineStr">
        <is>
          <t>Moutarde à l'estragon</t>
        </is>
      </c>
      <c r="B9" s="54">
        <f>TableauProduit[[#This Row],[Recette]]&amp;TableauProduit[[#This Row],[Conditionnement]]</f>
        <v/>
      </c>
      <c r="C9" s="11" t="n">
        <v>1.5</v>
      </c>
      <c r="D9" s="11" t="n">
        <v>210</v>
      </c>
      <c r="E9" s="6" t="inlineStr">
        <is>
          <t>Moutarde verre 212 ml</t>
        </is>
      </c>
      <c r="F9" s="7">
        <f>IFERROR(VLOOKUP(TableauProduit[[#This Row],[Conditionnement]],TableauConditionnement[[Nom]:[Contenance]],4,FALSE),"")</f>
        <v/>
      </c>
      <c r="G9" s="897">
        <f>IFERROR(SUMIFS(TableauRecette[Prix d''achat / kg],TableauRecette[Recette],TableauProduit[[#This Row],[Recette]],TableauRecette[Conditionnement],TableauProduit[[#This Row],[Conditionnement]]),0)</f>
        <v/>
      </c>
      <c r="H9" s="898" t="n">
        <v>4.5</v>
      </c>
      <c r="I9" s="899">
        <f>1000*TableauProduit[[#This Row],[Prix de vente/U]]/TableauProduit[[#This Row],[Poids (g) / unité]]</f>
        <v/>
      </c>
      <c r="J9" s="900">
        <f>SUMIFS(TableauConcurence[PRIX_KG],TableauConcurence[PRODUIT],TableauProduit[[#This Row],[Recette]],TableauConcurence[DISTRIBUTION],"magasin NON BIO")</f>
        <v/>
      </c>
      <c r="K9" s="901">
        <f>SUMIFS(TableauConcurence[PRIX_KG],TableauConcurence[PRODUIT],TableauProduit[[#This Row],[Recette]],TableauConcurence[DISTRIBUTION],"magasin BIO")</f>
        <v/>
      </c>
      <c r="L9" s="902">
        <f>SUMIFS(TableauConcurence[PRIX_KG],TableauConcurence[PRODUIT],TableauProduit[[#This Row],[Recette]],TableauConcurence[DISTRIBUTION],"artisanale BIO")</f>
        <v/>
      </c>
      <c r="M9" s="903" t="n">
        <v>550</v>
      </c>
      <c r="N9" s="904">
        <f>TableauProduit[[#This Row],[Poids (g) / unité]]*TableauProduit[[#This Row],[Objectif de vente en unité N1]]/1000</f>
        <v/>
      </c>
      <c r="O9" s="905">
        <f>TableauProduit[[#This Row],[Objectif de vente en unité N1]]*TableauProduit[[#This Row],[Packaging / unité]]</f>
        <v/>
      </c>
      <c r="P9" s="905">
        <f>TableauProduit[[#This Row],[Prix achat plantes / kg]]*TableauProduit[[#This Row],[Total (kg) N1]]</f>
        <v/>
      </c>
      <c r="Q9" s="905">
        <f>TableauProduit[[#This Row],[Prix de vente/kg]]*TableauProduit[[#This Row],[Total (kg) N1]]</f>
        <v/>
      </c>
      <c r="R9" s="906">
        <f>TableauProduit[[#This Row],[Revenu brut N1]]-TableauProduit[[#This Row],[Achat plantes N1]]-TableauProduit[[#This Row],[Conditionnement N1]]</f>
        <v/>
      </c>
      <c r="S9" s="907" t="n">
        <v>825</v>
      </c>
      <c r="T9" s="908">
        <f>TableauProduit[[#This Row],[Poids (g) / unité]]*TableauProduit[[#This Row],[Objectif de vente en unité N2]]/1000</f>
        <v/>
      </c>
      <c r="U9" s="909">
        <f>TableauProduit[[#This Row],[Objectif de vente en unité N2]]*TableauProduit[[#This Row],[Packaging / unité]]</f>
        <v/>
      </c>
      <c r="V9" s="909">
        <f>TableauProduit[[#This Row],[Prix achat plantes / kg]]*TableauProduit[[#This Row],[Total (kg) N2]]</f>
        <v/>
      </c>
      <c r="W9" s="909">
        <f>TableauProduit[[#This Row],[Prix de vente/kg]]*TableauProduit[[#This Row],[Total (kg) N2]]</f>
        <v/>
      </c>
      <c r="X9" s="910">
        <f>TableauProduit[[#This Row],[Revenu brut N2]]-TableauProduit[[#This Row],[Achat plantes N2]]-TableauProduit[[#This Row],[Conditionnement N2]]</f>
        <v/>
      </c>
      <c r="Y9" s="911" t="n">
        <v>962</v>
      </c>
      <c r="Z9" s="912">
        <f>TableauProduit[[#This Row],[Poids (g) / unité]]*TableauProduit[[#This Row],[Objectif de vente en unité N3]]/1000</f>
        <v/>
      </c>
      <c r="AA9" s="913">
        <f>TableauProduit[[#This Row],[Objectif de vente en unité N3]]*TableauProduit[[#This Row],[Packaging / unité]]</f>
        <v/>
      </c>
      <c r="AB9" s="913">
        <f>TableauProduit[[#This Row],[Prix achat plantes / kg]]*TableauProduit[[#This Row],[Total (kg) N3]]</f>
        <v/>
      </c>
      <c r="AC9" s="913">
        <f>TableauProduit[[#This Row],[Prix de vente/kg]]*TableauProduit[[#This Row],[Total (kg) N3]]</f>
        <v/>
      </c>
      <c r="AD9" s="914">
        <f>TableauProduit[[#This Row],[Revenu brut N3]]-TableauProduit[[#This Row],[Achat plantes N3]]-TableauProduit[[#This Row],[Conditionnement N3]]</f>
        <v/>
      </c>
      <c r="AE9" s="915" t="n">
        <v>1045</v>
      </c>
      <c r="AF9" s="915">
        <f>TableauProduit[[#This Row],[Poids (g) / unité]]*TableauProduit[[#This Row],[Objectif de vente en unité N4]]/1000</f>
        <v/>
      </c>
      <c r="AG9" s="916">
        <f>TableauProduit[[#This Row],[Objectif de vente en unité N4]]*TableauProduit[[#This Row],[Packaging / unité]]</f>
        <v/>
      </c>
      <c r="AH9" s="916">
        <f>TableauProduit[[#This Row],[Prix achat plantes / kg]]*TableauProduit[[#This Row],[Total (kg) N4]]</f>
        <v/>
      </c>
      <c r="AI9" s="916">
        <f>TableauProduit[[#This Row],[Prix de vente/kg]]*TableauProduit[[#This Row],[Total (kg) N4]]</f>
        <v/>
      </c>
      <c r="AJ9" s="915">
        <f>TableauProduit[[#This Row],[Revenu brut N4]]-TableauProduit[[#This Row],[Achat plantes N4]]-TableauProduit[[#This Row],[Conditionnement N4]]</f>
        <v/>
      </c>
      <c r="AK9" s="917" t="n">
        <v>1100</v>
      </c>
      <c r="AL9" s="917">
        <f>TableauProduit[[#This Row],[Poids (g) / unité]]*TableauProduit[[#This Row],[Objectif de vente en unité N5]]/1000</f>
        <v/>
      </c>
      <c r="AM9" s="918">
        <f>TableauProduit[[#This Row],[Objectif de vente en unité N5]]*TableauProduit[[#This Row],[Packaging / unité]]</f>
        <v/>
      </c>
      <c r="AN9" s="918">
        <f>TableauProduit[[#This Row],[Prix achat plantes / kg]]*TableauProduit[[#This Row],[Total (kg) N5]]</f>
        <v/>
      </c>
      <c r="AO9" s="918">
        <f>TableauProduit[[#This Row],[Prix de vente/kg]]*TableauProduit[[#This Row],[Total (kg) N5]]</f>
        <v/>
      </c>
      <c r="AP9" s="917">
        <f>TableauProduit[[#This Row],[Revenu brut N5]]-TableauProduit[[#This Row],[Achat plantes N5]]-TableauProduit[[#This Row],[Conditionnement N5]]</f>
        <v/>
      </c>
      <c r="AQ9" s="919" t="n">
        <v>1100</v>
      </c>
      <c r="AR9" s="919">
        <f>TableauProduit[[#This Row],[Poids (g) / unité]]*TableauProduit[[#This Row],[Objectif de vente en unité N6]]/1000</f>
        <v/>
      </c>
      <c r="AS9" s="920">
        <f>TableauProduit[[#This Row],[Objectif de vente en unité N6]]*TableauProduit[[#This Row],[Packaging / unité]]</f>
        <v/>
      </c>
      <c r="AT9" s="920">
        <f>TableauProduit[[#This Row],[Prix achat plantes / kg]]*TableauProduit[[#This Row],[Total (kg) N6]]</f>
        <v/>
      </c>
      <c r="AU9" s="920">
        <f>TableauProduit[[#This Row],[Prix de vente/kg]]*TableauProduit[[#This Row],[Total (kg) N6]]</f>
        <v/>
      </c>
      <c r="AV9" s="919">
        <f>TableauProduit[[#This Row],[Revenu brut N6]]-TableauProduit[[#This Row],[Achat plantes N6]]-TableauProduit[[#This Row],[Conditionnement N6]]</f>
        <v/>
      </c>
      <c r="AW9" s="904" t="n">
        <v>1100</v>
      </c>
      <c r="AX9" s="904">
        <f>TableauProduit[[#This Row],[Poids (g) / unité]]*TableauProduit[[#This Row],[Objectif de vente en unité N7]]/1000</f>
        <v/>
      </c>
      <c r="AY9" s="905">
        <f>TableauProduit[[#This Row],[Objectif de vente en unité N7]]*TableauProduit[[#This Row],[Packaging / unité]]</f>
        <v/>
      </c>
      <c r="AZ9" s="905">
        <f>TableauProduit[[#This Row],[Prix achat plantes / kg]]*TableauProduit[[#This Row],[Total (kg) N7]]</f>
        <v/>
      </c>
      <c r="BA9" s="905">
        <f>TableauProduit[[#This Row],[Prix de vente/kg]]*TableauProduit[[#This Row],[Total (kg) N7]]</f>
        <v/>
      </c>
      <c r="BB9" s="921">
        <f>TableauProduit[[#This Row],[Revenu brut N7]]-TableauProduit[[#This Row],[Achat plantes N7]]-TableauProduit[[#This Row],[Conditionnement N7]]</f>
        <v/>
      </c>
      <c r="BC9" s="922" t="n">
        <v>1100</v>
      </c>
      <c r="BD9" s="923">
        <f>TableauProduit[[#This Row],[Poids (g) / unité]]*TableauProduit[[#This Row],[Objectif de vente en unité N8]]/1000</f>
        <v/>
      </c>
      <c r="BE9" s="924">
        <f>TableauProduit[[#This Row],[Objectif de vente en unité N8]]*TableauProduit[[#This Row],[Packaging / unité]]</f>
        <v/>
      </c>
      <c r="BF9" s="924">
        <f>TableauProduit[[#This Row],[Prix achat plantes / kg]]*TableauProduit[[#This Row],[Total (kg) N8]]</f>
        <v/>
      </c>
      <c r="BG9" s="924">
        <f>TableauProduit[[#This Row],[Prix de vente/kg]]*TableauProduit[[#This Row],[Total (kg) N8]]</f>
        <v/>
      </c>
      <c r="BH9" s="925">
        <f>TableauProduit[[#This Row],[Revenu brut N8]]-TableauProduit[[#This Row],[Achat plantes N8]]-TableauProduit[[#This Row],[Conditionnement N8]]</f>
        <v/>
      </c>
      <c r="BI9" s="926" t="n">
        <v>1100</v>
      </c>
      <c r="BJ9" s="927">
        <f>TableauProduit[[#This Row],[Poids (g) / unité]]*TableauProduit[[#This Row],[Objectif de vente en unité N9]]/1000</f>
        <v/>
      </c>
      <c r="BK9" s="928">
        <f>TableauProduit[[#This Row],[Objectif de vente en unité N9]]*TableauProduit[[#This Row],[Packaging / unité]]</f>
        <v/>
      </c>
      <c r="BL9" s="928">
        <f>TableauProduit[[#This Row],[Prix achat plantes / kg]]*TableauProduit[[#This Row],[Total (kg) N9]]</f>
        <v/>
      </c>
      <c r="BM9" s="928">
        <f>TableauProduit[[#This Row],[Prix de vente/kg]]*TableauProduit[[#This Row],[Total (kg) N9]]</f>
        <v/>
      </c>
      <c r="BN9" s="927">
        <f>TableauProduit[[#This Row],[Revenu brut N9]]-TableauProduit[[#This Row],[Achat plantes N9]]-TableauProduit[[#This Row],[Conditionnement N9]]</f>
        <v/>
      </c>
      <c r="BO9" t="inlineStr">
        <is>
          <t>Transformé</t>
        </is>
      </c>
    </row>
    <row r="10">
      <c r="A10" s="13" t="inlineStr">
        <is>
          <t>Paprika fumé</t>
        </is>
      </c>
      <c r="B10" s="54">
        <f>TableauProduit[[#This Row],[Recette]]&amp;TableauProduit[[#This Row],[Conditionnement]]</f>
        <v/>
      </c>
      <c r="C10" s="11" t="n">
        <v>1</v>
      </c>
      <c r="D10" s="11" t="n">
        <v>60</v>
      </c>
      <c r="E10" s="6" t="inlineStr">
        <is>
          <t>Epice 100ml</t>
        </is>
      </c>
      <c r="F10" s="7">
        <f>IFERROR(VLOOKUP(TableauProduit[[#This Row],[Conditionnement]],TableauConditionnement[[Nom]:[Contenance]],4,FALSE),"")</f>
        <v/>
      </c>
      <c r="G10" s="897">
        <f>IFERROR(SUMIFS(TableauRecette[Prix d''achat / kg],TableauRecette[Recette],TableauProduit[[#This Row],[Recette]],TableauRecette[Conditionnement],TableauProduit[[#This Row],[Conditionnement]]),0)</f>
        <v/>
      </c>
      <c r="H10" s="898" t="n">
        <v>4.5</v>
      </c>
      <c r="I10" s="899">
        <f>1000*TableauProduit[[#This Row],[Prix de vente/U]]/TableauProduit[[#This Row],[Poids (g) / unité]]</f>
        <v/>
      </c>
      <c r="J10" s="900">
        <f>SUMIFS(TableauConcurence[PRIX_KG],TableauConcurence[PRODUIT],TableauProduit[[#This Row],[Recette]],TableauConcurence[DISTRIBUTION],"magasin NON BIO")</f>
        <v/>
      </c>
      <c r="K10" s="901">
        <f>SUMIFS(TableauConcurence[PRIX_KG],TableauConcurence[PRODUIT],TableauProduit[[#This Row],[Recette]],TableauConcurence[DISTRIBUTION],"magasin BIO")</f>
        <v/>
      </c>
      <c r="L10" s="902">
        <f>SUMIFS(TableauConcurence[PRIX_KG],TableauConcurence[PRODUIT],TableauProduit[[#This Row],[Recette]],TableauConcurence[DISTRIBUTION],"artisanale BIO")</f>
        <v/>
      </c>
      <c r="M10" s="903" t="n">
        <v>0</v>
      </c>
      <c r="N10" s="904">
        <f>TableauProduit[[#This Row],[Poids (g) / unité]]*TableauProduit[[#This Row],[Objectif de vente en unité N1]]/1000</f>
        <v/>
      </c>
      <c r="O10" s="905">
        <f>TableauProduit[[#This Row],[Objectif de vente en unité N1]]*TableauProduit[[#This Row],[Packaging / unité]]</f>
        <v/>
      </c>
      <c r="P10" s="905">
        <f>TableauProduit[[#This Row],[Prix achat plantes / kg]]*TableauProduit[[#This Row],[Total (kg) N1]]</f>
        <v/>
      </c>
      <c r="Q10" s="905">
        <f>TableauProduit[[#This Row],[Prix de vente/kg]]*TableauProduit[[#This Row],[Total (kg) N1]]</f>
        <v/>
      </c>
      <c r="R10" s="906">
        <f>TableauProduit[[#This Row],[Revenu brut N1]]-TableauProduit[[#This Row],[Achat plantes N1]]-TableauProduit[[#This Row],[Conditionnement N1]]</f>
        <v/>
      </c>
      <c r="S10" s="907" t="n">
        <v>0</v>
      </c>
      <c r="T10" s="908">
        <f>TableauProduit[[#This Row],[Poids (g) / unité]]*TableauProduit[[#This Row],[Objectif de vente en unité N2]]/1000</f>
        <v/>
      </c>
      <c r="U10" s="909">
        <f>TableauProduit[[#This Row],[Objectif de vente en unité N2]]*TableauProduit[[#This Row],[Packaging / unité]]</f>
        <v/>
      </c>
      <c r="V10" s="909">
        <f>TableauProduit[[#This Row],[Prix achat plantes / kg]]*TableauProduit[[#This Row],[Total (kg) N2]]</f>
        <v/>
      </c>
      <c r="W10" s="909">
        <f>TableauProduit[[#This Row],[Prix de vente/kg]]*TableauProduit[[#This Row],[Total (kg) N2]]</f>
        <v/>
      </c>
      <c r="X10" s="910">
        <f>TableauProduit[[#This Row],[Revenu brut N2]]-TableauProduit[[#This Row],[Achat plantes N2]]-TableauProduit[[#This Row],[Conditionnement N2]]</f>
        <v/>
      </c>
      <c r="Y10" s="911" t="n">
        <v>0</v>
      </c>
      <c r="Z10" s="912">
        <f>TableauProduit[[#This Row],[Poids (g) / unité]]*TableauProduit[[#This Row],[Objectif de vente en unité N3]]/1000</f>
        <v/>
      </c>
      <c r="AA10" s="913">
        <f>TableauProduit[[#This Row],[Objectif de vente en unité N3]]*TableauProduit[[#This Row],[Packaging / unité]]</f>
        <v/>
      </c>
      <c r="AB10" s="913">
        <f>TableauProduit[[#This Row],[Prix achat plantes / kg]]*TableauProduit[[#This Row],[Total (kg) N3]]</f>
        <v/>
      </c>
      <c r="AC10" s="913">
        <f>TableauProduit[[#This Row],[Prix de vente/kg]]*TableauProduit[[#This Row],[Total (kg) N3]]</f>
        <v/>
      </c>
      <c r="AD10" s="914">
        <f>TableauProduit[[#This Row],[Revenu brut N3]]-TableauProduit[[#This Row],[Achat plantes N3]]-TableauProduit[[#This Row],[Conditionnement N3]]</f>
        <v/>
      </c>
      <c r="AE10" s="915" t="n">
        <v>0</v>
      </c>
      <c r="AF10" s="915">
        <f>TableauProduit[[#This Row],[Poids (g) / unité]]*TableauProduit[[#This Row],[Objectif de vente en unité N4]]/1000</f>
        <v/>
      </c>
      <c r="AG10" s="916">
        <f>TableauProduit[[#This Row],[Objectif de vente en unité N4]]*TableauProduit[[#This Row],[Packaging / unité]]</f>
        <v/>
      </c>
      <c r="AH10" s="916">
        <f>TableauProduit[[#This Row],[Prix achat plantes / kg]]*TableauProduit[[#This Row],[Total (kg) N4]]</f>
        <v/>
      </c>
      <c r="AI10" s="916">
        <f>TableauProduit[[#This Row],[Prix de vente/kg]]*TableauProduit[[#This Row],[Total (kg) N4]]</f>
        <v/>
      </c>
      <c r="AJ10" s="915">
        <f>TableauProduit[[#This Row],[Revenu brut N4]]-TableauProduit[[#This Row],[Achat plantes N4]]-TableauProduit[[#This Row],[Conditionnement N4]]</f>
        <v/>
      </c>
      <c r="AK10" s="917" t="n">
        <v>0</v>
      </c>
      <c r="AL10" s="917">
        <f>TableauProduit[[#This Row],[Poids (g) / unité]]*TableauProduit[[#This Row],[Objectif de vente en unité N5]]/1000</f>
        <v/>
      </c>
      <c r="AM10" s="918">
        <f>TableauProduit[[#This Row],[Objectif de vente en unité N5]]*TableauProduit[[#This Row],[Packaging / unité]]</f>
        <v/>
      </c>
      <c r="AN10" s="918">
        <f>TableauProduit[[#This Row],[Prix achat plantes / kg]]*TableauProduit[[#This Row],[Total (kg) N5]]</f>
        <v/>
      </c>
      <c r="AO10" s="918">
        <f>TableauProduit[[#This Row],[Prix de vente/kg]]*TableauProduit[[#This Row],[Total (kg) N5]]</f>
        <v/>
      </c>
      <c r="AP10" s="917">
        <f>TableauProduit[[#This Row],[Revenu brut N5]]-TableauProduit[[#This Row],[Achat plantes N5]]-TableauProduit[[#This Row],[Conditionnement N5]]</f>
        <v/>
      </c>
      <c r="AQ10" s="919" t="n">
        <v>0</v>
      </c>
      <c r="AR10" s="919">
        <f>TableauProduit[[#This Row],[Poids (g) / unité]]*TableauProduit[[#This Row],[Objectif de vente en unité N6]]/1000</f>
        <v/>
      </c>
      <c r="AS10" s="920">
        <f>TableauProduit[[#This Row],[Objectif de vente en unité N6]]*TableauProduit[[#This Row],[Packaging / unité]]</f>
        <v/>
      </c>
      <c r="AT10" s="920">
        <f>TableauProduit[[#This Row],[Prix achat plantes / kg]]*TableauProduit[[#This Row],[Total (kg) N6]]</f>
        <v/>
      </c>
      <c r="AU10" s="920">
        <f>TableauProduit[[#This Row],[Prix de vente/kg]]*TableauProduit[[#This Row],[Total (kg) N6]]</f>
        <v/>
      </c>
      <c r="AV10" s="919">
        <f>TableauProduit[[#This Row],[Revenu brut N6]]-TableauProduit[[#This Row],[Achat plantes N6]]-TableauProduit[[#This Row],[Conditionnement N6]]</f>
        <v/>
      </c>
      <c r="AW10" s="904" t="n">
        <v>0</v>
      </c>
      <c r="AX10" s="904">
        <f>TableauProduit[[#This Row],[Poids (g) / unité]]*TableauProduit[[#This Row],[Objectif de vente en unité N7]]/1000</f>
        <v/>
      </c>
      <c r="AY10" s="905">
        <f>TableauProduit[[#This Row],[Objectif de vente en unité N7]]*TableauProduit[[#This Row],[Packaging / unité]]</f>
        <v/>
      </c>
      <c r="AZ10" s="905">
        <f>TableauProduit[[#This Row],[Prix achat plantes / kg]]*TableauProduit[[#This Row],[Total (kg) N7]]</f>
        <v/>
      </c>
      <c r="BA10" s="905">
        <f>TableauProduit[[#This Row],[Prix de vente/kg]]*TableauProduit[[#This Row],[Total (kg) N7]]</f>
        <v/>
      </c>
      <c r="BB10" s="921">
        <f>TableauProduit[[#This Row],[Revenu brut N7]]-TableauProduit[[#This Row],[Achat plantes N7]]-TableauProduit[[#This Row],[Conditionnement N7]]</f>
        <v/>
      </c>
      <c r="BC10" s="922" t="n">
        <v>0</v>
      </c>
      <c r="BD10" s="923">
        <f>TableauProduit[[#This Row],[Poids (g) / unité]]*TableauProduit[[#This Row],[Objectif de vente en unité N8]]/1000</f>
        <v/>
      </c>
      <c r="BE10" s="924">
        <f>TableauProduit[[#This Row],[Objectif de vente en unité N8]]*TableauProduit[[#This Row],[Packaging / unité]]</f>
        <v/>
      </c>
      <c r="BF10" s="924">
        <f>TableauProduit[[#This Row],[Prix achat plantes / kg]]*TableauProduit[[#This Row],[Total (kg) N8]]</f>
        <v/>
      </c>
      <c r="BG10" s="924">
        <f>TableauProduit[[#This Row],[Prix de vente/kg]]*TableauProduit[[#This Row],[Total (kg) N8]]</f>
        <v/>
      </c>
      <c r="BH10" s="925">
        <f>TableauProduit[[#This Row],[Revenu brut N8]]-TableauProduit[[#This Row],[Achat plantes N8]]-TableauProduit[[#This Row],[Conditionnement N8]]</f>
        <v/>
      </c>
      <c r="BI10" s="926" t="n">
        <v>0</v>
      </c>
      <c r="BJ10" s="927">
        <f>TableauProduit[[#This Row],[Poids (g) / unité]]*TableauProduit[[#This Row],[Objectif de vente en unité N9]]/1000</f>
        <v/>
      </c>
      <c r="BK10" s="928">
        <f>TableauProduit[[#This Row],[Objectif de vente en unité N9]]*TableauProduit[[#This Row],[Packaging / unité]]</f>
        <v/>
      </c>
      <c r="BL10" s="928">
        <f>TableauProduit[[#This Row],[Prix achat plantes / kg]]*TableauProduit[[#This Row],[Total (kg) N9]]</f>
        <v/>
      </c>
      <c r="BM10" s="928">
        <f>TableauProduit[[#This Row],[Prix de vente/kg]]*TableauProduit[[#This Row],[Total (kg) N9]]</f>
        <v/>
      </c>
      <c r="BN10" s="927">
        <f>TableauProduit[[#This Row],[Revenu brut N9]]-TableauProduit[[#This Row],[Achat plantes N9]]-TableauProduit[[#This Row],[Conditionnement N9]]</f>
        <v/>
      </c>
      <c r="BO10" t="inlineStr">
        <is>
          <t>Brut (hors gamme)</t>
        </is>
      </c>
    </row>
    <row r="11">
      <c r="A11" s="553" t="inlineStr">
        <is>
          <t>Sirop de menthe classique</t>
        </is>
      </c>
      <c r="B11" s="54">
        <f>TableauProduit[[#This Row],[Recette]]&amp;TableauProduit[[#This Row],[Conditionnement]]</f>
        <v/>
      </c>
      <c r="C11" s="11" t="n">
        <v>1</v>
      </c>
      <c r="D11" s="11" t="n">
        <v>500</v>
      </c>
      <c r="E11" s="6" t="inlineStr">
        <is>
          <t>Sirop 500 ml</t>
        </is>
      </c>
      <c r="F11" s="7">
        <f>IFERROR(VLOOKUP(TableauProduit[[#This Row],[Conditionnement]],TableauConditionnement[[Nom]:[Contenance]],4,FALSE),"")</f>
        <v/>
      </c>
      <c r="G11" s="897">
        <f>IFERROR(SUMIFS(TableauRecette[Prix d''achat / kg],TableauRecette[Recette],TableauProduit[[#This Row],[Recette]],TableauRecette[Conditionnement],TableauProduit[[#This Row],[Conditionnement]]),0)</f>
        <v/>
      </c>
      <c r="H11" s="957" t="n">
        <v>7</v>
      </c>
      <c r="I11" s="899">
        <f>1000*TableauProduit[[#This Row],[Prix de vente/U]]/TableauProduit[[#This Row],[Poids (g) / unité]]</f>
        <v/>
      </c>
      <c r="J11" s="900">
        <f>SUMIFS(TableauConcurence[PRIX_KG],TableauConcurence[PRODUIT],TableauProduit[[#This Row],[Recette]],TableauConcurence[DISTRIBUTION],"magasin NON BIO")</f>
        <v/>
      </c>
      <c r="K11" s="901">
        <f>SUMIFS(TableauConcurence[PRIX_KG],TableauConcurence[PRODUIT],TableauProduit[[#This Row],[Recette]],TableauConcurence[DISTRIBUTION],"magasin BIO")</f>
        <v/>
      </c>
      <c r="L11" s="902">
        <f>SUMIFS(TableauConcurence[PRIX_KG],TableauConcurence[PRODUIT],TableauProduit[[#This Row],[Recette]],TableauConcurence[DISTRIBUTION],"artisanale BIO")</f>
        <v/>
      </c>
      <c r="M11" s="903" t="n">
        <v>280</v>
      </c>
      <c r="N11" s="904">
        <f>TableauProduit[[#This Row],[Poids (g) / unité]]*TableauProduit[[#This Row],[Objectif de vente en unité N1]]/1000</f>
        <v/>
      </c>
      <c r="O11" s="905">
        <f>TableauProduit[[#This Row],[Objectif de vente en unité N1]]*TableauProduit[[#This Row],[Packaging / unité]]</f>
        <v/>
      </c>
      <c r="P11" s="905">
        <f>TableauProduit[[#This Row],[Prix achat plantes / kg]]*TableauProduit[[#This Row],[Total (kg) N1]]</f>
        <v/>
      </c>
      <c r="Q11" s="905">
        <f>TableauProduit[[#This Row],[Prix de vente/kg]]*TableauProduit[[#This Row],[Total (kg) N1]]</f>
        <v/>
      </c>
      <c r="R11" s="906">
        <f>TableauProduit[[#This Row],[Revenu brut N1]]-TableauProduit[[#This Row],[Achat plantes N1]]-TableauProduit[[#This Row],[Conditionnement N1]]</f>
        <v/>
      </c>
      <c r="S11" s="907" t="n">
        <v>420</v>
      </c>
      <c r="T11" s="908">
        <f>TableauProduit[[#This Row],[Poids (g) / unité]]*TableauProduit[[#This Row],[Objectif de vente en unité N2]]/1000</f>
        <v/>
      </c>
      <c r="U11" s="909">
        <f>TableauProduit[[#This Row],[Objectif de vente en unité N2]]*TableauProduit[[#This Row],[Packaging / unité]]</f>
        <v/>
      </c>
      <c r="V11" s="909">
        <f>TableauProduit[[#This Row],[Prix achat plantes / kg]]*TableauProduit[[#This Row],[Total (kg) N2]]</f>
        <v/>
      </c>
      <c r="W11" s="909">
        <f>TableauProduit[[#This Row],[Prix de vente/kg]]*TableauProduit[[#This Row],[Total (kg) N2]]</f>
        <v/>
      </c>
      <c r="X11" s="910">
        <f>TableauProduit[[#This Row],[Revenu brut N2]]-TableauProduit[[#This Row],[Achat plantes N2]]-TableauProduit[[#This Row],[Conditionnement N2]]</f>
        <v/>
      </c>
      <c r="Y11" s="911" t="n">
        <v>490</v>
      </c>
      <c r="Z11" s="912">
        <f>TableauProduit[[#This Row],[Poids (g) / unité]]*TableauProduit[[#This Row],[Objectif de vente en unité N3]]/1000</f>
        <v/>
      </c>
      <c r="AA11" s="913">
        <f>TableauProduit[[#This Row],[Objectif de vente en unité N3]]*TableauProduit[[#This Row],[Packaging / unité]]</f>
        <v/>
      </c>
      <c r="AB11" s="913">
        <f>TableauProduit[[#This Row],[Prix achat plantes / kg]]*TableauProduit[[#This Row],[Total (kg) N3]]</f>
        <v/>
      </c>
      <c r="AC11" s="913">
        <f>TableauProduit[[#This Row],[Prix de vente/kg]]*TableauProduit[[#This Row],[Total (kg) N3]]</f>
        <v/>
      </c>
      <c r="AD11" s="914">
        <f>TableauProduit[[#This Row],[Revenu brut N3]]-TableauProduit[[#This Row],[Achat plantes N3]]-TableauProduit[[#This Row],[Conditionnement N3]]</f>
        <v/>
      </c>
      <c r="AE11" s="915" t="n">
        <v>532</v>
      </c>
      <c r="AF11" s="915">
        <f>TableauProduit[[#This Row],[Poids (g) / unité]]*TableauProduit[[#This Row],[Objectif de vente en unité N4]]/1000</f>
        <v/>
      </c>
      <c r="AG11" s="916">
        <f>TableauProduit[[#This Row],[Objectif de vente en unité N4]]*TableauProduit[[#This Row],[Packaging / unité]]</f>
        <v/>
      </c>
      <c r="AH11" s="916">
        <f>TableauProduit[[#This Row],[Prix achat plantes / kg]]*TableauProduit[[#This Row],[Total (kg) N4]]</f>
        <v/>
      </c>
      <c r="AI11" s="916">
        <f>TableauProduit[[#This Row],[Prix de vente/kg]]*TableauProduit[[#This Row],[Total (kg) N4]]</f>
        <v/>
      </c>
      <c r="AJ11" s="915">
        <f>TableauProduit[[#This Row],[Revenu brut N4]]-TableauProduit[[#This Row],[Achat plantes N4]]-TableauProduit[[#This Row],[Conditionnement N4]]</f>
        <v/>
      </c>
      <c r="AK11" s="917" t="n">
        <v>560</v>
      </c>
      <c r="AL11" s="917">
        <f>TableauProduit[[#This Row],[Poids (g) / unité]]*TableauProduit[[#This Row],[Objectif de vente en unité N5]]/1000</f>
        <v/>
      </c>
      <c r="AM11" s="918">
        <f>TableauProduit[[#This Row],[Objectif de vente en unité N5]]*TableauProduit[[#This Row],[Packaging / unité]]</f>
        <v/>
      </c>
      <c r="AN11" s="918">
        <f>TableauProduit[[#This Row],[Prix achat plantes / kg]]*TableauProduit[[#This Row],[Total (kg) N5]]</f>
        <v/>
      </c>
      <c r="AO11" s="918">
        <f>TableauProduit[[#This Row],[Prix de vente/kg]]*TableauProduit[[#This Row],[Total (kg) N5]]</f>
        <v/>
      </c>
      <c r="AP11" s="917">
        <f>TableauProduit[[#This Row],[Revenu brut N5]]-TableauProduit[[#This Row],[Achat plantes N5]]-TableauProduit[[#This Row],[Conditionnement N5]]</f>
        <v/>
      </c>
      <c r="AQ11" s="919" t="n">
        <v>560</v>
      </c>
      <c r="AR11" s="919">
        <f>TableauProduit[[#This Row],[Poids (g) / unité]]*TableauProduit[[#This Row],[Objectif de vente en unité N6]]/1000</f>
        <v/>
      </c>
      <c r="AS11" s="920">
        <f>TableauProduit[[#This Row],[Objectif de vente en unité N6]]*TableauProduit[[#This Row],[Packaging / unité]]</f>
        <v/>
      </c>
      <c r="AT11" s="920">
        <f>TableauProduit[[#This Row],[Prix achat plantes / kg]]*TableauProduit[[#This Row],[Total (kg) N6]]</f>
        <v/>
      </c>
      <c r="AU11" s="920">
        <f>TableauProduit[[#This Row],[Prix de vente/kg]]*TableauProduit[[#This Row],[Total (kg) N6]]</f>
        <v/>
      </c>
      <c r="AV11" s="919">
        <f>TableauProduit[[#This Row],[Revenu brut N6]]-TableauProduit[[#This Row],[Achat plantes N6]]-TableauProduit[[#This Row],[Conditionnement N6]]</f>
        <v/>
      </c>
      <c r="AW11" s="904" t="n">
        <v>560</v>
      </c>
      <c r="AX11" s="904">
        <f>TableauProduit[[#This Row],[Poids (g) / unité]]*TableauProduit[[#This Row],[Objectif de vente en unité N7]]/1000</f>
        <v/>
      </c>
      <c r="AY11" s="905">
        <f>TableauProduit[[#This Row],[Objectif de vente en unité N7]]*TableauProduit[[#This Row],[Packaging / unité]]</f>
        <v/>
      </c>
      <c r="AZ11" s="905">
        <f>TableauProduit[[#This Row],[Prix achat plantes / kg]]*TableauProduit[[#This Row],[Total (kg) N7]]</f>
        <v/>
      </c>
      <c r="BA11" s="905">
        <f>TableauProduit[[#This Row],[Prix de vente/kg]]*TableauProduit[[#This Row],[Total (kg) N7]]</f>
        <v/>
      </c>
      <c r="BB11" s="921">
        <f>TableauProduit[[#This Row],[Revenu brut N7]]-TableauProduit[[#This Row],[Achat plantes N7]]-TableauProduit[[#This Row],[Conditionnement N7]]</f>
        <v/>
      </c>
      <c r="BC11" s="922" t="n">
        <v>560</v>
      </c>
      <c r="BD11" s="923">
        <f>TableauProduit[[#This Row],[Poids (g) / unité]]*TableauProduit[[#This Row],[Objectif de vente en unité N8]]/1000</f>
        <v/>
      </c>
      <c r="BE11" s="924">
        <f>TableauProduit[[#This Row],[Objectif de vente en unité N8]]*TableauProduit[[#This Row],[Packaging / unité]]</f>
        <v/>
      </c>
      <c r="BF11" s="924">
        <f>TableauProduit[[#This Row],[Prix achat plantes / kg]]*TableauProduit[[#This Row],[Total (kg) N8]]</f>
        <v/>
      </c>
      <c r="BG11" s="924">
        <f>TableauProduit[[#This Row],[Prix de vente/kg]]*TableauProduit[[#This Row],[Total (kg) N8]]</f>
        <v/>
      </c>
      <c r="BH11" s="925">
        <f>TableauProduit[[#This Row],[Revenu brut N8]]-TableauProduit[[#This Row],[Achat plantes N8]]-TableauProduit[[#This Row],[Conditionnement N8]]</f>
        <v/>
      </c>
      <c r="BI11" s="926" t="n">
        <v>560</v>
      </c>
      <c r="BJ11" s="927">
        <f>TableauProduit[[#This Row],[Poids (g) / unité]]*TableauProduit[[#This Row],[Objectif de vente en unité N9]]/1000</f>
        <v/>
      </c>
      <c r="BK11" s="928">
        <f>TableauProduit[[#This Row],[Objectif de vente en unité N9]]*TableauProduit[[#This Row],[Packaging / unité]]</f>
        <v/>
      </c>
      <c r="BL11" s="928">
        <f>TableauProduit[[#This Row],[Prix achat plantes / kg]]*TableauProduit[[#This Row],[Total (kg) N9]]</f>
        <v/>
      </c>
      <c r="BM11" s="928">
        <f>TableauProduit[[#This Row],[Prix de vente/kg]]*TableauProduit[[#This Row],[Total (kg) N9]]</f>
        <v/>
      </c>
      <c r="BN11" s="927">
        <f>TableauProduit[[#This Row],[Revenu brut N9]]-TableauProduit[[#This Row],[Achat plantes N9]]-TableauProduit[[#This Row],[Conditionnement N9]]</f>
        <v/>
      </c>
      <c r="BO11" t="inlineStr">
        <is>
          <t>Transformé</t>
        </is>
      </c>
    </row>
    <row r="12">
      <c r="A12" s="553" t="inlineStr">
        <is>
          <t>Sucre aux fleurs</t>
        </is>
      </c>
      <c r="B12" s="54">
        <f>TableauProduit[[#This Row],[Recette]]&amp;TableauProduit[[#This Row],[Conditionnement]]</f>
        <v/>
      </c>
      <c r="C12" s="11" t="n">
        <v>2</v>
      </c>
      <c r="D12" s="11" t="n">
        <v>75</v>
      </c>
      <c r="E12" s="6" t="inlineStr">
        <is>
          <t>Epice 100ml</t>
        </is>
      </c>
      <c r="F12" s="7">
        <f>IFERROR(VLOOKUP(TableauProduit[[#This Row],[Conditionnement]],TableauConditionnement[[Nom]:[Contenance]],4,FALSE),"")</f>
        <v/>
      </c>
      <c r="G12" s="897">
        <f>IFERROR(SUMIFS(TableauRecette[Prix d''achat / kg],TableauRecette[Recette],TableauProduit[[#This Row],[Recette]],TableauRecette[Conditionnement],TableauProduit[[#This Row],[Conditionnement]]),0)</f>
        <v/>
      </c>
      <c r="H12" s="957" t="n">
        <v>5</v>
      </c>
      <c r="I12" s="899">
        <f>1000*TableauProduit[[#This Row],[Prix de vente/U]]/TableauProduit[[#This Row],[Poids (g) / unité]]</f>
        <v/>
      </c>
      <c r="J12" s="900">
        <f>SUMIFS(TableauConcurence[PRIX_KG],TableauConcurence[PRODUIT],TableauProduit[[#This Row],[Recette]],TableauConcurence[DISTRIBUTION],"magasin NON BIO")</f>
        <v/>
      </c>
      <c r="K12" s="901">
        <f>SUMIFS(TableauConcurence[PRIX_KG],TableauConcurence[PRODUIT],TableauProduit[[#This Row],[Recette]],TableauConcurence[DISTRIBUTION],"magasin BIO")</f>
        <v/>
      </c>
      <c r="L12" s="902">
        <f>SUMIFS(TableauConcurence[PRIX_KG],TableauConcurence[PRODUIT],TableauProduit[[#This Row],[Recette]],TableauConcurence[DISTRIBUTION],"artisanale BIO")</f>
        <v/>
      </c>
      <c r="M12" s="903" t="n">
        <v>450</v>
      </c>
      <c r="N12" s="904">
        <f>TableauProduit[[#This Row],[Poids (g) / unité]]*TableauProduit[[#This Row],[Objectif de vente en unité N1]]/1000</f>
        <v/>
      </c>
      <c r="O12" s="905">
        <f>TableauProduit[[#This Row],[Objectif de vente en unité N1]]*TableauProduit[[#This Row],[Packaging / unité]]</f>
        <v/>
      </c>
      <c r="P12" s="905">
        <f>TableauProduit[[#This Row],[Prix achat plantes / kg]]*TableauProduit[[#This Row],[Total (kg) N1]]</f>
        <v/>
      </c>
      <c r="Q12" s="905">
        <f>TableauProduit[[#This Row],[Prix de vente/kg]]*TableauProduit[[#This Row],[Total (kg) N1]]</f>
        <v/>
      </c>
      <c r="R12" s="906">
        <f>TableauProduit[[#This Row],[Revenu brut N1]]-TableauProduit[[#This Row],[Achat plantes N1]]-TableauProduit[[#This Row],[Conditionnement N1]]</f>
        <v/>
      </c>
      <c r="S12" s="907" t="n">
        <v>675</v>
      </c>
      <c r="T12" s="908">
        <f>TableauProduit[[#This Row],[Poids (g) / unité]]*TableauProduit[[#This Row],[Objectif de vente en unité N2]]/1000</f>
        <v/>
      </c>
      <c r="U12" s="909">
        <f>TableauProduit[[#This Row],[Objectif de vente en unité N2]]*TableauProduit[[#This Row],[Packaging / unité]]</f>
        <v/>
      </c>
      <c r="V12" s="909">
        <f>TableauProduit[[#This Row],[Prix achat plantes / kg]]*TableauProduit[[#This Row],[Total (kg) N2]]</f>
        <v/>
      </c>
      <c r="W12" s="909">
        <f>TableauProduit[[#This Row],[Prix de vente/kg]]*TableauProduit[[#This Row],[Total (kg) N2]]</f>
        <v/>
      </c>
      <c r="X12" s="910">
        <f>TableauProduit[[#This Row],[Revenu brut N2]]-TableauProduit[[#This Row],[Achat plantes N2]]-TableauProduit[[#This Row],[Conditionnement N2]]</f>
        <v/>
      </c>
      <c r="Y12" s="911" t="n">
        <v>788</v>
      </c>
      <c r="Z12" s="912">
        <f>TableauProduit[[#This Row],[Poids (g) / unité]]*TableauProduit[[#This Row],[Objectif de vente en unité N3]]/1000</f>
        <v/>
      </c>
      <c r="AA12" s="913">
        <f>TableauProduit[[#This Row],[Objectif de vente en unité N3]]*TableauProduit[[#This Row],[Packaging / unité]]</f>
        <v/>
      </c>
      <c r="AB12" s="913">
        <f>TableauProduit[[#This Row],[Prix achat plantes / kg]]*TableauProduit[[#This Row],[Total (kg) N3]]</f>
        <v/>
      </c>
      <c r="AC12" s="913">
        <f>TableauProduit[[#This Row],[Prix de vente/kg]]*TableauProduit[[#This Row],[Total (kg) N3]]</f>
        <v/>
      </c>
      <c r="AD12" s="914">
        <f>TableauProduit[[#This Row],[Revenu brut N3]]-TableauProduit[[#This Row],[Achat plantes N3]]-TableauProduit[[#This Row],[Conditionnement N3]]</f>
        <v/>
      </c>
      <c r="AE12" s="915" t="n">
        <v>855</v>
      </c>
      <c r="AF12" s="915">
        <f>TableauProduit[[#This Row],[Poids (g) / unité]]*TableauProduit[[#This Row],[Objectif de vente en unité N4]]/1000</f>
        <v/>
      </c>
      <c r="AG12" s="916">
        <f>TableauProduit[[#This Row],[Objectif de vente en unité N4]]*TableauProduit[[#This Row],[Packaging / unité]]</f>
        <v/>
      </c>
      <c r="AH12" s="916">
        <f>TableauProduit[[#This Row],[Prix achat plantes / kg]]*TableauProduit[[#This Row],[Total (kg) N4]]</f>
        <v/>
      </c>
      <c r="AI12" s="916">
        <f>TableauProduit[[#This Row],[Prix de vente/kg]]*TableauProduit[[#This Row],[Total (kg) N4]]</f>
        <v/>
      </c>
      <c r="AJ12" s="915">
        <f>TableauProduit[[#This Row],[Revenu brut N4]]-TableauProduit[[#This Row],[Achat plantes N4]]-TableauProduit[[#This Row],[Conditionnement N4]]</f>
        <v/>
      </c>
      <c r="AK12" s="917" t="n">
        <v>900</v>
      </c>
      <c r="AL12" s="917">
        <f>TableauProduit[[#This Row],[Poids (g) / unité]]*TableauProduit[[#This Row],[Objectif de vente en unité N5]]/1000</f>
        <v/>
      </c>
      <c r="AM12" s="918">
        <f>TableauProduit[[#This Row],[Objectif de vente en unité N5]]*TableauProduit[[#This Row],[Packaging / unité]]</f>
        <v/>
      </c>
      <c r="AN12" s="918">
        <f>TableauProduit[[#This Row],[Prix achat plantes / kg]]*TableauProduit[[#This Row],[Total (kg) N5]]</f>
        <v/>
      </c>
      <c r="AO12" s="918">
        <f>TableauProduit[[#This Row],[Prix de vente/kg]]*TableauProduit[[#This Row],[Total (kg) N5]]</f>
        <v/>
      </c>
      <c r="AP12" s="917">
        <f>TableauProduit[[#This Row],[Revenu brut N5]]-TableauProduit[[#This Row],[Achat plantes N5]]-TableauProduit[[#This Row],[Conditionnement N5]]</f>
        <v/>
      </c>
      <c r="AQ12" s="919" t="n">
        <v>900</v>
      </c>
      <c r="AR12" s="919">
        <f>TableauProduit[[#This Row],[Poids (g) / unité]]*TableauProduit[[#This Row],[Objectif de vente en unité N6]]/1000</f>
        <v/>
      </c>
      <c r="AS12" s="920">
        <f>TableauProduit[[#This Row],[Objectif de vente en unité N6]]*TableauProduit[[#This Row],[Packaging / unité]]</f>
        <v/>
      </c>
      <c r="AT12" s="920">
        <f>TableauProduit[[#This Row],[Prix achat plantes / kg]]*TableauProduit[[#This Row],[Total (kg) N6]]</f>
        <v/>
      </c>
      <c r="AU12" s="920">
        <f>TableauProduit[[#This Row],[Prix de vente/kg]]*TableauProduit[[#This Row],[Total (kg) N6]]</f>
        <v/>
      </c>
      <c r="AV12" s="919">
        <f>TableauProduit[[#This Row],[Revenu brut N6]]-TableauProduit[[#This Row],[Achat plantes N6]]-TableauProduit[[#This Row],[Conditionnement N6]]</f>
        <v/>
      </c>
      <c r="AW12" s="904" t="n">
        <v>900</v>
      </c>
      <c r="AX12" s="904">
        <f>TableauProduit[[#This Row],[Poids (g) / unité]]*TableauProduit[[#This Row],[Objectif de vente en unité N7]]/1000</f>
        <v/>
      </c>
      <c r="AY12" s="905">
        <f>TableauProduit[[#This Row],[Objectif de vente en unité N7]]*TableauProduit[[#This Row],[Packaging / unité]]</f>
        <v/>
      </c>
      <c r="AZ12" s="905">
        <f>TableauProduit[[#This Row],[Prix achat plantes / kg]]*TableauProduit[[#This Row],[Total (kg) N7]]</f>
        <v/>
      </c>
      <c r="BA12" s="905">
        <f>TableauProduit[[#This Row],[Prix de vente/kg]]*TableauProduit[[#This Row],[Total (kg) N7]]</f>
        <v/>
      </c>
      <c r="BB12" s="921">
        <f>TableauProduit[[#This Row],[Revenu brut N7]]-TableauProduit[[#This Row],[Achat plantes N7]]-TableauProduit[[#This Row],[Conditionnement N7]]</f>
        <v/>
      </c>
      <c r="BC12" s="922" t="n">
        <v>900</v>
      </c>
      <c r="BD12" s="923">
        <f>TableauProduit[[#This Row],[Poids (g) / unité]]*TableauProduit[[#This Row],[Objectif de vente en unité N8]]/1000</f>
        <v/>
      </c>
      <c r="BE12" s="924">
        <f>TableauProduit[[#This Row],[Objectif de vente en unité N8]]*TableauProduit[[#This Row],[Packaging / unité]]</f>
        <v/>
      </c>
      <c r="BF12" s="924">
        <f>TableauProduit[[#This Row],[Prix achat plantes / kg]]*TableauProduit[[#This Row],[Total (kg) N8]]</f>
        <v/>
      </c>
      <c r="BG12" s="924">
        <f>TableauProduit[[#This Row],[Prix de vente/kg]]*TableauProduit[[#This Row],[Total (kg) N8]]</f>
        <v/>
      </c>
      <c r="BH12" s="925">
        <f>TableauProduit[[#This Row],[Revenu brut N8]]-TableauProduit[[#This Row],[Achat plantes N8]]-TableauProduit[[#This Row],[Conditionnement N8]]</f>
        <v/>
      </c>
      <c r="BI12" s="926" t="n">
        <v>900</v>
      </c>
      <c r="BJ12" s="927">
        <f>TableauProduit[[#This Row],[Poids (g) / unité]]*TableauProduit[[#This Row],[Objectif de vente en unité N9]]/1000</f>
        <v/>
      </c>
      <c r="BK12" s="928">
        <f>TableauProduit[[#This Row],[Objectif de vente en unité N9]]*TableauProduit[[#This Row],[Packaging / unité]]</f>
        <v/>
      </c>
      <c r="BL12" s="928">
        <f>TableauProduit[[#This Row],[Prix achat plantes / kg]]*TableauProduit[[#This Row],[Total (kg) N9]]</f>
        <v/>
      </c>
      <c r="BM12" s="928">
        <f>TableauProduit[[#This Row],[Prix de vente/kg]]*TableauProduit[[#This Row],[Total (kg) N9]]</f>
        <v/>
      </c>
      <c r="BN12" s="927">
        <f>TableauProduit[[#This Row],[Revenu brut N9]]-TableauProduit[[#This Row],[Achat plantes N9]]-TableauProduit[[#This Row],[Conditionnement N9]]</f>
        <v/>
      </c>
      <c r="BO12" t="inlineStr">
        <is>
          <t>Transformé</t>
        </is>
      </c>
    </row>
    <row r="13">
      <c r="A13" s="13" t="inlineStr">
        <is>
          <t>Curry</t>
        </is>
      </c>
      <c r="B13" s="54">
        <f>TableauProduit[[#This Row],[Recette]]&amp;TableauProduit[[#This Row],[Conditionnement]]</f>
        <v/>
      </c>
      <c r="C13" s="11" t="n">
        <v>1</v>
      </c>
      <c r="D13" s="11" t="n">
        <v>65</v>
      </c>
      <c r="E13" s="6" t="inlineStr">
        <is>
          <t>Epice 100ml</t>
        </is>
      </c>
      <c r="F13" s="7">
        <f>IFERROR(VLOOKUP(TableauProduit[[#This Row],[Conditionnement]],TableauConditionnement[[Nom]:[Contenance]],4,FALSE),"")</f>
        <v/>
      </c>
      <c r="G13" s="603">
        <f>IFERROR(SUMIFS(TableauRecette[Prix d''achat / kg],TableauRecette[Recette],TableauProduit[[#This Row],[Recette]],TableauRecette[Conditionnement],TableauProduit[[#This Row],[Conditionnement]]),0)</f>
        <v/>
      </c>
      <c r="H13" s="898" t="n">
        <v>5.5</v>
      </c>
      <c r="I13" s="899">
        <f>1000*TableauProduit[[#This Row],[Prix de vente/U]]/TableauProduit[[#This Row],[Poids (g) / unité]]</f>
        <v/>
      </c>
      <c r="J13" s="900">
        <f>SUMIFS(TableauConcurence[PRIX_KG],TableauConcurence[PRODUIT],TableauProduit[[#This Row],[Recette]],TableauConcurence[DISTRIBUTION],"magasin NON BIO")</f>
        <v/>
      </c>
      <c r="K13" s="901">
        <f>SUMIFS(TableauConcurence[PRIX_KG],TableauConcurence[PRODUIT],TableauProduit[[#This Row],[Recette]],TableauConcurence[DISTRIBUTION],"magasin BIO")</f>
        <v/>
      </c>
      <c r="L13" s="902">
        <f>SUMIFS(TableauConcurence[PRIX_KG],TableauConcurence[PRODUIT],TableauProduit[[#This Row],[Recette]],TableauConcurence[DISTRIBUTION],"artisanale BIO")</f>
        <v/>
      </c>
      <c r="M13" s="903" t="n">
        <v>0</v>
      </c>
      <c r="N13" s="904">
        <f>TableauProduit[[#This Row],[Poids (g) / unité]]*TableauProduit[[#This Row],[Objectif de vente en unité N1]]/1000</f>
        <v/>
      </c>
      <c r="O13" s="905">
        <f>TableauProduit[[#This Row],[Objectif de vente en unité N1]]*TableauProduit[[#This Row],[Packaging / unité]]</f>
        <v/>
      </c>
      <c r="P13" s="905">
        <f>TableauProduit[[#This Row],[Prix achat plantes / kg]]*TableauProduit[[#This Row],[Total (kg) N1]]</f>
        <v/>
      </c>
      <c r="Q13" s="905">
        <f>TableauProduit[[#This Row],[Prix de vente/kg]]*TableauProduit[[#This Row],[Total (kg) N1]]</f>
        <v/>
      </c>
      <c r="R13" s="906">
        <f>TableauProduit[[#This Row],[Revenu brut N1]]-TableauProduit[[#This Row],[Achat plantes N1]]-TableauProduit[[#This Row],[Conditionnement N1]]</f>
        <v/>
      </c>
      <c r="S13" s="907" t="n">
        <v>0</v>
      </c>
      <c r="T13" s="908">
        <f>TableauProduit[[#This Row],[Poids (g) / unité]]*TableauProduit[[#This Row],[Objectif de vente en unité N2]]/1000</f>
        <v/>
      </c>
      <c r="U13" s="909">
        <f>TableauProduit[[#This Row],[Objectif de vente en unité N2]]*TableauProduit[[#This Row],[Packaging / unité]]</f>
        <v/>
      </c>
      <c r="V13" s="909">
        <f>TableauProduit[[#This Row],[Prix achat plantes / kg]]*TableauProduit[[#This Row],[Total (kg) N2]]</f>
        <v/>
      </c>
      <c r="W13" s="909">
        <f>TableauProduit[[#This Row],[Prix de vente/kg]]*TableauProduit[[#This Row],[Total (kg) N2]]</f>
        <v/>
      </c>
      <c r="X13" s="910">
        <f>TableauProduit[[#This Row],[Revenu brut N2]]-TableauProduit[[#This Row],[Achat plantes N2]]-TableauProduit[[#This Row],[Conditionnement N2]]</f>
        <v/>
      </c>
      <c r="Y13" s="911" t="n">
        <v>0</v>
      </c>
      <c r="Z13" s="912">
        <f>TableauProduit[[#This Row],[Poids (g) / unité]]*TableauProduit[[#This Row],[Objectif de vente en unité N3]]/1000</f>
        <v/>
      </c>
      <c r="AA13" s="913">
        <f>TableauProduit[[#This Row],[Objectif de vente en unité N3]]*TableauProduit[[#This Row],[Packaging / unité]]</f>
        <v/>
      </c>
      <c r="AB13" s="913">
        <f>TableauProduit[[#This Row],[Prix achat plantes / kg]]*TableauProduit[[#This Row],[Total (kg) N3]]</f>
        <v/>
      </c>
      <c r="AC13" s="913">
        <f>TableauProduit[[#This Row],[Prix de vente/kg]]*TableauProduit[[#This Row],[Total (kg) N3]]</f>
        <v/>
      </c>
      <c r="AD13" s="914">
        <f>TableauProduit[[#This Row],[Revenu brut N3]]-TableauProduit[[#This Row],[Achat plantes N3]]-TableauProduit[[#This Row],[Conditionnement N3]]</f>
        <v/>
      </c>
      <c r="AE13" s="915" t="n">
        <v>0</v>
      </c>
      <c r="AF13" s="915">
        <f>TableauProduit[[#This Row],[Poids (g) / unité]]*TableauProduit[[#This Row],[Objectif de vente en unité N4]]/1000</f>
        <v/>
      </c>
      <c r="AG13" s="916">
        <f>TableauProduit[[#This Row],[Objectif de vente en unité N4]]*TableauProduit[[#This Row],[Packaging / unité]]</f>
        <v/>
      </c>
      <c r="AH13" s="916">
        <f>TableauProduit[[#This Row],[Prix achat plantes / kg]]*TableauProduit[[#This Row],[Total (kg) N4]]</f>
        <v/>
      </c>
      <c r="AI13" s="916">
        <f>TableauProduit[[#This Row],[Prix de vente/kg]]*TableauProduit[[#This Row],[Total (kg) N4]]</f>
        <v/>
      </c>
      <c r="AJ13" s="915">
        <f>TableauProduit[[#This Row],[Revenu brut N4]]-TableauProduit[[#This Row],[Achat plantes N4]]-TableauProduit[[#This Row],[Conditionnement N4]]</f>
        <v/>
      </c>
      <c r="AK13" s="917" t="n">
        <v>0</v>
      </c>
      <c r="AL13" s="917">
        <f>TableauProduit[[#This Row],[Poids (g) / unité]]*TableauProduit[[#This Row],[Objectif de vente en unité N5]]/1000</f>
        <v/>
      </c>
      <c r="AM13" s="918">
        <f>TableauProduit[[#This Row],[Objectif de vente en unité N5]]*TableauProduit[[#This Row],[Packaging / unité]]</f>
        <v/>
      </c>
      <c r="AN13" s="918">
        <f>TableauProduit[[#This Row],[Prix achat plantes / kg]]*TableauProduit[[#This Row],[Total (kg) N5]]</f>
        <v/>
      </c>
      <c r="AO13" s="918">
        <f>TableauProduit[[#This Row],[Prix de vente/kg]]*TableauProduit[[#This Row],[Total (kg) N5]]</f>
        <v/>
      </c>
      <c r="AP13" s="917">
        <f>TableauProduit[[#This Row],[Revenu brut N5]]-TableauProduit[[#This Row],[Achat plantes N5]]-TableauProduit[[#This Row],[Conditionnement N5]]</f>
        <v/>
      </c>
      <c r="AQ13" s="919" t="n">
        <v>0</v>
      </c>
      <c r="AR13" s="919">
        <f>TableauProduit[[#This Row],[Poids (g) / unité]]*TableauProduit[[#This Row],[Objectif de vente en unité N6]]/1000</f>
        <v/>
      </c>
      <c r="AS13" s="920">
        <f>TableauProduit[[#This Row],[Objectif de vente en unité N6]]*TableauProduit[[#This Row],[Packaging / unité]]</f>
        <v/>
      </c>
      <c r="AT13" s="920">
        <f>TableauProduit[[#This Row],[Prix achat plantes / kg]]*TableauProduit[[#This Row],[Total (kg) N6]]</f>
        <v/>
      </c>
      <c r="AU13" s="920">
        <f>TableauProduit[[#This Row],[Prix de vente/kg]]*TableauProduit[[#This Row],[Total (kg) N6]]</f>
        <v/>
      </c>
      <c r="AV13" s="919">
        <f>TableauProduit[[#This Row],[Revenu brut N6]]-TableauProduit[[#This Row],[Achat plantes N6]]-TableauProduit[[#This Row],[Conditionnement N6]]</f>
        <v/>
      </c>
      <c r="AW13" s="904" t="n">
        <v>0</v>
      </c>
      <c r="AX13" s="904">
        <f>TableauProduit[[#This Row],[Poids (g) / unité]]*TableauProduit[[#This Row],[Objectif de vente en unité N7]]/1000</f>
        <v/>
      </c>
      <c r="AY13" s="905">
        <f>TableauProduit[[#This Row],[Objectif de vente en unité N7]]*TableauProduit[[#This Row],[Packaging / unité]]</f>
        <v/>
      </c>
      <c r="AZ13" s="905">
        <f>TableauProduit[[#This Row],[Prix achat plantes / kg]]*TableauProduit[[#This Row],[Total (kg) N7]]</f>
        <v/>
      </c>
      <c r="BA13" s="905">
        <f>TableauProduit[[#This Row],[Prix de vente/kg]]*TableauProduit[[#This Row],[Total (kg) N7]]</f>
        <v/>
      </c>
      <c r="BB13" s="921">
        <f>TableauProduit[[#This Row],[Revenu brut N7]]-TableauProduit[[#This Row],[Achat plantes N7]]-TableauProduit[[#This Row],[Conditionnement N7]]</f>
        <v/>
      </c>
      <c r="BC13" s="922" t="n">
        <v>0</v>
      </c>
      <c r="BD13" s="923">
        <f>TableauProduit[[#This Row],[Poids (g) / unité]]*TableauProduit[[#This Row],[Objectif de vente en unité N8]]/1000</f>
        <v/>
      </c>
      <c r="BE13" s="924">
        <f>TableauProduit[[#This Row],[Objectif de vente en unité N8]]*TableauProduit[[#This Row],[Packaging / unité]]</f>
        <v/>
      </c>
      <c r="BF13" s="924">
        <f>TableauProduit[[#This Row],[Prix achat plantes / kg]]*TableauProduit[[#This Row],[Total (kg) N8]]</f>
        <v/>
      </c>
      <c r="BG13" s="924">
        <f>TableauProduit[[#This Row],[Prix de vente/kg]]*TableauProduit[[#This Row],[Total (kg) N8]]</f>
        <v/>
      </c>
      <c r="BH13" s="925">
        <f>TableauProduit[[#This Row],[Revenu brut N8]]-TableauProduit[[#This Row],[Achat plantes N8]]-TableauProduit[[#This Row],[Conditionnement N8]]</f>
        <v/>
      </c>
      <c r="BI13" s="926" t="n">
        <v>0</v>
      </c>
      <c r="BJ13" s="927">
        <f>TableauProduit[[#This Row],[Poids (g) / unité]]*TableauProduit[[#This Row],[Objectif de vente en unité N9]]/1000</f>
        <v/>
      </c>
      <c r="BK13" s="928">
        <f>TableauProduit[[#This Row],[Objectif de vente en unité N9]]*TableauProduit[[#This Row],[Packaging / unité]]</f>
        <v/>
      </c>
      <c r="BL13" s="928">
        <f>TableauProduit[[#This Row],[Prix achat plantes / kg]]*TableauProduit[[#This Row],[Total (kg) N9]]</f>
        <v/>
      </c>
      <c r="BM13" s="928">
        <f>TableauProduit[[#This Row],[Prix de vente/kg]]*TableauProduit[[#This Row],[Total (kg) N9]]</f>
        <v/>
      </c>
      <c r="BN13" s="927">
        <f>TableauProduit[[#This Row],[Revenu brut N9]]-TableauProduit[[#This Row],[Achat plantes N9]]-TableauProduit[[#This Row],[Conditionnement N9]]</f>
        <v/>
      </c>
      <c r="BO13" t="inlineStr">
        <is>
          <t>Mélange</t>
        </is>
      </c>
    </row>
    <row r="14">
      <c r="A14" s="13" t="inlineStr">
        <is>
          <t>Ail semoule</t>
        </is>
      </c>
      <c r="B14" s="54">
        <f>TableauProduit[[#This Row],[Recette]]&amp;TableauProduit[[#This Row],[Conditionnement]]</f>
        <v/>
      </c>
      <c r="C14" s="11" t="n">
        <v>1</v>
      </c>
      <c r="D14" s="11" t="n">
        <v>50</v>
      </c>
      <c r="E14" s="6" t="inlineStr">
        <is>
          <t>Epice 100ml</t>
        </is>
      </c>
      <c r="F14" s="7">
        <f>IFERROR(VLOOKUP(TableauProduit[[#This Row],[Conditionnement]],TableauConditionnement[[Nom]:[Contenance]],4,FALSE),"")</f>
        <v/>
      </c>
      <c r="G14" s="897">
        <f>IFERROR(SUMIFS(TableauRecette[Prix d''achat / kg],TableauRecette[Recette],TableauProduit[[#This Row],[Recette]],TableauRecette[Conditionnement],TableauProduit[[#This Row],[Conditionnement]]),0)</f>
        <v/>
      </c>
      <c r="H14" s="898" t="n">
        <v>6</v>
      </c>
      <c r="I14" s="899">
        <f>1000*TableauProduit[[#This Row],[Prix de vente/U]]/TableauProduit[[#This Row],[Poids (g) / unité]]</f>
        <v/>
      </c>
      <c r="J14" s="900">
        <f>SUMIFS(TableauConcurence[PRIX_KG],TableauConcurence[PRODUIT],TableauProduit[[#This Row],[Recette]],TableauConcurence[DISTRIBUTION],"magasin NON BIO")</f>
        <v/>
      </c>
      <c r="K14" s="901">
        <f>SUMIFS(TableauConcurence[PRIX_KG],TableauConcurence[PRODUIT],TableauProduit[[#This Row],[Recette]],TableauConcurence[DISTRIBUTION],"magasin BIO")</f>
        <v/>
      </c>
      <c r="L14" s="902">
        <f>SUMIFS(TableauConcurence[PRIX_KG],TableauConcurence[PRODUIT],TableauProduit[[#This Row],[Recette]],TableauConcurence[DISTRIBUTION],"artisanale BIO")</f>
        <v/>
      </c>
      <c r="M14" s="903" t="n">
        <v>0</v>
      </c>
      <c r="N14" s="904">
        <f>TableauProduit[[#This Row],[Poids (g) / unité]]*TableauProduit[[#This Row],[Objectif de vente en unité N1]]/1000</f>
        <v/>
      </c>
      <c r="O14" s="905">
        <f>TableauProduit[[#This Row],[Objectif de vente en unité N1]]*TableauProduit[[#This Row],[Packaging / unité]]</f>
        <v/>
      </c>
      <c r="P14" s="905">
        <f>TableauProduit[[#This Row],[Prix achat plantes / kg]]*TableauProduit[[#This Row],[Total (kg) N1]]</f>
        <v/>
      </c>
      <c r="Q14" s="905">
        <f>TableauProduit[[#This Row],[Prix de vente/kg]]*TableauProduit[[#This Row],[Total (kg) N1]]</f>
        <v/>
      </c>
      <c r="R14" s="906">
        <f>TableauProduit[[#This Row],[Revenu brut N1]]-TableauProduit[[#This Row],[Achat plantes N1]]-TableauProduit[[#This Row],[Conditionnement N1]]</f>
        <v/>
      </c>
      <c r="S14" s="907" t="n">
        <v>0</v>
      </c>
      <c r="T14" s="908">
        <f>TableauProduit[[#This Row],[Poids (g) / unité]]*TableauProduit[[#This Row],[Objectif de vente en unité N2]]/1000</f>
        <v/>
      </c>
      <c r="U14" s="909">
        <f>TableauProduit[[#This Row],[Objectif de vente en unité N2]]*TableauProduit[[#This Row],[Packaging / unité]]</f>
        <v/>
      </c>
      <c r="V14" s="909">
        <f>TableauProduit[[#This Row],[Prix achat plantes / kg]]*TableauProduit[[#This Row],[Total (kg) N2]]</f>
        <v/>
      </c>
      <c r="W14" s="909">
        <f>TableauProduit[[#This Row],[Prix de vente/kg]]*TableauProduit[[#This Row],[Total (kg) N2]]</f>
        <v/>
      </c>
      <c r="X14" s="910">
        <f>TableauProduit[[#This Row],[Revenu brut N2]]-TableauProduit[[#This Row],[Achat plantes N2]]-TableauProduit[[#This Row],[Conditionnement N2]]</f>
        <v/>
      </c>
      <c r="Y14" s="911" t="n">
        <v>0</v>
      </c>
      <c r="Z14" s="912">
        <f>TableauProduit[[#This Row],[Poids (g) / unité]]*TableauProduit[[#This Row],[Objectif de vente en unité N3]]/1000</f>
        <v/>
      </c>
      <c r="AA14" s="913">
        <f>TableauProduit[[#This Row],[Objectif de vente en unité N3]]*TableauProduit[[#This Row],[Packaging / unité]]</f>
        <v/>
      </c>
      <c r="AB14" s="913">
        <f>TableauProduit[[#This Row],[Prix achat plantes / kg]]*TableauProduit[[#This Row],[Total (kg) N3]]</f>
        <v/>
      </c>
      <c r="AC14" s="913">
        <f>TableauProduit[[#This Row],[Prix de vente/kg]]*TableauProduit[[#This Row],[Total (kg) N3]]</f>
        <v/>
      </c>
      <c r="AD14" s="914">
        <f>TableauProduit[[#This Row],[Revenu brut N3]]-TableauProduit[[#This Row],[Achat plantes N3]]-TableauProduit[[#This Row],[Conditionnement N3]]</f>
        <v/>
      </c>
      <c r="AE14" s="915" t="n">
        <v>0</v>
      </c>
      <c r="AF14" s="915">
        <f>TableauProduit[[#This Row],[Poids (g) / unité]]*TableauProduit[[#This Row],[Objectif de vente en unité N4]]/1000</f>
        <v/>
      </c>
      <c r="AG14" s="916">
        <f>TableauProduit[[#This Row],[Objectif de vente en unité N4]]*TableauProduit[[#This Row],[Packaging / unité]]</f>
        <v/>
      </c>
      <c r="AH14" s="916">
        <f>TableauProduit[[#This Row],[Prix achat plantes / kg]]*TableauProduit[[#This Row],[Total (kg) N4]]</f>
        <v/>
      </c>
      <c r="AI14" s="916">
        <f>TableauProduit[[#This Row],[Prix de vente/kg]]*TableauProduit[[#This Row],[Total (kg) N4]]</f>
        <v/>
      </c>
      <c r="AJ14" s="915">
        <f>TableauProduit[[#This Row],[Revenu brut N4]]-TableauProduit[[#This Row],[Achat plantes N4]]-TableauProduit[[#This Row],[Conditionnement N4]]</f>
        <v/>
      </c>
      <c r="AK14" s="917" t="n">
        <v>0</v>
      </c>
      <c r="AL14" s="917">
        <f>TableauProduit[[#This Row],[Poids (g) / unité]]*TableauProduit[[#This Row],[Objectif de vente en unité N5]]/1000</f>
        <v/>
      </c>
      <c r="AM14" s="918">
        <f>TableauProduit[[#This Row],[Objectif de vente en unité N5]]*TableauProduit[[#This Row],[Packaging / unité]]</f>
        <v/>
      </c>
      <c r="AN14" s="918">
        <f>TableauProduit[[#This Row],[Prix achat plantes / kg]]*TableauProduit[[#This Row],[Total (kg) N5]]</f>
        <v/>
      </c>
      <c r="AO14" s="918">
        <f>TableauProduit[[#This Row],[Prix de vente/kg]]*TableauProduit[[#This Row],[Total (kg) N5]]</f>
        <v/>
      </c>
      <c r="AP14" s="917">
        <f>TableauProduit[[#This Row],[Revenu brut N5]]-TableauProduit[[#This Row],[Achat plantes N5]]-TableauProduit[[#This Row],[Conditionnement N5]]</f>
        <v/>
      </c>
      <c r="AQ14" s="919" t="n">
        <v>0</v>
      </c>
      <c r="AR14" s="919">
        <f>TableauProduit[[#This Row],[Poids (g) / unité]]*TableauProduit[[#This Row],[Objectif de vente en unité N6]]/1000</f>
        <v/>
      </c>
      <c r="AS14" s="920">
        <f>TableauProduit[[#This Row],[Objectif de vente en unité N6]]*TableauProduit[[#This Row],[Packaging / unité]]</f>
        <v/>
      </c>
      <c r="AT14" s="920">
        <f>TableauProduit[[#This Row],[Prix achat plantes / kg]]*TableauProduit[[#This Row],[Total (kg) N6]]</f>
        <v/>
      </c>
      <c r="AU14" s="920">
        <f>TableauProduit[[#This Row],[Prix de vente/kg]]*TableauProduit[[#This Row],[Total (kg) N6]]</f>
        <v/>
      </c>
      <c r="AV14" s="919">
        <f>TableauProduit[[#This Row],[Revenu brut N6]]-TableauProduit[[#This Row],[Achat plantes N6]]-TableauProduit[[#This Row],[Conditionnement N6]]</f>
        <v/>
      </c>
      <c r="AW14" s="904" t="n">
        <v>0</v>
      </c>
      <c r="AX14" s="904">
        <f>TableauProduit[[#This Row],[Poids (g) / unité]]*TableauProduit[[#This Row],[Objectif de vente en unité N7]]/1000</f>
        <v/>
      </c>
      <c r="AY14" s="905">
        <f>TableauProduit[[#This Row],[Objectif de vente en unité N7]]*TableauProduit[[#This Row],[Packaging / unité]]</f>
        <v/>
      </c>
      <c r="AZ14" s="905">
        <f>TableauProduit[[#This Row],[Prix achat plantes / kg]]*TableauProduit[[#This Row],[Total (kg) N7]]</f>
        <v/>
      </c>
      <c r="BA14" s="905">
        <f>TableauProduit[[#This Row],[Prix de vente/kg]]*TableauProduit[[#This Row],[Total (kg) N7]]</f>
        <v/>
      </c>
      <c r="BB14" s="921">
        <f>TableauProduit[[#This Row],[Revenu brut N7]]-TableauProduit[[#This Row],[Achat plantes N7]]-TableauProduit[[#This Row],[Conditionnement N7]]</f>
        <v/>
      </c>
      <c r="BC14" s="922" t="n">
        <v>0</v>
      </c>
      <c r="BD14" s="923">
        <f>TableauProduit[[#This Row],[Poids (g) / unité]]*TableauProduit[[#This Row],[Objectif de vente en unité N8]]/1000</f>
        <v/>
      </c>
      <c r="BE14" s="924">
        <f>TableauProduit[[#This Row],[Objectif de vente en unité N8]]*TableauProduit[[#This Row],[Packaging / unité]]</f>
        <v/>
      </c>
      <c r="BF14" s="924">
        <f>TableauProduit[[#This Row],[Prix achat plantes / kg]]*TableauProduit[[#This Row],[Total (kg) N8]]</f>
        <v/>
      </c>
      <c r="BG14" s="924">
        <f>TableauProduit[[#This Row],[Prix de vente/kg]]*TableauProduit[[#This Row],[Total (kg) N8]]</f>
        <v/>
      </c>
      <c r="BH14" s="925">
        <f>TableauProduit[[#This Row],[Revenu brut N8]]-TableauProduit[[#This Row],[Achat plantes N8]]-TableauProduit[[#This Row],[Conditionnement N8]]</f>
        <v/>
      </c>
      <c r="BI14" s="926" t="n">
        <v>0</v>
      </c>
      <c r="BJ14" s="927">
        <f>TableauProduit[[#This Row],[Poids (g) / unité]]*TableauProduit[[#This Row],[Objectif de vente en unité N9]]/1000</f>
        <v/>
      </c>
      <c r="BK14" s="928">
        <f>TableauProduit[[#This Row],[Objectif de vente en unité N9]]*TableauProduit[[#This Row],[Packaging / unité]]</f>
        <v/>
      </c>
      <c r="BL14" s="928">
        <f>TableauProduit[[#This Row],[Prix achat plantes / kg]]*TableauProduit[[#This Row],[Total (kg) N9]]</f>
        <v/>
      </c>
      <c r="BM14" s="928">
        <f>TableauProduit[[#This Row],[Prix de vente/kg]]*TableauProduit[[#This Row],[Total (kg) N9]]</f>
        <v/>
      </c>
      <c r="BN14" s="927">
        <f>TableauProduit[[#This Row],[Revenu brut N9]]-TableauProduit[[#This Row],[Achat plantes N9]]-TableauProduit[[#This Row],[Conditionnement N9]]</f>
        <v/>
      </c>
      <c r="BO14" t="inlineStr">
        <is>
          <t>Brut (hors gamme)</t>
        </is>
      </c>
    </row>
    <row r="15">
      <c r="A15" s="13" t="inlineStr">
        <is>
          <t>Carvi graine</t>
        </is>
      </c>
      <c r="B15" s="54">
        <f>TableauProduit[[#This Row],[Recette]]&amp;TableauProduit[[#This Row],[Conditionnement]]</f>
        <v/>
      </c>
      <c r="C15" s="11" t="n">
        <v>1</v>
      </c>
      <c r="D15" s="11" t="n">
        <v>45</v>
      </c>
      <c r="E15" s="6" t="inlineStr">
        <is>
          <t>Epice 100ml</t>
        </is>
      </c>
      <c r="F15" s="7">
        <f>IFERROR(VLOOKUP(TableauProduit[[#This Row],[Conditionnement]],TableauConditionnement[[Nom]:[Contenance]],4,FALSE),"")</f>
        <v/>
      </c>
      <c r="G15" s="897">
        <f>IFERROR(SUMIFS(TableauRecette[Prix d''achat / kg],TableauRecette[Recette],TableauProduit[[#This Row],[Recette]],TableauRecette[Conditionnement],TableauProduit[[#This Row],[Conditionnement]]),0)</f>
        <v/>
      </c>
      <c r="H15" s="898" t="n">
        <v>2.7</v>
      </c>
      <c r="I15" s="899">
        <f>1000*TableauProduit[[#This Row],[Prix de vente/U]]/TableauProduit[[#This Row],[Poids (g) / unité]]</f>
        <v/>
      </c>
      <c r="J15" s="900">
        <f>SUMIFS(TableauConcurence[PRIX_KG],TableauConcurence[PRODUIT],TableauProduit[[#This Row],[Recette]],TableauConcurence[DISTRIBUTION],"magasin NON BIO")</f>
        <v/>
      </c>
      <c r="K15" s="901">
        <f>SUMIFS(TableauConcurence[PRIX_KG],TableauConcurence[PRODUIT],TableauProduit[[#This Row],[Recette]],TableauConcurence[DISTRIBUTION],"magasin BIO")</f>
        <v/>
      </c>
      <c r="L15" s="902">
        <f>SUMIFS(TableauConcurence[PRIX_KG],TableauConcurence[PRODUIT],TableauProduit[[#This Row],[Recette]],TableauConcurence[DISTRIBUTION],"artisanale BIO")</f>
        <v/>
      </c>
      <c r="M15" s="903" t="n">
        <v>0</v>
      </c>
      <c r="N15" s="904">
        <f>TableauProduit[[#This Row],[Poids (g) / unité]]*TableauProduit[[#This Row],[Objectif de vente en unité N1]]/1000</f>
        <v/>
      </c>
      <c r="O15" s="905">
        <f>TableauProduit[[#This Row],[Objectif de vente en unité N1]]*TableauProduit[[#This Row],[Packaging / unité]]</f>
        <v/>
      </c>
      <c r="P15" s="905">
        <f>TableauProduit[[#This Row],[Prix achat plantes / kg]]*TableauProduit[[#This Row],[Total (kg) N1]]</f>
        <v/>
      </c>
      <c r="Q15" s="905">
        <f>TableauProduit[[#This Row],[Prix de vente/kg]]*TableauProduit[[#This Row],[Total (kg) N1]]</f>
        <v/>
      </c>
      <c r="R15" s="906">
        <f>TableauProduit[[#This Row],[Revenu brut N1]]-TableauProduit[[#This Row],[Achat plantes N1]]-TableauProduit[[#This Row],[Conditionnement N1]]</f>
        <v/>
      </c>
      <c r="S15" s="907" t="n">
        <v>0</v>
      </c>
      <c r="T15" s="908">
        <f>TableauProduit[[#This Row],[Poids (g) / unité]]*TableauProduit[[#This Row],[Objectif de vente en unité N2]]/1000</f>
        <v/>
      </c>
      <c r="U15" s="909">
        <f>TableauProduit[[#This Row],[Objectif de vente en unité N2]]*TableauProduit[[#This Row],[Packaging / unité]]</f>
        <v/>
      </c>
      <c r="V15" s="909">
        <f>TableauProduit[[#This Row],[Prix achat plantes / kg]]*TableauProduit[[#This Row],[Total (kg) N2]]</f>
        <v/>
      </c>
      <c r="W15" s="909">
        <f>TableauProduit[[#This Row],[Prix de vente/kg]]*TableauProduit[[#This Row],[Total (kg) N2]]</f>
        <v/>
      </c>
      <c r="X15" s="910">
        <f>TableauProduit[[#This Row],[Revenu brut N2]]-TableauProduit[[#This Row],[Achat plantes N2]]-TableauProduit[[#This Row],[Conditionnement N2]]</f>
        <v/>
      </c>
      <c r="Y15" s="911" t="n">
        <v>0</v>
      </c>
      <c r="Z15" s="912">
        <f>TableauProduit[[#This Row],[Poids (g) / unité]]*TableauProduit[[#This Row],[Objectif de vente en unité N3]]/1000</f>
        <v/>
      </c>
      <c r="AA15" s="913">
        <f>TableauProduit[[#This Row],[Objectif de vente en unité N3]]*TableauProduit[[#This Row],[Packaging / unité]]</f>
        <v/>
      </c>
      <c r="AB15" s="913">
        <f>TableauProduit[[#This Row],[Prix achat plantes / kg]]*TableauProduit[[#This Row],[Total (kg) N3]]</f>
        <v/>
      </c>
      <c r="AC15" s="913">
        <f>TableauProduit[[#This Row],[Prix de vente/kg]]*TableauProduit[[#This Row],[Total (kg) N3]]</f>
        <v/>
      </c>
      <c r="AD15" s="914">
        <f>TableauProduit[[#This Row],[Revenu brut N3]]-TableauProduit[[#This Row],[Achat plantes N3]]-TableauProduit[[#This Row],[Conditionnement N3]]</f>
        <v/>
      </c>
      <c r="AE15" s="915" t="n">
        <v>0</v>
      </c>
      <c r="AF15" s="915">
        <f>TableauProduit[[#This Row],[Poids (g) / unité]]*TableauProduit[[#This Row],[Objectif de vente en unité N4]]/1000</f>
        <v/>
      </c>
      <c r="AG15" s="916">
        <f>TableauProduit[[#This Row],[Objectif de vente en unité N4]]*TableauProduit[[#This Row],[Packaging / unité]]</f>
        <v/>
      </c>
      <c r="AH15" s="916">
        <f>TableauProduit[[#This Row],[Prix achat plantes / kg]]*TableauProduit[[#This Row],[Total (kg) N4]]</f>
        <v/>
      </c>
      <c r="AI15" s="916">
        <f>TableauProduit[[#This Row],[Prix de vente/kg]]*TableauProduit[[#This Row],[Total (kg) N4]]</f>
        <v/>
      </c>
      <c r="AJ15" s="915">
        <f>TableauProduit[[#This Row],[Revenu brut N4]]-TableauProduit[[#This Row],[Achat plantes N4]]-TableauProduit[[#This Row],[Conditionnement N4]]</f>
        <v/>
      </c>
      <c r="AK15" s="917" t="n">
        <v>0</v>
      </c>
      <c r="AL15" s="917">
        <f>TableauProduit[[#This Row],[Poids (g) / unité]]*TableauProduit[[#This Row],[Objectif de vente en unité N5]]/1000</f>
        <v/>
      </c>
      <c r="AM15" s="918">
        <f>TableauProduit[[#This Row],[Objectif de vente en unité N5]]*TableauProduit[[#This Row],[Packaging / unité]]</f>
        <v/>
      </c>
      <c r="AN15" s="918">
        <f>TableauProduit[[#This Row],[Prix achat plantes / kg]]*TableauProduit[[#This Row],[Total (kg) N5]]</f>
        <v/>
      </c>
      <c r="AO15" s="918">
        <f>TableauProduit[[#This Row],[Prix de vente/kg]]*TableauProduit[[#This Row],[Total (kg) N5]]</f>
        <v/>
      </c>
      <c r="AP15" s="917">
        <f>TableauProduit[[#This Row],[Revenu brut N5]]-TableauProduit[[#This Row],[Achat plantes N5]]-TableauProduit[[#This Row],[Conditionnement N5]]</f>
        <v/>
      </c>
      <c r="AQ15" s="919" t="n">
        <v>0</v>
      </c>
      <c r="AR15" s="919">
        <f>TableauProduit[[#This Row],[Poids (g) / unité]]*TableauProduit[[#This Row],[Objectif de vente en unité N6]]/1000</f>
        <v/>
      </c>
      <c r="AS15" s="920">
        <f>TableauProduit[[#This Row],[Objectif de vente en unité N6]]*TableauProduit[[#This Row],[Packaging / unité]]</f>
        <v/>
      </c>
      <c r="AT15" s="920">
        <f>TableauProduit[[#This Row],[Prix achat plantes / kg]]*TableauProduit[[#This Row],[Total (kg) N6]]</f>
        <v/>
      </c>
      <c r="AU15" s="920">
        <f>TableauProduit[[#This Row],[Prix de vente/kg]]*TableauProduit[[#This Row],[Total (kg) N6]]</f>
        <v/>
      </c>
      <c r="AV15" s="919">
        <f>TableauProduit[[#This Row],[Revenu brut N6]]-TableauProduit[[#This Row],[Achat plantes N6]]-TableauProduit[[#This Row],[Conditionnement N6]]</f>
        <v/>
      </c>
      <c r="AW15" s="904" t="n">
        <v>0</v>
      </c>
      <c r="AX15" s="904">
        <f>TableauProduit[[#This Row],[Poids (g) / unité]]*TableauProduit[[#This Row],[Objectif de vente en unité N7]]/1000</f>
        <v/>
      </c>
      <c r="AY15" s="905">
        <f>TableauProduit[[#This Row],[Objectif de vente en unité N7]]*TableauProduit[[#This Row],[Packaging / unité]]</f>
        <v/>
      </c>
      <c r="AZ15" s="905">
        <f>TableauProduit[[#This Row],[Prix achat plantes / kg]]*TableauProduit[[#This Row],[Total (kg) N7]]</f>
        <v/>
      </c>
      <c r="BA15" s="905">
        <f>TableauProduit[[#This Row],[Prix de vente/kg]]*TableauProduit[[#This Row],[Total (kg) N7]]</f>
        <v/>
      </c>
      <c r="BB15" s="921">
        <f>TableauProduit[[#This Row],[Revenu brut N7]]-TableauProduit[[#This Row],[Achat plantes N7]]-TableauProduit[[#This Row],[Conditionnement N7]]</f>
        <v/>
      </c>
      <c r="BC15" s="922" t="n">
        <v>0</v>
      </c>
      <c r="BD15" s="923">
        <f>TableauProduit[[#This Row],[Poids (g) / unité]]*TableauProduit[[#This Row],[Objectif de vente en unité N8]]/1000</f>
        <v/>
      </c>
      <c r="BE15" s="924">
        <f>TableauProduit[[#This Row],[Objectif de vente en unité N8]]*TableauProduit[[#This Row],[Packaging / unité]]</f>
        <v/>
      </c>
      <c r="BF15" s="924">
        <f>TableauProduit[[#This Row],[Prix achat plantes / kg]]*TableauProduit[[#This Row],[Total (kg) N8]]</f>
        <v/>
      </c>
      <c r="BG15" s="924">
        <f>TableauProduit[[#This Row],[Prix de vente/kg]]*TableauProduit[[#This Row],[Total (kg) N8]]</f>
        <v/>
      </c>
      <c r="BH15" s="925">
        <f>TableauProduit[[#This Row],[Revenu brut N8]]-TableauProduit[[#This Row],[Achat plantes N8]]-TableauProduit[[#This Row],[Conditionnement N8]]</f>
        <v/>
      </c>
      <c r="BI15" s="926" t="n">
        <v>0</v>
      </c>
      <c r="BJ15" s="927">
        <f>TableauProduit[[#This Row],[Poids (g) / unité]]*TableauProduit[[#This Row],[Objectif de vente en unité N9]]/1000</f>
        <v/>
      </c>
      <c r="BK15" s="928">
        <f>TableauProduit[[#This Row],[Objectif de vente en unité N9]]*TableauProduit[[#This Row],[Packaging / unité]]</f>
        <v/>
      </c>
      <c r="BL15" s="928">
        <f>TableauProduit[[#This Row],[Prix achat plantes / kg]]*TableauProduit[[#This Row],[Total (kg) N9]]</f>
        <v/>
      </c>
      <c r="BM15" s="928">
        <f>TableauProduit[[#This Row],[Prix de vente/kg]]*TableauProduit[[#This Row],[Total (kg) N9]]</f>
        <v/>
      </c>
      <c r="BN15" s="927">
        <f>TableauProduit[[#This Row],[Revenu brut N9]]-TableauProduit[[#This Row],[Achat plantes N9]]-TableauProduit[[#This Row],[Conditionnement N9]]</f>
        <v/>
      </c>
      <c r="BO15" t="inlineStr">
        <is>
          <t>Brut (hors gamme)</t>
        </is>
      </c>
    </row>
    <row r="16">
      <c r="A16" s="13" t="inlineStr">
        <is>
          <t>Curcuma</t>
        </is>
      </c>
      <c r="B16" s="54">
        <f>TableauProduit[[#This Row],[Recette]]&amp;TableauProduit[[#This Row],[Conditionnement]]</f>
        <v/>
      </c>
      <c r="C16" s="11" t="n">
        <v>1</v>
      </c>
      <c r="D16" s="11" t="n">
        <v>60</v>
      </c>
      <c r="E16" s="6" t="inlineStr">
        <is>
          <t>Epice 100ml</t>
        </is>
      </c>
      <c r="F16" s="7">
        <f>IFERROR(VLOOKUP(TableauProduit[[#This Row],[Conditionnement]],TableauConditionnement[[Nom]:[Contenance]],4,FALSE),"")</f>
        <v/>
      </c>
      <c r="G16" s="897">
        <f>IFERROR(SUMIFS(TableauRecette[Prix d''achat / kg],TableauRecette[Recette],TableauProduit[[#This Row],[Recette]],TableauRecette[Conditionnement],TableauProduit[[#This Row],[Conditionnement]]),0)</f>
        <v/>
      </c>
      <c r="H16" s="898" t="n">
        <v>7</v>
      </c>
      <c r="I16" s="899">
        <f>1000*TableauProduit[[#This Row],[Prix de vente/U]]/TableauProduit[[#This Row],[Poids (g) / unité]]</f>
        <v/>
      </c>
      <c r="J16" s="900">
        <f>SUMIFS(TableauConcurence[PRIX_KG],TableauConcurence[PRODUIT],TableauProduit[[#This Row],[Recette]],TableauConcurence[DISTRIBUTION],"magasin NON BIO")</f>
        <v/>
      </c>
      <c r="K16" s="901">
        <f>SUMIFS(TableauConcurence[PRIX_KG],TableauConcurence[PRODUIT],TableauProduit[[#This Row],[Recette]],TableauConcurence[DISTRIBUTION],"magasin BIO")</f>
        <v/>
      </c>
      <c r="L16" s="902">
        <f>SUMIFS(TableauConcurence[PRIX_KG],TableauConcurence[PRODUIT],TableauProduit[[#This Row],[Recette]],TableauConcurence[DISTRIBUTION],"artisanale BIO")</f>
        <v/>
      </c>
      <c r="M16" s="903" t="n">
        <v>0</v>
      </c>
      <c r="N16" s="904">
        <f>TableauProduit[[#This Row],[Poids (g) / unité]]*TableauProduit[[#This Row],[Objectif de vente en unité N1]]/1000</f>
        <v/>
      </c>
      <c r="O16" s="905">
        <f>TableauProduit[[#This Row],[Objectif de vente en unité N1]]*TableauProduit[[#This Row],[Packaging / unité]]</f>
        <v/>
      </c>
      <c r="P16" s="905">
        <f>TableauProduit[[#This Row],[Prix achat plantes / kg]]*TableauProduit[[#This Row],[Total (kg) N1]]</f>
        <v/>
      </c>
      <c r="Q16" s="905">
        <f>TableauProduit[[#This Row],[Prix de vente/kg]]*TableauProduit[[#This Row],[Total (kg) N1]]</f>
        <v/>
      </c>
      <c r="R16" s="906">
        <f>TableauProduit[[#This Row],[Revenu brut N1]]-TableauProduit[[#This Row],[Achat plantes N1]]-TableauProduit[[#This Row],[Conditionnement N1]]</f>
        <v/>
      </c>
      <c r="S16" s="907" t="n">
        <v>0</v>
      </c>
      <c r="T16" s="908">
        <f>TableauProduit[[#This Row],[Poids (g) / unité]]*TableauProduit[[#This Row],[Objectif de vente en unité N2]]/1000</f>
        <v/>
      </c>
      <c r="U16" s="909">
        <f>TableauProduit[[#This Row],[Objectif de vente en unité N2]]*TableauProduit[[#This Row],[Packaging / unité]]</f>
        <v/>
      </c>
      <c r="V16" s="909">
        <f>TableauProduit[[#This Row],[Prix achat plantes / kg]]*TableauProduit[[#This Row],[Total (kg) N2]]</f>
        <v/>
      </c>
      <c r="W16" s="909">
        <f>TableauProduit[[#This Row],[Prix de vente/kg]]*TableauProduit[[#This Row],[Total (kg) N2]]</f>
        <v/>
      </c>
      <c r="X16" s="910">
        <f>TableauProduit[[#This Row],[Revenu brut N2]]-TableauProduit[[#This Row],[Achat plantes N2]]-TableauProduit[[#This Row],[Conditionnement N2]]</f>
        <v/>
      </c>
      <c r="Y16" s="911" t="n">
        <v>0</v>
      </c>
      <c r="Z16" s="912">
        <f>TableauProduit[[#This Row],[Poids (g) / unité]]*TableauProduit[[#This Row],[Objectif de vente en unité N3]]/1000</f>
        <v/>
      </c>
      <c r="AA16" s="913">
        <f>TableauProduit[[#This Row],[Objectif de vente en unité N3]]*TableauProduit[[#This Row],[Packaging / unité]]</f>
        <v/>
      </c>
      <c r="AB16" s="913">
        <f>TableauProduit[[#This Row],[Prix achat plantes / kg]]*TableauProduit[[#This Row],[Total (kg) N3]]</f>
        <v/>
      </c>
      <c r="AC16" s="913">
        <f>TableauProduit[[#This Row],[Prix de vente/kg]]*TableauProduit[[#This Row],[Total (kg) N3]]</f>
        <v/>
      </c>
      <c r="AD16" s="914">
        <f>TableauProduit[[#This Row],[Revenu brut N3]]-TableauProduit[[#This Row],[Achat plantes N3]]-TableauProduit[[#This Row],[Conditionnement N3]]</f>
        <v/>
      </c>
      <c r="AE16" s="915" t="n">
        <v>0</v>
      </c>
      <c r="AF16" s="915">
        <f>TableauProduit[[#This Row],[Poids (g) / unité]]*TableauProduit[[#This Row],[Objectif de vente en unité N4]]/1000</f>
        <v/>
      </c>
      <c r="AG16" s="916">
        <f>TableauProduit[[#This Row],[Objectif de vente en unité N4]]*TableauProduit[[#This Row],[Packaging / unité]]</f>
        <v/>
      </c>
      <c r="AH16" s="916">
        <f>TableauProduit[[#This Row],[Prix achat plantes / kg]]*TableauProduit[[#This Row],[Total (kg) N4]]</f>
        <v/>
      </c>
      <c r="AI16" s="916">
        <f>TableauProduit[[#This Row],[Prix de vente/kg]]*TableauProduit[[#This Row],[Total (kg) N4]]</f>
        <v/>
      </c>
      <c r="AJ16" s="915">
        <f>TableauProduit[[#This Row],[Revenu brut N4]]-TableauProduit[[#This Row],[Achat plantes N4]]-TableauProduit[[#This Row],[Conditionnement N4]]</f>
        <v/>
      </c>
      <c r="AK16" s="917" t="n">
        <v>0</v>
      </c>
      <c r="AL16" s="917">
        <f>TableauProduit[[#This Row],[Poids (g) / unité]]*TableauProduit[[#This Row],[Objectif de vente en unité N5]]/1000</f>
        <v/>
      </c>
      <c r="AM16" s="918">
        <f>TableauProduit[[#This Row],[Objectif de vente en unité N5]]*TableauProduit[[#This Row],[Packaging / unité]]</f>
        <v/>
      </c>
      <c r="AN16" s="918">
        <f>TableauProduit[[#This Row],[Prix achat plantes / kg]]*TableauProduit[[#This Row],[Total (kg) N5]]</f>
        <v/>
      </c>
      <c r="AO16" s="918">
        <f>TableauProduit[[#This Row],[Prix de vente/kg]]*TableauProduit[[#This Row],[Total (kg) N5]]</f>
        <v/>
      </c>
      <c r="AP16" s="917">
        <f>TableauProduit[[#This Row],[Revenu brut N5]]-TableauProduit[[#This Row],[Achat plantes N5]]-TableauProduit[[#This Row],[Conditionnement N5]]</f>
        <v/>
      </c>
      <c r="AQ16" s="919" t="n">
        <v>0</v>
      </c>
      <c r="AR16" s="919">
        <f>TableauProduit[[#This Row],[Poids (g) / unité]]*TableauProduit[[#This Row],[Objectif de vente en unité N6]]/1000</f>
        <v/>
      </c>
      <c r="AS16" s="920">
        <f>TableauProduit[[#This Row],[Objectif de vente en unité N6]]*TableauProduit[[#This Row],[Packaging / unité]]</f>
        <v/>
      </c>
      <c r="AT16" s="920">
        <f>TableauProduit[[#This Row],[Prix achat plantes / kg]]*TableauProduit[[#This Row],[Total (kg) N6]]</f>
        <v/>
      </c>
      <c r="AU16" s="920">
        <f>TableauProduit[[#This Row],[Prix de vente/kg]]*TableauProduit[[#This Row],[Total (kg) N6]]</f>
        <v/>
      </c>
      <c r="AV16" s="919">
        <f>TableauProduit[[#This Row],[Revenu brut N6]]-TableauProduit[[#This Row],[Achat plantes N6]]-TableauProduit[[#This Row],[Conditionnement N6]]</f>
        <v/>
      </c>
      <c r="AW16" s="904" t="n">
        <v>0</v>
      </c>
      <c r="AX16" s="904">
        <f>TableauProduit[[#This Row],[Poids (g) / unité]]*TableauProduit[[#This Row],[Objectif de vente en unité N7]]/1000</f>
        <v/>
      </c>
      <c r="AY16" s="905">
        <f>TableauProduit[[#This Row],[Objectif de vente en unité N7]]*TableauProduit[[#This Row],[Packaging / unité]]</f>
        <v/>
      </c>
      <c r="AZ16" s="905">
        <f>TableauProduit[[#This Row],[Prix achat plantes / kg]]*TableauProduit[[#This Row],[Total (kg) N7]]</f>
        <v/>
      </c>
      <c r="BA16" s="905">
        <f>TableauProduit[[#This Row],[Prix de vente/kg]]*TableauProduit[[#This Row],[Total (kg) N7]]</f>
        <v/>
      </c>
      <c r="BB16" s="921">
        <f>TableauProduit[[#This Row],[Revenu brut N7]]-TableauProduit[[#This Row],[Achat plantes N7]]-TableauProduit[[#This Row],[Conditionnement N7]]</f>
        <v/>
      </c>
      <c r="BC16" s="922" t="n">
        <v>0</v>
      </c>
      <c r="BD16" s="923">
        <f>TableauProduit[[#This Row],[Poids (g) / unité]]*TableauProduit[[#This Row],[Objectif de vente en unité N8]]/1000</f>
        <v/>
      </c>
      <c r="BE16" s="924">
        <f>TableauProduit[[#This Row],[Objectif de vente en unité N8]]*TableauProduit[[#This Row],[Packaging / unité]]</f>
        <v/>
      </c>
      <c r="BF16" s="924">
        <f>TableauProduit[[#This Row],[Prix achat plantes / kg]]*TableauProduit[[#This Row],[Total (kg) N8]]</f>
        <v/>
      </c>
      <c r="BG16" s="924">
        <f>TableauProduit[[#This Row],[Prix de vente/kg]]*TableauProduit[[#This Row],[Total (kg) N8]]</f>
        <v/>
      </c>
      <c r="BH16" s="925">
        <f>TableauProduit[[#This Row],[Revenu brut N8]]-TableauProduit[[#This Row],[Achat plantes N8]]-TableauProduit[[#This Row],[Conditionnement N8]]</f>
        <v/>
      </c>
      <c r="BI16" s="926" t="n">
        <v>0</v>
      </c>
      <c r="BJ16" s="927">
        <f>TableauProduit[[#This Row],[Poids (g) / unité]]*TableauProduit[[#This Row],[Objectif de vente en unité N9]]/1000</f>
        <v/>
      </c>
      <c r="BK16" s="928">
        <f>TableauProduit[[#This Row],[Objectif de vente en unité N9]]*TableauProduit[[#This Row],[Packaging / unité]]</f>
        <v/>
      </c>
      <c r="BL16" s="928">
        <f>TableauProduit[[#This Row],[Prix achat plantes / kg]]*TableauProduit[[#This Row],[Total (kg) N9]]</f>
        <v/>
      </c>
      <c r="BM16" s="928">
        <f>TableauProduit[[#This Row],[Prix de vente/kg]]*TableauProduit[[#This Row],[Total (kg) N9]]</f>
        <v/>
      </c>
      <c r="BN16" s="927">
        <f>TableauProduit[[#This Row],[Revenu brut N9]]-TableauProduit[[#This Row],[Achat plantes N9]]-TableauProduit[[#This Row],[Conditionnement N9]]</f>
        <v/>
      </c>
      <c r="BO16" t="inlineStr">
        <is>
          <t>Brut (hors gamme)</t>
        </is>
      </c>
    </row>
    <row r="17">
      <c r="A17" s="13" t="inlineStr">
        <is>
          <t>Paprika</t>
        </is>
      </c>
      <c r="B17" s="54">
        <f>TableauProduit[[#This Row],[Recette]]&amp;TableauProduit[[#This Row],[Conditionnement]]</f>
        <v/>
      </c>
      <c r="C17" s="11" t="n">
        <v>1</v>
      </c>
      <c r="D17" s="11" t="n">
        <v>60</v>
      </c>
      <c r="E17" s="6" t="inlineStr">
        <is>
          <t>Epice 100ml</t>
        </is>
      </c>
      <c r="F17" s="7">
        <f>IFERROR(VLOOKUP(TableauProduit[[#This Row],[Conditionnement]],TableauConditionnement[[Nom]:[Contenance]],4,FALSE),"")</f>
        <v/>
      </c>
      <c r="G17" s="897">
        <f>IFERROR(SUMIFS(TableauRecette[Prix d''achat / kg],TableauRecette[Recette],TableauProduit[[#This Row],[Recette]],TableauRecette[Conditionnement],TableauProduit[[#This Row],[Conditionnement]]),0)</f>
        <v/>
      </c>
      <c r="H17" s="898" t="n">
        <v>6.5</v>
      </c>
      <c r="I17" s="899">
        <f>1000*TableauProduit[[#This Row],[Prix de vente/U]]/TableauProduit[[#This Row],[Poids (g) / unité]]</f>
        <v/>
      </c>
      <c r="J17" s="900">
        <f>SUMIFS(TableauConcurence[PRIX_KG],TableauConcurence[PRODUIT],TableauProduit[[#This Row],[Recette]],TableauConcurence[DISTRIBUTION],"magasin NON BIO")</f>
        <v/>
      </c>
      <c r="K17" s="901">
        <f>SUMIFS(TableauConcurence[PRIX_KG],TableauConcurence[PRODUIT],TableauProduit[[#This Row],[Recette]],TableauConcurence[DISTRIBUTION],"magasin BIO")</f>
        <v/>
      </c>
      <c r="L17" s="902">
        <f>SUMIFS(TableauConcurence[PRIX_KG],TableauConcurence[PRODUIT],TableauProduit[[#This Row],[Recette]],TableauConcurence[DISTRIBUTION],"artisanale BIO")</f>
        <v/>
      </c>
      <c r="M17" s="903" t="n">
        <v>0</v>
      </c>
      <c r="N17" s="904">
        <f>TableauProduit[[#This Row],[Poids (g) / unité]]*TableauProduit[[#This Row],[Objectif de vente en unité N1]]/1000</f>
        <v/>
      </c>
      <c r="O17" s="905">
        <f>TableauProduit[[#This Row],[Objectif de vente en unité N1]]*TableauProduit[[#This Row],[Packaging / unité]]</f>
        <v/>
      </c>
      <c r="P17" s="905">
        <f>TableauProduit[[#This Row],[Prix achat plantes / kg]]*TableauProduit[[#This Row],[Total (kg) N1]]</f>
        <v/>
      </c>
      <c r="Q17" s="905">
        <f>TableauProduit[[#This Row],[Prix de vente/kg]]*TableauProduit[[#This Row],[Total (kg) N1]]</f>
        <v/>
      </c>
      <c r="R17" s="906">
        <f>TableauProduit[[#This Row],[Revenu brut N1]]-TableauProduit[[#This Row],[Achat plantes N1]]-TableauProduit[[#This Row],[Conditionnement N1]]</f>
        <v/>
      </c>
      <c r="S17" s="907" t="n">
        <v>0</v>
      </c>
      <c r="T17" s="908">
        <f>TableauProduit[[#This Row],[Poids (g) / unité]]*TableauProduit[[#This Row],[Objectif de vente en unité N2]]/1000</f>
        <v/>
      </c>
      <c r="U17" s="909">
        <f>TableauProduit[[#This Row],[Objectif de vente en unité N2]]*TableauProduit[[#This Row],[Packaging / unité]]</f>
        <v/>
      </c>
      <c r="V17" s="909">
        <f>TableauProduit[[#This Row],[Prix achat plantes / kg]]*TableauProduit[[#This Row],[Total (kg) N2]]</f>
        <v/>
      </c>
      <c r="W17" s="909">
        <f>TableauProduit[[#This Row],[Prix de vente/kg]]*TableauProduit[[#This Row],[Total (kg) N2]]</f>
        <v/>
      </c>
      <c r="X17" s="910">
        <f>TableauProduit[[#This Row],[Revenu brut N2]]-TableauProduit[[#This Row],[Achat plantes N2]]-TableauProduit[[#This Row],[Conditionnement N2]]</f>
        <v/>
      </c>
      <c r="Y17" s="911" t="n">
        <v>0</v>
      </c>
      <c r="Z17" s="912">
        <f>TableauProduit[[#This Row],[Poids (g) / unité]]*TableauProduit[[#This Row],[Objectif de vente en unité N3]]/1000</f>
        <v/>
      </c>
      <c r="AA17" s="913">
        <f>TableauProduit[[#This Row],[Objectif de vente en unité N3]]*TableauProduit[[#This Row],[Packaging / unité]]</f>
        <v/>
      </c>
      <c r="AB17" s="913">
        <f>TableauProduit[[#This Row],[Prix achat plantes / kg]]*TableauProduit[[#This Row],[Total (kg) N3]]</f>
        <v/>
      </c>
      <c r="AC17" s="913">
        <f>TableauProduit[[#This Row],[Prix de vente/kg]]*TableauProduit[[#This Row],[Total (kg) N3]]</f>
        <v/>
      </c>
      <c r="AD17" s="914">
        <f>TableauProduit[[#This Row],[Revenu brut N3]]-TableauProduit[[#This Row],[Achat plantes N3]]-TableauProduit[[#This Row],[Conditionnement N3]]</f>
        <v/>
      </c>
      <c r="AE17" s="915" t="n">
        <v>0</v>
      </c>
      <c r="AF17" s="915">
        <f>TableauProduit[[#This Row],[Poids (g) / unité]]*TableauProduit[[#This Row],[Objectif de vente en unité N4]]/1000</f>
        <v/>
      </c>
      <c r="AG17" s="916">
        <f>TableauProduit[[#This Row],[Objectif de vente en unité N4]]*TableauProduit[[#This Row],[Packaging / unité]]</f>
        <v/>
      </c>
      <c r="AH17" s="916">
        <f>TableauProduit[[#This Row],[Prix achat plantes / kg]]*TableauProduit[[#This Row],[Total (kg) N4]]</f>
        <v/>
      </c>
      <c r="AI17" s="916">
        <f>TableauProduit[[#This Row],[Prix de vente/kg]]*TableauProduit[[#This Row],[Total (kg) N4]]</f>
        <v/>
      </c>
      <c r="AJ17" s="915">
        <f>TableauProduit[[#This Row],[Revenu brut N4]]-TableauProduit[[#This Row],[Achat plantes N4]]-TableauProduit[[#This Row],[Conditionnement N4]]</f>
        <v/>
      </c>
      <c r="AK17" s="917" t="n">
        <v>0</v>
      </c>
      <c r="AL17" s="917">
        <f>TableauProduit[[#This Row],[Poids (g) / unité]]*TableauProduit[[#This Row],[Objectif de vente en unité N5]]/1000</f>
        <v/>
      </c>
      <c r="AM17" s="918">
        <f>TableauProduit[[#This Row],[Objectif de vente en unité N5]]*TableauProduit[[#This Row],[Packaging / unité]]</f>
        <v/>
      </c>
      <c r="AN17" s="918">
        <f>TableauProduit[[#This Row],[Prix achat plantes / kg]]*TableauProduit[[#This Row],[Total (kg) N5]]</f>
        <v/>
      </c>
      <c r="AO17" s="918">
        <f>TableauProduit[[#This Row],[Prix de vente/kg]]*TableauProduit[[#This Row],[Total (kg) N5]]</f>
        <v/>
      </c>
      <c r="AP17" s="917">
        <f>TableauProduit[[#This Row],[Revenu brut N5]]-TableauProduit[[#This Row],[Achat plantes N5]]-TableauProduit[[#This Row],[Conditionnement N5]]</f>
        <v/>
      </c>
      <c r="AQ17" s="919" t="n">
        <v>0</v>
      </c>
      <c r="AR17" s="919">
        <f>TableauProduit[[#This Row],[Poids (g) / unité]]*TableauProduit[[#This Row],[Objectif de vente en unité N6]]/1000</f>
        <v/>
      </c>
      <c r="AS17" s="920">
        <f>TableauProduit[[#This Row],[Objectif de vente en unité N6]]*TableauProduit[[#This Row],[Packaging / unité]]</f>
        <v/>
      </c>
      <c r="AT17" s="920">
        <f>TableauProduit[[#This Row],[Prix achat plantes / kg]]*TableauProduit[[#This Row],[Total (kg) N6]]</f>
        <v/>
      </c>
      <c r="AU17" s="920">
        <f>TableauProduit[[#This Row],[Prix de vente/kg]]*TableauProduit[[#This Row],[Total (kg) N6]]</f>
        <v/>
      </c>
      <c r="AV17" s="919">
        <f>TableauProduit[[#This Row],[Revenu brut N6]]-TableauProduit[[#This Row],[Achat plantes N6]]-TableauProduit[[#This Row],[Conditionnement N6]]</f>
        <v/>
      </c>
      <c r="AW17" s="904" t="n">
        <v>0</v>
      </c>
      <c r="AX17" s="904">
        <f>TableauProduit[[#This Row],[Poids (g) / unité]]*TableauProduit[[#This Row],[Objectif de vente en unité N7]]/1000</f>
        <v/>
      </c>
      <c r="AY17" s="905">
        <f>TableauProduit[[#This Row],[Objectif de vente en unité N7]]*TableauProduit[[#This Row],[Packaging / unité]]</f>
        <v/>
      </c>
      <c r="AZ17" s="905">
        <f>TableauProduit[[#This Row],[Prix achat plantes / kg]]*TableauProduit[[#This Row],[Total (kg) N7]]</f>
        <v/>
      </c>
      <c r="BA17" s="905">
        <f>TableauProduit[[#This Row],[Prix de vente/kg]]*TableauProduit[[#This Row],[Total (kg) N7]]</f>
        <v/>
      </c>
      <c r="BB17" s="921">
        <f>TableauProduit[[#This Row],[Revenu brut N7]]-TableauProduit[[#This Row],[Achat plantes N7]]-TableauProduit[[#This Row],[Conditionnement N7]]</f>
        <v/>
      </c>
      <c r="BC17" s="922" t="n">
        <v>0</v>
      </c>
      <c r="BD17" s="923">
        <f>TableauProduit[[#This Row],[Poids (g) / unité]]*TableauProduit[[#This Row],[Objectif de vente en unité N8]]/1000</f>
        <v/>
      </c>
      <c r="BE17" s="924">
        <f>TableauProduit[[#This Row],[Objectif de vente en unité N8]]*TableauProduit[[#This Row],[Packaging / unité]]</f>
        <v/>
      </c>
      <c r="BF17" s="924">
        <f>TableauProduit[[#This Row],[Prix achat plantes / kg]]*TableauProduit[[#This Row],[Total (kg) N8]]</f>
        <v/>
      </c>
      <c r="BG17" s="924">
        <f>TableauProduit[[#This Row],[Prix de vente/kg]]*TableauProduit[[#This Row],[Total (kg) N8]]</f>
        <v/>
      </c>
      <c r="BH17" s="925">
        <f>TableauProduit[[#This Row],[Revenu brut N8]]-TableauProduit[[#This Row],[Achat plantes N8]]-TableauProduit[[#This Row],[Conditionnement N8]]</f>
        <v/>
      </c>
      <c r="BI17" s="926" t="n">
        <v>0</v>
      </c>
      <c r="BJ17" s="927">
        <f>TableauProduit[[#This Row],[Poids (g) / unité]]*TableauProduit[[#This Row],[Objectif de vente en unité N9]]/1000</f>
        <v/>
      </c>
      <c r="BK17" s="928">
        <f>TableauProduit[[#This Row],[Objectif de vente en unité N9]]*TableauProduit[[#This Row],[Packaging / unité]]</f>
        <v/>
      </c>
      <c r="BL17" s="928">
        <f>TableauProduit[[#This Row],[Prix achat plantes / kg]]*TableauProduit[[#This Row],[Total (kg) N9]]</f>
        <v/>
      </c>
      <c r="BM17" s="928">
        <f>TableauProduit[[#This Row],[Prix de vente/kg]]*TableauProduit[[#This Row],[Total (kg) N9]]</f>
        <v/>
      </c>
      <c r="BN17" s="927">
        <f>TableauProduit[[#This Row],[Revenu brut N9]]-TableauProduit[[#This Row],[Achat plantes N9]]-TableauProduit[[#This Row],[Conditionnement N9]]</f>
        <v/>
      </c>
      <c r="BO17" t="inlineStr">
        <is>
          <t>Brut (hors gamme)</t>
        </is>
      </c>
    </row>
    <row r="18">
      <c r="A18" s="553" t="inlineStr">
        <is>
          <t>Sirop aux fleurs</t>
        </is>
      </c>
      <c r="B18" s="54">
        <f>TableauProduit[[#This Row],[Recette]]&amp;TableauProduit[[#This Row],[Conditionnement]]</f>
        <v/>
      </c>
      <c r="C18" s="11" t="n">
        <v>1</v>
      </c>
      <c r="D18" s="11" t="n">
        <v>500</v>
      </c>
      <c r="E18" s="6" t="inlineStr">
        <is>
          <t>Sirop 500 ml</t>
        </is>
      </c>
      <c r="F18" s="7">
        <f>IFERROR(VLOOKUP(TableauProduit[[#This Row],[Conditionnement]],TableauConditionnement[[Nom]:[Contenance]],4,FALSE),"")</f>
        <v/>
      </c>
      <c r="G18" s="897">
        <f>IFERROR(SUMIFS(TableauRecette[Prix d''achat / kg],TableauRecette[Recette],TableauProduit[[#This Row],[Recette]],TableauRecette[Conditionnement],TableauProduit[[#This Row],[Conditionnement]]),0)</f>
        <v/>
      </c>
      <c r="H18" s="957" t="n">
        <v>13</v>
      </c>
      <c r="I18" s="899">
        <f>1000*TableauProduit[[#This Row],[Prix de vente/U]]/TableauProduit[[#This Row],[Poids (g) / unité]]</f>
        <v/>
      </c>
      <c r="J18" s="900">
        <f>SUMIFS(TableauConcurence[PRIX_KG],TableauConcurence[PRODUIT],TableauProduit[[#This Row],[Recette]],TableauConcurence[DISTRIBUTION],"magasin NON BIO")</f>
        <v/>
      </c>
      <c r="K18" s="901">
        <f>SUMIFS(TableauConcurence[PRIX_KG],TableauConcurence[PRODUIT],TableauProduit[[#This Row],[Recette]],TableauConcurence[DISTRIBUTION],"magasin BIO")</f>
        <v/>
      </c>
      <c r="L18" s="902">
        <f>SUMIFS(TableauConcurence[PRIX_KG],TableauConcurence[PRODUIT],TableauProduit[[#This Row],[Recette]],TableauConcurence[DISTRIBUTION],"artisanale BIO")</f>
        <v/>
      </c>
      <c r="M18" s="903" t="n">
        <v>0</v>
      </c>
      <c r="N18" s="904">
        <f>TableauProduit[[#This Row],[Poids (g) / unité]]*TableauProduit[[#This Row],[Objectif de vente en unité N1]]/1000</f>
        <v/>
      </c>
      <c r="O18" s="905">
        <f>TableauProduit[[#This Row],[Objectif de vente en unité N1]]*TableauProduit[[#This Row],[Packaging / unité]]</f>
        <v/>
      </c>
      <c r="P18" s="905">
        <f>TableauProduit[[#This Row],[Prix achat plantes / kg]]*TableauProduit[[#This Row],[Total (kg) N1]]</f>
        <v/>
      </c>
      <c r="Q18" s="905">
        <f>TableauProduit[[#This Row],[Prix de vente/kg]]*TableauProduit[[#This Row],[Total (kg) N1]]</f>
        <v/>
      </c>
      <c r="R18" s="906">
        <f>TableauProduit[[#This Row],[Revenu brut N1]]-TableauProduit[[#This Row],[Achat plantes N1]]-TableauProduit[[#This Row],[Conditionnement N1]]</f>
        <v/>
      </c>
      <c r="S18" s="907" t="n">
        <v>0</v>
      </c>
      <c r="T18" s="908">
        <f>TableauProduit[[#This Row],[Poids (g) / unité]]*TableauProduit[[#This Row],[Objectif de vente en unité N2]]/1000</f>
        <v/>
      </c>
      <c r="U18" s="909">
        <f>TableauProduit[[#This Row],[Objectif de vente en unité N2]]*TableauProduit[[#This Row],[Packaging / unité]]</f>
        <v/>
      </c>
      <c r="V18" s="909">
        <f>TableauProduit[[#This Row],[Prix achat plantes / kg]]*TableauProduit[[#This Row],[Total (kg) N2]]</f>
        <v/>
      </c>
      <c r="W18" s="909">
        <f>TableauProduit[[#This Row],[Prix de vente/kg]]*TableauProduit[[#This Row],[Total (kg) N2]]</f>
        <v/>
      </c>
      <c r="X18" s="910">
        <f>TableauProduit[[#This Row],[Revenu brut N2]]-TableauProduit[[#This Row],[Achat plantes N2]]-TableauProduit[[#This Row],[Conditionnement N2]]</f>
        <v/>
      </c>
      <c r="Y18" s="911" t="n">
        <v>120</v>
      </c>
      <c r="Z18" s="912">
        <f>TableauProduit[[#This Row],[Poids (g) / unité]]*TableauProduit[[#This Row],[Objectif de vente en unité N3]]/1000</f>
        <v/>
      </c>
      <c r="AA18" s="913">
        <f>TableauProduit[[#This Row],[Objectif de vente en unité N3]]*TableauProduit[[#This Row],[Packaging / unité]]</f>
        <v/>
      </c>
      <c r="AB18" s="913">
        <f>TableauProduit[[#This Row],[Prix achat plantes / kg]]*TableauProduit[[#This Row],[Total (kg) N3]]</f>
        <v/>
      </c>
      <c r="AC18" s="913">
        <f>TableauProduit[[#This Row],[Prix de vente/kg]]*TableauProduit[[#This Row],[Total (kg) N3]]</f>
        <v/>
      </c>
      <c r="AD18" s="914">
        <f>TableauProduit[[#This Row],[Revenu brut N3]]-TableauProduit[[#This Row],[Achat plantes N3]]-TableauProduit[[#This Row],[Conditionnement N3]]</f>
        <v/>
      </c>
      <c r="AE18" s="915" t="n">
        <v>156</v>
      </c>
      <c r="AF18" s="915">
        <f>TableauProduit[[#This Row],[Poids (g) / unité]]*TableauProduit[[#This Row],[Objectif de vente en unité N4]]/1000</f>
        <v/>
      </c>
      <c r="AG18" s="916">
        <f>TableauProduit[[#This Row],[Objectif de vente en unité N4]]*TableauProduit[[#This Row],[Packaging / unité]]</f>
        <v/>
      </c>
      <c r="AH18" s="916">
        <f>TableauProduit[[#This Row],[Prix achat plantes / kg]]*TableauProduit[[#This Row],[Total (kg) N4]]</f>
        <v/>
      </c>
      <c r="AI18" s="916">
        <f>TableauProduit[[#This Row],[Prix de vente/kg]]*TableauProduit[[#This Row],[Total (kg) N4]]</f>
        <v/>
      </c>
      <c r="AJ18" s="915">
        <f>TableauProduit[[#This Row],[Revenu brut N4]]-TableauProduit[[#This Row],[Achat plantes N4]]-TableauProduit[[#This Row],[Conditionnement N4]]</f>
        <v/>
      </c>
      <c r="AK18" s="917" t="n">
        <v>174</v>
      </c>
      <c r="AL18" s="917">
        <f>TableauProduit[[#This Row],[Poids (g) / unité]]*TableauProduit[[#This Row],[Objectif de vente en unité N5]]/1000</f>
        <v/>
      </c>
      <c r="AM18" s="918">
        <f>TableauProduit[[#This Row],[Objectif de vente en unité N5]]*TableauProduit[[#This Row],[Packaging / unité]]</f>
        <v/>
      </c>
      <c r="AN18" s="918">
        <f>TableauProduit[[#This Row],[Prix achat plantes / kg]]*TableauProduit[[#This Row],[Total (kg) N5]]</f>
        <v/>
      </c>
      <c r="AO18" s="918">
        <f>TableauProduit[[#This Row],[Prix de vente/kg]]*TableauProduit[[#This Row],[Total (kg) N5]]</f>
        <v/>
      </c>
      <c r="AP18" s="917">
        <f>TableauProduit[[#This Row],[Revenu brut N5]]-TableauProduit[[#This Row],[Achat plantes N5]]-TableauProduit[[#This Row],[Conditionnement N5]]</f>
        <v/>
      </c>
      <c r="AQ18" s="919" t="n">
        <v>180</v>
      </c>
      <c r="AR18" s="919">
        <f>TableauProduit[[#This Row],[Poids (g) / unité]]*TableauProduit[[#This Row],[Objectif de vente en unité N6]]/1000</f>
        <v/>
      </c>
      <c r="AS18" s="920">
        <f>TableauProduit[[#This Row],[Objectif de vente en unité N6]]*TableauProduit[[#This Row],[Packaging / unité]]</f>
        <v/>
      </c>
      <c r="AT18" s="920">
        <f>TableauProduit[[#This Row],[Prix achat plantes / kg]]*TableauProduit[[#This Row],[Total (kg) N6]]</f>
        <v/>
      </c>
      <c r="AU18" s="920">
        <f>TableauProduit[[#This Row],[Prix de vente/kg]]*TableauProduit[[#This Row],[Total (kg) N6]]</f>
        <v/>
      </c>
      <c r="AV18" s="919">
        <f>TableauProduit[[#This Row],[Revenu brut N6]]-TableauProduit[[#This Row],[Achat plantes N6]]-TableauProduit[[#This Row],[Conditionnement N6]]</f>
        <v/>
      </c>
      <c r="AW18" s="904" t="n">
        <v>180</v>
      </c>
      <c r="AX18" s="904">
        <f>TableauProduit[[#This Row],[Poids (g) / unité]]*TableauProduit[[#This Row],[Objectif de vente en unité N7]]/1000</f>
        <v/>
      </c>
      <c r="AY18" s="905">
        <f>TableauProduit[[#This Row],[Objectif de vente en unité N7]]*TableauProduit[[#This Row],[Packaging / unité]]</f>
        <v/>
      </c>
      <c r="AZ18" s="905">
        <f>TableauProduit[[#This Row],[Prix achat plantes / kg]]*TableauProduit[[#This Row],[Total (kg) N7]]</f>
        <v/>
      </c>
      <c r="BA18" s="905">
        <f>TableauProduit[[#This Row],[Prix de vente/kg]]*TableauProduit[[#This Row],[Total (kg) N7]]</f>
        <v/>
      </c>
      <c r="BB18" s="921">
        <f>TableauProduit[[#This Row],[Revenu brut N7]]-TableauProduit[[#This Row],[Achat plantes N7]]-TableauProduit[[#This Row],[Conditionnement N7]]</f>
        <v/>
      </c>
      <c r="BC18" s="922" t="n">
        <v>180</v>
      </c>
      <c r="BD18" s="923">
        <f>TableauProduit[[#This Row],[Poids (g) / unité]]*TableauProduit[[#This Row],[Objectif de vente en unité N8]]/1000</f>
        <v/>
      </c>
      <c r="BE18" s="924">
        <f>TableauProduit[[#This Row],[Objectif de vente en unité N8]]*TableauProduit[[#This Row],[Packaging / unité]]</f>
        <v/>
      </c>
      <c r="BF18" s="924">
        <f>TableauProduit[[#This Row],[Prix achat plantes / kg]]*TableauProduit[[#This Row],[Total (kg) N8]]</f>
        <v/>
      </c>
      <c r="BG18" s="924">
        <f>TableauProduit[[#This Row],[Prix de vente/kg]]*TableauProduit[[#This Row],[Total (kg) N8]]</f>
        <v/>
      </c>
      <c r="BH18" s="925">
        <f>TableauProduit[[#This Row],[Revenu brut N8]]-TableauProduit[[#This Row],[Achat plantes N8]]-TableauProduit[[#This Row],[Conditionnement N8]]</f>
        <v/>
      </c>
      <c r="BI18" s="926" t="n">
        <v>180</v>
      </c>
      <c r="BJ18" s="927">
        <f>TableauProduit[[#This Row],[Poids (g) / unité]]*TableauProduit[[#This Row],[Objectif de vente en unité N9]]/1000</f>
        <v/>
      </c>
      <c r="BK18" s="928">
        <f>TableauProduit[[#This Row],[Objectif de vente en unité N9]]*TableauProduit[[#This Row],[Packaging / unité]]</f>
        <v/>
      </c>
      <c r="BL18" s="928">
        <f>TableauProduit[[#This Row],[Prix achat plantes / kg]]*TableauProduit[[#This Row],[Total (kg) N9]]</f>
        <v/>
      </c>
      <c r="BM18" s="928">
        <f>TableauProduit[[#This Row],[Prix de vente/kg]]*TableauProduit[[#This Row],[Total (kg) N9]]</f>
        <v/>
      </c>
      <c r="BN18" s="927">
        <f>TableauProduit[[#This Row],[Revenu brut N9]]-TableauProduit[[#This Row],[Achat plantes N9]]-TableauProduit[[#This Row],[Conditionnement N9]]</f>
        <v/>
      </c>
      <c r="BO18" t="inlineStr">
        <is>
          <t>Transformé</t>
        </is>
      </c>
    </row>
    <row r="19">
      <c r="A19" s="553" t="inlineStr">
        <is>
          <t>Sirop de basilic</t>
        </is>
      </c>
      <c r="B19" s="54">
        <f>TableauProduit[[#This Row],[Recette]]&amp;TableauProduit[[#This Row],[Conditionnement]]</f>
        <v/>
      </c>
      <c r="C19" s="11" t="n">
        <v>1</v>
      </c>
      <c r="D19" s="11" t="n">
        <v>500</v>
      </c>
      <c r="E19" s="6" t="inlineStr">
        <is>
          <t>Sirop 500 ml</t>
        </is>
      </c>
      <c r="F19" s="7">
        <f>IFERROR(VLOOKUP(TableauProduit[[#This Row],[Conditionnement]],TableauConditionnement[[Nom]:[Contenance]],4,FALSE),"")</f>
        <v/>
      </c>
      <c r="G19" s="897">
        <f>IFERROR(SUMIFS(TableauRecette[Prix d''achat / kg],TableauRecette[Recette],TableauProduit[[#This Row],[Recette]],TableauRecette[Conditionnement],TableauProduit[[#This Row],[Conditionnement]]),0)</f>
        <v/>
      </c>
      <c r="H19" s="957" t="n">
        <v>8</v>
      </c>
      <c r="I19" s="899">
        <f>1000*TableauProduit[[#This Row],[Prix de vente/U]]/TableauProduit[[#This Row],[Poids (g) / unité]]</f>
        <v/>
      </c>
      <c r="J19" s="900">
        <f>SUMIFS(TableauConcurence[PRIX_KG],TableauConcurence[PRODUIT],TableauProduit[[#This Row],[Recette]],TableauConcurence[DISTRIBUTION],"magasin NON BIO")</f>
        <v/>
      </c>
      <c r="K19" s="901">
        <f>SUMIFS(TableauConcurence[PRIX_KG],TableauConcurence[PRODUIT],TableauProduit[[#This Row],[Recette]],TableauConcurence[DISTRIBUTION],"magasin BIO")</f>
        <v/>
      </c>
      <c r="L19" s="902">
        <f>SUMIFS(TableauConcurence[PRIX_KG],TableauConcurence[PRODUIT],TableauProduit[[#This Row],[Recette]],TableauConcurence[DISTRIBUTION],"artisanale BIO")</f>
        <v/>
      </c>
      <c r="M19" s="903" t="n">
        <v>0</v>
      </c>
      <c r="N19" s="904">
        <f>TableauProduit[[#This Row],[Poids (g) / unité]]*TableauProduit[[#This Row],[Objectif de vente en unité N1]]/1000</f>
        <v/>
      </c>
      <c r="O19" s="905">
        <f>TableauProduit[[#This Row],[Objectif de vente en unité N1]]*TableauProduit[[#This Row],[Packaging / unité]]</f>
        <v/>
      </c>
      <c r="P19" s="905">
        <f>TableauProduit[[#This Row],[Prix achat plantes / kg]]*TableauProduit[[#This Row],[Total (kg) N1]]</f>
        <v/>
      </c>
      <c r="Q19" s="905">
        <f>TableauProduit[[#This Row],[Prix de vente/kg]]*TableauProduit[[#This Row],[Total (kg) N1]]</f>
        <v/>
      </c>
      <c r="R19" s="906">
        <f>TableauProduit[[#This Row],[Revenu brut N1]]-TableauProduit[[#This Row],[Achat plantes N1]]-TableauProduit[[#This Row],[Conditionnement N1]]</f>
        <v/>
      </c>
      <c r="S19" s="907" t="n">
        <v>0</v>
      </c>
      <c r="T19" s="908">
        <f>TableauProduit[[#This Row],[Poids (g) / unité]]*TableauProduit[[#This Row],[Objectif de vente en unité N2]]/1000</f>
        <v/>
      </c>
      <c r="U19" s="909">
        <f>TableauProduit[[#This Row],[Objectif de vente en unité N2]]*TableauProduit[[#This Row],[Packaging / unité]]</f>
        <v/>
      </c>
      <c r="V19" s="909">
        <f>TableauProduit[[#This Row],[Prix achat plantes / kg]]*TableauProduit[[#This Row],[Total (kg) N2]]</f>
        <v/>
      </c>
      <c r="W19" s="909">
        <f>TableauProduit[[#This Row],[Prix de vente/kg]]*TableauProduit[[#This Row],[Total (kg) N2]]</f>
        <v/>
      </c>
      <c r="X19" s="910">
        <f>TableauProduit[[#This Row],[Revenu brut N2]]-TableauProduit[[#This Row],[Achat plantes N2]]-TableauProduit[[#This Row],[Conditionnement N2]]</f>
        <v/>
      </c>
      <c r="Y19" s="911" t="n">
        <v>120</v>
      </c>
      <c r="Z19" s="912">
        <f>TableauProduit[[#This Row],[Poids (g) / unité]]*TableauProduit[[#This Row],[Objectif de vente en unité N3]]/1000</f>
        <v/>
      </c>
      <c r="AA19" s="913">
        <f>TableauProduit[[#This Row],[Objectif de vente en unité N3]]*TableauProduit[[#This Row],[Packaging / unité]]</f>
        <v/>
      </c>
      <c r="AB19" s="913">
        <f>TableauProduit[[#This Row],[Prix achat plantes / kg]]*TableauProduit[[#This Row],[Total (kg) N3]]</f>
        <v/>
      </c>
      <c r="AC19" s="913">
        <f>TableauProduit[[#This Row],[Prix de vente/kg]]*TableauProduit[[#This Row],[Total (kg) N3]]</f>
        <v/>
      </c>
      <c r="AD19" s="914">
        <f>TableauProduit[[#This Row],[Revenu brut N3]]-TableauProduit[[#This Row],[Achat plantes N3]]-TableauProduit[[#This Row],[Conditionnement N3]]</f>
        <v/>
      </c>
      <c r="AE19" s="915" t="n">
        <v>156</v>
      </c>
      <c r="AF19" s="915">
        <f>TableauProduit[[#This Row],[Poids (g) / unité]]*TableauProduit[[#This Row],[Objectif de vente en unité N4]]/1000</f>
        <v/>
      </c>
      <c r="AG19" s="916">
        <f>TableauProduit[[#This Row],[Objectif de vente en unité N4]]*TableauProduit[[#This Row],[Packaging / unité]]</f>
        <v/>
      </c>
      <c r="AH19" s="916">
        <f>TableauProduit[[#This Row],[Prix achat plantes / kg]]*TableauProduit[[#This Row],[Total (kg) N4]]</f>
        <v/>
      </c>
      <c r="AI19" s="916">
        <f>TableauProduit[[#This Row],[Prix de vente/kg]]*TableauProduit[[#This Row],[Total (kg) N4]]</f>
        <v/>
      </c>
      <c r="AJ19" s="915">
        <f>TableauProduit[[#This Row],[Revenu brut N4]]-TableauProduit[[#This Row],[Achat plantes N4]]-TableauProduit[[#This Row],[Conditionnement N4]]</f>
        <v/>
      </c>
      <c r="AK19" s="917" t="n">
        <v>174</v>
      </c>
      <c r="AL19" s="917">
        <f>TableauProduit[[#This Row],[Poids (g) / unité]]*TableauProduit[[#This Row],[Objectif de vente en unité N5]]/1000</f>
        <v/>
      </c>
      <c r="AM19" s="918">
        <f>TableauProduit[[#This Row],[Objectif de vente en unité N5]]*TableauProduit[[#This Row],[Packaging / unité]]</f>
        <v/>
      </c>
      <c r="AN19" s="918">
        <f>TableauProduit[[#This Row],[Prix achat plantes / kg]]*TableauProduit[[#This Row],[Total (kg) N5]]</f>
        <v/>
      </c>
      <c r="AO19" s="918">
        <f>TableauProduit[[#This Row],[Prix de vente/kg]]*TableauProduit[[#This Row],[Total (kg) N5]]</f>
        <v/>
      </c>
      <c r="AP19" s="917">
        <f>TableauProduit[[#This Row],[Revenu brut N5]]-TableauProduit[[#This Row],[Achat plantes N5]]-TableauProduit[[#This Row],[Conditionnement N5]]</f>
        <v/>
      </c>
      <c r="AQ19" s="919" t="n">
        <v>180</v>
      </c>
      <c r="AR19" s="919">
        <f>TableauProduit[[#This Row],[Poids (g) / unité]]*TableauProduit[[#This Row],[Objectif de vente en unité N6]]/1000</f>
        <v/>
      </c>
      <c r="AS19" s="920">
        <f>TableauProduit[[#This Row],[Objectif de vente en unité N6]]*TableauProduit[[#This Row],[Packaging / unité]]</f>
        <v/>
      </c>
      <c r="AT19" s="920">
        <f>TableauProduit[[#This Row],[Prix achat plantes / kg]]*TableauProduit[[#This Row],[Total (kg) N6]]</f>
        <v/>
      </c>
      <c r="AU19" s="920">
        <f>TableauProduit[[#This Row],[Prix de vente/kg]]*TableauProduit[[#This Row],[Total (kg) N6]]</f>
        <v/>
      </c>
      <c r="AV19" s="919">
        <f>TableauProduit[[#This Row],[Revenu brut N6]]-TableauProduit[[#This Row],[Achat plantes N6]]-TableauProduit[[#This Row],[Conditionnement N6]]</f>
        <v/>
      </c>
      <c r="AW19" s="904" t="n">
        <v>180</v>
      </c>
      <c r="AX19" s="904">
        <f>TableauProduit[[#This Row],[Poids (g) / unité]]*TableauProduit[[#This Row],[Objectif de vente en unité N7]]/1000</f>
        <v/>
      </c>
      <c r="AY19" s="905">
        <f>TableauProduit[[#This Row],[Objectif de vente en unité N7]]*TableauProduit[[#This Row],[Packaging / unité]]</f>
        <v/>
      </c>
      <c r="AZ19" s="905">
        <f>TableauProduit[[#This Row],[Prix achat plantes / kg]]*TableauProduit[[#This Row],[Total (kg) N7]]</f>
        <v/>
      </c>
      <c r="BA19" s="905">
        <f>TableauProduit[[#This Row],[Prix de vente/kg]]*TableauProduit[[#This Row],[Total (kg) N7]]</f>
        <v/>
      </c>
      <c r="BB19" s="921">
        <f>TableauProduit[[#This Row],[Revenu brut N7]]-TableauProduit[[#This Row],[Achat plantes N7]]-TableauProduit[[#This Row],[Conditionnement N7]]</f>
        <v/>
      </c>
      <c r="BC19" s="922" t="n">
        <v>180</v>
      </c>
      <c r="BD19" s="923">
        <f>TableauProduit[[#This Row],[Poids (g) / unité]]*TableauProduit[[#This Row],[Objectif de vente en unité N8]]/1000</f>
        <v/>
      </c>
      <c r="BE19" s="924">
        <f>TableauProduit[[#This Row],[Objectif de vente en unité N8]]*TableauProduit[[#This Row],[Packaging / unité]]</f>
        <v/>
      </c>
      <c r="BF19" s="924">
        <f>TableauProduit[[#This Row],[Prix achat plantes / kg]]*TableauProduit[[#This Row],[Total (kg) N8]]</f>
        <v/>
      </c>
      <c r="BG19" s="924">
        <f>TableauProduit[[#This Row],[Prix de vente/kg]]*TableauProduit[[#This Row],[Total (kg) N8]]</f>
        <v/>
      </c>
      <c r="BH19" s="925">
        <f>TableauProduit[[#This Row],[Revenu brut N8]]-TableauProduit[[#This Row],[Achat plantes N8]]-TableauProduit[[#This Row],[Conditionnement N8]]</f>
        <v/>
      </c>
      <c r="BI19" s="926" t="n">
        <v>180</v>
      </c>
      <c r="BJ19" s="927">
        <f>TableauProduit[[#This Row],[Poids (g) / unité]]*TableauProduit[[#This Row],[Objectif de vente en unité N9]]/1000</f>
        <v/>
      </c>
      <c r="BK19" s="928">
        <f>TableauProduit[[#This Row],[Objectif de vente en unité N9]]*TableauProduit[[#This Row],[Packaging / unité]]</f>
        <v/>
      </c>
      <c r="BL19" s="928">
        <f>TableauProduit[[#This Row],[Prix achat plantes / kg]]*TableauProduit[[#This Row],[Total (kg) N9]]</f>
        <v/>
      </c>
      <c r="BM19" s="928">
        <f>TableauProduit[[#This Row],[Prix de vente/kg]]*TableauProduit[[#This Row],[Total (kg) N9]]</f>
        <v/>
      </c>
      <c r="BN19" s="927">
        <f>TableauProduit[[#This Row],[Revenu brut N9]]-TableauProduit[[#This Row],[Achat plantes N9]]-TableauProduit[[#This Row],[Conditionnement N9]]</f>
        <v/>
      </c>
      <c r="BO19" t="inlineStr">
        <is>
          <t>Transformé</t>
        </is>
      </c>
    </row>
    <row r="20">
      <c r="A20" s="553" t="inlineStr">
        <is>
          <t>Sirop de thym</t>
        </is>
      </c>
      <c r="B20" s="54">
        <f>TableauProduit[[#This Row],[Recette]]&amp;TableauProduit[[#This Row],[Conditionnement]]</f>
        <v/>
      </c>
      <c r="C20" s="11" t="n">
        <v>1</v>
      </c>
      <c r="D20" s="11" t="n">
        <v>500</v>
      </c>
      <c r="E20" s="6" t="inlineStr">
        <is>
          <t>Sirop 500 ml</t>
        </is>
      </c>
      <c r="F20" s="7">
        <f>IFERROR(VLOOKUP(TableauProduit[[#This Row],[Conditionnement]],TableauConditionnement[[Nom]:[Contenance]],4,FALSE),"")</f>
        <v/>
      </c>
      <c r="G20" s="897">
        <f>IFERROR(SUMIFS(TableauRecette[Prix d''achat / kg],TableauRecette[Recette],TableauProduit[[#This Row],[Recette]],TableauRecette[Conditionnement],TableauProduit[[#This Row],[Conditionnement]]),0)</f>
        <v/>
      </c>
      <c r="H20" s="957" t="n">
        <v>6</v>
      </c>
      <c r="I20" s="899">
        <f>1000*TableauProduit[[#This Row],[Prix de vente/U]]/TableauProduit[[#This Row],[Poids (g) / unité]]</f>
        <v/>
      </c>
      <c r="J20" s="900">
        <f>SUMIFS(TableauConcurence[PRIX_KG],TableauConcurence[PRODUIT],TableauProduit[[#This Row],[Recette]],TableauConcurence[DISTRIBUTION],"magasin NON BIO")</f>
        <v/>
      </c>
      <c r="K20" s="901">
        <f>SUMIFS(TableauConcurence[PRIX_KG],TableauConcurence[PRODUIT],TableauProduit[[#This Row],[Recette]],TableauConcurence[DISTRIBUTION],"magasin BIO")</f>
        <v/>
      </c>
      <c r="L20" s="902">
        <f>SUMIFS(TableauConcurence[PRIX_KG],TableauConcurence[PRODUIT],TableauProduit[[#This Row],[Recette]],TableauConcurence[DISTRIBUTION],"artisanale BIO")</f>
        <v/>
      </c>
      <c r="M20" s="903" t="n">
        <v>300</v>
      </c>
      <c r="N20" s="904">
        <f>TableauProduit[[#This Row],[Poids (g) / unité]]*TableauProduit[[#This Row],[Objectif de vente en unité N1]]/1000</f>
        <v/>
      </c>
      <c r="O20" s="905">
        <f>TableauProduit[[#This Row],[Objectif de vente en unité N1]]*TableauProduit[[#This Row],[Packaging / unité]]</f>
        <v/>
      </c>
      <c r="P20" s="905">
        <f>TableauProduit[[#This Row],[Prix achat plantes / kg]]*TableauProduit[[#This Row],[Total (kg) N1]]</f>
        <v/>
      </c>
      <c r="Q20" s="905">
        <f>TableauProduit[[#This Row],[Prix de vente/kg]]*TableauProduit[[#This Row],[Total (kg) N1]]</f>
        <v/>
      </c>
      <c r="R20" s="906">
        <f>TableauProduit[[#This Row],[Revenu brut N1]]-TableauProduit[[#This Row],[Achat plantes N1]]-TableauProduit[[#This Row],[Conditionnement N1]]</f>
        <v/>
      </c>
      <c r="S20" s="907" t="n">
        <v>450</v>
      </c>
      <c r="T20" s="908">
        <f>TableauProduit[[#This Row],[Poids (g) / unité]]*TableauProduit[[#This Row],[Objectif de vente en unité N2]]/1000</f>
        <v/>
      </c>
      <c r="U20" s="909">
        <f>TableauProduit[[#This Row],[Objectif de vente en unité N2]]*TableauProduit[[#This Row],[Packaging / unité]]</f>
        <v/>
      </c>
      <c r="V20" s="909">
        <f>TableauProduit[[#This Row],[Prix achat plantes / kg]]*TableauProduit[[#This Row],[Total (kg) N2]]</f>
        <v/>
      </c>
      <c r="W20" s="909">
        <f>TableauProduit[[#This Row],[Prix de vente/kg]]*TableauProduit[[#This Row],[Total (kg) N2]]</f>
        <v/>
      </c>
      <c r="X20" s="910">
        <f>TableauProduit[[#This Row],[Revenu brut N2]]-TableauProduit[[#This Row],[Achat plantes N2]]-TableauProduit[[#This Row],[Conditionnement N2]]</f>
        <v/>
      </c>
      <c r="Y20" s="911" t="n">
        <v>525</v>
      </c>
      <c r="Z20" s="912">
        <f>TableauProduit[[#This Row],[Poids (g) / unité]]*TableauProduit[[#This Row],[Objectif de vente en unité N3]]/1000</f>
        <v/>
      </c>
      <c r="AA20" s="913">
        <f>TableauProduit[[#This Row],[Objectif de vente en unité N3]]*TableauProduit[[#This Row],[Packaging / unité]]</f>
        <v/>
      </c>
      <c r="AB20" s="913">
        <f>TableauProduit[[#This Row],[Prix achat plantes / kg]]*TableauProduit[[#This Row],[Total (kg) N3]]</f>
        <v/>
      </c>
      <c r="AC20" s="913">
        <f>TableauProduit[[#This Row],[Prix de vente/kg]]*TableauProduit[[#This Row],[Total (kg) N3]]</f>
        <v/>
      </c>
      <c r="AD20" s="914">
        <f>TableauProduit[[#This Row],[Revenu brut N3]]-TableauProduit[[#This Row],[Achat plantes N3]]-TableauProduit[[#This Row],[Conditionnement N3]]</f>
        <v/>
      </c>
      <c r="AE20" s="915" t="n">
        <v>570</v>
      </c>
      <c r="AF20" s="915">
        <f>TableauProduit[[#This Row],[Poids (g) / unité]]*TableauProduit[[#This Row],[Objectif de vente en unité N4]]/1000</f>
        <v/>
      </c>
      <c r="AG20" s="916">
        <f>TableauProduit[[#This Row],[Objectif de vente en unité N4]]*TableauProduit[[#This Row],[Packaging / unité]]</f>
        <v/>
      </c>
      <c r="AH20" s="916">
        <f>TableauProduit[[#This Row],[Prix achat plantes / kg]]*TableauProduit[[#This Row],[Total (kg) N4]]</f>
        <v/>
      </c>
      <c r="AI20" s="916">
        <f>TableauProduit[[#This Row],[Prix de vente/kg]]*TableauProduit[[#This Row],[Total (kg) N4]]</f>
        <v/>
      </c>
      <c r="AJ20" s="915">
        <f>TableauProduit[[#This Row],[Revenu brut N4]]-TableauProduit[[#This Row],[Achat plantes N4]]-TableauProduit[[#This Row],[Conditionnement N4]]</f>
        <v/>
      </c>
      <c r="AK20" s="917" t="n">
        <v>600</v>
      </c>
      <c r="AL20" s="917">
        <f>TableauProduit[[#This Row],[Poids (g) / unité]]*TableauProduit[[#This Row],[Objectif de vente en unité N5]]/1000</f>
        <v/>
      </c>
      <c r="AM20" s="918">
        <f>TableauProduit[[#This Row],[Objectif de vente en unité N5]]*TableauProduit[[#This Row],[Packaging / unité]]</f>
        <v/>
      </c>
      <c r="AN20" s="918">
        <f>TableauProduit[[#This Row],[Prix achat plantes / kg]]*TableauProduit[[#This Row],[Total (kg) N5]]</f>
        <v/>
      </c>
      <c r="AO20" s="918">
        <f>TableauProduit[[#This Row],[Prix de vente/kg]]*TableauProduit[[#This Row],[Total (kg) N5]]</f>
        <v/>
      </c>
      <c r="AP20" s="917">
        <f>TableauProduit[[#This Row],[Revenu brut N5]]-TableauProduit[[#This Row],[Achat plantes N5]]-TableauProduit[[#This Row],[Conditionnement N5]]</f>
        <v/>
      </c>
      <c r="AQ20" s="919" t="n">
        <v>600</v>
      </c>
      <c r="AR20" s="919">
        <f>TableauProduit[[#This Row],[Poids (g) / unité]]*TableauProduit[[#This Row],[Objectif de vente en unité N6]]/1000</f>
        <v/>
      </c>
      <c r="AS20" s="920">
        <f>TableauProduit[[#This Row],[Objectif de vente en unité N6]]*TableauProduit[[#This Row],[Packaging / unité]]</f>
        <v/>
      </c>
      <c r="AT20" s="920">
        <f>TableauProduit[[#This Row],[Prix achat plantes / kg]]*TableauProduit[[#This Row],[Total (kg) N6]]</f>
        <v/>
      </c>
      <c r="AU20" s="920">
        <f>TableauProduit[[#This Row],[Prix de vente/kg]]*TableauProduit[[#This Row],[Total (kg) N6]]</f>
        <v/>
      </c>
      <c r="AV20" s="919">
        <f>TableauProduit[[#This Row],[Revenu brut N6]]-TableauProduit[[#This Row],[Achat plantes N6]]-TableauProduit[[#This Row],[Conditionnement N6]]</f>
        <v/>
      </c>
      <c r="AW20" s="904" t="n">
        <v>600</v>
      </c>
      <c r="AX20" s="904">
        <f>TableauProduit[[#This Row],[Poids (g) / unité]]*TableauProduit[[#This Row],[Objectif de vente en unité N7]]/1000</f>
        <v/>
      </c>
      <c r="AY20" s="905">
        <f>TableauProduit[[#This Row],[Objectif de vente en unité N7]]*TableauProduit[[#This Row],[Packaging / unité]]</f>
        <v/>
      </c>
      <c r="AZ20" s="905">
        <f>TableauProduit[[#This Row],[Prix achat plantes / kg]]*TableauProduit[[#This Row],[Total (kg) N7]]</f>
        <v/>
      </c>
      <c r="BA20" s="905">
        <f>TableauProduit[[#This Row],[Prix de vente/kg]]*TableauProduit[[#This Row],[Total (kg) N7]]</f>
        <v/>
      </c>
      <c r="BB20" s="921">
        <f>TableauProduit[[#This Row],[Revenu brut N7]]-TableauProduit[[#This Row],[Achat plantes N7]]-TableauProduit[[#This Row],[Conditionnement N7]]</f>
        <v/>
      </c>
      <c r="BC20" s="922" t="n">
        <v>600</v>
      </c>
      <c r="BD20" s="923">
        <f>TableauProduit[[#This Row],[Poids (g) / unité]]*TableauProduit[[#This Row],[Objectif de vente en unité N8]]/1000</f>
        <v/>
      </c>
      <c r="BE20" s="924">
        <f>TableauProduit[[#This Row],[Objectif de vente en unité N8]]*TableauProduit[[#This Row],[Packaging / unité]]</f>
        <v/>
      </c>
      <c r="BF20" s="924">
        <f>TableauProduit[[#This Row],[Prix achat plantes / kg]]*TableauProduit[[#This Row],[Total (kg) N8]]</f>
        <v/>
      </c>
      <c r="BG20" s="924">
        <f>TableauProduit[[#This Row],[Prix de vente/kg]]*TableauProduit[[#This Row],[Total (kg) N8]]</f>
        <v/>
      </c>
      <c r="BH20" s="925">
        <f>TableauProduit[[#This Row],[Revenu brut N8]]-TableauProduit[[#This Row],[Achat plantes N8]]-TableauProduit[[#This Row],[Conditionnement N8]]</f>
        <v/>
      </c>
      <c r="BI20" s="926" t="n">
        <v>600</v>
      </c>
      <c r="BJ20" s="927">
        <f>TableauProduit[[#This Row],[Poids (g) / unité]]*TableauProduit[[#This Row],[Objectif de vente en unité N9]]/1000</f>
        <v/>
      </c>
      <c r="BK20" s="928">
        <f>TableauProduit[[#This Row],[Objectif de vente en unité N9]]*TableauProduit[[#This Row],[Packaging / unité]]</f>
        <v/>
      </c>
      <c r="BL20" s="928">
        <f>TableauProduit[[#This Row],[Prix achat plantes / kg]]*TableauProduit[[#This Row],[Total (kg) N9]]</f>
        <v/>
      </c>
      <c r="BM20" s="928">
        <f>TableauProduit[[#This Row],[Prix de vente/kg]]*TableauProduit[[#This Row],[Total (kg) N9]]</f>
        <v/>
      </c>
      <c r="BN20" s="927">
        <f>TableauProduit[[#This Row],[Revenu brut N9]]-TableauProduit[[#This Row],[Achat plantes N9]]-TableauProduit[[#This Row],[Conditionnement N9]]</f>
        <v/>
      </c>
      <c r="BO20" t="inlineStr">
        <is>
          <t>Transformé</t>
        </is>
      </c>
    </row>
    <row r="21">
      <c r="A21" s="553" t="inlineStr">
        <is>
          <t>Sucre à l'hibiscus</t>
        </is>
      </c>
      <c r="B21" s="54">
        <f>TableauProduit[[#This Row],[Recette]]&amp;TableauProduit[[#This Row],[Conditionnement]]</f>
        <v/>
      </c>
      <c r="C21" s="11" t="n">
        <v>1</v>
      </c>
      <c r="D21" s="11" t="n">
        <v>200</v>
      </c>
      <c r="E21" s="6" t="inlineStr">
        <is>
          <t>Epice 200ml</t>
        </is>
      </c>
      <c r="F21" s="7">
        <f>IFERROR(VLOOKUP(TableauProduit[[#This Row],[Conditionnement]],TableauConditionnement[[Nom]:[Contenance]],4,FALSE),"")</f>
        <v/>
      </c>
      <c r="G21" s="897">
        <f>IFERROR(SUMIFS(TableauRecette[Prix d''achat / kg],TableauRecette[Recette],TableauProduit[[#This Row],[Recette]],TableauRecette[Conditionnement],TableauProduit[[#This Row],[Conditionnement]]),0)</f>
        <v/>
      </c>
      <c r="H21" s="957" t="n">
        <v>7.8</v>
      </c>
      <c r="I21" s="899">
        <f>1000*TableauProduit[[#This Row],[Prix de vente/U]]/TableauProduit[[#This Row],[Poids (g) / unité]]</f>
        <v/>
      </c>
      <c r="J21" s="900">
        <f>SUMIFS(TableauConcurence[PRIX_KG],TableauConcurence[PRODUIT],TableauProduit[[#This Row],[Recette]],TableauConcurence[DISTRIBUTION],"magasin NON BIO")</f>
        <v/>
      </c>
      <c r="K21" s="901">
        <f>SUMIFS(TableauConcurence[PRIX_KG],TableauConcurence[PRODUIT],TableauProduit[[#This Row],[Recette]],TableauConcurence[DISTRIBUTION],"magasin BIO")</f>
        <v/>
      </c>
      <c r="L21" s="902">
        <f>SUMIFS(TableauConcurence[PRIX_KG],TableauConcurence[PRODUIT],TableauProduit[[#This Row],[Recette]],TableauConcurence[DISTRIBUTION],"artisanale BIO")</f>
        <v/>
      </c>
      <c r="M21" s="903" t="n">
        <v>0</v>
      </c>
      <c r="N21" s="904">
        <f>TableauProduit[[#This Row],[Poids (g) / unité]]*TableauProduit[[#This Row],[Objectif de vente en unité N1]]/1000</f>
        <v/>
      </c>
      <c r="O21" s="905">
        <f>TableauProduit[[#This Row],[Objectif de vente en unité N1]]*TableauProduit[[#This Row],[Packaging / unité]]</f>
        <v/>
      </c>
      <c r="P21" s="905">
        <f>TableauProduit[[#This Row],[Prix achat plantes / kg]]*TableauProduit[[#This Row],[Total (kg) N1]]</f>
        <v/>
      </c>
      <c r="Q21" s="905">
        <f>TableauProduit[[#This Row],[Prix de vente/kg]]*TableauProduit[[#This Row],[Total (kg) N1]]</f>
        <v/>
      </c>
      <c r="R21" s="906">
        <f>TableauProduit[[#This Row],[Revenu brut N1]]-TableauProduit[[#This Row],[Achat plantes N1]]-TableauProduit[[#This Row],[Conditionnement N1]]</f>
        <v/>
      </c>
      <c r="S21" s="907" t="n">
        <v>0</v>
      </c>
      <c r="T21" s="908">
        <f>TableauProduit[[#This Row],[Poids (g) / unité]]*TableauProduit[[#This Row],[Objectif de vente en unité N2]]/1000</f>
        <v/>
      </c>
      <c r="U21" s="909">
        <f>TableauProduit[[#This Row],[Objectif de vente en unité N2]]*TableauProduit[[#This Row],[Packaging / unité]]</f>
        <v/>
      </c>
      <c r="V21" s="909">
        <f>TableauProduit[[#This Row],[Prix achat plantes / kg]]*TableauProduit[[#This Row],[Total (kg) N2]]</f>
        <v/>
      </c>
      <c r="W21" s="909">
        <f>TableauProduit[[#This Row],[Prix de vente/kg]]*TableauProduit[[#This Row],[Total (kg) N2]]</f>
        <v/>
      </c>
      <c r="X21" s="910">
        <f>TableauProduit[[#This Row],[Revenu brut N2]]-TableauProduit[[#This Row],[Achat plantes N2]]-TableauProduit[[#This Row],[Conditionnement N2]]</f>
        <v/>
      </c>
      <c r="Y21" s="911" t="n">
        <v>120</v>
      </c>
      <c r="Z21" s="912">
        <f>TableauProduit[[#This Row],[Poids (g) / unité]]*TableauProduit[[#This Row],[Objectif de vente en unité N3]]/1000</f>
        <v/>
      </c>
      <c r="AA21" s="913">
        <f>TableauProduit[[#This Row],[Objectif de vente en unité N3]]*TableauProduit[[#This Row],[Packaging / unité]]</f>
        <v/>
      </c>
      <c r="AB21" s="913">
        <f>TableauProduit[[#This Row],[Prix achat plantes / kg]]*TableauProduit[[#This Row],[Total (kg) N3]]</f>
        <v/>
      </c>
      <c r="AC21" s="913">
        <f>TableauProduit[[#This Row],[Prix de vente/kg]]*TableauProduit[[#This Row],[Total (kg) N3]]</f>
        <v/>
      </c>
      <c r="AD21" s="914">
        <f>TableauProduit[[#This Row],[Revenu brut N3]]-TableauProduit[[#This Row],[Achat plantes N3]]-TableauProduit[[#This Row],[Conditionnement N3]]</f>
        <v/>
      </c>
      <c r="AE21" s="915" t="n">
        <v>156</v>
      </c>
      <c r="AF21" s="915">
        <f>TableauProduit[[#This Row],[Poids (g) / unité]]*TableauProduit[[#This Row],[Objectif de vente en unité N4]]/1000</f>
        <v/>
      </c>
      <c r="AG21" s="916">
        <f>TableauProduit[[#This Row],[Objectif de vente en unité N4]]*TableauProduit[[#This Row],[Packaging / unité]]</f>
        <v/>
      </c>
      <c r="AH21" s="916">
        <f>TableauProduit[[#This Row],[Prix achat plantes / kg]]*TableauProduit[[#This Row],[Total (kg) N4]]</f>
        <v/>
      </c>
      <c r="AI21" s="916">
        <f>TableauProduit[[#This Row],[Prix de vente/kg]]*TableauProduit[[#This Row],[Total (kg) N4]]</f>
        <v/>
      </c>
      <c r="AJ21" s="915">
        <f>TableauProduit[[#This Row],[Revenu brut N4]]-TableauProduit[[#This Row],[Achat plantes N4]]-TableauProduit[[#This Row],[Conditionnement N4]]</f>
        <v/>
      </c>
      <c r="AK21" s="917" t="n">
        <v>174</v>
      </c>
      <c r="AL21" s="917">
        <f>TableauProduit[[#This Row],[Poids (g) / unité]]*TableauProduit[[#This Row],[Objectif de vente en unité N5]]/1000</f>
        <v/>
      </c>
      <c r="AM21" s="918">
        <f>TableauProduit[[#This Row],[Objectif de vente en unité N5]]*TableauProduit[[#This Row],[Packaging / unité]]</f>
        <v/>
      </c>
      <c r="AN21" s="918">
        <f>TableauProduit[[#This Row],[Prix achat plantes / kg]]*TableauProduit[[#This Row],[Total (kg) N5]]</f>
        <v/>
      </c>
      <c r="AO21" s="918">
        <f>TableauProduit[[#This Row],[Prix de vente/kg]]*TableauProduit[[#This Row],[Total (kg) N5]]</f>
        <v/>
      </c>
      <c r="AP21" s="917">
        <f>TableauProduit[[#This Row],[Revenu brut N5]]-TableauProduit[[#This Row],[Achat plantes N5]]-TableauProduit[[#This Row],[Conditionnement N5]]</f>
        <v/>
      </c>
      <c r="AQ21" s="919" t="n">
        <v>180</v>
      </c>
      <c r="AR21" s="919">
        <f>TableauProduit[[#This Row],[Poids (g) / unité]]*TableauProduit[[#This Row],[Objectif de vente en unité N6]]/1000</f>
        <v/>
      </c>
      <c r="AS21" s="920">
        <f>TableauProduit[[#This Row],[Objectif de vente en unité N6]]*TableauProduit[[#This Row],[Packaging / unité]]</f>
        <v/>
      </c>
      <c r="AT21" s="920">
        <f>TableauProduit[[#This Row],[Prix achat plantes / kg]]*TableauProduit[[#This Row],[Total (kg) N6]]</f>
        <v/>
      </c>
      <c r="AU21" s="920">
        <f>TableauProduit[[#This Row],[Prix de vente/kg]]*TableauProduit[[#This Row],[Total (kg) N6]]</f>
        <v/>
      </c>
      <c r="AV21" s="919">
        <f>TableauProduit[[#This Row],[Revenu brut N6]]-TableauProduit[[#This Row],[Achat plantes N6]]-TableauProduit[[#This Row],[Conditionnement N6]]</f>
        <v/>
      </c>
      <c r="AW21" s="904" t="n">
        <v>180</v>
      </c>
      <c r="AX21" s="904">
        <f>TableauProduit[[#This Row],[Poids (g) / unité]]*TableauProduit[[#This Row],[Objectif de vente en unité N7]]/1000</f>
        <v/>
      </c>
      <c r="AY21" s="905">
        <f>TableauProduit[[#This Row],[Objectif de vente en unité N7]]*TableauProduit[[#This Row],[Packaging / unité]]</f>
        <v/>
      </c>
      <c r="AZ21" s="905">
        <f>TableauProduit[[#This Row],[Prix achat plantes / kg]]*TableauProduit[[#This Row],[Total (kg) N7]]</f>
        <v/>
      </c>
      <c r="BA21" s="905">
        <f>TableauProduit[[#This Row],[Prix de vente/kg]]*TableauProduit[[#This Row],[Total (kg) N7]]</f>
        <v/>
      </c>
      <c r="BB21" s="921">
        <f>TableauProduit[[#This Row],[Revenu brut N7]]-TableauProduit[[#This Row],[Achat plantes N7]]-TableauProduit[[#This Row],[Conditionnement N7]]</f>
        <v/>
      </c>
      <c r="BC21" s="922" t="n">
        <v>180</v>
      </c>
      <c r="BD21" s="923">
        <f>TableauProduit[[#This Row],[Poids (g) / unité]]*TableauProduit[[#This Row],[Objectif de vente en unité N8]]/1000</f>
        <v/>
      </c>
      <c r="BE21" s="924">
        <f>TableauProduit[[#This Row],[Objectif de vente en unité N8]]*TableauProduit[[#This Row],[Packaging / unité]]</f>
        <v/>
      </c>
      <c r="BF21" s="924">
        <f>TableauProduit[[#This Row],[Prix achat plantes / kg]]*TableauProduit[[#This Row],[Total (kg) N8]]</f>
        <v/>
      </c>
      <c r="BG21" s="924">
        <f>TableauProduit[[#This Row],[Prix de vente/kg]]*TableauProduit[[#This Row],[Total (kg) N8]]</f>
        <v/>
      </c>
      <c r="BH21" s="925">
        <f>TableauProduit[[#This Row],[Revenu brut N8]]-TableauProduit[[#This Row],[Achat plantes N8]]-TableauProduit[[#This Row],[Conditionnement N8]]</f>
        <v/>
      </c>
      <c r="BI21" s="926" t="n">
        <v>180</v>
      </c>
      <c r="BJ21" s="927">
        <f>TableauProduit[[#This Row],[Poids (g) / unité]]*TableauProduit[[#This Row],[Objectif de vente en unité N9]]/1000</f>
        <v/>
      </c>
      <c r="BK21" s="928">
        <f>TableauProduit[[#This Row],[Objectif de vente en unité N9]]*TableauProduit[[#This Row],[Packaging / unité]]</f>
        <v/>
      </c>
      <c r="BL21" s="928">
        <f>TableauProduit[[#This Row],[Prix achat plantes / kg]]*TableauProduit[[#This Row],[Total (kg) N9]]</f>
        <v/>
      </c>
      <c r="BM21" s="928">
        <f>TableauProduit[[#This Row],[Prix de vente/kg]]*TableauProduit[[#This Row],[Total (kg) N9]]</f>
        <v/>
      </c>
      <c r="BN21" s="927">
        <f>TableauProduit[[#This Row],[Revenu brut N9]]-TableauProduit[[#This Row],[Achat plantes N9]]-TableauProduit[[#This Row],[Conditionnement N9]]</f>
        <v/>
      </c>
      <c r="BO21" t="inlineStr">
        <is>
          <t>Transformé</t>
        </is>
      </c>
    </row>
    <row r="22">
      <c r="A22" s="553" t="inlineStr">
        <is>
          <t>Vinaigre du soleil</t>
        </is>
      </c>
      <c r="B22" s="54">
        <f>TableauProduit[[#This Row],[Recette]]&amp;TableauProduit[[#This Row],[Conditionnement]]</f>
        <v/>
      </c>
      <c r="C22" s="11" t="n">
        <v>1</v>
      </c>
      <c r="D22" s="11" t="n">
        <v>250</v>
      </c>
      <c r="E22" s="6" t="inlineStr">
        <is>
          <t>Vinaigre 250 ml</t>
        </is>
      </c>
      <c r="F22" s="7">
        <f>IFERROR(VLOOKUP(TableauProduit[[#This Row],[Conditionnement]],TableauConditionnement[[Nom]:[Contenance]],4,FALSE),"")</f>
        <v/>
      </c>
      <c r="G22" s="897">
        <f>IFERROR(SUMIFS(TableauRecette[Prix d''achat / kg],TableauRecette[Recette],TableauProduit[[#This Row],[Recette]],TableauRecette[Conditionnement],TableauProduit[[#This Row],[Conditionnement]]),0)</f>
        <v/>
      </c>
      <c r="H22" s="957" t="n">
        <v>8.1</v>
      </c>
      <c r="I22" s="899">
        <f>1000*TableauProduit[[#This Row],[Prix de vente/U]]/TableauProduit[[#This Row],[Poids (g) / unité]]</f>
        <v/>
      </c>
      <c r="J22" s="900">
        <f>SUMIFS(TableauConcurence[PRIX_KG],TableauConcurence[PRODUIT],TableauProduit[[#This Row],[Recette]],TableauConcurence[DISTRIBUTION],"magasin NON BIO")</f>
        <v/>
      </c>
      <c r="K22" s="901">
        <f>SUMIFS(TableauConcurence[PRIX_KG],TableauConcurence[PRODUIT],TableauProduit[[#This Row],[Recette]],TableauConcurence[DISTRIBUTION],"magasin BIO")</f>
        <v/>
      </c>
      <c r="L22" s="902">
        <f>SUMIFS(TableauConcurence[PRIX_KG],TableauConcurence[PRODUIT],TableauProduit[[#This Row],[Recette]],TableauConcurence[DISTRIBUTION],"artisanale BIO")</f>
        <v/>
      </c>
      <c r="M22" s="903" t="n">
        <v>0</v>
      </c>
      <c r="N22" s="904">
        <f>TableauProduit[[#This Row],[Poids (g) / unité]]*TableauProduit[[#This Row],[Objectif de vente en unité N1]]/1000</f>
        <v/>
      </c>
      <c r="O22" s="905">
        <f>TableauProduit[[#This Row],[Objectif de vente en unité N1]]*TableauProduit[[#This Row],[Packaging / unité]]</f>
        <v/>
      </c>
      <c r="P22" s="905">
        <f>TableauProduit[[#This Row],[Prix achat plantes / kg]]*TableauProduit[[#This Row],[Total (kg) N1]]</f>
        <v/>
      </c>
      <c r="Q22" s="905">
        <f>TableauProduit[[#This Row],[Prix de vente/kg]]*TableauProduit[[#This Row],[Total (kg) N1]]</f>
        <v/>
      </c>
      <c r="R22" s="906">
        <f>TableauProduit[[#This Row],[Revenu brut N1]]-TableauProduit[[#This Row],[Achat plantes N1]]-TableauProduit[[#This Row],[Conditionnement N1]]</f>
        <v/>
      </c>
      <c r="S22" s="907" t="n">
        <v>120</v>
      </c>
      <c r="T22" s="908">
        <f>TableauProduit[[#This Row],[Poids (g) / unité]]*TableauProduit[[#This Row],[Objectif de vente en unité N2]]/1000</f>
        <v/>
      </c>
      <c r="U22" s="909">
        <f>TableauProduit[[#This Row],[Objectif de vente en unité N2]]*TableauProduit[[#This Row],[Packaging / unité]]</f>
        <v/>
      </c>
      <c r="V22" s="909">
        <f>TableauProduit[[#This Row],[Prix achat plantes / kg]]*TableauProduit[[#This Row],[Total (kg) N2]]</f>
        <v/>
      </c>
      <c r="W22" s="909">
        <f>TableauProduit[[#This Row],[Prix de vente/kg]]*TableauProduit[[#This Row],[Total (kg) N2]]</f>
        <v/>
      </c>
      <c r="X22" s="910">
        <f>TableauProduit[[#This Row],[Revenu brut N2]]-TableauProduit[[#This Row],[Achat plantes N2]]-TableauProduit[[#This Row],[Conditionnement N2]]</f>
        <v/>
      </c>
      <c r="Y22" s="911" t="n">
        <v>168</v>
      </c>
      <c r="Z22" s="912">
        <f>TableauProduit[[#This Row],[Poids (g) / unité]]*TableauProduit[[#This Row],[Objectif de vente en unité N3]]/1000</f>
        <v/>
      </c>
      <c r="AA22" s="913">
        <f>TableauProduit[[#This Row],[Objectif de vente en unité N3]]*TableauProduit[[#This Row],[Packaging / unité]]</f>
        <v/>
      </c>
      <c r="AB22" s="913">
        <f>TableauProduit[[#This Row],[Prix achat plantes / kg]]*TableauProduit[[#This Row],[Total (kg) N3]]</f>
        <v/>
      </c>
      <c r="AC22" s="913">
        <f>TableauProduit[[#This Row],[Prix de vente/kg]]*TableauProduit[[#This Row],[Total (kg) N3]]</f>
        <v/>
      </c>
      <c r="AD22" s="914">
        <f>TableauProduit[[#This Row],[Revenu brut N3]]-TableauProduit[[#This Row],[Achat plantes N3]]-TableauProduit[[#This Row],[Conditionnement N3]]</f>
        <v/>
      </c>
      <c r="AE22" s="915" t="n">
        <v>192</v>
      </c>
      <c r="AF22" s="915">
        <f>TableauProduit[[#This Row],[Poids (g) / unité]]*TableauProduit[[#This Row],[Objectif de vente en unité N4]]/1000</f>
        <v/>
      </c>
      <c r="AG22" s="916">
        <f>TableauProduit[[#This Row],[Objectif de vente en unité N4]]*TableauProduit[[#This Row],[Packaging / unité]]</f>
        <v/>
      </c>
      <c r="AH22" s="916">
        <f>TableauProduit[[#This Row],[Prix achat plantes / kg]]*TableauProduit[[#This Row],[Total (kg) N4]]</f>
        <v/>
      </c>
      <c r="AI22" s="916">
        <f>TableauProduit[[#This Row],[Prix de vente/kg]]*TableauProduit[[#This Row],[Total (kg) N4]]</f>
        <v/>
      </c>
      <c r="AJ22" s="915">
        <f>TableauProduit[[#This Row],[Revenu brut N4]]-TableauProduit[[#This Row],[Achat plantes N4]]-TableauProduit[[#This Row],[Conditionnement N4]]</f>
        <v/>
      </c>
      <c r="AK22" s="917" t="n">
        <v>204</v>
      </c>
      <c r="AL22" s="917">
        <f>TableauProduit[[#This Row],[Poids (g) / unité]]*TableauProduit[[#This Row],[Objectif de vente en unité N5]]/1000</f>
        <v/>
      </c>
      <c r="AM22" s="918">
        <f>TableauProduit[[#This Row],[Objectif de vente en unité N5]]*TableauProduit[[#This Row],[Packaging / unité]]</f>
        <v/>
      </c>
      <c r="AN22" s="918">
        <f>TableauProduit[[#This Row],[Prix achat plantes / kg]]*TableauProduit[[#This Row],[Total (kg) N5]]</f>
        <v/>
      </c>
      <c r="AO22" s="918">
        <f>TableauProduit[[#This Row],[Prix de vente/kg]]*TableauProduit[[#This Row],[Total (kg) N5]]</f>
        <v/>
      </c>
      <c r="AP22" s="917">
        <f>TableauProduit[[#This Row],[Revenu brut N5]]-TableauProduit[[#This Row],[Achat plantes N5]]-TableauProduit[[#This Row],[Conditionnement N5]]</f>
        <v/>
      </c>
      <c r="AQ22" s="919" t="n">
        <v>204</v>
      </c>
      <c r="AR22" s="919">
        <f>TableauProduit[[#This Row],[Poids (g) / unité]]*TableauProduit[[#This Row],[Objectif de vente en unité N6]]/1000</f>
        <v/>
      </c>
      <c r="AS22" s="920">
        <f>TableauProduit[[#This Row],[Objectif de vente en unité N6]]*TableauProduit[[#This Row],[Packaging / unité]]</f>
        <v/>
      </c>
      <c r="AT22" s="920">
        <f>TableauProduit[[#This Row],[Prix achat plantes / kg]]*TableauProduit[[#This Row],[Total (kg) N6]]</f>
        <v/>
      </c>
      <c r="AU22" s="920">
        <f>TableauProduit[[#This Row],[Prix de vente/kg]]*TableauProduit[[#This Row],[Total (kg) N6]]</f>
        <v/>
      </c>
      <c r="AV22" s="919">
        <f>TableauProduit[[#This Row],[Revenu brut N6]]-TableauProduit[[#This Row],[Achat plantes N6]]-TableauProduit[[#This Row],[Conditionnement N6]]</f>
        <v/>
      </c>
      <c r="AW22" s="904" t="n">
        <v>204</v>
      </c>
      <c r="AX22" s="904">
        <f>TableauProduit[[#This Row],[Poids (g) / unité]]*TableauProduit[[#This Row],[Objectif de vente en unité N7]]/1000</f>
        <v/>
      </c>
      <c r="AY22" s="905">
        <f>TableauProduit[[#This Row],[Objectif de vente en unité N7]]*TableauProduit[[#This Row],[Packaging / unité]]</f>
        <v/>
      </c>
      <c r="AZ22" s="905">
        <f>TableauProduit[[#This Row],[Prix achat plantes / kg]]*TableauProduit[[#This Row],[Total (kg) N7]]</f>
        <v/>
      </c>
      <c r="BA22" s="905">
        <f>TableauProduit[[#This Row],[Prix de vente/kg]]*TableauProduit[[#This Row],[Total (kg) N7]]</f>
        <v/>
      </c>
      <c r="BB22" s="921">
        <f>TableauProduit[[#This Row],[Revenu brut N7]]-TableauProduit[[#This Row],[Achat plantes N7]]-TableauProduit[[#This Row],[Conditionnement N7]]</f>
        <v/>
      </c>
      <c r="BC22" s="922" t="n">
        <v>204</v>
      </c>
      <c r="BD22" s="923">
        <f>TableauProduit[[#This Row],[Poids (g) / unité]]*TableauProduit[[#This Row],[Objectif de vente en unité N8]]/1000</f>
        <v/>
      </c>
      <c r="BE22" s="924">
        <f>TableauProduit[[#This Row],[Objectif de vente en unité N8]]*TableauProduit[[#This Row],[Packaging / unité]]</f>
        <v/>
      </c>
      <c r="BF22" s="924">
        <f>TableauProduit[[#This Row],[Prix achat plantes / kg]]*TableauProduit[[#This Row],[Total (kg) N8]]</f>
        <v/>
      </c>
      <c r="BG22" s="924">
        <f>TableauProduit[[#This Row],[Prix de vente/kg]]*TableauProduit[[#This Row],[Total (kg) N8]]</f>
        <v/>
      </c>
      <c r="BH22" s="925">
        <f>TableauProduit[[#This Row],[Revenu brut N8]]-TableauProduit[[#This Row],[Achat plantes N8]]-TableauProduit[[#This Row],[Conditionnement N8]]</f>
        <v/>
      </c>
      <c r="BI22" s="926" t="n">
        <v>204</v>
      </c>
      <c r="BJ22" s="927">
        <f>TableauProduit[[#This Row],[Poids (g) / unité]]*TableauProduit[[#This Row],[Objectif de vente en unité N9]]/1000</f>
        <v/>
      </c>
      <c r="BK22" s="928">
        <f>TableauProduit[[#This Row],[Objectif de vente en unité N9]]*TableauProduit[[#This Row],[Packaging / unité]]</f>
        <v/>
      </c>
      <c r="BL22" s="928">
        <f>TableauProduit[[#This Row],[Prix achat plantes / kg]]*TableauProduit[[#This Row],[Total (kg) N9]]</f>
        <v/>
      </c>
      <c r="BM22" s="928">
        <f>TableauProduit[[#This Row],[Prix de vente/kg]]*TableauProduit[[#This Row],[Total (kg) N9]]</f>
        <v/>
      </c>
      <c r="BN22" s="927">
        <f>TableauProduit[[#This Row],[Revenu brut N9]]-TableauProduit[[#This Row],[Achat plantes N9]]-TableauProduit[[#This Row],[Conditionnement N9]]</f>
        <v/>
      </c>
      <c r="BO22" t="inlineStr">
        <is>
          <t>Transformé</t>
        </is>
      </c>
    </row>
    <row r="23">
      <c r="A23" s="553" t="inlineStr">
        <is>
          <t>Vinaigre du sureau</t>
        </is>
      </c>
      <c r="B23" s="54">
        <f>TableauProduit[[#This Row],[Recette]]&amp;TableauProduit[[#This Row],[Conditionnement]]</f>
        <v/>
      </c>
      <c r="C23" s="11" t="n">
        <v>1</v>
      </c>
      <c r="D23" s="11" t="n">
        <v>250</v>
      </c>
      <c r="E23" s="6" t="inlineStr">
        <is>
          <t>Vinaigre 250 ml</t>
        </is>
      </c>
      <c r="F23" s="7">
        <f>IFERROR(VLOOKUP(TableauProduit[[#This Row],[Conditionnement]],TableauConditionnement[[Nom]:[Contenance]],4,FALSE),"")</f>
        <v/>
      </c>
      <c r="G23" s="897">
        <f>IFERROR(SUMIFS(TableauRecette[Prix d''achat / kg],TableauRecette[Recette],TableauProduit[[#This Row],[Recette]],TableauRecette[Conditionnement],TableauProduit[[#This Row],[Conditionnement]]),0)</f>
        <v/>
      </c>
      <c r="H23" s="957" t="n">
        <v>8.1</v>
      </c>
      <c r="I23" s="899">
        <f>1000*TableauProduit[[#This Row],[Prix de vente/U]]/TableauProduit[[#This Row],[Poids (g) / unité]]</f>
        <v/>
      </c>
      <c r="J23" s="900">
        <f>SUMIFS(TableauConcurence[PRIX_KG],TableauConcurence[PRODUIT],TableauProduit[[#This Row],[Recette]],TableauConcurence[DISTRIBUTION],"magasin NON BIO")</f>
        <v/>
      </c>
      <c r="K23" s="901">
        <f>SUMIFS(TableauConcurence[PRIX_KG],TableauConcurence[PRODUIT],TableauProduit[[#This Row],[Recette]],TableauConcurence[DISTRIBUTION],"magasin BIO")</f>
        <v/>
      </c>
      <c r="L23" s="902">
        <f>SUMIFS(TableauConcurence[PRIX_KG],TableauConcurence[PRODUIT],TableauProduit[[#This Row],[Recette]],TableauConcurence[DISTRIBUTION],"artisanale BIO")</f>
        <v/>
      </c>
      <c r="M23" s="903" t="n">
        <v>0</v>
      </c>
      <c r="N23" s="904">
        <f>TableauProduit[[#This Row],[Poids (g) / unité]]*TableauProduit[[#This Row],[Objectif de vente en unité N1]]/1000</f>
        <v/>
      </c>
      <c r="O23" s="905">
        <f>TableauProduit[[#This Row],[Objectif de vente en unité N1]]*TableauProduit[[#This Row],[Packaging / unité]]</f>
        <v/>
      </c>
      <c r="P23" s="905">
        <f>TableauProduit[[#This Row],[Prix achat plantes / kg]]*TableauProduit[[#This Row],[Total (kg) N1]]</f>
        <v/>
      </c>
      <c r="Q23" s="905">
        <f>TableauProduit[[#This Row],[Prix de vente/kg]]*TableauProduit[[#This Row],[Total (kg) N1]]</f>
        <v/>
      </c>
      <c r="R23" s="906">
        <f>TableauProduit[[#This Row],[Revenu brut N1]]-TableauProduit[[#This Row],[Achat plantes N1]]-TableauProduit[[#This Row],[Conditionnement N1]]</f>
        <v/>
      </c>
      <c r="S23" s="907" t="n">
        <v>100</v>
      </c>
      <c r="T23" s="908">
        <f>TableauProduit[[#This Row],[Poids (g) / unité]]*TableauProduit[[#This Row],[Objectif de vente en unité N2]]/1000</f>
        <v/>
      </c>
      <c r="U23" s="909">
        <f>TableauProduit[[#This Row],[Objectif de vente en unité N2]]*TableauProduit[[#This Row],[Packaging / unité]]</f>
        <v/>
      </c>
      <c r="V23" s="909">
        <f>TableauProduit[[#This Row],[Prix achat plantes / kg]]*TableauProduit[[#This Row],[Total (kg) N2]]</f>
        <v/>
      </c>
      <c r="W23" s="909">
        <f>TableauProduit[[#This Row],[Prix de vente/kg]]*TableauProduit[[#This Row],[Total (kg) N2]]</f>
        <v/>
      </c>
      <c r="X23" s="910">
        <f>TableauProduit[[#This Row],[Revenu brut N2]]-TableauProduit[[#This Row],[Achat plantes N2]]-TableauProduit[[#This Row],[Conditionnement N2]]</f>
        <v/>
      </c>
      <c r="Y23" s="911" t="n">
        <v>140</v>
      </c>
      <c r="Z23" s="912">
        <f>TableauProduit[[#This Row],[Poids (g) / unité]]*TableauProduit[[#This Row],[Objectif de vente en unité N3]]/1000</f>
        <v/>
      </c>
      <c r="AA23" s="913">
        <f>TableauProduit[[#This Row],[Objectif de vente en unité N3]]*TableauProduit[[#This Row],[Packaging / unité]]</f>
        <v/>
      </c>
      <c r="AB23" s="913">
        <f>TableauProduit[[#This Row],[Prix achat plantes / kg]]*TableauProduit[[#This Row],[Total (kg) N3]]</f>
        <v/>
      </c>
      <c r="AC23" s="913">
        <f>TableauProduit[[#This Row],[Prix de vente/kg]]*TableauProduit[[#This Row],[Total (kg) N3]]</f>
        <v/>
      </c>
      <c r="AD23" s="914">
        <f>TableauProduit[[#This Row],[Revenu brut N3]]-TableauProduit[[#This Row],[Achat plantes N3]]-TableauProduit[[#This Row],[Conditionnement N3]]</f>
        <v/>
      </c>
      <c r="AE23" s="915" t="n">
        <v>160</v>
      </c>
      <c r="AF23" s="915">
        <f>TableauProduit[[#This Row],[Poids (g) / unité]]*TableauProduit[[#This Row],[Objectif de vente en unité N4]]/1000</f>
        <v/>
      </c>
      <c r="AG23" s="916">
        <f>TableauProduit[[#This Row],[Objectif de vente en unité N4]]*TableauProduit[[#This Row],[Packaging / unité]]</f>
        <v/>
      </c>
      <c r="AH23" s="916">
        <f>TableauProduit[[#This Row],[Prix achat plantes / kg]]*TableauProduit[[#This Row],[Total (kg) N4]]</f>
        <v/>
      </c>
      <c r="AI23" s="916">
        <f>TableauProduit[[#This Row],[Prix de vente/kg]]*TableauProduit[[#This Row],[Total (kg) N4]]</f>
        <v/>
      </c>
      <c r="AJ23" s="915">
        <f>TableauProduit[[#This Row],[Revenu brut N4]]-TableauProduit[[#This Row],[Achat plantes N4]]-TableauProduit[[#This Row],[Conditionnement N4]]</f>
        <v/>
      </c>
      <c r="AK23" s="917" t="n">
        <v>170</v>
      </c>
      <c r="AL23" s="917">
        <f>TableauProduit[[#This Row],[Poids (g) / unité]]*TableauProduit[[#This Row],[Objectif de vente en unité N5]]/1000</f>
        <v/>
      </c>
      <c r="AM23" s="918">
        <f>TableauProduit[[#This Row],[Objectif de vente en unité N5]]*TableauProduit[[#This Row],[Packaging / unité]]</f>
        <v/>
      </c>
      <c r="AN23" s="918">
        <f>TableauProduit[[#This Row],[Prix achat plantes / kg]]*TableauProduit[[#This Row],[Total (kg) N5]]</f>
        <v/>
      </c>
      <c r="AO23" s="918">
        <f>TableauProduit[[#This Row],[Prix de vente/kg]]*TableauProduit[[#This Row],[Total (kg) N5]]</f>
        <v/>
      </c>
      <c r="AP23" s="917">
        <f>TableauProduit[[#This Row],[Revenu brut N5]]-TableauProduit[[#This Row],[Achat plantes N5]]-TableauProduit[[#This Row],[Conditionnement N5]]</f>
        <v/>
      </c>
      <c r="AQ23" s="919" t="n">
        <v>170</v>
      </c>
      <c r="AR23" s="919">
        <f>TableauProduit[[#This Row],[Poids (g) / unité]]*TableauProduit[[#This Row],[Objectif de vente en unité N6]]/1000</f>
        <v/>
      </c>
      <c r="AS23" s="920">
        <f>TableauProduit[[#This Row],[Objectif de vente en unité N6]]*TableauProduit[[#This Row],[Packaging / unité]]</f>
        <v/>
      </c>
      <c r="AT23" s="920">
        <f>TableauProduit[[#This Row],[Prix achat plantes / kg]]*TableauProduit[[#This Row],[Total (kg) N6]]</f>
        <v/>
      </c>
      <c r="AU23" s="920">
        <f>TableauProduit[[#This Row],[Prix de vente/kg]]*TableauProduit[[#This Row],[Total (kg) N6]]</f>
        <v/>
      </c>
      <c r="AV23" s="919">
        <f>TableauProduit[[#This Row],[Revenu brut N6]]-TableauProduit[[#This Row],[Achat plantes N6]]-TableauProduit[[#This Row],[Conditionnement N6]]</f>
        <v/>
      </c>
      <c r="AW23" s="904" t="n">
        <v>170</v>
      </c>
      <c r="AX23" s="904">
        <f>TableauProduit[[#This Row],[Poids (g) / unité]]*TableauProduit[[#This Row],[Objectif de vente en unité N7]]/1000</f>
        <v/>
      </c>
      <c r="AY23" s="905">
        <f>TableauProduit[[#This Row],[Objectif de vente en unité N7]]*TableauProduit[[#This Row],[Packaging / unité]]</f>
        <v/>
      </c>
      <c r="AZ23" s="905">
        <f>TableauProduit[[#This Row],[Prix achat plantes / kg]]*TableauProduit[[#This Row],[Total (kg) N7]]</f>
        <v/>
      </c>
      <c r="BA23" s="905">
        <f>TableauProduit[[#This Row],[Prix de vente/kg]]*TableauProduit[[#This Row],[Total (kg) N7]]</f>
        <v/>
      </c>
      <c r="BB23" s="921">
        <f>TableauProduit[[#This Row],[Revenu brut N7]]-TableauProduit[[#This Row],[Achat plantes N7]]-TableauProduit[[#This Row],[Conditionnement N7]]</f>
        <v/>
      </c>
      <c r="BC23" s="922" t="n">
        <v>170</v>
      </c>
      <c r="BD23" s="923">
        <f>TableauProduit[[#This Row],[Poids (g) / unité]]*TableauProduit[[#This Row],[Objectif de vente en unité N8]]/1000</f>
        <v/>
      </c>
      <c r="BE23" s="924">
        <f>TableauProduit[[#This Row],[Objectif de vente en unité N8]]*TableauProduit[[#This Row],[Packaging / unité]]</f>
        <v/>
      </c>
      <c r="BF23" s="924">
        <f>TableauProduit[[#This Row],[Prix achat plantes / kg]]*TableauProduit[[#This Row],[Total (kg) N8]]</f>
        <v/>
      </c>
      <c r="BG23" s="924">
        <f>TableauProduit[[#This Row],[Prix de vente/kg]]*TableauProduit[[#This Row],[Total (kg) N8]]</f>
        <v/>
      </c>
      <c r="BH23" s="925">
        <f>TableauProduit[[#This Row],[Revenu brut N8]]-TableauProduit[[#This Row],[Achat plantes N8]]-TableauProduit[[#This Row],[Conditionnement N8]]</f>
        <v/>
      </c>
      <c r="BI23" s="926" t="n">
        <v>170</v>
      </c>
      <c r="BJ23" s="927">
        <f>TableauProduit[[#This Row],[Poids (g) / unité]]*TableauProduit[[#This Row],[Objectif de vente en unité N9]]/1000</f>
        <v/>
      </c>
      <c r="BK23" s="928">
        <f>TableauProduit[[#This Row],[Objectif de vente en unité N9]]*TableauProduit[[#This Row],[Packaging / unité]]</f>
        <v/>
      </c>
      <c r="BL23" s="928">
        <f>TableauProduit[[#This Row],[Prix achat plantes / kg]]*TableauProduit[[#This Row],[Total (kg) N9]]</f>
        <v/>
      </c>
      <c r="BM23" s="928">
        <f>TableauProduit[[#This Row],[Prix de vente/kg]]*TableauProduit[[#This Row],[Total (kg) N9]]</f>
        <v/>
      </c>
      <c r="BN23" s="927">
        <f>TableauProduit[[#This Row],[Revenu brut N9]]-TableauProduit[[#This Row],[Achat plantes N9]]-TableauProduit[[#This Row],[Conditionnement N9]]</f>
        <v/>
      </c>
      <c r="BO23" t="inlineStr">
        <is>
          <t>Transformé</t>
        </is>
      </c>
    </row>
    <row r="24">
      <c r="A24" s="13" t="inlineStr">
        <is>
          <t>Zaatar</t>
        </is>
      </c>
      <c r="B24" s="54">
        <f>TableauProduit[[#This Row],[Recette]]&amp;TableauProduit[[#This Row],[Conditionnement]]</f>
        <v/>
      </c>
      <c r="C24" s="11" t="n">
        <v>1</v>
      </c>
      <c r="D24" s="11" t="n">
        <v>50</v>
      </c>
      <c r="E24" s="6" t="inlineStr">
        <is>
          <t>Epice 100ml</t>
        </is>
      </c>
      <c r="F24" s="7">
        <f>IFERROR(VLOOKUP(TableauProduit[[#This Row],[Conditionnement]],TableauConditionnement[[Nom]:[Contenance]],4,FALSE),"")</f>
        <v/>
      </c>
      <c r="G24" s="897">
        <f>IFERROR(SUMIFS(TableauRecette[Prix d''achat / kg],TableauRecette[Recette],TableauProduit[[#This Row],[Recette]],TableauRecette[Conditionnement],TableauProduit[[#This Row],[Conditionnement]]),0)</f>
        <v/>
      </c>
      <c r="H24" s="898" t="n">
        <v>8.5</v>
      </c>
      <c r="I24" s="899">
        <f>1000*TableauProduit[[#This Row],[Prix de vente/U]]/TableauProduit[[#This Row],[Poids (g) / unité]]</f>
        <v/>
      </c>
      <c r="J24" s="900">
        <f>SUMIFS(TableauConcurence[PRIX_KG],TableauConcurence[PRODUIT],TableauProduit[[#This Row],[Recette]],TableauConcurence[DISTRIBUTION],"magasin NON BIO")</f>
        <v/>
      </c>
      <c r="K24" s="901">
        <f>SUMIFS(TableauConcurence[PRIX_KG],TableauConcurence[PRODUIT],TableauProduit[[#This Row],[Recette]],TableauConcurence[DISTRIBUTION],"magasin BIO")</f>
        <v/>
      </c>
      <c r="L24" s="902">
        <f>SUMIFS(TableauConcurence[PRIX_KG],TableauConcurence[PRODUIT],TableauProduit[[#This Row],[Recette]],TableauConcurence[DISTRIBUTION],"artisanale BIO")</f>
        <v/>
      </c>
      <c r="M24" s="903" t="n">
        <v>450</v>
      </c>
      <c r="N24" s="904">
        <f>TableauProduit[[#This Row],[Poids (g) / unité]]*TableauProduit[[#This Row],[Objectif de vente en unité N1]]/1000</f>
        <v/>
      </c>
      <c r="O24" s="905">
        <f>TableauProduit[[#This Row],[Objectif de vente en unité N1]]*TableauProduit[[#This Row],[Packaging / unité]]</f>
        <v/>
      </c>
      <c r="P24" s="905">
        <f>TableauProduit[[#This Row],[Prix achat plantes / kg]]*TableauProduit[[#This Row],[Total (kg) N1]]</f>
        <v/>
      </c>
      <c r="Q24" s="905">
        <f>TableauProduit[[#This Row],[Prix de vente/kg]]*TableauProduit[[#This Row],[Total (kg) N1]]</f>
        <v/>
      </c>
      <c r="R24" s="906">
        <f>TableauProduit[[#This Row],[Revenu brut N1]]-TableauProduit[[#This Row],[Achat plantes N1]]-TableauProduit[[#This Row],[Conditionnement N1]]</f>
        <v/>
      </c>
      <c r="S24" s="907" t="n">
        <v>675</v>
      </c>
      <c r="T24" s="908">
        <f>TableauProduit[[#This Row],[Poids (g) / unité]]*TableauProduit[[#This Row],[Objectif de vente en unité N2]]/1000</f>
        <v/>
      </c>
      <c r="U24" s="909">
        <f>TableauProduit[[#This Row],[Objectif de vente en unité N2]]*TableauProduit[[#This Row],[Packaging / unité]]</f>
        <v/>
      </c>
      <c r="V24" s="909">
        <f>TableauProduit[[#This Row],[Prix achat plantes / kg]]*TableauProduit[[#This Row],[Total (kg) N2]]</f>
        <v/>
      </c>
      <c r="W24" s="909">
        <f>TableauProduit[[#This Row],[Prix de vente/kg]]*TableauProduit[[#This Row],[Total (kg) N2]]</f>
        <v/>
      </c>
      <c r="X24" s="910">
        <f>TableauProduit[[#This Row],[Revenu brut N2]]-TableauProduit[[#This Row],[Achat plantes N2]]-TableauProduit[[#This Row],[Conditionnement N2]]</f>
        <v/>
      </c>
      <c r="Y24" s="911" t="n">
        <v>788</v>
      </c>
      <c r="Z24" s="912">
        <f>TableauProduit[[#This Row],[Poids (g) / unité]]*TableauProduit[[#This Row],[Objectif de vente en unité N3]]/1000</f>
        <v/>
      </c>
      <c r="AA24" s="913">
        <f>TableauProduit[[#This Row],[Objectif de vente en unité N3]]*TableauProduit[[#This Row],[Packaging / unité]]</f>
        <v/>
      </c>
      <c r="AB24" s="913">
        <f>TableauProduit[[#This Row],[Prix achat plantes / kg]]*TableauProduit[[#This Row],[Total (kg) N3]]</f>
        <v/>
      </c>
      <c r="AC24" s="913">
        <f>TableauProduit[[#This Row],[Prix de vente/kg]]*TableauProduit[[#This Row],[Total (kg) N3]]</f>
        <v/>
      </c>
      <c r="AD24" s="914">
        <f>TableauProduit[[#This Row],[Revenu brut N3]]-TableauProduit[[#This Row],[Achat plantes N3]]-TableauProduit[[#This Row],[Conditionnement N3]]</f>
        <v/>
      </c>
      <c r="AE24" s="915" t="n">
        <v>855</v>
      </c>
      <c r="AF24" s="915">
        <f>TableauProduit[[#This Row],[Poids (g) / unité]]*TableauProduit[[#This Row],[Objectif de vente en unité N4]]/1000</f>
        <v/>
      </c>
      <c r="AG24" s="916">
        <f>TableauProduit[[#This Row],[Objectif de vente en unité N4]]*TableauProduit[[#This Row],[Packaging / unité]]</f>
        <v/>
      </c>
      <c r="AH24" s="916">
        <f>TableauProduit[[#This Row],[Prix achat plantes / kg]]*TableauProduit[[#This Row],[Total (kg) N4]]</f>
        <v/>
      </c>
      <c r="AI24" s="916">
        <f>TableauProduit[[#This Row],[Prix de vente/kg]]*TableauProduit[[#This Row],[Total (kg) N4]]</f>
        <v/>
      </c>
      <c r="AJ24" s="915">
        <f>TableauProduit[[#This Row],[Revenu brut N4]]-TableauProduit[[#This Row],[Achat plantes N4]]-TableauProduit[[#This Row],[Conditionnement N4]]</f>
        <v/>
      </c>
      <c r="AK24" s="917" t="n">
        <v>900</v>
      </c>
      <c r="AL24" s="917">
        <f>TableauProduit[[#This Row],[Poids (g) / unité]]*TableauProduit[[#This Row],[Objectif de vente en unité N5]]/1000</f>
        <v/>
      </c>
      <c r="AM24" s="918">
        <f>TableauProduit[[#This Row],[Objectif de vente en unité N5]]*TableauProduit[[#This Row],[Packaging / unité]]</f>
        <v/>
      </c>
      <c r="AN24" s="918">
        <f>TableauProduit[[#This Row],[Prix achat plantes / kg]]*TableauProduit[[#This Row],[Total (kg) N5]]</f>
        <v/>
      </c>
      <c r="AO24" s="918">
        <f>TableauProduit[[#This Row],[Prix de vente/kg]]*TableauProduit[[#This Row],[Total (kg) N5]]</f>
        <v/>
      </c>
      <c r="AP24" s="917">
        <f>TableauProduit[[#This Row],[Revenu brut N5]]-TableauProduit[[#This Row],[Achat plantes N5]]-TableauProduit[[#This Row],[Conditionnement N5]]</f>
        <v/>
      </c>
      <c r="AQ24" s="919" t="n">
        <v>900</v>
      </c>
      <c r="AR24" s="919">
        <f>TableauProduit[[#This Row],[Poids (g) / unité]]*TableauProduit[[#This Row],[Objectif de vente en unité N6]]/1000</f>
        <v/>
      </c>
      <c r="AS24" s="920">
        <f>TableauProduit[[#This Row],[Objectif de vente en unité N6]]*TableauProduit[[#This Row],[Packaging / unité]]</f>
        <v/>
      </c>
      <c r="AT24" s="920">
        <f>TableauProduit[[#This Row],[Prix achat plantes / kg]]*TableauProduit[[#This Row],[Total (kg) N6]]</f>
        <v/>
      </c>
      <c r="AU24" s="920">
        <f>TableauProduit[[#This Row],[Prix de vente/kg]]*TableauProduit[[#This Row],[Total (kg) N6]]</f>
        <v/>
      </c>
      <c r="AV24" s="919">
        <f>TableauProduit[[#This Row],[Revenu brut N6]]-TableauProduit[[#This Row],[Achat plantes N6]]-TableauProduit[[#This Row],[Conditionnement N6]]</f>
        <v/>
      </c>
      <c r="AW24" s="904" t="n">
        <v>900</v>
      </c>
      <c r="AX24" s="904">
        <f>TableauProduit[[#This Row],[Poids (g) / unité]]*TableauProduit[[#This Row],[Objectif de vente en unité N7]]/1000</f>
        <v/>
      </c>
      <c r="AY24" s="905">
        <f>TableauProduit[[#This Row],[Objectif de vente en unité N7]]*TableauProduit[[#This Row],[Packaging / unité]]</f>
        <v/>
      </c>
      <c r="AZ24" s="905">
        <f>TableauProduit[[#This Row],[Prix achat plantes / kg]]*TableauProduit[[#This Row],[Total (kg) N7]]</f>
        <v/>
      </c>
      <c r="BA24" s="905">
        <f>TableauProduit[[#This Row],[Prix de vente/kg]]*TableauProduit[[#This Row],[Total (kg) N7]]</f>
        <v/>
      </c>
      <c r="BB24" s="921">
        <f>TableauProduit[[#This Row],[Revenu brut N7]]-TableauProduit[[#This Row],[Achat plantes N7]]-TableauProduit[[#This Row],[Conditionnement N7]]</f>
        <v/>
      </c>
      <c r="BC24" s="922" t="n">
        <v>900</v>
      </c>
      <c r="BD24" s="923">
        <f>TableauProduit[[#This Row],[Poids (g) / unité]]*TableauProduit[[#This Row],[Objectif de vente en unité N8]]/1000</f>
        <v/>
      </c>
      <c r="BE24" s="924">
        <f>TableauProduit[[#This Row],[Objectif de vente en unité N8]]*TableauProduit[[#This Row],[Packaging / unité]]</f>
        <v/>
      </c>
      <c r="BF24" s="924">
        <f>TableauProduit[[#This Row],[Prix achat plantes / kg]]*TableauProduit[[#This Row],[Total (kg) N8]]</f>
        <v/>
      </c>
      <c r="BG24" s="924">
        <f>TableauProduit[[#This Row],[Prix de vente/kg]]*TableauProduit[[#This Row],[Total (kg) N8]]</f>
        <v/>
      </c>
      <c r="BH24" s="925">
        <f>TableauProduit[[#This Row],[Revenu brut N8]]-TableauProduit[[#This Row],[Achat plantes N8]]-TableauProduit[[#This Row],[Conditionnement N8]]</f>
        <v/>
      </c>
      <c r="BI24" s="926" t="n">
        <v>900</v>
      </c>
      <c r="BJ24" s="927">
        <f>TableauProduit[[#This Row],[Poids (g) / unité]]*TableauProduit[[#This Row],[Objectif de vente en unité N9]]/1000</f>
        <v/>
      </c>
      <c r="BK24" s="928">
        <f>TableauProduit[[#This Row],[Objectif de vente en unité N9]]*TableauProduit[[#This Row],[Packaging / unité]]</f>
        <v/>
      </c>
      <c r="BL24" s="928">
        <f>TableauProduit[[#This Row],[Prix achat plantes / kg]]*TableauProduit[[#This Row],[Total (kg) N9]]</f>
        <v/>
      </c>
      <c r="BM24" s="928">
        <f>TableauProduit[[#This Row],[Prix de vente/kg]]*TableauProduit[[#This Row],[Total (kg) N9]]</f>
        <v/>
      </c>
      <c r="BN24" s="927">
        <f>TableauProduit[[#This Row],[Revenu brut N9]]-TableauProduit[[#This Row],[Achat plantes N9]]-TableauProduit[[#This Row],[Conditionnement N9]]</f>
        <v/>
      </c>
      <c r="BO24" t="inlineStr">
        <is>
          <t>Mélange</t>
        </is>
      </c>
    </row>
    <row r="25">
      <c r="A25" s="13" t="inlineStr">
        <is>
          <t>Tabasco Rouge moyen</t>
        </is>
      </c>
      <c r="B25" s="54">
        <f>TableauProduit[[#This Row],[Recette]]&amp;TableauProduit[[#This Row],[Conditionnement]]</f>
        <v/>
      </c>
      <c r="C25" s="11" t="n">
        <v>1</v>
      </c>
      <c r="D25" s="11" t="n">
        <v>100</v>
      </c>
      <c r="E25" s="6" t="inlineStr">
        <is>
          <t>Piment liquide 100ml</t>
        </is>
      </c>
      <c r="F25" s="7">
        <f>IFERROR(VLOOKUP(TableauProduit[[#This Row],[Conditionnement]],TableauConditionnement[[Nom]:[Contenance]],4,FALSE),"")</f>
        <v/>
      </c>
      <c r="G25" s="897">
        <f>IFERROR(SUMIFS(TableauRecette[Prix d''achat / kg],TableauRecette[Recette],TableauProduit[[#This Row],[Recette]],TableauRecette[Conditionnement],TableauProduit[[#This Row],[Conditionnement]]),0)</f>
        <v/>
      </c>
      <c r="H25" s="898" t="n">
        <v>2.9</v>
      </c>
      <c r="I25" s="899">
        <f>1000*TableauProduit[[#This Row],[Prix de vente/U]]/TableauProduit[[#This Row],[Poids (g) / unité]]</f>
        <v/>
      </c>
      <c r="J25" s="900">
        <f>SUMIFS(TableauConcurence[PRIX_KG],TableauConcurence[PRODUIT],TableauProduit[[#This Row],[Recette]],TableauConcurence[DISTRIBUTION],"magasin NON BIO")</f>
        <v/>
      </c>
      <c r="K25" s="901">
        <f>SUMIFS(TableauConcurence[PRIX_KG],TableauConcurence[PRODUIT],TableauProduit[[#This Row],[Recette]],TableauConcurence[DISTRIBUTION],"magasin BIO")</f>
        <v/>
      </c>
      <c r="L25" s="902">
        <f>SUMIFS(TableauConcurence[PRIX_KG],TableauConcurence[PRODUIT],TableauProduit[[#This Row],[Recette]],TableauConcurence[DISTRIBUTION],"artisanale BIO")</f>
        <v/>
      </c>
      <c r="M25" s="903" t="n">
        <v>0</v>
      </c>
      <c r="N25" s="904">
        <f>TableauProduit[[#This Row],[Poids (g) / unité]]*TableauProduit[[#This Row],[Objectif de vente en unité N1]]/1000</f>
        <v/>
      </c>
      <c r="O25" s="905">
        <f>TableauProduit[[#This Row],[Objectif de vente en unité N1]]*TableauProduit[[#This Row],[Packaging / unité]]</f>
        <v/>
      </c>
      <c r="P25" s="905">
        <f>TableauProduit[[#This Row],[Prix achat plantes / kg]]*TableauProduit[[#This Row],[Total (kg) N1]]</f>
        <v/>
      </c>
      <c r="Q25" s="905">
        <f>TableauProduit[[#This Row],[Prix de vente/kg]]*TableauProduit[[#This Row],[Total (kg) N1]]</f>
        <v/>
      </c>
      <c r="R25" s="906">
        <f>TableauProduit[[#This Row],[Revenu brut N1]]-TableauProduit[[#This Row],[Achat plantes N1]]-TableauProduit[[#This Row],[Conditionnement N1]]</f>
        <v/>
      </c>
      <c r="S25" s="907" t="n">
        <v>0</v>
      </c>
      <c r="T25" s="908">
        <f>TableauProduit[[#This Row],[Poids (g) / unité]]*TableauProduit[[#This Row],[Objectif de vente en unité N2]]/1000</f>
        <v/>
      </c>
      <c r="U25" s="909">
        <f>TableauProduit[[#This Row],[Objectif de vente en unité N2]]*TableauProduit[[#This Row],[Packaging / unité]]</f>
        <v/>
      </c>
      <c r="V25" s="909">
        <f>TableauProduit[[#This Row],[Prix achat plantes / kg]]*TableauProduit[[#This Row],[Total (kg) N2]]</f>
        <v/>
      </c>
      <c r="W25" s="909">
        <f>TableauProduit[[#This Row],[Prix de vente/kg]]*TableauProduit[[#This Row],[Total (kg) N2]]</f>
        <v/>
      </c>
      <c r="X25" s="910">
        <f>TableauProduit[[#This Row],[Revenu brut N2]]-TableauProduit[[#This Row],[Achat plantes N2]]-TableauProduit[[#This Row],[Conditionnement N2]]</f>
        <v/>
      </c>
      <c r="Y25" s="911" t="n">
        <v>0</v>
      </c>
      <c r="Z25" s="912">
        <f>TableauProduit[[#This Row],[Poids (g) / unité]]*TableauProduit[[#This Row],[Objectif de vente en unité N3]]/1000</f>
        <v/>
      </c>
      <c r="AA25" s="913">
        <f>TableauProduit[[#This Row],[Objectif de vente en unité N3]]*TableauProduit[[#This Row],[Packaging / unité]]</f>
        <v/>
      </c>
      <c r="AB25" s="913">
        <f>TableauProduit[[#This Row],[Prix achat plantes / kg]]*TableauProduit[[#This Row],[Total (kg) N3]]</f>
        <v/>
      </c>
      <c r="AC25" s="913">
        <f>TableauProduit[[#This Row],[Prix de vente/kg]]*TableauProduit[[#This Row],[Total (kg) N3]]</f>
        <v/>
      </c>
      <c r="AD25" s="914">
        <f>TableauProduit[[#This Row],[Revenu brut N3]]-TableauProduit[[#This Row],[Achat plantes N3]]-TableauProduit[[#This Row],[Conditionnement N3]]</f>
        <v/>
      </c>
      <c r="AE25" s="915" t="n">
        <v>0</v>
      </c>
      <c r="AF25" s="915">
        <f>TableauProduit[[#This Row],[Poids (g) / unité]]*TableauProduit[[#This Row],[Objectif de vente en unité N4]]/1000</f>
        <v/>
      </c>
      <c r="AG25" s="916">
        <f>TableauProduit[[#This Row],[Objectif de vente en unité N4]]*TableauProduit[[#This Row],[Packaging / unité]]</f>
        <v/>
      </c>
      <c r="AH25" s="916">
        <f>TableauProduit[[#This Row],[Prix achat plantes / kg]]*TableauProduit[[#This Row],[Total (kg) N4]]</f>
        <v/>
      </c>
      <c r="AI25" s="916">
        <f>TableauProduit[[#This Row],[Prix de vente/kg]]*TableauProduit[[#This Row],[Total (kg) N4]]</f>
        <v/>
      </c>
      <c r="AJ25" s="915">
        <f>TableauProduit[[#This Row],[Revenu brut N4]]-TableauProduit[[#This Row],[Achat plantes N4]]-TableauProduit[[#This Row],[Conditionnement N4]]</f>
        <v/>
      </c>
      <c r="AK25" s="917" t="n">
        <v>0</v>
      </c>
      <c r="AL25" s="917">
        <f>TableauProduit[[#This Row],[Poids (g) / unité]]*TableauProduit[[#This Row],[Objectif de vente en unité N5]]/1000</f>
        <v/>
      </c>
      <c r="AM25" s="918">
        <f>TableauProduit[[#This Row],[Objectif de vente en unité N5]]*TableauProduit[[#This Row],[Packaging / unité]]</f>
        <v/>
      </c>
      <c r="AN25" s="918">
        <f>TableauProduit[[#This Row],[Prix achat plantes / kg]]*TableauProduit[[#This Row],[Total (kg) N5]]</f>
        <v/>
      </c>
      <c r="AO25" s="918">
        <f>TableauProduit[[#This Row],[Prix de vente/kg]]*TableauProduit[[#This Row],[Total (kg) N5]]</f>
        <v/>
      </c>
      <c r="AP25" s="917">
        <f>TableauProduit[[#This Row],[Revenu brut N5]]-TableauProduit[[#This Row],[Achat plantes N5]]-TableauProduit[[#This Row],[Conditionnement N5]]</f>
        <v/>
      </c>
      <c r="AQ25" s="919" t="n">
        <v>0</v>
      </c>
      <c r="AR25" s="919">
        <f>TableauProduit[[#This Row],[Poids (g) / unité]]*TableauProduit[[#This Row],[Objectif de vente en unité N6]]/1000</f>
        <v/>
      </c>
      <c r="AS25" s="920">
        <f>TableauProduit[[#This Row],[Objectif de vente en unité N6]]*TableauProduit[[#This Row],[Packaging / unité]]</f>
        <v/>
      </c>
      <c r="AT25" s="920">
        <f>TableauProduit[[#This Row],[Prix achat plantes / kg]]*TableauProduit[[#This Row],[Total (kg) N6]]</f>
        <v/>
      </c>
      <c r="AU25" s="920">
        <f>TableauProduit[[#This Row],[Prix de vente/kg]]*TableauProduit[[#This Row],[Total (kg) N6]]</f>
        <v/>
      </c>
      <c r="AV25" s="919">
        <f>TableauProduit[[#This Row],[Revenu brut N6]]-TableauProduit[[#This Row],[Achat plantes N6]]-TableauProduit[[#This Row],[Conditionnement N6]]</f>
        <v/>
      </c>
      <c r="AW25" s="904" t="n">
        <v>0</v>
      </c>
      <c r="AX25" s="904">
        <f>TableauProduit[[#This Row],[Poids (g) / unité]]*TableauProduit[[#This Row],[Objectif de vente en unité N7]]/1000</f>
        <v/>
      </c>
      <c r="AY25" s="905">
        <f>TableauProduit[[#This Row],[Objectif de vente en unité N7]]*TableauProduit[[#This Row],[Packaging / unité]]</f>
        <v/>
      </c>
      <c r="AZ25" s="905">
        <f>TableauProduit[[#This Row],[Prix achat plantes / kg]]*TableauProduit[[#This Row],[Total (kg) N7]]</f>
        <v/>
      </c>
      <c r="BA25" s="905">
        <f>TableauProduit[[#This Row],[Prix de vente/kg]]*TableauProduit[[#This Row],[Total (kg) N7]]</f>
        <v/>
      </c>
      <c r="BB25" s="921">
        <f>TableauProduit[[#This Row],[Revenu brut N7]]-TableauProduit[[#This Row],[Achat plantes N7]]-TableauProduit[[#This Row],[Conditionnement N7]]</f>
        <v/>
      </c>
      <c r="BC25" s="922" t="n">
        <v>0</v>
      </c>
      <c r="BD25" s="923">
        <f>TableauProduit[[#This Row],[Poids (g) / unité]]*TableauProduit[[#This Row],[Objectif de vente en unité N8]]/1000</f>
        <v/>
      </c>
      <c r="BE25" s="924">
        <f>TableauProduit[[#This Row],[Objectif de vente en unité N8]]*TableauProduit[[#This Row],[Packaging / unité]]</f>
        <v/>
      </c>
      <c r="BF25" s="924">
        <f>TableauProduit[[#This Row],[Prix achat plantes / kg]]*TableauProduit[[#This Row],[Total (kg) N8]]</f>
        <v/>
      </c>
      <c r="BG25" s="924">
        <f>TableauProduit[[#This Row],[Prix de vente/kg]]*TableauProduit[[#This Row],[Total (kg) N8]]</f>
        <v/>
      </c>
      <c r="BH25" s="925">
        <f>TableauProduit[[#This Row],[Revenu brut N8]]-TableauProduit[[#This Row],[Achat plantes N8]]-TableauProduit[[#This Row],[Conditionnement N8]]</f>
        <v/>
      </c>
      <c r="BI25" s="926" t="n">
        <v>0</v>
      </c>
      <c r="BJ25" s="927">
        <f>TableauProduit[[#This Row],[Poids (g) / unité]]*TableauProduit[[#This Row],[Objectif de vente en unité N9]]/1000</f>
        <v/>
      </c>
      <c r="BK25" s="928">
        <f>TableauProduit[[#This Row],[Objectif de vente en unité N9]]*TableauProduit[[#This Row],[Packaging / unité]]</f>
        <v/>
      </c>
      <c r="BL25" s="928">
        <f>TableauProduit[[#This Row],[Prix achat plantes / kg]]*TableauProduit[[#This Row],[Total (kg) N9]]</f>
        <v/>
      </c>
      <c r="BM25" s="928">
        <f>TableauProduit[[#This Row],[Prix de vente/kg]]*TableauProduit[[#This Row],[Total (kg) N9]]</f>
        <v/>
      </c>
      <c r="BN25" s="927">
        <f>TableauProduit[[#This Row],[Revenu brut N9]]-TableauProduit[[#This Row],[Achat plantes N9]]-TableauProduit[[#This Row],[Conditionnement N9]]</f>
        <v/>
      </c>
      <c r="BO25" t="inlineStr">
        <is>
          <t>Sauce / autre</t>
        </is>
      </c>
    </row>
    <row r="26">
      <c r="A26" s="13" t="inlineStr">
        <is>
          <t>Tabasco jalapeno</t>
        </is>
      </c>
      <c r="B26" s="54">
        <f>TableauProduit[[#This Row],[Recette]]&amp;TableauProduit[[#This Row],[Conditionnement]]</f>
        <v/>
      </c>
      <c r="C26" s="11" t="n">
        <v>1</v>
      </c>
      <c r="D26" s="11" t="n">
        <v>100</v>
      </c>
      <c r="E26" s="6" t="inlineStr">
        <is>
          <t>Piment liquide 100ml</t>
        </is>
      </c>
      <c r="F26" s="7">
        <f>IFERROR(VLOOKUP(TableauProduit[[#This Row],[Conditionnement]],TableauConditionnement[[Nom]:[Contenance]],4,FALSE),"")</f>
        <v/>
      </c>
      <c r="G26" s="897">
        <f>IFERROR(SUMIFS(TableauRecette[Prix d''achat / kg],TableauRecette[Recette],TableauProduit[[#This Row],[Recette]],TableauRecette[Conditionnement],TableauProduit[[#This Row],[Conditionnement]]),0)</f>
        <v/>
      </c>
      <c r="H26" s="898" t="n">
        <v>7</v>
      </c>
      <c r="I26" s="899">
        <f>1000*TableauProduit[[#This Row],[Prix de vente/U]]/TableauProduit[[#This Row],[Poids (g) / unité]]</f>
        <v/>
      </c>
      <c r="J26" s="900">
        <f>SUMIFS(TableauConcurence[PRIX_KG],TableauConcurence[PRODUIT],TableauProduit[[#This Row],[Recette]],TableauConcurence[DISTRIBUTION],"magasin NON BIO")</f>
        <v/>
      </c>
      <c r="K26" s="901">
        <f>SUMIFS(TableauConcurence[PRIX_KG],TableauConcurence[PRODUIT],TableauProduit[[#This Row],[Recette]],TableauConcurence[DISTRIBUTION],"magasin BIO")</f>
        <v/>
      </c>
      <c r="L26" s="902">
        <f>SUMIFS(TableauConcurence[PRIX_KG],TableauConcurence[PRODUIT],TableauProduit[[#This Row],[Recette]],TableauConcurence[DISTRIBUTION],"artisanale BIO")</f>
        <v/>
      </c>
      <c r="M26" s="903" t="n">
        <v>0</v>
      </c>
      <c r="N26" s="904">
        <f>TableauProduit[[#This Row],[Poids (g) / unité]]*TableauProduit[[#This Row],[Objectif de vente en unité N1]]/1000</f>
        <v/>
      </c>
      <c r="O26" s="905">
        <f>TableauProduit[[#This Row],[Objectif de vente en unité N1]]*TableauProduit[[#This Row],[Packaging / unité]]</f>
        <v/>
      </c>
      <c r="P26" s="905">
        <f>TableauProduit[[#This Row],[Prix achat plantes / kg]]*TableauProduit[[#This Row],[Total (kg) N1]]</f>
        <v/>
      </c>
      <c r="Q26" s="905">
        <f>TableauProduit[[#This Row],[Prix de vente/kg]]*TableauProduit[[#This Row],[Total (kg) N1]]</f>
        <v/>
      </c>
      <c r="R26" s="906">
        <f>TableauProduit[[#This Row],[Revenu brut N1]]-TableauProduit[[#This Row],[Achat plantes N1]]-TableauProduit[[#This Row],[Conditionnement N1]]</f>
        <v/>
      </c>
      <c r="S26" s="907" t="n">
        <v>0</v>
      </c>
      <c r="T26" s="908">
        <f>TableauProduit[[#This Row],[Poids (g) / unité]]*TableauProduit[[#This Row],[Objectif de vente en unité N2]]/1000</f>
        <v/>
      </c>
      <c r="U26" s="909">
        <f>TableauProduit[[#This Row],[Objectif de vente en unité N2]]*TableauProduit[[#This Row],[Packaging / unité]]</f>
        <v/>
      </c>
      <c r="V26" s="909">
        <f>TableauProduit[[#This Row],[Prix achat plantes / kg]]*TableauProduit[[#This Row],[Total (kg) N2]]</f>
        <v/>
      </c>
      <c r="W26" s="909">
        <f>TableauProduit[[#This Row],[Prix de vente/kg]]*TableauProduit[[#This Row],[Total (kg) N2]]</f>
        <v/>
      </c>
      <c r="X26" s="910">
        <f>TableauProduit[[#This Row],[Revenu brut N2]]-TableauProduit[[#This Row],[Achat plantes N2]]-TableauProduit[[#This Row],[Conditionnement N2]]</f>
        <v/>
      </c>
      <c r="Y26" s="911" t="n">
        <v>0</v>
      </c>
      <c r="Z26" s="912">
        <f>TableauProduit[[#This Row],[Poids (g) / unité]]*TableauProduit[[#This Row],[Objectif de vente en unité N3]]/1000</f>
        <v/>
      </c>
      <c r="AA26" s="913">
        <f>TableauProduit[[#This Row],[Objectif de vente en unité N3]]*TableauProduit[[#This Row],[Packaging / unité]]</f>
        <v/>
      </c>
      <c r="AB26" s="913">
        <f>TableauProduit[[#This Row],[Prix achat plantes / kg]]*TableauProduit[[#This Row],[Total (kg) N3]]</f>
        <v/>
      </c>
      <c r="AC26" s="913">
        <f>TableauProduit[[#This Row],[Prix de vente/kg]]*TableauProduit[[#This Row],[Total (kg) N3]]</f>
        <v/>
      </c>
      <c r="AD26" s="914">
        <f>TableauProduit[[#This Row],[Revenu brut N3]]-TableauProduit[[#This Row],[Achat plantes N3]]-TableauProduit[[#This Row],[Conditionnement N3]]</f>
        <v/>
      </c>
      <c r="AE26" s="915" t="n">
        <v>0</v>
      </c>
      <c r="AF26" s="915">
        <f>TableauProduit[[#This Row],[Poids (g) / unité]]*TableauProduit[[#This Row],[Objectif de vente en unité N4]]/1000</f>
        <v/>
      </c>
      <c r="AG26" s="916">
        <f>TableauProduit[[#This Row],[Objectif de vente en unité N4]]*TableauProduit[[#This Row],[Packaging / unité]]</f>
        <v/>
      </c>
      <c r="AH26" s="916">
        <f>TableauProduit[[#This Row],[Prix achat plantes / kg]]*TableauProduit[[#This Row],[Total (kg) N4]]</f>
        <v/>
      </c>
      <c r="AI26" s="916">
        <f>TableauProduit[[#This Row],[Prix de vente/kg]]*TableauProduit[[#This Row],[Total (kg) N4]]</f>
        <v/>
      </c>
      <c r="AJ26" s="915">
        <f>TableauProduit[[#This Row],[Revenu brut N4]]-TableauProduit[[#This Row],[Achat plantes N4]]-TableauProduit[[#This Row],[Conditionnement N4]]</f>
        <v/>
      </c>
      <c r="AK26" s="917" t="n">
        <v>0</v>
      </c>
      <c r="AL26" s="917">
        <f>TableauProduit[[#This Row],[Poids (g) / unité]]*TableauProduit[[#This Row],[Objectif de vente en unité N5]]/1000</f>
        <v/>
      </c>
      <c r="AM26" s="918">
        <f>TableauProduit[[#This Row],[Objectif de vente en unité N5]]*TableauProduit[[#This Row],[Packaging / unité]]</f>
        <v/>
      </c>
      <c r="AN26" s="918">
        <f>TableauProduit[[#This Row],[Prix achat plantes / kg]]*TableauProduit[[#This Row],[Total (kg) N5]]</f>
        <v/>
      </c>
      <c r="AO26" s="918">
        <f>TableauProduit[[#This Row],[Prix de vente/kg]]*TableauProduit[[#This Row],[Total (kg) N5]]</f>
        <v/>
      </c>
      <c r="AP26" s="917">
        <f>TableauProduit[[#This Row],[Revenu brut N5]]-TableauProduit[[#This Row],[Achat plantes N5]]-TableauProduit[[#This Row],[Conditionnement N5]]</f>
        <v/>
      </c>
      <c r="AQ26" s="919" t="n">
        <v>0</v>
      </c>
      <c r="AR26" s="919">
        <f>TableauProduit[[#This Row],[Poids (g) / unité]]*TableauProduit[[#This Row],[Objectif de vente en unité N6]]/1000</f>
        <v/>
      </c>
      <c r="AS26" s="920">
        <f>TableauProduit[[#This Row],[Objectif de vente en unité N6]]*TableauProduit[[#This Row],[Packaging / unité]]</f>
        <v/>
      </c>
      <c r="AT26" s="920">
        <f>TableauProduit[[#This Row],[Prix achat plantes / kg]]*TableauProduit[[#This Row],[Total (kg) N6]]</f>
        <v/>
      </c>
      <c r="AU26" s="920">
        <f>TableauProduit[[#This Row],[Prix de vente/kg]]*TableauProduit[[#This Row],[Total (kg) N6]]</f>
        <v/>
      </c>
      <c r="AV26" s="919">
        <f>TableauProduit[[#This Row],[Revenu brut N6]]-TableauProduit[[#This Row],[Achat plantes N6]]-TableauProduit[[#This Row],[Conditionnement N6]]</f>
        <v/>
      </c>
      <c r="AW26" s="904" t="n">
        <v>0</v>
      </c>
      <c r="AX26" s="904">
        <f>TableauProduit[[#This Row],[Poids (g) / unité]]*TableauProduit[[#This Row],[Objectif de vente en unité N7]]/1000</f>
        <v/>
      </c>
      <c r="AY26" s="905">
        <f>TableauProduit[[#This Row],[Objectif de vente en unité N7]]*TableauProduit[[#This Row],[Packaging / unité]]</f>
        <v/>
      </c>
      <c r="AZ26" s="905">
        <f>TableauProduit[[#This Row],[Prix achat plantes / kg]]*TableauProduit[[#This Row],[Total (kg) N7]]</f>
        <v/>
      </c>
      <c r="BA26" s="905">
        <f>TableauProduit[[#This Row],[Prix de vente/kg]]*TableauProduit[[#This Row],[Total (kg) N7]]</f>
        <v/>
      </c>
      <c r="BB26" s="921">
        <f>TableauProduit[[#This Row],[Revenu brut N7]]-TableauProduit[[#This Row],[Achat plantes N7]]-TableauProduit[[#This Row],[Conditionnement N7]]</f>
        <v/>
      </c>
      <c r="BC26" s="922" t="n">
        <v>0</v>
      </c>
      <c r="BD26" s="923">
        <f>TableauProduit[[#This Row],[Poids (g) / unité]]*TableauProduit[[#This Row],[Objectif de vente en unité N8]]/1000</f>
        <v/>
      </c>
      <c r="BE26" s="924">
        <f>TableauProduit[[#This Row],[Objectif de vente en unité N8]]*TableauProduit[[#This Row],[Packaging / unité]]</f>
        <v/>
      </c>
      <c r="BF26" s="924">
        <f>TableauProduit[[#This Row],[Prix achat plantes / kg]]*TableauProduit[[#This Row],[Total (kg) N8]]</f>
        <v/>
      </c>
      <c r="BG26" s="924">
        <f>TableauProduit[[#This Row],[Prix de vente/kg]]*TableauProduit[[#This Row],[Total (kg) N8]]</f>
        <v/>
      </c>
      <c r="BH26" s="925">
        <f>TableauProduit[[#This Row],[Revenu brut N8]]-TableauProduit[[#This Row],[Achat plantes N8]]-TableauProduit[[#This Row],[Conditionnement N8]]</f>
        <v/>
      </c>
      <c r="BI26" s="926" t="n">
        <v>0</v>
      </c>
      <c r="BJ26" s="927">
        <f>TableauProduit[[#This Row],[Poids (g) / unité]]*TableauProduit[[#This Row],[Objectif de vente en unité N9]]/1000</f>
        <v/>
      </c>
      <c r="BK26" s="928">
        <f>TableauProduit[[#This Row],[Objectif de vente en unité N9]]*TableauProduit[[#This Row],[Packaging / unité]]</f>
        <v/>
      </c>
      <c r="BL26" s="928">
        <f>TableauProduit[[#This Row],[Prix achat plantes / kg]]*TableauProduit[[#This Row],[Total (kg) N9]]</f>
        <v/>
      </c>
      <c r="BM26" s="928">
        <f>TableauProduit[[#This Row],[Prix de vente/kg]]*TableauProduit[[#This Row],[Total (kg) N9]]</f>
        <v/>
      </c>
      <c r="BN26" s="927">
        <f>TableauProduit[[#This Row],[Revenu brut N9]]-TableauProduit[[#This Row],[Achat plantes N9]]-TableauProduit[[#This Row],[Conditionnement N9]]</f>
        <v/>
      </c>
      <c r="BO26" t="inlineStr">
        <is>
          <t>Sauce / autre</t>
        </is>
      </c>
    </row>
    <row r="27">
      <c r="A27" s="13" t="inlineStr">
        <is>
          <t>Tabasco cayenne jaune</t>
        </is>
      </c>
      <c r="B27" s="54">
        <f>TableauProduit[[#This Row],[Recette]]&amp;TableauProduit[[#This Row],[Conditionnement]]</f>
        <v/>
      </c>
      <c r="C27" s="11" t="n">
        <v>1</v>
      </c>
      <c r="D27" s="11" t="n">
        <v>100</v>
      </c>
      <c r="E27" s="6" t="inlineStr">
        <is>
          <t>Piment liquide 100ml</t>
        </is>
      </c>
      <c r="F27" s="7">
        <f>IFERROR(VLOOKUP(TableauProduit[[#This Row],[Conditionnement]],TableauConditionnement[[Nom]:[Contenance]],4,FALSE),"")</f>
        <v/>
      </c>
      <c r="G27" s="897">
        <f>IFERROR(SUMIFS(TableauRecette[Prix d''achat / kg],TableauRecette[Recette],TableauProduit[[#This Row],[Recette]],TableauRecette[Conditionnement],TableauProduit[[#This Row],[Conditionnement]]),0)</f>
        <v/>
      </c>
      <c r="H27" s="898" t="n">
        <v>5</v>
      </c>
      <c r="I27" s="899">
        <f>1000*TableauProduit[[#This Row],[Prix de vente/U]]/TableauProduit[[#This Row],[Poids (g) / unité]]</f>
        <v/>
      </c>
      <c r="J27" s="900">
        <f>SUMIFS(TableauConcurence[PRIX_KG],TableauConcurence[PRODUIT],TableauProduit[[#This Row],[Recette]],TableauConcurence[DISTRIBUTION],"magasin NON BIO")</f>
        <v/>
      </c>
      <c r="K27" s="901">
        <f>SUMIFS(TableauConcurence[PRIX_KG],TableauConcurence[PRODUIT],TableauProduit[[#This Row],[Recette]],TableauConcurence[DISTRIBUTION],"magasin BIO")</f>
        <v/>
      </c>
      <c r="L27" s="902">
        <f>SUMIFS(TableauConcurence[PRIX_KG],TableauConcurence[PRODUIT],TableauProduit[[#This Row],[Recette]],TableauConcurence[DISTRIBUTION],"artisanale BIO")</f>
        <v/>
      </c>
      <c r="M27" s="903" t="n">
        <v>0</v>
      </c>
      <c r="N27" s="904">
        <f>TableauProduit[[#This Row],[Poids (g) / unité]]*TableauProduit[[#This Row],[Objectif de vente en unité N1]]/1000</f>
        <v/>
      </c>
      <c r="O27" s="905">
        <f>TableauProduit[[#This Row],[Objectif de vente en unité N1]]*TableauProduit[[#This Row],[Packaging / unité]]</f>
        <v/>
      </c>
      <c r="P27" s="905">
        <f>TableauProduit[[#This Row],[Prix achat plantes / kg]]*TableauProduit[[#This Row],[Total (kg) N1]]</f>
        <v/>
      </c>
      <c r="Q27" s="905">
        <f>TableauProduit[[#This Row],[Prix de vente/kg]]*TableauProduit[[#This Row],[Total (kg) N1]]</f>
        <v/>
      </c>
      <c r="R27" s="906">
        <f>TableauProduit[[#This Row],[Revenu brut N1]]-TableauProduit[[#This Row],[Achat plantes N1]]-TableauProduit[[#This Row],[Conditionnement N1]]</f>
        <v/>
      </c>
      <c r="S27" s="907" t="n">
        <v>0</v>
      </c>
      <c r="T27" s="908">
        <f>TableauProduit[[#This Row],[Poids (g) / unité]]*TableauProduit[[#This Row],[Objectif de vente en unité N2]]/1000</f>
        <v/>
      </c>
      <c r="U27" s="909">
        <f>TableauProduit[[#This Row],[Objectif de vente en unité N2]]*TableauProduit[[#This Row],[Packaging / unité]]</f>
        <v/>
      </c>
      <c r="V27" s="909">
        <f>TableauProduit[[#This Row],[Prix achat plantes / kg]]*TableauProduit[[#This Row],[Total (kg) N2]]</f>
        <v/>
      </c>
      <c r="W27" s="909">
        <f>TableauProduit[[#This Row],[Prix de vente/kg]]*TableauProduit[[#This Row],[Total (kg) N2]]</f>
        <v/>
      </c>
      <c r="X27" s="910">
        <f>TableauProduit[[#This Row],[Revenu brut N2]]-TableauProduit[[#This Row],[Achat plantes N2]]-TableauProduit[[#This Row],[Conditionnement N2]]</f>
        <v/>
      </c>
      <c r="Y27" s="911" t="n">
        <v>0</v>
      </c>
      <c r="Z27" s="912">
        <f>TableauProduit[[#This Row],[Poids (g) / unité]]*TableauProduit[[#This Row],[Objectif de vente en unité N3]]/1000</f>
        <v/>
      </c>
      <c r="AA27" s="913">
        <f>TableauProduit[[#This Row],[Objectif de vente en unité N3]]*TableauProduit[[#This Row],[Packaging / unité]]</f>
        <v/>
      </c>
      <c r="AB27" s="913">
        <f>TableauProduit[[#This Row],[Prix achat plantes / kg]]*TableauProduit[[#This Row],[Total (kg) N3]]</f>
        <v/>
      </c>
      <c r="AC27" s="913">
        <f>TableauProduit[[#This Row],[Prix de vente/kg]]*TableauProduit[[#This Row],[Total (kg) N3]]</f>
        <v/>
      </c>
      <c r="AD27" s="914">
        <f>TableauProduit[[#This Row],[Revenu brut N3]]-TableauProduit[[#This Row],[Achat plantes N3]]-TableauProduit[[#This Row],[Conditionnement N3]]</f>
        <v/>
      </c>
      <c r="AE27" s="915" t="n">
        <v>0</v>
      </c>
      <c r="AF27" s="915">
        <f>TableauProduit[[#This Row],[Poids (g) / unité]]*TableauProduit[[#This Row],[Objectif de vente en unité N4]]/1000</f>
        <v/>
      </c>
      <c r="AG27" s="916">
        <f>TableauProduit[[#This Row],[Objectif de vente en unité N4]]*TableauProduit[[#This Row],[Packaging / unité]]</f>
        <v/>
      </c>
      <c r="AH27" s="916">
        <f>TableauProduit[[#This Row],[Prix achat plantes / kg]]*TableauProduit[[#This Row],[Total (kg) N4]]</f>
        <v/>
      </c>
      <c r="AI27" s="916">
        <f>TableauProduit[[#This Row],[Prix de vente/kg]]*TableauProduit[[#This Row],[Total (kg) N4]]</f>
        <v/>
      </c>
      <c r="AJ27" s="915">
        <f>TableauProduit[[#This Row],[Revenu brut N4]]-TableauProduit[[#This Row],[Achat plantes N4]]-TableauProduit[[#This Row],[Conditionnement N4]]</f>
        <v/>
      </c>
      <c r="AK27" s="917" t="n">
        <v>0</v>
      </c>
      <c r="AL27" s="917">
        <f>TableauProduit[[#This Row],[Poids (g) / unité]]*TableauProduit[[#This Row],[Objectif de vente en unité N5]]/1000</f>
        <v/>
      </c>
      <c r="AM27" s="918">
        <f>TableauProduit[[#This Row],[Objectif de vente en unité N5]]*TableauProduit[[#This Row],[Packaging / unité]]</f>
        <v/>
      </c>
      <c r="AN27" s="918">
        <f>TableauProduit[[#This Row],[Prix achat plantes / kg]]*TableauProduit[[#This Row],[Total (kg) N5]]</f>
        <v/>
      </c>
      <c r="AO27" s="918">
        <f>TableauProduit[[#This Row],[Prix de vente/kg]]*TableauProduit[[#This Row],[Total (kg) N5]]</f>
        <v/>
      </c>
      <c r="AP27" s="917">
        <f>TableauProduit[[#This Row],[Revenu brut N5]]-TableauProduit[[#This Row],[Achat plantes N5]]-TableauProduit[[#This Row],[Conditionnement N5]]</f>
        <v/>
      </c>
      <c r="AQ27" s="919" t="n">
        <v>0</v>
      </c>
      <c r="AR27" s="919">
        <f>TableauProduit[[#This Row],[Poids (g) / unité]]*TableauProduit[[#This Row],[Objectif de vente en unité N6]]/1000</f>
        <v/>
      </c>
      <c r="AS27" s="920">
        <f>TableauProduit[[#This Row],[Objectif de vente en unité N6]]*TableauProduit[[#This Row],[Packaging / unité]]</f>
        <v/>
      </c>
      <c r="AT27" s="920">
        <f>TableauProduit[[#This Row],[Prix achat plantes / kg]]*TableauProduit[[#This Row],[Total (kg) N6]]</f>
        <v/>
      </c>
      <c r="AU27" s="920">
        <f>TableauProduit[[#This Row],[Prix de vente/kg]]*TableauProduit[[#This Row],[Total (kg) N6]]</f>
        <v/>
      </c>
      <c r="AV27" s="919">
        <f>TableauProduit[[#This Row],[Revenu brut N6]]-TableauProduit[[#This Row],[Achat plantes N6]]-TableauProduit[[#This Row],[Conditionnement N6]]</f>
        <v/>
      </c>
      <c r="AW27" s="904" t="n">
        <v>0</v>
      </c>
      <c r="AX27" s="904">
        <f>TableauProduit[[#This Row],[Poids (g) / unité]]*TableauProduit[[#This Row],[Objectif de vente en unité N7]]/1000</f>
        <v/>
      </c>
      <c r="AY27" s="905">
        <f>TableauProduit[[#This Row],[Objectif de vente en unité N7]]*TableauProduit[[#This Row],[Packaging / unité]]</f>
        <v/>
      </c>
      <c r="AZ27" s="905">
        <f>TableauProduit[[#This Row],[Prix achat plantes / kg]]*TableauProduit[[#This Row],[Total (kg) N7]]</f>
        <v/>
      </c>
      <c r="BA27" s="905">
        <f>TableauProduit[[#This Row],[Prix de vente/kg]]*TableauProduit[[#This Row],[Total (kg) N7]]</f>
        <v/>
      </c>
      <c r="BB27" s="921">
        <f>TableauProduit[[#This Row],[Revenu brut N7]]-TableauProduit[[#This Row],[Achat plantes N7]]-TableauProduit[[#This Row],[Conditionnement N7]]</f>
        <v/>
      </c>
      <c r="BC27" s="922" t="n">
        <v>0</v>
      </c>
      <c r="BD27" s="923">
        <f>TableauProduit[[#This Row],[Poids (g) / unité]]*TableauProduit[[#This Row],[Objectif de vente en unité N8]]/1000</f>
        <v/>
      </c>
      <c r="BE27" s="924">
        <f>TableauProduit[[#This Row],[Objectif de vente en unité N8]]*TableauProduit[[#This Row],[Packaging / unité]]</f>
        <v/>
      </c>
      <c r="BF27" s="924">
        <f>TableauProduit[[#This Row],[Prix achat plantes / kg]]*TableauProduit[[#This Row],[Total (kg) N8]]</f>
        <v/>
      </c>
      <c r="BG27" s="924">
        <f>TableauProduit[[#This Row],[Prix de vente/kg]]*TableauProduit[[#This Row],[Total (kg) N8]]</f>
        <v/>
      </c>
      <c r="BH27" s="925">
        <f>TableauProduit[[#This Row],[Revenu brut N8]]-TableauProduit[[#This Row],[Achat plantes N8]]-TableauProduit[[#This Row],[Conditionnement N8]]</f>
        <v/>
      </c>
      <c r="BI27" s="926" t="n">
        <v>0</v>
      </c>
      <c r="BJ27" s="927">
        <f>TableauProduit[[#This Row],[Poids (g) / unité]]*TableauProduit[[#This Row],[Objectif de vente en unité N9]]/1000</f>
        <v/>
      </c>
      <c r="BK27" s="928">
        <f>TableauProduit[[#This Row],[Objectif de vente en unité N9]]*TableauProduit[[#This Row],[Packaging / unité]]</f>
        <v/>
      </c>
      <c r="BL27" s="928">
        <f>TableauProduit[[#This Row],[Prix achat plantes / kg]]*TableauProduit[[#This Row],[Total (kg) N9]]</f>
        <v/>
      </c>
      <c r="BM27" s="928">
        <f>TableauProduit[[#This Row],[Prix de vente/kg]]*TableauProduit[[#This Row],[Total (kg) N9]]</f>
        <v/>
      </c>
      <c r="BN27" s="927">
        <f>TableauProduit[[#This Row],[Revenu brut N9]]-TableauProduit[[#This Row],[Achat plantes N9]]-TableauProduit[[#This Row],[Conditionnement N9]]</f>
        <v/>
      </c>
      <c r="BO27" t="inlineStr">
        <is>
          <t>Sauce / autre</t>
        </is>
      </c>
    </row>
    <row r="28">
      <c r="A28" s="13" t="inlineStr">
        <is>
          <t>Épices tandoori</t>
        </is>
      </c>
      <c r="B28" s="54">
        <f>TableauProduit[[#This Row],[Recette]]&amp;TableauProduit[[#This Row],[Conditionnement]]</f>
        <v/>
      </c>
      <c r="C28" s="11" t="n">
        <v>1</v>
      </c>
      <c r="D28" s="11" t="n">
        <v>50</v>
      </c>
      <c r="E28" s="6" t="inlineStr">
        <is>
          <t>Epice 100ml</t>
        </is>
      </c>
      <c r="F28" s="7">
        <f>IFERROR(VLOOKUP(TableauProduit[[#This Row],[Conditionnement]],TableauConditionnement[[Nom]:[Contenance]],4,FALSE),"")</f>
        <v/>
      </c>
      <c r="G28" s="897">
        <f>IFERROR(SUMIFS(TableauRecette[Prix d''achat / kg],TableauRecette[Recette],TableauProduit[[#This Row],[Recette]],TableauRecette[Conditionnement],TableauProduit[[#This Row],[Conditionnement]]),0)</f>
        <v/>
      </c>
      <c r="H28" s="898" t="n">
        <v>5</v>
      </c>
      <c r="I28" s="899">
        <f>1000*TableauProduit[[#This Row],[Prix de vente/U]]/TableauProduit[[#This Row],[Poids (g) / unité]]</f>
        <v/>
      </c>
      <c r="J28" s="900">
        <f>SUMIFS(TableauConcurence[PRIX_KG],TableauConcurence[PRODUIT],TableauProduit[[#This Row],[Recette]],TableauConcurence[DISTRIBUTION],"magasin NON BIO")</f>
        <v/>
      </c>
      <c r="K28" s="901">
        <f>SUMIFS(TableauConcurence[PRIX_KG],TableauConcurence[PRODUIT],TableauProduit[[#This Row],[Recette]],TableauConcurence[DISTRIBUTION],"magasin BIO")</f>
        <v/>
      </c>
      <c r="L28" s="902">
        <f>SUMIFS(TableauConcurence[PRIX_KG],TableauConcurence[PRODUIT],TableauProduit[[#This Row],[Recette]],TableauConcurence[DISTRIBUTION],"artisanale BIO")</f>
        <v/>
      </c>
      <c r="M28" s="903" t="n">
        <v>0</v>
      </c>
      <c r="N28" s="904">
        <f>TableauProduit[[#This Row],[Poids (g) / unité]]*TableauProduit[[#This Row],[Objectif de vente en unité N1]]/1000</f>
        <v/>
      </c>
      <c r="O28" s="905">
        <f>TableauProduit[[#This Row],[Objectif de vente en unité N1]]*TableauProduit[[#This Row],[Packaging / unité]]</f>
        <v/>
      </c>
      <c r="P28" s="905">
        <f>TableauProduit[[#This Row],[Prix achat plantes / kg]]*TableauProduit[[#This Row],[Total (kg) N1]]</f>
        <v/>
      </c>
      <c r="Q28" s="905">
        <f>TableauProduit[[#This Row],[Prix de vente/kg]]*TableauProduit[[#This Row],[Total (kg) N1]]</f>
        <v/>
      </c>
      <c r="R28" s="906">
        <f>TableauProduit[[#This Row],[Revenu brut N1]]-TableauProduit[[#This Row],[Achat plantes N1]]-TableauProduit[[#This Row],[Conditionnement N1]]</f>
        <v/>
      </c>
      <c r="S28" s="907" t="n">
        <v>0</v>
      </c>
      <c r="T28" s="908">
        <f>TableauProduit[[#This Row],[Poids (g) / unité]]*TableauProduit[[#This Row],[Objectif de vente en unité N2]]/1000</f>
        <v/>
      </c>
      <c r="U28" s="909">
        <f>TableauProduit[[#This Row],[Objectif de vente en unité N2]]*TableauProduit[[#This Row],[Packaging / unité]]</f>
        <v/>
      </c>
      <c r="V28" s="909">
        <f>TableauProduit[[#This Row],[Prix achat plantes / kg]]*TableauProduit[[#This Row],[Total (kg) N2]]</f>
        <v/>
      </c>
      <c r="W28" s="909">
        <f>TableauProduit[[#This Row],[Prix de vente/kg]]*TableauProduit[[#This Row],[Total (kg) N2]]</f>
        <v/>
      </c>
      <c r="X28" s="910">
        <f>TableauProduit[[#This Row],[Revenu brut N2]]-TableauProduit[[#This Row],[Achat plantes N2]]-TableauProduit[[#This Row],[Conditionnement N2]]</f>
        <v/>
      </c>
      <c r="Y28" s="911" t="n">
        <v>120</v>
      </c>
      <c r="Z28" s="912">
        <f>TableauProduit[[#This Row],[Poids (g) / unité]]*TableauProduit[[#This Row],[Objectif de vente en unité N3]]/1000</f>
        <v/>
      </c>
      <c r="AA28" s="913">
        <f>TableauProduit[[#This Row],[Objectif de vente en unité N3]]*TableauProduit[[#This Row],[Packaging / unité]]</f>
        <v/>
      </c>
      <c r="AB28" s="913">
        <f>TableauProduit[[#This Row],[Prix achat plantes / kg]]*TableauProduit[[#This Row],[Total (kg) N3]]</f>
        <v/>
      </c>
      <c r="AC28" s="913">
        <f>TableauProduit[[#This Row],[Prix de vente/kg]]*TableauProduit[[#This Row],[Total (kg) N3]]</f>
        <v/>
      </c>
      <c r="AD28" s="914">
        <f>TableauProduit[[#This Row],[Revenu brut N3]]-TableauProduit[[#This Row],[Achat plantes N3]]-TableauProduit[[#This Row],[Conditionnement N3]]</f>
        <v/>
      </c>
      <c r="AE28" s="915" t="n">
        <v>156</v>
      </c>
      <c r="AF28" s="915">
        <f>TableauProduit[[#This Row],[Poids (g) / unité]]*TableauProduit[[#This Row],[Objectif de vente en unité N4]]/1000</f>
        <v/>
      </c>
      <c r="AG28" s="916">
        <f>TableauProduit[[#This Row],[Objectif de vente en unité N4]]*TableauProduit[[#This Row],[Packaging / unité]]</f>
        <v/>
      </c>
      <c r="AH28" s="916">
        <f>TableauProduit[[#This Row],[Prix achat plantes / kg]]*TableauProduit[[#This Row],[Total (kg) N4]]</f>
        <v/>
      </c>
      <c r="AI28" s="916">
        <f>TableauProduit[[#This Row],[Prix de vente/kg]]*TableauProduit[[#This Row],[Total (kg) N4]]</f>
        <v/>
      </c>
      <c r="AJ28" s="915">
        <f>TableauProduit[[#This Row],[Revenu brut N4]]-TableauProduit[[#This Row],[Achat plantes N4]]-TableauProduit[[#This Row],[Conditionnement N4]]</f>
        <v/>
      </c>
      <c r="AK28" s="917" t="n">
        <v>180</v>
      </c>
      <c r="AL28" s="917">
        <f>TableauProduit[[#This Row],[Poids (g) / unité]]*TableauProduit[[#This Row],[Objectif de vente en unité N5]]/1000</f>
        <v/>
      </c>
      <c r="AM28" s="918">
        <f>TableauProduit[[#This Row],[Objectif de vente en unité N5]]*TableauProduit[[#This Row],[Packaging / unité]]</f>
        <v/>
      </c>
      <c r="AN28" s="918">
        <f>TableauProduit[[#This Row],[Prix achat plantes / kg]]*TableauProduit[[#This Row],[Total (kg) N5]]</f>
        <v/>
      </c>
      <c r="AO28" s="918">
        <f>TableauProduit[[#This Row],[Prix de vente/kg]]*TableauProduit[[#This Row],[Total (kg) N5]]</f>
        <v/>
      </c>
      <c r="AP28" s="917">
        <f>TableauProduit[[#This Row],[Revenu brut N5]]-TableauProduit[[#This Row],[Achat plantes N5]]-TableauProduit[[#This Row],[Conditionnement N5]]</f>
        <v/>
      </c>
      <c r="AQ28" s="919" t="n">
        <v>192</v>
      </c>
      <c r="AR28" s="919">
        <f>TableauProduit[[#This Row],[Poids (g) / unité]]*TableauProduit[[#This Row],[Objectif de vente en unité N6]]/1000</f>
        <v/>
      </c>
      <c r="AS28" s="920">
        <f>TableauProduit[[#This Row],[Objectif de vente en unité N6]]*TableauProduit[[#This Row],[Packaging / unité]]</f>
        <v/>
      </c>
      <c r="AT28" s="920">
        <f>TableauProduit[[#This Row],[Prix achat plantes / kg]]*TableauProduit[[#This Row],[Total (kg) N6]]</f>
        <v/>
      </c>
      <c r="AU28" s="920">
        <f>TableauProduit[[#This Row],[Prix de vente/kg]]*TableauProduit[[#This Row],[Total (kg) N6]]</f>
        <v/>
      </c>
      <c r="AV28" s="919">
        <f>TableauProduit[[#This Row],[Revenu brut N6]]-TableauProduit[[#This Row],[Achat plantes N6]]-TableauProduit[[#This Row],[Conditionnement N6]]</f>
        <v/>
      </c>
      <c r="AW28" s="904" t="n">
        <v>192</v>
      </c>
      <c r="AX28" s="904">
        <f>TableauProduit[[#This Row],[Poids (g) / unité]]*TableauProduit[[#This Row],[Objectif de vente en unité N7]]/1000</f>
        <v/>
      </c>
      <c r="AY28" s="905">
        <f>TableauProduit[[#This Row],[Objectif de vente en unité N7]]*TableauProduit[[#This Row],[Packaging / unité]]</f>
        <v/>
      </c>
      <c r="AZ28" s="905">
        <f>TableauProduit[[#This Row],[Prix achat plantes / kg]]*TableauProduit[[#This Row],[Total (kg) N7]]</f>
        <v/>
      </c>
      <c r="BA28" s="905">
        <f>TableauProduit[[#This Row],[Prix de vente/kg]]*TableauProduit[[#This Row],[Total (kg) N7]]</f>
        <v/>
      </c>
      <c r="BB28" s="921">
        <f>TableauProduit[[#This Row],[Revenu brut N7]]-TableauProduit[[#This Row],[Achat plantes N7]]-TableauProduit[[#This Row],[Conditionnement N7]]</f>
        <v/>
      </c>
      <c r="BC28" s="922" t="n">
        <v>192</v>
      </c>
      <c r="BD28" s="923">
        <f>TableauProduit[[#This Row],[Poids (g) / unité]]*TableauProduit[[#This Row],[Objectif de vente en unité N8]]/1000</f>
        <v/>
      </c>
      <c r="BE28" s="924">
        <f>TableauProduit[[#This Row],[Objectif de vente en unité N8]]*TableauProduit[[#This Row],[Packaging / unité]]</f>
        <v/>
      </c>
      <c r="BF28" s="924">
        <f>TableauProduit[[#This Row],[Prix achat plantes / kg]]*TableauProduit[[#This Row],[Total (kg) N8]]</f>
        <v/>
      </c>
      <c r="BG28" s="924">
        <f>TableauProduit[[#This Row],[Prix de vente/kg]]*TableauProduit[[#This Row],[Total (kg) N8]]</f>
        <v/>
      </c>
      <c r="BH28" s="925">
        <f>TableauProduit[[#This Row],[Revenu brut N8]]-TableauProduit[[#This Row],[Achat plantes N8]]-TableauProduit[[#This Row],[Conditionnement N8]]</f>
        <v/>
      </c>
      <c r="BI28" s="926" t="n">
        <v>192</v>
      </c>
      <c r="BJ28" s="927">
        <f>TableauProduit[[#This Row],[Poids (g) / unité]]*TableauProduit[[#This Row],[Objectif de vente en unité N9]]/1000</f>
        <v/>
      </c>
      <c r="BK28" s="928">
        <f>TableauProduit[[#This Row],[Objectif de vente en unité N9]]*TableauProduit[[#This Row],[Packaging / unité]]</f>
        <v/>
      </c>
      <c r="BL28" s="928">
        <f>TableauProduit[[#This Row],[Prix achat plantes / kg]]*TableauProduit[[#This Row],[Total (kg) N9]]</f>
        <v/>
      </c>
      <c r="BM28" s="928">
        <f>TableauProduit[[#This Row],[Prix de vente/kg]]*TableauProduit[[#This Row],[Total (kg) N9]]</f>
        <v/>
      </c>
      <c r="BN28" s="927">
        <f>TableauProduit[[#This Row],[Revenu brut N9]]-TableauProduit[[#This Row],[Achat plantes N9]]-TableauProduit[[#This Row],[Conditionnement N9]]</f>
        <v/>
      </c>
      <c r="BO28" t="inlineStr">
        <is>
          <t>Mélange</t>
        </is>
      </c>
    </row>
    <row r="29">
      <c r="A29" s="13" t="inlineStr">
        <is>
          <t>Curry Madras</t>
        </is>
      </c>
      <c r="B29" s="54">
        <f>TableauProduit[[#This Row],[Recette]]&amp;TableauProduit[[#This Row],[Conditionnement]]</f>
        <v/>
      </c>
      <c r="C29" s="11" t="n">
        <v>1</v>
      </c>
      <c r="D29" s="11" t="n">
        <v>50</v>
      </c>
      <c r="E29" s="6" t="inlineStr">
        <is>
          <t>Epice 100ml</t>
        </is>
      </c>
      <c r="F29" s="7">
        <f>IFERROR(VLOOKUP(TableauProduit[[#This Row],[Conditionnement]],TableauConditionnement[[Nom]:[Contenance]],4,FALSE),"")</f>
        <v/>
      </c>
      <c r="G29" s="897">
        <f>IFERROR(SUMIFS(TableauRecette[Prix d''achat / kg],TableauRecette[Recette],TableauProduit[[#This Row],[Recette]],TableauRecette[Conditionnement],TableauProduit[[#This Row],[Conditionnement]]),0)</f>
        <v/>
      </c>
      <c r="H29" s="898" t="n">
        <v>4</v>
      </c>
      <c r="I29" s="899">
        <f>1000*TableauProduit[[#This Row],[Prix de vente/U]]/TableauProduit[[#This Row],[Poids (g) / unité]]</f>
        <v/>
      </c>
      <c r="J29" s="900">
        <f>SUMIFS(TableauConcurence[PRIX_KG],TableauConcurence[PRODUIT],TableauProduit[[#This Row],[Recette]],TableauConcurence[DISTRIBUTION],"magasin NON BIO")</f>
        <v/>
      </c>
      <c r="K29" s="901">
        <f>SUMIFS(TableauConcurence[PRIX_KG],TableauConcurence[PRODUIT],TableauProduit[[#This Row],[Recette]],TableauConcurence[DISTRIBUTION],"magasin BIO")</f>
        <v/>
      </c>
      <c r="L29" s="902">
        <f>SUMIFS(TableauConcurence[PRIX_KG],TableauConcurence[PRODUIT],TableauProduit[[#This Row],[Recette]],TableauConcurence[DISTRIBUTION],"artisanale BIO")</f>
        <v/>
      </c>
      <c r="M29" s="903" t="n">
        <v>500</v>
      </c>
      <c r="N29" s="904">
        <f>TableauProduit[[#This Row],[Poids (g) / unité]]*TableauProduit[[#This Row],[Objectif de vente en unité N1]]/1000</f>
        <v/>
      </c>
      <c r="O29" s="905">
        <f>TableauProduit[[#This Row],[Objectif de vente en unité N1]]*TableauProduit[[#This Row],[Packaging / unité]]</f>
        <v/>
      </c>
      <c r="P29" s="905">
        <f>TableauProduit[[#This Row],[Prix achat plantes / kg]]*TableauProduit[[#This Row],[Total (kg) N1]]</f>
        <v/>
      </c>
      <c r="Q29" s="905">
        <f>TableauProduit[[#This Row],[Prix de vente/kg]]*TableauProduit[[#This Row],[Total (kg) N1]]</f>
        <v/>
      </c>
      <c r="R29" s="906">
        <f>TableauProduit[[#This Row],[Revenu brut N1]]-TableauProduit[[#This Row],[Achat plantes N1]]-TableauProduit[[#This Row],[Conditionnement N1]]</f>
        <v/>
      </c>
      <c r="S29" s="907" t="n">
        <v>750</v>
      </c>
      <c r="T29" s="908">
        <f>TableauProduit[[#This Row],[Poids (g) / unité]]*TableauProduit[[#This Row],[Objectif de vente en unité N2]]/1000</f>
        <v/>
      </c>
      <c r="U29" s="909">
        <f>TableauProduit[[#This Row],[Objectif de vente en unité N2]]*TableauProduit[[#This Row],[Packaging / unité]]</f>
        <v/>
      </c>
      <c r="V29" s="909">
        <f>TableauProduit[[#This Row],[Prix achat plantes / kg]]*TableauProduit[[#This Row],[Total (kg) N2]]</f>
        <v/>
      </c>
      <c r="W29" s="909">
        <f>TableauProduit[[#This Row],[Prix de vente/kg]]*TableauProduit[[#This Row],[Total (kg) N2]]</f>
        <v/>
      </c>
      <c r="X29" s="910">
        <f>TableauProduit[[#This Row],[Revenu brut N2]]-TableauProduit[[#This Row],[Achat plantes N2]]-TableauProduit[[#This Row],[Conditionnement N2]]</f>
        <v/>
      </c>
      <c r="Y29" s="911" t="n">
        <v>875</v>
      </c>
      <c r="Z29" s="912">
        <f>TableauProduit[[#This Row],[Poids (g) / unité]]*TableauProduit[[#This Row],[Objectif de vente en unité N3]]/1000</f>
        <v/>
      </c>
      <c r="AA29" s="913">
        <f>TableauProduit[[#This Row],[Objectif de vente en unité N3]]*TableauProduit[[#This Row],[Packaging / unité]]</f>
        <v/>
      </c>
      <c r="AB29" s="913">
        <f>TableauProduit[[#This Row],[Prix achat plantes / kg]]*TableauProduit[[#This Row],[Total (kg) N3]]</f>
        <v/>
      </c>
      <c r="AC29" s="913">
        <f>TableauProduit[[#This Row],[Prix de vente/kg]]*TableauProduit[[#This Row],[Total (kg) N3]]</f>
        <v/>
      </c>
      <c r="AD29" s="914">
        <f>TableauProduit[[#This Row],[Revenu brut N3]]-TableauProduit[[#This Row],[Achat plantes N3]]-TableauProduit[[#This Row],[Conditionnement N3]]</f>
        <v/>
      </c>
      <c r="AE29" s="915" t="n">
        <v>950</v>
      </c>
      <c r="AF29" s="915">
        <f>TableauProduit[[#This Row],[Poids (g) / unité]]*TableauProduit[[#This Row],[Objectif de vente en unité N4]]/1000</f>
        <v/>
      </c>
      <c r="AG29" s="916">
        <f>TableauProduit[[#This Row],[Objectif de vente en unité N4]]*TableauProduit[[#This Row],[Packaging / unité]]</f>
        <v/>
      </c>
      <c r="AH29" s="916">
        <f>TableauProduit[[#This Row],[Prix achat plantes / kg]]*TableauProduit[[#This Row],[Total (kg) N4]]</f>
        <v/>
      </c>
      <c r="AI29" s="916">
        <f>TableauProduit[[#This Row],[Prix de vente/kg]]*TableauProduit[[#This Row],[Total (kg) N4]]</f>
        <v/>
      </c>
      <c r="AJ29" s="915">
        <f>TableauProduit[[#This Row],[Revenu brut N4]]-TableauProduit[[#This Row],[Achat plantes N4]]-TableauProduit[[#This Row],[Conditionnement N4]]</f>
        <v/>
      </c>
      <c r="AK29" s="917" t="n">
        <v>1000</v>
      </c>
      <c r="AL29" s="917">
        <f>TableauProduit[[#This Row],[Poids (g) / unité]]*TableauProduit[[#This Row],[Objectif de vente en unité N5]]/1000</f>
        <v/>
      </c>
      <c r="AM29" s="918">
        <f>TableauProduit[[#This Row],[Objectif de vente en unité N5]]*TableauProduit[[#This Row],[Packaging / unité]]</f>
        <v/>
      </c>
      <c r="AN29" s="918">
        <f>TableauProduit[[#This Row],[Prix achat plantes / kg]]*TableauProduit[[#This Row],[Total (kg) N5]]</f>
        <v/>
      </c>
      <c r="AO29" s="918">
        <f>TableauProduit[[#This Row],[Prix de vente/kg]]*TableauProduit[[#This Row],[Total (kg) N5]]</f>
        <v/>
      </c>
      <c r="AP29" s="917">
        <f>TableauProduit[[#This Row],[Revenu brut N5]]-TableauProduit[[#This Row],[Achat plantes N5]]-TableauProduit[[#This Row],[Conditionnement N5]]</f>
        <v/>
      </c>
      <c r="AQ29" s="919" t="n">
        <v>1000</v>
      </c>
      <c r="AR29" s="919">
        <f>TableauProduit[[#This Row],[Poids (g) / unité]]*TableauProduit[[#This Row],[Objectif de vente en unité N6]]/1000</f>
        <v/>
      </c>
      <c r="AS29" s="920">
        <f>TableauProduit[[#This Row],[Objectif de vente en unité N6]]*TableauProduit[[#This Row],[Packaging / unité]]</f>
        <v/>
      </c>
      <c r="AT29" s="920">
        <f>TableauProduit[[#This Row],[Prix achat plantes / kg]]*TableauProduit[[#This Row],[Total (kg) N6]]</f>
        <v/>
      </c>
      <c r="AU29" s="920">
        <f>TableauProduit[[#This Row],[Prix de vente/kg]]*TableauProduit[[#This Row],[Total (kg) N6]]</f>
        <v/>
      </c>
      <c r="AV29" s="919">
        <f>TableauProduit[[#This Row],[Revenu brut N6]]-TableauProduit[[#This Row],[Achat plantes N6]]-TableauProduit[[#This Row],[Conditionnement N6]]</f>
        <v/>
      </c>
      <c r="AW29" s="904" t="n">
        <v>1000</v>
      </c>
      <c r="AX29" s="904">
        <f>TableauProduit[[#This Row],[Poids (g) / unité]]*TableauProduit[[#This Row],[Objectif de vente en unité N7]]/1000</f>
        <v/>
      </c>
      <c r="AY29" s="905">
        <f>TableauProduit[[#This Row],[Objectif de vente en unité N7]]*TableauProduit[[#This Row],[Packaging / unité]]</f>
        <v/>
      </c>
      <c r="AZ29" s="905">
        <f>TableauProduit[[#This Row],[Prix achat plantes / kg]]*TableauProduit[[#This Row],[Total (kg) N7]]</f>
        <v/>
      </c>
      <c r="BA29" s="905">
        <f>TableauProduit[[#This Row],[Prix de vente/kg]]*TableauProduit[[#This Row],[Total (kg) N7]]</f>
        <v/>
      </c>
      <c r="BB29" s="921">
        <f>TableauProduit[[#This Row],[Revenu brut N7]]-TableauProduit[[#This Row],[Achat plantes N7]]-TableauProduit[[#This Row],[Conditionnement N7]]</f>
        <v/>
      </c>
      <c r="BC29" s="922" t="n">
        <v>1000</v>
      </c>
      <c r="BD29" s="923">
        <f>TableauProduit[[#This Row],[Poids (g) / unité]]*TableauProduit[[#This Row],[Objectif de vente en unité N8]]/1000</f>
        <v/>
      </c>
      <c r="BE29" s="924">
        <f>TableauProduit[[#This Row],[Objectif de vente en unité N8]]*TableauProduit[[#This Row],[Packaging / unité]]</f>
        <v/>
      </c>
      <c r="BF29" s="924">
        <f>TableauProduit[[#This Row],[Prix achat plantes / kg]]*TableauProduit[[#This Row],[Total (kg) N8]]</f>
        <v/>
      </c>
      <c r="BG29" s="924">
        <f>TableauProduit[[#This Row],[Prix de vente/kg]]*TableauProduit[[#This Row],[Total (kg) N8]]</f>
        <v/>
      </c>
      <c r="BH29" s="925">
        <f>TableauProduit[[#This Row],[Revenu brut N8]]-TableauProduit[[#This Row],[Achat plantes N8]]-TableauProduit[[#This Row],[Conditionnement N8]]</f>
        <v/>
      </c>
      <c r="BI29" s="926" t="n">
        <v>1000</v>
      </c>
      <c r="BJ29" s="927">
        <f>TableauProduit[[#This Row],[Poids (g) / unité]]*TableauProduit[[#This Row],[Objectif de vente en unité N9]]/1000</f>
        <v/>
      </c>
      <c r="BK29" s="928">
        <f>TableauProduit[[#This Row],[Objectif de vente en unité N9]]*TableauProduit[[#This Row],[Packaging / unité]]</f>
        <v/>
      </c>
      <c r="BL29" s="928">
        <f>TableauProduit[[#This Row],[Prix achat plantes / kg]]*TableauProduit[[#This Row],[Total (kg) N9]]</f>
        <v/>
      </c>
      <c r="BM29" s="928">
        <f>TableauProduit[[#This Row],[Prix de vente/kg]]*TableauProduit[[#This Row],[Total (kg) N9]]</f>
        <v/>
      </c>
      <c r="BN29" s="927">
        <f>TableauProduit[[#This Row],[Revenu brut N9]]-TableauProduit[[#This Row],[Achat plantes N9]]-TableauProduit[[#This Row],[Conditionnement N9]]</f>
        <v/>
      </c>
      <c r="BO29" t="inlineStr">
        <is>
          <t>Mélange</t>
        </is>
      </c>
    </row>
    <row r="30">
      <c r="A30" s="13" t="inlineStr">
        <is>
          <t>Tabasco violet fort</t>
        </is>
      </c>
      <c r="B30" s="54">
        <f>TableauProduit[[#This Row],[Recette]]&amp;TableauProduit[[#This Row],[Conditionnement]]</f>
        <v/>
      </c>
      <c r="C30" s="11" t="n">
        <v>1</v>
      </c>
      <c r="D30" s="11" t="n">
        <v>100</v>
      </c>
      <c r="E30" s="6" t="inlineStr">
        <is>
          <t>Piment liquide 100ml</t>
        </is>
      </c>
      <c r="F30" s="7">
        <f>IFERROR(VLOOKUP(TableauProduit[[#This Row],[Conditionnement]],TableauConditionnement[[Nom]:[Contenance]],4,FALSE),"")</f>
        <v/>
      </c>
      <c r="G30" s="897">
        <f>IFERROR(SUMIFS(TableauRecette[Prix d''achat / kg],TableauRecette[Recette],TableauProduit[[#This Row],[Recette]],TableauRecette[Conditionnement],TableauProduit[[#This Row],[Conditionnement]]),0)</f>
        <v/>
      </c>
      <c r="H30" s="898" t="n">
        <v>2.9</v>
      </c>
      <c r="I30" s="899">
        <f>1000*TableauProduit[[#This Row],[Prix de vente/U]]/TableauProduit[[#This Row],[Poids (g) / unité]]</f>
        <v/>
      </c>
      <c r="J30" s="900">
        <f>SUMIFS(TableauConcurence[PRIX_KG],TableauConcurence[PRODUIT],TableauProduit[[#This Row],[Recette]],TableauConcurence[DISTRIBUTION],"magasin NON BIO")</f>
        <v/>
      </c>
      <c r="K30" s="901">
        <f>SUMIFS(TableauConcurence[PRIX_KG],TableauConcurence[PRODUIT],TableauProduit[[#This Row],[Recette]],TableauConcurence[DISTRIBUTION],"magasin BIO")</f>
        <v/>
      </c>
      <c r="L30" s="902">
        <f>SUMIFS(TableauConcurence[PRIX_KG],TableauConcurence[PRODUIT],TableauProduit[[#This Row],[Recette]],TableauConcurence[DISTRIBUTION],"artisanale BIO")</f>
        <v/>
      </c>
      <c r="M30" s="903" t="n">
        <v>0</v>
      </c>
      <c r="N30" s="904">
        <f>TableauProduit[[#This Row],[Poids (g) / unité]]*TableauProduit[[#This Row],[Objectif de vente en unité N1]]/1000</f>
        <v/>
      </c>
      <c r="O30" s="905">
        <f>TableauProduit[[#This Row],[Objectif de vente en unité N1]]*TableauProduit[[#This Row],[Packaging / unité]]</f>
        <v/>
      </c>
      <c r="P30" s="905">
        <f>TableauProduit[[#This Row],[Prix achat plantes / kg]]*TableauProduit[[#This Row],[Total (kg) N1]]</f>
        <v/>
      </c>
      <c r="Q30" s="905">
        <f>TableauProduit[[#This Row],[Prix de vente/kg]]*TableauProduit[[#This Row],[Total (kg) N1]]</f>
        <v/>
      </c>
      <c r="R30" s="906">
        <f>TableauProduit[[#This Row],[Revenu brut N1]]-TableauProduit[[#This Row],[Achat plantes N1]]-TableauProduit[[#This Row],[Conditionnement N1]]</f>
        <v/>
      </c>
      <c r="S30" s="907" t="n">
        <v>0</v>
      </c>
      <c r="T30" s="908">
        <f>TableauProduit[[#This Row],[Poids (g) / unité]]*TableauProduit[[#This Row],[Objectif de vente en unité N2]]/1000</f>
        <v/>
      </c>
      <c r="U30" s="909">
        <f>TableauProduit[[#This Row],[Objectif de vente en unité N2]]*TableauProduit[[#This Row],[Packaging / unité]]</f>
        <v/>
      </c>
      <c r="V30" s="909">
        <f>TableauProduit[[#This Row],[Prix achat plantes / kg]]*TableauProduit[[#This Row],[Total (kg) N2]]</f>
        <v/>
      </c>
      <c r="W30" s="909">
        <f>TableauProduit[[#This Row],[Prix de vente/kg]]*TableauProduit[[#This Row],[Total (kg) N2]]</f>
        <v/>
      </c>
      <c r="X30" s="910">
        <f>TableauProduit[[#This Row],[Revenu brut N2]]-TableauProduit[[#This Row],[Achat plantes N2]]-TableauProduit[[#This Row],[Conditionnement N2]]</f>
        <v/>
      </c>
      <c r="Y30" s="911" t="n">
        <v>0</v>
      </c>
      <c r="Z30" s="912">
        <f>TableauProduit[[#This Row],[Poids (g) / unité]]*TableauProduit[[#This Row],[Objectif de vente en unité N3]]/1000</f>
        <v/>
      </c>
      <c r="AA30" s="913">
        <f>TableauProduit[[#This Row],[Objectif de vente en unité N3]]*TableauProduit[[#This Row],[Packaging / unité]]</f>
        <v/>
      </c>
      <c r="AB30" s="913">
        <f>TableauProduit[[#This Row],[Prix achat plantes / kg]]*TableauProduit[[#This Row],[Total (kg) N3]]</f>
        <v/>
      </c>
      <c r="AC30" s="913">
        <f>TableauProduit[[#This Row],[Prix de vente/kg]]*TableauProduit[[#This Row],[Total (kg) N3]]</f>
        <v/>
      </c>
      <c r="AD30" s="914">
        <f>TableauProduit[[#This Row],[Revenu brut N3]]-TableauProduit[[#This Row],[Achat plantes N3]]-TableauProduit[[#This Row],[Conditionnement N3]]</f>
        <v/>
      </c>
      <c r="AE30" s="915" t="n">
        <v>0</v>
      </c>
      <c r="AF30" s="915">
        <f>TableauProduit[[#This Row],[Poids (g) / unité]]*TableauProduit[[#This Row],[Objectif de vente en unité N4]]/1000</f>
        <v/>
      </c>
      <c r="AG30" s="916">
        <f>TableauProduit[[#This Row],[Objectif de vente en unité N4]]*TableauProduit[[#This Row],[Packaging / unité]]</f>
        <v/>
      </c>
      <c r="AH30" s="916">
        <f>TableauProduit[[#This Row],[Prix achat plantes / kg]]*TableauProduit[[#This Row],[Total (kg) N4]]</f>
        <v/>
      </c>
      <c r="AI30" s="916">
        <f>TableauProduit[[#This Row],[Prix de vente/kg]]*TableauProduit[[#This Row],[Total (kg) N4]]</f>
        <v/>
      </c>
      <c r="AJ30" s="915">
        <f>TableauProduit[[#This Row],[Revenu brut N4]]-TableauProduit[[#This Row],[Achat plantes N4]]-TableauProduit[[#This Row],[Conditionnement N4]]</f>
        <v/>
      </c>
      <c r="AK30" s="917" t="n">
        <v>0</v>
      </c>
      <c r="AL30" s="917">
        <f>TableauProduit[[#This Row],[Poids (g) / unité]]*TableauProduit[[#This Row],[Objectif de vente en unité N5]]/1000</f>
        <v/>
      </c>
      <c r="AM30" s="918">
        <f>TableauProduit[[#This Row],[Objectif de vente en unité N5]]*TableauProduit[[#This Row],[Packaging / unité]]</f>
        <v/>
      </c>
      <c r="AN30" s="918">
        <f>TableauProduit[[#This Row],[Prix achat plantes / kg]]*TableauProduit[[#This Row],[Total (kg) N5]]</f>
        <v/>
      </c>
      <c r="AO30" s="918">
        <f>TableauProduit[[#This Row],[Prix de vente/kg]]*TableauProduit[[#This Row],[Total (kg) N5]]</f>
        <v/>
      </c>
      <c r="AP30" s="917">
        <f>TableauProduit[[#This Row],[Revenu brut N5]]-TableauProduit[[#This Row],[Achat plantes N5]]-TableauProduit[[#This Row],[Conditionnement N5]]</f>
        <v/>
      </c>
      <c r="AQ30" s="919" t="n">
        <v>0</v>
      </c>
      <c r="AR30" s="919">
        <f>TableauProduit[[#This Row],[Poids (g) / unité]]*TableauProduit[[#This Row],[Objectif de vente en unité N6]]/1000</f>
        <v/>
      </c>
      <c r="AS30" s="920">
        <f>TableauProduit[[#This Row],[Objectif de vente en unité N6]]*TableauProduit[[#This Row],[Packaging / unité]]</f>
        <v/>
      </c>
      <c r="AT30" s="920">
        <f>TableauProduit[[#This Row],[Prix achat plantes / kg]]*TableauProduit[[#This Row],[Total (kg) N6]]</f>
        <v/>
      </c>
      <c r="AU30" s="920">
        <f>TableauProduit[[#This Row],[Prix de vente/kg]]*TableauProduit[[#This Row],[Total (kg) N6]]</f>
        <v/>
      </c>
      <c r="AV30" s="919">
        <f>TableauProduit[[#This Row],[Revenu brut N6]]-TableauProduit[[#This Row],[Achat plantes N6]]-TableauProduit[[#This Row],[Conditionnement N6]]</f>
        <v/>
      </c>
      <c r="AW30" s="904" t="n">
        <v>0</v>
      </c>
      <c r="AX30" s="904">
        <f>TableauProduit[[#This Row],[Poids (g) / unité]]*TableauProduit[[#This Row],[Objectif de vente en unité N7]]/1000</f>
        <v/>
      </c>
      <c r="AY30" s="905">
        <f>TableauProduit[[#This Row],[Objectif de vente en unité N7]]*TableauProduit[[#This Row],[Packaging / unité]]</f>
        <v/>
      </c>
      <c r="AZ30" s="905">
        <f>TableauProduit[[#This Row],[Prix achat plantes / kg]]*TableauProduit[[#This Row],[Total (kg) N7]]</f>
        <v/>
      </c>
      <c r="BA30" s="905">
        <f>TableauProduit[[#This Row],[Prix de vente/kg]]*TableauProduit[[#This Row],[Total (kg) N7]]</f>
        <v/>
      </c>
      <c r="BB30" s="921">
        <f>TableauProduit[[#This Row],[Revenu brut N7]]-TableauProduit[[#This Row],[Achat plantes N7]]-TableauProduit[[#This Row],[Conditionnement N7]]</f>
        <v/>
      </c>
      <c r="BC30" s="922" t="n">
        <v>0</v>
      </c>
      <c r="BD30" s="923">
        <f>TableauProduit[[#This Row],[Poids (g) / unité]]*TableauProduit[[#This Row],[Objectif de vente en unité N8]]/1000</f>
        <v/>
      </c>
      <c r="BE30" s="924">
        <f>TableauProduit[[#This Row],[Objectif de vente en unité N8]]*TableauProduit[[#This Row],[Packaging / unité]]</f>
        <v/>
      </c>
      <c r="BF30" s="924">
        <f>TableauProduit[[#This Row],[Prix achat plantes / kg]]*TableauProduit[[#This Row],[Total (kg) N8]]</f>
        <v/>
      </c>
      <c r="BG30" s="924">
        <f>TableauProduit[[#This Row],[Prix de vente/kg]]*TableauProduit[[#This Row],[Total (kg) N8]]</f>
        <v/>
      </c>
      <c r="BH30" s="925">
        <f>TableauProduit[[#This Row],[Revenu brut N8]]-TableauProduit[[#This Row],[Achat plantes N8]]-TableauProduit[[#This Row],[Conditionnement N8]]</f>
        <v/>
      </c>
      <c r="BI30" s="926" t="n">
        <v>0</v>
      </c>
      <c r="BJ30" s="927">
        <f>TableauProduit[[#This Row],[Poids (g) / unité]]*TableauProduit[[#This Row],[Objectif de vente en unité N9]]/1000</f>
        <v/>
      </c>
      <c r="BK30" s="928">
        <f>TableauProduit[[#This Row],[Objectif de vente en unité N9]]*TableauProduit[[#This Row],[Packaging / unité]]</f>
        <v/>
      </c>
      <c r="BL30" s="928">
        <f>TableauProduit[[#This Row],[Prix achat plantes / kg]]*TableauProduit[[#This Row],[Total (kg) N9]]</f>
        <v/>
      </c>
      <c r="BM30" s="928">
        <f>TableauProduit[[#This Row],[Prix de vente/kg]]*TableauProduit[[#This Row],[Total (kg) N9]]</f>
        <v/>
      </c>
      <c r="BN30" s="927">
        <f>TableauProduit[[#This Row],[Revenu brut N9]]-TableauProduit[[#This Row],[Achat plantes N9]]-TableauProduit[[#This Row],[Conditionnement N9]]</f>
        <v/>
      </c>
      <c r="BO30" t="inlineStr">
        <is>
          <t>Sauce / autre</t>
        </is>
      </c>
    </row>
    <row r="31">
      <c r="A31" s="13" t="inlineStr">
        <is>
          <t>Panch phoron</t>
        </is>
      </c>
      <c r="B31" s="54">
        <f>TableauProduit[[#This Row],[Recette]]&amp;TableauProduit[[#This Row],[Conditionnement]]</f>
        <v/>
      </c>
      <c r="C31" s="11" t="n">
        <v>1</v>
      </c>
      <c r="D31" s="11" t="n">
        <v>65</v>
      </c>
      <c r="E31" s="6" t="inlineStr">
        <is>
          <t>Epice 100ml</t>
        </is>
      </c>
      <c r="F31" s="7">
        <f>IFERROR(VLOOKUP(TableauProduit[[#This Row],[Conditionnement]],TableauConditionnement[[Nom]:[Contenance]],4,FALSE),"")</f>
        <v/>
      </c>
      <c r="G31" s="897">
        <f>IFERROR(SUMIFS(TableauRecette[Prix d''achat / kg],TableauRecette[Recette],TableauProduit[[#This Row],[Recette]],TableauRecette[Conditionnement],TableauProduit[[#This Row],[Conditionnement]]),0)</f>
        <v/>
      </c>
      <c r="H31" s="898" t="n">
        <v>5</v>
      </c>
      <c r="I31" s="899">
        <f>1000*TableauProduit[[#This Row],[Prix de vente/U]]/TableauProduit[[#This Row],[Poids (g) / unité]]</f>
        <v/>
      </c>
      <c r="J31" s="900">
        <f>SUMIFS(TableauConcurence[PRIX_KG],TableauConcurence[PRODUIT],TableauProduit[[#This Row],[Recette]],TableauConcurence[DISTRIBUTION],"magasin NON BIO")</f>
        <v/>
      </c>
      <c r="K31" s="901">
        <f>SUMIFS(TableauConcurence[PRIX_KG],TableauConcurence[PRODUIT],TableauProduit[[#This Row],[Recette]],TableauConcurence[DISTRIBUTION],"magasin BIO")</f>
        <v/>
      </c>
      <c r="L31" s="902">
        <f>SUMIFS(TableauConcurence[PRIX_KG],TableauConcurence[PRODUIT],TableauProduit[[#This Row],[Recette]],TableauConcurence[DISTRIBUTION],"artisanale BIO")</f>
        <v/>
      </c>
      <c r="M31" s="903" t="n">
        <v>0</v>
      </c>
      <c r="N31" s="904">
        <f>TableauProduit[[#This Row],[Poids (g) / unité]]*TableauProduit[[#This Row],[Objectif de vente en unité N1]]/1000</f>
        <v/>
      </c>
      <c r="O31" s="905">
        <f>TableauProduit[[#This Row],[Objectif de vente en unité N1]]*TableauProduit[[#This Row],[Packaging / unité]]</f>
        <v/>
      </c>
      <c r="P31" s="905">
        <f>TableauProduit[[#This Row],[Prix achat plantes / kg]]*TableauProduit[[#This Row],[Total (kg) N1]]</f>
        <v/>
      </c>
      <c r="Q31" s="905">
        <f>TableauProduit[[#This Row],[Prix de vente/kg]]*TableauProduit[[#This Row],[Total (kg) N1]]</f>
        <v/>
      </c>
      <c r="R31" s="906">
        <f>TableauProduit[[#This Row],[Revenu brut N1]]-TableauProduit[[#This Row],[Achat plantes N1]]-TableauProduit[[#This Row],[Conditionnement N1]]</f>
        <v/>
      </c>
      <c r="S31" s="907" t="n">
        <v>0</v>
      </c>
      <c r="T31" s="908">
        <f>TableauProduit[[#This Row],[Poids (g) / unité]]*TableauProduit[[#This Row],[Objectif de vente en unité N2]]/1000</f>
        <v/>
      </c>
      <c r="U31" s="909">
        <f>TableauProduit[[#This Row],[Objectif de vente en unité N2]]*TableauProduit[[#This Row],[Packaging / unité]]</f>
        <v/>
      </c>
      <c r="V31" s="909">
        <f>TableauProduit[[#This Row],[Prix achat plantes / kg]]*TableauProduit[[#This Row],[Total (kg) N2]]</f>
        <v/>
      </c>
      <c r="W31" s="909">
        <f>TableauProduit[[#This Row],[Prix de vente/kg]]*TableauProduit[[#This Row],[Total (kg) N2]]</f>
        <v/>
      </c>
      <c r="X31" s="910">
        <f>TableauProduit[[#This Row],[Revenu brut N2]]-TableauProduit[[#This Row],[Achat plantes N2]]-TableauProduit[[#This Row],[Conditionnement N2]]</f>
        <v/>
      </c>
      <c r="Y31" s="911" t="n">
        <v>0</v>
      </c>
      <c r="Z31" s="912">
        <f>TableauProduit[[#This Row],[Poids (g) / unité]]*TableauProduit[[#This Row],[Objectif de vente en unité N3]]/1000</f>
        <v/>
      </c>
      <c r="AA31" s="913">
        <f>TableauProduit[[#This Row],[Objectif de vente en unité N3]]*TableauProduit[[#This Row],[Packaging / unité]]</f>
        <v/>
      </c>
      <c r="AB31" s="913">
        <f>TableauProduit[[#This Row],[Prix achat plantes / kg]]*TableauProduit[[#This Row],[Total (kg) N3]]</f>
        <v/>
      </c>
      <c r="AC31" s="913">
        <f>TableauProduit[[#This Row],[Prix de vente/kg]]*TableauProduit[[#This Row],[Total (kg) N3]]</f>
        <v/>
      </c>
      <c r="AD31" s="914">
        <f>TableauProduit[[#This Row],[Revenu brut N3]]-TableauProduit[[#This Row],[Achat plantes N3]]-TableauProduit[[#This Row],[Conditionnement N3]]</f>
        <v/>
      </c>
      <c r="AE31" s="915" t="n">
        <v>50</v>
      </c>
      <c r="AF31" s="915">
        <f>TableauProduit[[#This Row],[Poids (g) / unité]]*TableauProduit[[#This Row],[Objectif de vente en unité N4]]/1000</f>
        <v/>
      </c>
      <c r="AG31" s="916">
        <f>TableauProduit[[#This Row],[Objectif de vente en unité N4]]*TableauProduit[[#This Row],[Packaging / unité]]</f>
        <v/>
      </c>
      <c r="AH31" s="916">
        <f>TableauProduit[[#This Row],[Prix achat plantes / kg]]*TableauProduit[[#This Row],[Total (kg) N4]]</f>
        <v/>
      </c>
      <c r="AI31" s="916">
        <f>TableauProduit[[#This Row],[Prix de vente/kg]]*TableauProduit[[#This Row],[Total (kg) N4]]</f>
        <v/>
      </c>
      <c r="AJ31" s="915">
        <f>TableauProduit[[#This Row],[Revenu brut N4]]-TableauProduit[[#This Row],[Achat plantes N4]]-TableauProduit[[#This Row],[Conditionnement N4]]</f>
        <v/>
      </c>
      <c r="AK31" s="917" t="n">
        <v>60</v>
      </c>
      <c r="AL31" s="917">
        <f>TableauProduit[[#This Row],[Poids (g) / unité]]*TableauProduit[[#This Row],[Objectif de vente en unité N5]]/1000</f>
        <v/>
      </c>
      <c r="AM31" s="918">
        <f>TableauProduit[[#This Row],[Objectif de vente en unité N5]]*TableauProduit[[#This Row],[Packaging / unité]]</f>
        <v/>
      </c>
      <c r="AN31" s="918">
        <f>TableauProduit[[#This Row],[Prix achat plantes / kg]]*TableauProduit[[#This Row],[Total (kg) N5]]</f>
        <v/>
      </c>
      <c r="AO31" s="918">
        <f>TableauProduit[[#This Row],[Prix de vente/kg]]*TableauProduit[[#This Row],[Total (kg) N5]]</f>
        <v/>
      </c>
      <c r="AP31" s="917">
        <f>TableauProduit[[#This Row],[Revenu brut N5]]-TableauProduit[[#This Row],[Achat plantes N5]]-TableauProduit[[#This Row],[Conditionnement N5]]</f>
        <v/>
      </c>
      <c r="AQ31" s="919" t="n">
        <v>65</v>
      </c>
      <c r="AR31" s="919">
        <f>TableauProduit[[#This Row],[Poids (g) / unité]]*TableauProduit[[#This Row],[Objectif de vente en unité N6]]/1000</f>
        <v/>
      </c>
      <c r="AS31" s="920">
        <f>TableauProduit[[#This Row],[Objectif de vente en unité N6]]*TableauProduit[[#This Row],[Packaging / unité]]</f>
        <v/>
      </c>
      <c r="AT31" s="920">
        <f>TableauProduit[[#This Row],[Prix achat plantes / kg]]*TableauProduit[[#This Row],[Total (kg) N6]]</f>
        <v/>
      </c>
      <c r="AU31" s="920">
        <f>TableauProduit[[#This Row],[Prix de vente/kg]]*TableauProduit[[#This Row],[Total (kg) N6]]</f>
        <v/>
      </c>
      <c r="AV31" s="919">
        <f>TableauProduit[[#This Row],[Revenu brut N6]]-TableauProduit[[#This Row],[Achat plantes N6]]-TableauProduit[[#This Row],[Conditionnement N6]]</f>
        <v/>
      </c>
      <c r="AW31" s="904" t="n">
        <v>68</v>
      </c>
      <c r="AX31" s="904">
        <f>TableauProduit[[#This Row],[Poids (g) / unité]]*TableauProduit[[#This Row],[Objectif de vente en unité N7]]/1000</f>
        <v/>
      </c>
      <c r="AY31" s="905">
        <f>TableauProduit[[#This Row],[Objectif de vente en unité N7]]*TableauProduit[[#This Row],[Packaging / unité]]</f>
        <v/>
      </c>
      <c r="AZ31" s="905">
        <f>TableauProduit[[#This Row],[Prix achat plantes / kg]]*TableauProduit[[#This Row],[Total (kg) N7]]</f>
        <v/>
      </c>
      <c r="BA31" s="905">
        <f>TableauProduit[[#This Row],[Prix de vente/kg]]*TableauProduit[[#This Row],[Total (kg) N7]]</f>
        <v/>
      </c>
      <c r="BB31" s="921">
        <f>TableauProduit[[#This Row],[Revenu brut N7]]-TableauProduit[[#This Row],[Achat plantes N7]]-TableauProduit[[#This Row],[Conditionnement N7]]</f>
        <v/>
      </c>
      <c r="BC31" s="922" t="n">
        <v>68</v>
      </c>
      <c r="BD31" s="923">
        <f>TableauProduit[[#This Row],[Poids (g) / unité]]*TableauProduit[[#This Row],[Objectif de vente en unité N8]]/1000</f>
        <v/>
      </c>
      <c r="BE31" s="924">
        <f>TableauProduit[[#This Row],[Objectif de vente en unité N8]]*TableauProduit[[#This Row],[Packaging / unité]]</f>
        <v/>
      </c>
      <c r="BF31" s="924">
        <f>TableauProduit[[#This Row],[Prix achat plantes / kg]]*TableauProduit[[#This Row],[Total (kg) N8]]</f>
        <v/>
      </c>
      <c r="BG31" s="924">
        <f>TableauProduit[[#This Row],[Prix de vente/kg]]*TableauProduit[[#This Row],[Total (kg) N8]]</f>
        <v/>
      </c>
      <c r="BH31" s="925">
        <f>TableauProduit[[#This Row],[Revenu brut N8]]-TableauProduit[[#This Row],[Achat plantes N8]]-TableauProduit[[#This Row],[Conditionnement N8]]</f>
        <v/>
      </c>
      <c r="BI31" s="926" t="n">
        <v>68</v>
      </c>
      <c r="BJ31" s="927">
        <f>TableauProduit[[#This Row],[Poids (g) / unité]]*TableauProduit[[#This Row],[Objectif de vente en unité N9]]/1000</f>
        <v/>
      </c>
      <c r="BK31" s="928">
        <f>TableauProduit[[#This Row],[Objectif de vente en unité N9]]*TableauProduit[[#This Row],[Packaging / unité]]</f>
        <v/>
      </c>
      <c r="BL31" s="928">
        <f>TableauProduit[[#This Row],[Prix achat plantes / kg]]*TableauProduit[[#This Row],[Total (kg) N9]]</f>
        <v/>
      </c>
      <c r="BM31" s="928">
        <f>TableauProduit[[#This Row],[Prix de vente/kg]]*TableauProduit[[#This Row],[Total (kg) N9]]</f>
        <v/>
      </c>
      <c r="BN31" s="927">
        <f>TableauProduit[[#This Row],[Revenu brut N9]]-TableauProduit[[#This Row],[Achat plantes N9]]-TableauProduit[[#This Row],[Conditionnement N9]]</f>
        <v/>
      </c>
      <c r="BO31" t="inlineStr">
        <is>
          <t>Autre</t>
        </is>
      </c>
    </row>
    <row r="32">
      <c r="A32" s="13" t="inlineStr">
        <is>
          <t>Sans sel</t>
        </is>
      </c>
      <c r="B32" s="54">
        <f>TableauProduit[[#This Row],[Recette]]&amp;TableauProduit[[#This Row],[Conditionnement]]</f>
        <v/>
      </c>
      <c r="C32" s="11" t="n">
        <v>1</v>
      </c>
      <c r="D32" s="11" t="n">
        <v>50</v>
      </c>
      <c r="E32" s="6" t="inlineStr">
        <is>
          <t>Epice 100ml</t>
        </is>
      </c>
      <c r="F32" s="7">
        <f>IFERROR(VLOOKUP(TableauProduit[[#This Row],[Conditionnement]],TableauConditionnement[[Nom]:[Contenance]],4,FALSE),"")</f>
        <v/>
      </c>
      <c r="G32" s="897">
        <f>IFERROR(SUMIFS(TableauRecette[Prix d''achat / kg],TableauRecette[Recette],TableauProduit[[#This Row],[Recette]],TableauRecette[Conditionnement],TableauProduit[[#This Row],[Conditionnement]]),0)</f>
        <v/>
      </c>
      <c r="H32" s="898" t="n">
        <v>5</v>
      </c>
      <c r="I32" s="899">
        <f>1000*TableauProduit[[#This Row],[Prix de vente/U]]/TableauProduit[[#This Row],[Poids (g) / unité]]</f>
        <v/>
      </c>
      <c r="J32" s="900">
        <f>SUMIFS(TableauConcurence[PRIX_KG],TableauConcurence[PRODUIT],TableauProduit[[#This Row],[Recette]],TableauConcurence[DISTRIBUTION],"magasin NON BIO")</f>
        <v/>
      </c>
      <c r="K32" s="901">
        <f>SUMIFS(TableauConcurence[PRIX_KG],TableauConcurence[PRODUIT],TableauProduit[[#This Row],[Recette]],TableauConcurence[DISTRIBUTION],"magasin BIO")</f>
        <v/>
      </c>
      <c r="L32" s="902">
        <f>SUMIFS(TableauConcurence[PRIX_KG],TableauConcurence[PRODUIT],TableauProduit[[#This Row],[Recette]],TableauConcurence[DISTRIBUTION],"artisanale BIO")</f>
        <v/>
      </c>
      <c r="M32" s="903" t="n">
        <v>0</v>
      </c>
      <c r="N32" s="904">
        <f>TableauProduit[[#This Row],[Poids (g) / unité]]*TableauProduit[[#This Row],[Objectif de vente en unité N1]]/1000</f>
        <v/>
      </c>
      <c r="O32" s="905">
        <f>TableauProduit[[#This Row],[Objectif de vente en unité N1]]*TableauProduit[[#This Row],[Packaging / unité]]</f>
        <v/>
      </c>
      <c r="P32" s="905">
        <f>TableauProduit[[#This Row],[Prix achat plantes / kg]]*TableauProduit[[#This Row],[Total (kg) N1]]</f>
        <v/>
      </c>
      <c r="Q32" s="905">
        <f>TableauProduit[[#This Row],[Prix de vente/kg]]*TableauProduit[[#This Row],[Total (kg) N1]]</f>
        <v/>
      </c>
      <c r="R32" s="906">
        <f>TableauProduit[[#This Row],[Revenu brut N1]]-TableauProduit[[#This Row],[Achat plantes N1]]-TableauProduit[[#This Row],[Conditionnement N1]]</f>
        <v/>
      </c>
      <c r="S32" s="907" t="n">
        <v>0</v>
      </c>
      <c r="T32" s="908">
        <f>TableauProduit[[#This Row],[Poids (g) / unité]]*TableauProduit[[#This Row],[Objectif de vente en unité N2]]/1000</f>
        <v/>
      </c>
      <c r="U32" s="909">
        <f>TableauProduit[[#This Row],[Objectif de vente en unité N2]]*TableauProduit[[#This Row],[Packaging / unité]]</f>
        <v/>
      </c>
      <c r="V32" s="909">
        <f>TableauProduit[[#This Row],[Prix achat plantes / kg]]*TableauProduit[[#This Row],[Total (kg) N2]]</f>
        <v/>
      </c>
      <c r="W32" s="909">
        <f>TableauProduit[[#This Row],[Prix de vente/kg]]*TableauProduit[[#This Row],[Total (kg) N2]]</f>
        <v/>
      </c>
      <c r="X32" s="910">
        <f>TableauProduit[[#This Row],[Revenu brut N2]]-TableauProduit[[#This Row],[Achat plantes N2]]-TableauProduit[[#This Row],[Conditionnement N2]]</f>
        <v/>
      </c>
      <c r="Y32" s="911" t="n">
        <v>0</v>
      </c>
      <c r="Z32" s="912">
        <f>TableauProduit[[#This Row],[Poids (g) / unité]]*TableauProduit[[#This Row],[Objectif de vente en unité N3]]/1000</f>
        <v/>
      </c>
      <c r="AA32" s="913">
        <f>TableauProduit[[#This Row],[Objectif de vente en unité N3]]*TableauProduit[[#This Row],[Packaging / unité]]</f>
        <v/>
      </c>
      <c r="AB32" s="913">
        <f>TableauProduit[[#This Row],[Prix achat plantes / kg]]*TableauProduit[[#This Row],[Total (kg) N3]]</f>
        <v/>
      </c>
      <c r="AC32" s="913">
        <f>TableauProduit[[#This Row],[Prix de vente/kg]]*TableauProduit[[#This Row],[Total (kg) N3]]</f>
        <v/>
      </c>
      <c r="AD32" s="914">
        <f>TableauProduit[[#This Row],[Revenu brut N3]]-TableauProduit[[#This Row],[Achat plantes N3]]-TableauProduit[[#This Row],[Conditionnement N3]]</f>
        <v/>
      </c>
      <c r="AE32" s="915" t="n">
        <v>50</v>
      </c>
      <c r="AF32" s="915">
        <f>TableauProduit[[#This Row],[Poids (g) / unité]]*TableauProduit[[#This Row],[Objectif de vente en unité N4]]/1000</f>
        <v/>
      </c>
      <c r="AG32" s="916">
        <f>TableauProduit[[#This Row],[Objectif de vente en unité N4]]*TableauProduit[[#This Row],[Packaging / unité]]</f>
        <v/>
      </c>
      <c r="AH32" s="916">
        <f>TableauProduit[[#This Row],[Prix achat plantes / kg]]*TableauProduit[[#This Row],[Total (kg) N4]]</f>
        <v/>
      </c>
      <c r="AI32" s="916">
        <f>TableauProduit[[#This Row],[Prix de vente/kg]]*TableauProduit[[#This Row],[Total (kg) N4]]</f>
        <v/>
      </c>
      <c r="AJ32" s="915">
        <f>TableauProduit[[#This Row],[Revenu brut N4]]-TableauProduit[[#This Row],[Achat plantes N4]]-TableauProduit[[#This Row],[Conditionnement N4]]</f>
        <v/>
      </c>
      <c r="AK32" s="917" t="n">
        <v>60</v>
      </c>
      <c r="AL32" s="917">
        <f>TableauProduit[[#This Row],[Poids (g) / unité]]*TableauProduit[[#This Row],[Objectif de vente en unité N5]]/1000</f>
        <v/>
      </c>
      <c r="AM32" s="918">
        <f>TableauProduit[[#This Row],[Objectif de vente en unité N5]]*TableauProduit[[#This Row],[Packaging / unité]]</f>
        <v/>
      </c>
      <c r="AN32" s="918">
        <f>TableauProduit[[#This Row],[Prix achat plantes / kg]]*TableauProduit[[#This Row],[Total (kg) N5]]</f>
        <v/>
      </c>
      <c r="AO32" s="918">
        <f>TableauProduit[[#This Row],[Prix de vente/kg]]*TableauProduit[[#This Row],[Total (kg) N5]]</f>
        <v/>
      </c>
      <c r="AP32" s="917">
        <f>TableauProduit[[#This Row],[Revenu brut N5]]-TableauProduit[[#This Row],[Achat plantes N5]]-TableauProduit[[#This Row],[Conditionnement N5]]</f>
        <v/>
      </c>
      <c r="AQ32" s="919" t="n">
        <v>65</v>
      </c>
      <c r="AR32" s="919">
        <f>TableauProduit[[#This Row],[Poids (g) / unité]]*TableauProduit[[#This Row],[Objectif de vente en unité N6]]/1000</f>
        <v/>
      </c>
      <c r="AS32" s="920">
        <f>TableauProduit[[#This Row],[Objectif de vente en unité N6]]*TableauProduit[[#This Row],[Packaging / unité]]</f>
        <v/>
      </c>
      <c r="AT32" s="920">
        <f>TableauProduit[[#This Row],[Prix achat plantes / kg]]*TableauProduit[[#This Row],[Total (kg) N6]]</f>
        <v/>
      </c>
      <c r="AU32" s="920">
        <f>TableauProduit[[#This Row],[Prix de vente/kg]]*TableauProduit[[#This Row],[Total (kg) N6]]</f>
        <v/>
      </c>
      <c r="AV32" s="919">
        <f>TableauProduit[[#This Row],[Revenu brut N6]]-TableauProduit[[#This Row],[Achat plantes N6]]-TableauProduit[[#This Row],[Conditionnement N6]]</f>
        <v/>
      </c>
      <c r="AW32" s="904" t="n">
        <v>68</v>
      </c>
      <c r="AX32" s="904">
        <f>TableauProduit[[#This Row],[Poids (g) / unité]]*TableauProduit[[#This Row],[Objectif de vente en unité N7]]/1000</f>
        <v/>
      </c>
      <c r="AY32" s="905">
        <f>TableauProduit[[#This Row],[Objectif de vente en unité N7]]*TableauProduit[[#This Row],[Packaging / unité]]</f>
        <v/>
      </c>
      <c r="AZ32" s="905">
        <f>TableauProduit[[#This Row],[Prix achat plantes / kg]]*TableauProduit[[#This Row],[Total (kg) N7]]</f>
        <v/>
      </c>
      <c r="BA32" s="905">
        <f>TableauProduit[[#This Row],[Prix de vente/kg]]*TableauProduit[[#This Row],[Total (kg) N7]]</f>
        <v/>
      </c>
      <c r="BB32" s="921">
        <f>TableauProduit[[#This Row],[Revenu brut N7]]-TableauProduit[[#This Row],[Achat plantes N7]]-TableauProduit[[#This Row],[Conditionnement N7]]</f>
        <v/>
      </c>
      <c r="BC32" s="922" t="n">
        <v>68</v>
      </c>
      <c r="BD32" s="923">
        <f>TableauProduit[[#This Row],[Poids (g) / unité]]*TableauProduit[[#This Row],[Objectif de vente en unité N8]]/1000</f>
        <v/>
      </c>
      <c r="BE32" s="924">
        <f>TableauProduit[[#This Row],[Objectif de vente en unité N8]]*TableauProduit[[#This Row],[Packaging / unité]]</f>
        <v/>
      </c>
      <c r="BF32" s="924">
        <f>TableauProduit[[#This Row],[Prix achat plantes / kg]]*TableauProduit[[#This Row],[Total (kg) N8]]</f>
        <v/>
      </c>
      <c r="BG32" s="924">
        <f>TableauProduit[[#This Row],[Prix de vente/kg]]*TableauProduit[[#This Row],[Total (kg) N8]]</f>
        <v/>
      </c>
      <c r="BH32" s="925">
        <f>TableauProduit[[#This Row],[Revenu brut N8]]-TableauProduit[[#This Row],[Achat plantes N8]]-TableauProduit[[#This Row],[Conditionnement N8]]</f>
        <v/>
      </c>
      <c r="BI32" s="926" t="n">
        <v>68</v>
      </c>
      <c r="BJ32" s="927">
        <f>TableauProduit[[#This Row],[Poids (g) / unité]]*TableauProduit[[#This Row],[Objectif de vente en unité N9]]/1000</f>
        <v/>
      </c>
      <c r="BK32" s="928">
        <f>TableauProduit[[#This Row],[Objectif de vente en unité N9]]*TableauProduit[[#This Row],[Packaging / unité]]</f>
        <v/>
      </c>
      <c r="BL32" s="928">
        <f>TableauProduit[[#This Row],[Prix achat plantes / kg]]*TableauProduit[[#This Row],[Total (kg) N9]]</f>
        <v/>
      </c>
      <c r="BM32" s="928">
        <f>TableauProduit[[#This Row],[Prix de vente/kg]]*TableauProduit[[#This Row],[Total (kg) N9]]</f>
        <v/>
      </c>
      <c r="BN32" s="927">
        <f>TableauProduit[[#This Row],[Revenu brut N9]]-TableauProduit[[#This Row],[Achat plantes N9]]-TableauProduit[[#This Row],[Conditionnement N9]]</f>
        <v/>
      </c>
      <c r="BO32" t="inlineStr">
        <is>
          <t>Autre</t>
        </is>
      </c>
    </row>
    <row r="33">
      <c r="A33" s="13" t="inlineStr">
        <is>
          <t>Shichimi togarashi</t>
        </is>
      </c>
      <c r="B33" s="54">
        <f>TableauProduit[[#This Row],[Recette]]&amp;TableauProduit[[#This Row],[Conditionnement]]</f>
        <v/>
      </c>
      <c r="C33" s="11" t="n">
        <v>1</v>
      </c>
      <c r="D33" s="11" t="n">
        <v>50</v>
      </c>
      <c r="E33" s="6" t="inlineStr">
        <is>
          <t>Epice 100ml</t>
        </is>
      </c>
      <c r="F33" s="7">
        <f>IFERROR(VLOOKUP(TableauProduit[[#This Row],[Conditionnement]],TableauConditionnement[[Nom]:[Contenance]],4,FALSE),"")</f>
        <v/>
      </c>
      <c r="G33" s="897">
        <f>IFERROR(SUMIFS(TableauRecette[Prix d''achat / kg],TableauRecette[Recette],TableauProduit[[#This Row],[Recette]],TableauRecette[Conditionnement],TableauProduit[[#This Row],[Conditionnement]]),0)</f>
        <v/>
      </c>
      <c r="H33" s="898" t="n">
        <v>5</v>
      </c>
      <c r="I33" s="899">
        <f>1000*TableauProduit[[#This Row],[Prix de vente/U]]/TableauProduit[[#This Row],[Poids (g) / unité]]</f>
        <v/>
      </c>
      <c r="J33" s="900">
        <f>SUMIFS(TableauConcurence[PRIX_KG],TableauConcurence[PRODUIT],TableauProduit[[#This Row],[Recette]],TableauConcurence[DISTRIBUTION],"magasin NON BIO")</f>
        <v/>
      </c>
      <c r="K33" s="901">
        <f>SUMIFS(TableauConcurence[PRIX_KG],TableauConcurence[PRODUIT],TableauProduit[[#This Row],[Recette]],TableauConcurence[DISTRIBUTION],"magasin BIO")</f>
        <v/>
      </c>
      <c r="L33" s="902">
        <f>SUMIFS(TableauConcurence[PRIX_KG],TableauConcurence[PRODUIT],TableauProduit[[#This Row],[Recette]],TableauConcurence[DISTRIBUTION],"artisanale BIO")</f>
        <v/>
      </c>
      <c r="M33" s="903" t="n">
        <v>0</v>
      </c>
      <c r="N33" s="904">
        <f>TableauProduit[[#This Row],[Poids (g) / unité]]*TableauProduit[[#This Row],[Objectif de vente en unité N1]]/1000</f>
        <v/>
      </c>
      <c r="O33" s="905">
        <f>TableauProduit[[#This Row],[Objectif de vente en unité N1]]*TableauProduit[[#This Row],[Packaging / unité]]</f>
        <v/>
      </c>
      <c r="P33" s="905">
        <f>TableauProduit[[#This Row],[Prix achat plantes / kg]]*TableauProduit[[#This Row],[Total (kg) N1]]</f>
        <v/>
      </c>
      <c r="Q33" s="905">
        <f>TableauProduit[[#This Row],[Prix de vente/kg]]*TableauProduit[[#This Row],[Total (kg) N1]]</f>
        <v/>
      </c>
      <c r="R33" s="906">
        <f>TableauProduit[[#This Row],[Revenu brut N1]]-TableauProduit[[#This Row],[Achat plantes N1]]-TableauProduit[[#This Row],[Conditionnement N1]]</f>
        <v/>
      </c>
      <c r="S33" s="907" t="n">
        <v>0</v>
      </c>
      <c r="T33" s="908">
        <f>TableauProduit[[#This Row],[Poids (g) / unité]]*TableauProduit[[#This Row],[Objectif de vente en unité N2]]/1000</f>
        <v/>
      </c>
      <c r="U33" s="909">
        <f>TableauProduit[[#This Row],[Objectif de vente en unité N2]]*TableauProduit[[#This Row],[Packaging / unité]]</f>
        <v/>
      </c>
      <c r="V33" s="909">
        <f>TableauProduit[[#This Row],[Prix achat plantes / kg]]*TableauProduit[[#This Row],[Total (kg) N2]]</f>
        <v/>
      </c>
      <c r="W33" s="909">
        <f>TableauProduit[[#This Row],[Prix de vente/kg]]*TableauProduit[[#This Row],[Total (kg) N2]]</f>
        <v/>
      </c>
      <c r="X33" s="910">
        <f>TableauProduit[[#This Row],[Revenu brut N2]]-TableauProduit[[#This Row],[Achat plantes N2]]-TableauProduit[[#This Row],[Conditionnement N2]]</f>
        <v/>
      </c>
      <c r="Y33" s="911" t="n">
        <v>0</v>
      </c>
      <c r="Z33" s="912">
        <f>TableauProduit[[#This Row],[Poids (g) / unité]]*TableauProduit[[#This Row],[Objectif de vente en unité N3]]/1000</f>
        <v/>
      </c>
      <c r="AA33" s="913">
        <f>TableauProduit[[#This Row],[Objectif de vente en unité N3]]*TableauProduit[[#This Row],[Packaging / unité]]</f>
        <v/>
      </c>
      <c r="AB33" s="913">
        <f>TableauProduit[[#This Row],[Prix achat plantes / kg]]*TableauProduit[[#This Row],[Total (kg) N3]]</f>
        <v/>
      </c>
      <c r="AC33" s="913">
        <f>TableauProduit[[#This Row],[Prix de vente/kg]]*TableauProduit[[#This Row],[Total (kg) N3]]</f>
        <v/>
      </c>
      <c r="AD33" s="914">
        <f>TableauProduit[[#This Row],[Revenu brut N3]]-TableauProduit[[#This Row],[Achat plantes N3]]-TableauProduit[[#This Row],[Conditionnement N3]]</f>
        <v/>
      </c>
      <c r="AE33" s="915" t="n">
        <v>80</v>
      </c>
      <c r="AF33" s="915">
        <f>TableauProduit[[#This Row],[Poids (g) / unité]]*TableauProduit[[#This Row],[Objectif de vente en unité N4]]/1000</f>
        <v/>
      </c>
      <c r="AG33" s="916">
        <f>TableauProduit[[#This Row],[Objectif de vente en unité N4]]*TableauProduit[[#This Row],[Packaging / unité]]</f>
        <v/>
      </c>
      <c r="AH33" s="916">
        <f>TableauProduit[[#This Row],[Prix achat plantes / kg]]*TableauProduit[[#This Row],[Total (kg) N4]]</f>
        <v/>
      </c>
      <c r="AI33" s="916">
        <f>TableauProduit[[#This Row],[Prix de vente/kg]]*TableauProduit[[#This Row],[Total (kg) N4]]</f>
        <v/>
      </c>
      <c r="AJ33" s="915">
        <f>TableauProduit[[#This Row],[Revenu brut N4]]-TableauProduit[[#This Row],[Achat plantes N4]]-TableauProduit[[#This Row],[Conditionnement N4]]</f>
        <v/>
      </c>
      <c r="AK33" s="917" t="n">
        <v>96</v>
      </c>
      <c r="AL33" s="917">
        <f>TableauProduit[[#This Row],[Poids (g) / unité]]*TableauProduit[[#This Row],[Objectif de vente en unité N5]]/1000</f>
        <v/>
      </c>
      <c r="AM33" s="918">
        <f>TableauProduit[[#This Row],[Objectif de vente en unité N5]]*TableauProduit[[#This Row],[Packaging / unité]]</f>
        <v/>
      </c>
      <c r="AN33" s="918">
        <f>TableauProduit[[#This Row],[Prix achat plantes / kg]]*TableauProduit[[#This Row],[Total (kg) N5]]</f>
        <v/>
      </c>
      <c r="AO33" s="918">
        <f>TableauProduit[[#This Row],[Prix de vente/kg]]*TableauProduit[[#This Row],[Total (kg) N5]]</f>
        <v/>
      </c>
      <c r="AP33" s="917">
        <f>TableauProduit[[#This Row],[Revenu brut N5]]-TableauProduit[[#This Row],[Achat plantes N5]]-TableauProduit[[#This Row],[Conditionnement N5]]</f>
        <v/>
      </c>
      <c r="AQ33" s="919" t="n">
        <v>104</v>
      </c>
      <c r="AR33" s="919">
        <f>TableauProduit[[#This Row],[Poids (g) / unité]]*TableauProduit[[#This Row],[Objectif de vente en unité N6]]/1000</f>
        <v/>
      </c>
      <c r="AS33" s="920">
        <f>TableauProduit[[#This Row],[Objectif de vente en unité N6]]*TableauProduit[[#This Row],[Packaging / unité]]</f>
        <v/>
      </c>
      <c r="AT33" s="920">
        <f>TableauProduit[[#This Row],[Prix achat plantes / kg]]*TableauProduit[[#This Row],[Total (kg) N6]]</f>
        <v/>
      </c>
      <c r="AU33" s="920">
        <f>TableauProduit[[#This Row],[Prix de vente/kg]]*TableauProduit[[#This Row],[Total (kg) N6]]</f>
        <v/>
      </c>
      <c r="AV33" s="919">
        <f>TableauProduit[[#This Row],[Revenu brut N6]]-TableauProduit[[#This Row],[Achat plantes N6]]-TableauProduit[[#This Row],[Conditionnement N6]]</f>
        <v/>
      </c>
      <c r="AW33" s="904" t="n">
        <v>104</v>
      </c>
      <c r="AX33" s="904">
        <f>TableauProduit[[#This Row],[Poids (g) / unité]]*TableauProduit[[#This Row],[Objectif de vente en unité N7]]/1000</f>
        <v/>
      </c>
      <c r="AY33" s="905">
        <f>TableauProduit[[#This Row],[Objectif de vente en unité N7]]*TableauProduit[[#This Row],[Packaging / unité]]</f>
        <v/>
      </c>
      <c r="AZ33" s="905">
        <f>TableauProduit[[#This Row],[Prix achat plantes / kg]]*TableauProduit[[#This Row],[Total (kg) N7]]</f>
        <v/>
      </c>
      <c r="BA33" s="905">
        <f>TableauProduit[[#This Row],[Prix de vente/kg]]*TableauProduit[[#This Row],[Total (kg) N7]]</f>
        <v/>
      </c>
      <c r="BB33" s="921">
        <f>TableauProduit[[#This Row],[Revenu brut N7]]-TableauProduit[[#This Row],[Achat plantes N7]]-TableauProduit[[#This Row],[Conditionnement N7]]</f>
        <v/>
      </c>
      <c r="BC33" s="922" t="n">
        <v>104</v>
      </c>
      <c r="BD33" s="923">
        <f>TableauProduit[[#This Row],[Poids (g) / unité]]*TableauProduit[[#This Row],[Objectif de vente en unité N8]]/1000</f>
        <v/>
      </c>
      <c r="BE33" s="924">
        <f>TableauProduit[[#This Row],[Objectif de vente en unité N8]]*TableauProduit[[#This Row],[Packaging / unité]]</f>
        <v/>
      </c>
      <c r="BF33" s="924">
        <f>TableauProduit[[#This Row],[Prix achat plantes / kg]]*TableauProduit[[#This Row],[Total (kg) N8]]</f>
        <v/>
      </c>
      <c r="BG33" s="924">
        <f>TableauProduit[[#This Row],[Prix de vente/kg]]*TableauProduit[[#This Row],[Total (kg) N8]]</f>
        <v/>
      </c>
      <c r="BH33" s="925">
        <f>TableauProduit[[#This Row],[Revenu brut N8]]-TableauProduit[[#This Row],[Achat plantes N8]]-TableauProduit[[#This Row],[Conditionnement N8]]</f>
        <v/>
      </c>
      <c r="BI33" s="926" t="n">
        <v>104</v>
      </c>
      <c r="BJ33" s="927">
        <f>TableauProduit[[#This Row],[Poids (g) / unité]]*TableauProduit[[#This Row],[Objectif de vente en unité N9]]/1000</f>
        <v/>
      </c>
      <c r="BK33" s="928">
        <f>TableauProduit[[#This Row],[Objectif de vente en unité N9]]*TableauProduit[[#This Row],[Packaging / unité]]</f>
        <v/>
      </c>
      <c r="BL33" s="928">
        <f>TableauProduit[[#This Row],[Prix achat plantes / kg]]*TableauProduit[[#This Row],[Total (kg) N9]]</f>
        <v/>
      </c>
      <c r="BM33" s="928">
        <f>TableauProduit[[#This Row],[Prix de vente/kg]]*TableauProduit[[#This Row],[Total (kg) N9]]</f>
        <v/>
      </c>
      <c r="BN33" s="927">
        <f>TableauProduit[[#This Row],[Revenu brut N9]]-TableauProduit[[#This Row],[Achat plantes N9]]-TableauProduit[[#This Row],[Conditionnement N9]]</f>
        <v/>
      </c>
      <c r="BO33" t="inlineStr">
        <is>
          <t>Mélange</t>
        </is>
      </c>
    </row>
    <row r="34">
      <c r="A34" s="13" t="inlineStr">
        <is>
          <t>Ketchup</t>
        </is>
      </c>
      <c r="B34" s="54">
        <f>TableauProduit[[#This Row],[Recette]]&amp;TableauProduit[[#This Row],[Conditionnement]]</f>
        <v/>
      </c>
      <c r="C34" s="11" t="n">
        <v>1</v>
      </c>
      <c r="D34" s="11" t="n">
        <v>230</v>
      </c>
      <c r="E34" s="6" t="inlineStr">
        <is>
          <t>Piment liquide 250ml</t>
        </is>
      </c>
      <c r="F34" s="7">
        <f>IFERROR(VLOOKUP(TableauProduit[[#This Row],[Conditionnement]],TableauConditionnement[[Nom]:[Contenance]],4,FALSE),"")</f>
        <v/>
      </c>
      <c r="G34" s="897">
        <f>IFERROR(SUMIFS(TableauRecette[Prix d''achat / kg],TableauRecette[Recette],TableauProduit[[#This Row],[Recette]],TableauRecette[Conditionnement],TableauProduit[[#This Row],[Conditionnement]]),0)</f>
        <v/>
      </c>
      <c r="H34" s="898" t="n">
        <v>3.5</v>
      </c>
      <c r="I34" s="899">
        <f>1000*TableauProduit[[#This Row],[Prix de vente/U]]/TableauProduit[[#This Row],[Poids (g) / unité]]</f>
        <v/>
      </c>
      <c r="J34" s="900">
        <f>SUMIFS(TableauConcurence[PRIX_KG],TableauConcurence[PRODUIT],TableauProduit[[#This Row],[Recette]],TableauConcurence[DISTRIBUTION],"magasin NON BIO")</f>
        <v/>
      </c>
      <c r="K34" s="901">
        <f>SUMIFS(TableauConcurence[PRIX_KG],TableauConcurence[PRODUIT],TableauProduit[[#This Row],[Recette]],TableauConcurence[DISTRIBUTION],"magasin BIO")</f>
        <v/>
      </c>
      <c r="L34" s="902">
        <f>SUMIFS(TableauConcurence[PRIX_KG],TableauConcurence[PRODUIT],TableauProduit[[#This Row],[Recette]],TableauConcurence[DISTRIBUTION],"artisanale BIO")</f>
        <v/>
      </c>
      <c r="M34" s="903" t="n">
        <v>0</v>
      </c>
      <c r="N34" s="904">
        <f>TableauProduit[[#This Row],[Poids (g) / unité]]*TableauProduit[[#This Row],[Objectif de vente en unité N1]]/1000</f>
        <v/>
      </c>
      <c r="O34" s="905">
        <f>TableauProduit[[#This Row],[Objectif de vente en unité N1]]*TableauProduit[[#This Row],[Packaging / unité]]</f>
        <v/>
      </c>
      <c r="P34" s="905">
        <f>TableauProduit[[#This Row],[Prix achat plantes / kg]]*TableauProduit[[#This Row],[Total (kg) N1]]</f>
        <v/>
      </c>
      <c r="Q34" s="905">
        <f>TableauProduit[[#This Row],[Prix de vente/kg]]*TableauProduit[[#This Row],[Total (kg) N1]]</f>
        <v/>
      </c>
      <c r="R34" s="906">
        <f>TableauProduit[[#This Row],[Revenu brut N1]]-TableauProduit[[#This Row],[Achat plantes N1]]-TableauProduit[[#This Row],[Conditionnement N1]]</f>
        <v/>
      </c>
      <c r="S34" s="907" t="n">
        <v>0</v>
      </c>
      <c r="T34" s="908">
        <f>TableauProduit[[#This Row],[Poids (g) / unité]]*TableauProduit[[#This Row],[Objectif de vente en unité N2]]/1000</f>
        <v/>
      </c>
      <c r="U34" s="909">
        <f>TableauProduit[[#This Row],[Objectif de vente en unité N2]]*TableauProduit[[#This Row],[Packaging / unité]]</f>
        <v/>
      </c>
      <c r="V34" s="909">
        <f>TableauProduit[[#This Row],[Prix achat plantes / kg]]*TableauProduit[[#This Row],[Total (kg) N2]]</f>
        <v/>
      </c>
      <c r="W34" s="909">
        <f>TableauProduit[[#This Row],[Prix de vente/kg]]*TableauProduit[[#This Row],[Total (kg) N2]]</f>
        <v/>
      </c>
      <c r="X34" s="910">
        <f>TableauProduit[[#This Row],[Revenu brut N2]]-TableauProduit[[#This Row],[Achat plantes N2]]-TableauProduit[[#This Row],[Conditionnement N2]]</f>
        <v/>
      </c>
      <c r="Y34" s="911" t="n">
        <v>0</v>
      </c>
      <c r="Z34" s="912">
        <f>TableauProduit[[#This Row],[Poids (g) / unité]]*TableauProduit[[#This Row],[Objectif de vente en unité N3]]/1000</f>
        <v/>
      </c>
      <c r="AA34" s="913">
        <f>TableauProduit[[#This Row],[Objectif de vente en unité N3]]*TableauProduit[[#This Row],[Packaging / unité]]</f>
        <v/>
      </c>
      <c r="AB34" s="913">
        <f>TableauProduit[[#This Row],[Prix achat plantes / kg]]*TableauProduit[[#This Row],[Total (kg) N3]]</f>
        <v/>
      </c>
      <c r="AC34" s="913">
        <f>TableauProduit[[#This Row],[Prix de vente/kg]]*TableauProduit[[#This Row],[Total (kg) N3]]</f>
        <v/>
      </c>
      <c r="AD34" s="914">
        <f>TableauProduit[[#This Row],[Revenu brut N3]]-TableauProduit[[#This Row],[Achat plantes N3]]-TableauProduit[[#This Row],[Conditionnement N3]]</f>
        <v/>
      </c>
      <c r="AE34" s="915" t="n">
        <v>0</v>
      </c>
      <c r="AF34" s="915">
        <f>TableauProduit[[#This Row],[Poids (g) / unité]]*TableauProduit[[#This Row],[Objectif de vente en unité N4]]/1000</f>
        <v/>
      </c>
      <c r="AG34" s="916">
        <f>TableauProduit[[#This Row],[Objectif de vente en unité N4]]*TableauProduit[[#This Row],[Packaging / unité]]</f>
        <v/>
      </c>
      <c r="AH34" s="916">
        <f>TableauProduit[[#This Row],[Prix achat plantes / kg]]*TableauProduit[[#This Row],[Total (kg) N4]]</f>
        <v/>
      </c>
      <c r="AI34" s="916">
        <f>TableauProduit[[#This Row],[Prix de vente/kg]]*TableauProduit[[#This Row],[Total (kg) N4]]</f>
        <v/>
      </c>
      <c r="AJ34" s="915">
        <f>TableauProduit[[#This Row],[Revenu brut N4]]-TableauProduit[[#This Row],[Achat plantes N4]]-TableauProduit[[#This Row],[Conditionnement N4]]</f>
        <v/>
      </c>
      <c r="AK34" s="917" t="n">
        <v>0</v>
      </c>
      <c r="AL34" s="917">
        <f>TableauProduit[[#This Row],[Poids (g) / unité]]*TableauProduit[[#This Row],[Objectif de vente en unité N5]]/1000</f>
        <v/>
      </c>
      <c r="AM34" s="918">
        <f>TableauProduit[[#This Row],[Objectif de vente en unité N5]]*TableauProduit[[#This Row],[Packaging / unité]]</f>
        <v/>
      </c>
      <c r="AN34" s="918">
        <f>TableauProduit[[#This Row],[Prix achat plantes / kg]]*TableauProduit[[#This Row],[Total (kg) N5]]</f>
        <v/>
      </c>
      <c r="AO34" s="918">
        <f>TableauProduit[[#This Row],[Prix de vente/kg]]*TableauProduit[[#This Row],[Total (kg) N5]]</f>
        <v/>
      </c>
      <c r="AP34" s="917">
        <f>TableauProduit[[#This Row],[Revenu brut N5]]-TableauProduit[[#This Row],[Achat plantes N5]]-TableauProduit[[#This Row],[Conditionnement N5]]</f>
        <v/>
      </c>
      <c r="AQ34" s="919" t="n">
        <v>0</v>
      </c>
      <c r="AR34" s="919">
        <f>TableauProduit[[#This Row],[Poids (g) / unité]]*TableauProduit[[#This Row],[Objectif de vente en unité N6]]/1000</f>
        <v/>
      </c>
      <c r="AS34" s="920">
        <f>TableauProduit[[#This Row],[Objectif de vente en unité N6]]*TableauProduit[[#This Row],[Packaging / unité]]</f>
        <v/>
      </c>
      <c r="AT34" s="920">
        <f>TableauProduit[[#This Row],[Prix achat plantes / kg]]*TableauProduit[[#This Row],[Total (kg) N6]]</f>
        <v/>
      </c>
      <c r="AU34" s="920">
        <f>TableauProduit[[#This Row],[Prix de vente/kg]]*TableauProduit[[#This Row],[Total (kg) N6]]</f>
        <v/>
      </c>
      <c r="AV34" s="919">
        <f>TableauProduit[[#This Row],[Revenu brut N6]]-TableauProduit[[#This Row],[Achat plantes N6]]-TableauProduit[[#This Row],[Conditionnement N6]]</f>
        <v/>
      </c>
      <c r="AW34" s="904" t="n">
        <v>0</v>
      </c>
      <c r="AX34" s="904">
        <f>TableauProduit[[#This Row],[Poids (g) / unité]]*TableauProduit[[#This Row],[Objectif de vente en unité N7]]/1000</f>
        <v/>
      </c>
      <c r="AY34" s="905">
        <f>TableauProduit[[#This Row],[Objectif de vente en unité N7]]*TableauProduit[[#This Row],[Packaging / unité]]</f>
        <v/>
      </c>
      <c r="AZ34" s="905">
        <f>TableauProduit[[#This Row],[Prix achat plantes / kg]]*TableauProduit[[#This Row],[Total (kg) N7]]</f>
        <v/>
      </c>
      <c r="BA34" s="905">
        <f>TableauProduit[[#This Row],[Prix de vente/kg]]*TableauProduit[[#This Row],[Total (kg) N7]]</f>
        <v/>
      </c>
      <c r="BB34" s="921">
        <f>TableauProduit[[#This Row],[Revenu brut N7]]-TableauProduit[[#This Row],[Achat plantes N7]]-TableauProduit[[#This Row],[Conditionnement N7]]</f>
        <v/>
      </c>
      <c r="BC34" s="922" t="n">
        <v>0</v>
      </c>
      <c r="BD34" s="923">
        <f>TableauProduit[[#This Row],[Poids (g) / unité]]*TableauProduit[[#This Row],[Objectif de vente en unité N8]]/1000</f>
        <v/>
      </c>
      <c r="BE34" s="924">
        <f>TableauProduit[[#This Row],[Objectif de vente en unité N8]]*TableauProduit[[#This Row],[Packaging / unité]]</f>
        <v/>
      </c>
      <c r="BF34" s="924">
        <f>TableauProduit[[#This Row],[Prix achat plantes / kg]]*TableauProduit[[#This Row],[Total (kg) N8]]</f>
        <v/>
      </c>
      <c r="BG34" s="924">
        <f>TableauProduit[[#This Row],[Prix de vente/kg]]*TableauProduit[[#This Row],[Total (kg) N8]]</f>
        <v/>
      </c>
      <c r="BH34" s="925">
        <f>TableauProduit[[#This Row],[Revenu brut N8]]-TableauProduit[[#This Row],[Achat plantes N8]]-TableauProduit[[#This Row],[Conditionnement N8]]</f>
        <v/>
      </c>
      <c r="BI34" s="926" t="n">
        <v>0</v>
      </c>
      <c r="BJ34" s="927">
        <f>TableauProduit[[#This Row],[Poids (g) / unité]]*TableauProduit[[#This Row],[Objectif de vente en unité N9]]/1000</f>
        <v/>
      </c>
      <c r="BK34" s="928">
        <f>TableauProduit[[#This Row],[Objectif de vente en unité N9]]*TableauProduit[[#This Row],[Packaging / unité]]</f>
        <v/>
      </c>
      <c r="BL34" s="928">
        <f>TableauProduit[[#This Row],[Prix achat plantes / kg]]*TableauProduit[[#This Row],[Total (kg) N9]]</f>
        <v/>
      </c>
      <c r="BM34" s="928">
        <f>TableauProduit[[#This Row],[Prix de vente/kg]]*TableauProduit[[#This Row],[Total (kg) N9]]</f>
        <v/>
      </c>
      <c r="BN34" s="927">
        <f>TableauProduit[[#This Row],[Revenu brut N9]]-TableauProduit[[#This Row],[Achat plantes N9]]-TableauProduit[[#This Row],[Conditionnement N9]]</f>
        <v/>
      </c>
      <c r="BO34" t="inlineStr">
        <is>
          <t>Sauce / autre</t>
        </is>
      </c>
    </row>
    <row r="35">
      <c r="A35" s="13" t="inlineStr">
        <is>
          <t>Gomasio maison</t>
        </is>
      </c>
      <c r="B35" s="54">
        <f>TableauProduit[[#This Row],[Recette]]&amp;TableauProduit[[#This Row],[Conditionnement]]</f>
        <v/>
      </c>
      <c r="C35" s="11" t="n">
        <v>1</v>
      </c>
      <c r="D35" s="11" t="n">
        <v>50</v>
      </c>
      <c r="E35" s="6" t="inlineStr">
        <is>
          <t>Epice 100ml</t>
        </is>
      </c>
      <c r="F35" s="7">
        <f>IFERROR(VLOOKUP(TableauProduit[[#This Row],[Conditionnement]],TableauConditionnement[[Nom]:[Contenance]],4,FALSE),"")</f>
        <v/>
      </c>
      <c r="G35" s="897">
        <f>IFERROR(SUMIFS(TableauRecette[Prix d''achat / kg],TableauRecette[Recette],TableauProduit[[#This Row],[Recette]],TableauRecette[Conditionnement],TableauProduit[[#This Row],[Conditionnement]]),0)</f>
        <v/>
      </c>
      <c r="H35" s="898" t="n">
        <v>5</v>
      </c>
      <c r="I35" s="899">
        <f>1000*TableauProduit[[#This Row],[Prix de vente/U]]/TableauProduit[[#This Row],[Poids (g) / unité]]</f>
        <v/>
      </c>
      <c r="J35" s="900">
        <f>SUMIFS(TableauConcurence[PRIX_KG],TableauConcurence[PRODUIT],TableauProduit[[#This Row],[Recette]],TableauConcurence[DISTRIBUTION],"magasin NON BIO")</f>
        <v/>
      </c>
      <c r="K35" s="901">
        <f>SUMIFS(TableauConcurence[PRIX_KG],TableauConcurence[PRODUIT],TableauProduit[[#This Row],[Recette]],TableauConcurence[DISTRIBUTION],"magasin BIO")</f>
        <v/>
      </c>
      <c r="L35" s="902">
        <f>SUMIFS(TableauConcurence[PRIX_KG],TableauConcurence[PRODUIT],TableauProduit[[#This Row],[Recette]],TableauConcurence[DISTRIBUTION],"artisanale BIO")</f>
        <v/>
      </c>
      <c r="M35" s="903" t="n">
        <v>0</v>
      </c>
      <c r="N35" s="904">
        <f>TableauProduit[[#This Row],[Poids (g) / unité]]*TableauProduit[[#This Row],[Objectif de vente en unité N1]]/1000</f>
        <v/>
      </c>
      <c r="O35" s="905">
        <f>TableauProduit[[#This Row],[Objectif de vente en unité N1]]*TableauProduit[[#This Row],[Packaging / unité]]</f>
        <v/>
      </c>
      <c r="P35" s="905">
        <f>TableauProduit[[#This Row],[Prix achat plantes / kg]]*TableauProduit[[#This Row],[Total (kg) N1]]</f>
        <v/>
      </c>
      <c r="Q35" s="905">
        <f>TableauProduit[[#This Row],[Prix de vente/kg]]*TableauProduit[[#This Row],[Total (kg) N1]]</f>
        <v/>
      </c>
      <c r="R35" s="906">
        <f>TableauProduit[[#This Row],[Revenu brut N1]]-TableauProduit[[#This Row],[Achat plantes N1]]-TableauProduit[[#This Row],[Conditionnement N1]]</f>
        <v/>
      </c>
      <c r="S35" s="907" t="n">
        <v>0</v>
      </c>
      <c r="T35" s="908">
        <f>TableauProduit[[#This Row],[Poids (g) / unité]]*TableauProduit[[#This Row],[Objectif de vente en unité N2]]/1000</f>
        <v/>
      </c>
      <c r="U35" s="909">
        <f>TableauProduit[[#This Row],[Objectif de vente en unité N2]]*TableauProduit[[#This Row],[Packaging / unité]]</f>
        <v/>
      </c>
      <c r="V35" s="909">
        <f>TableauProduit[[#This Row],[Prix achat plantes / kg]]*TableauProduit[[#This Row],[Total (kg) N2]]</f>
        <v/>
      </c>
      <c r="W35" s="909">
        <f>TableauProduit[[#This Row],[Prix de vente/kg]]*TableauProduit[[#This Row],[Total (kg) N2]]</f>
        <v/>
      </c>
      <c r="X35" s="910">
        <f>TableauProduit[[#This Row],[Revenu brut N2]]-TableauProduit[[#This Row],[Achat plantes N2]]-TableauProduit[[#This Row],[Conditionnement N2]]</f>
        <v/>
      </c>
      <c r="Y35" s="911" t="n">
        <v>70</v>
      </c>
      <c r="Z35" s="912">
        <f>TableauProduit[[#This Row],[Poids (g) / unité]]*TableauProduit[[#This Row],[Objectif de vente en unité N3]]/1000</f>
        <v/>
      </c>
      <c r="AA35" s="913">
        <f>TableauProduit[[#This Row],[Objectif de vente en unité N3]]*TableauProduit[[#This Row],[Packaging / unité]]</f>
        <v/>
      </c>
      <c r="AB35" s="913">
        <f>TableauProduit[[#This Row],[Prix achat plantes / kg]]*TableauProduit[[#This Row],[Total (kg) N3]]</f>
        <v/>
      </c>
      <c r="AC35" s="913">
        <f>TableauProduit[[#This Row],[Prix de vente/kg]]*TableauProduit[[#This Row],[Total (kg) N3]]</f>
        <v/>
      </c>
      <c r="AD35" s="914">
        <f>TableauProduit[[#This Row],[Revenu brut N3]]-TableauProduit[[#This Row],[Achat plantes N3]]-TableauProduit[[#This Row],[Conditionnement N3]]</f>
        <v/>
      </c>
      <c r="AE35" s="915" t="n">
        <v>88</v>
      </c>
      <c r="AF35" s="915">
        <f>TableauProduit[[#This Row],[Poids (g) / unité]]*TableauProduit[[#This Row],[Objectif de vente en unité N4]]/1000</f>
        <v/>
      </c>
      <c r="AG35" s="916">
        <f>TableauProduit[[#This Row],[Objectif de vente en unité N4]]*TableauProduit[[#This Row],[Packaging / unité]]</f>
        <v/>
      </c>
      <c r="AH35" s="916">
        <f>TableauProduit[[#This Row],[Prix achat plantes / kg]]*TableauProduit[[#This Row],[Total (kg) N4]]</f>
        <v/>
      </c>
      <c r="AI35" s="916">
        <f>TableauProduit[[#This Row],[Prix de vente/kg]]*TableauProduit[[#This Row],[Total (kg) N4]]</f>
        <v/>
      </c>
      <c r="AJ35" s="915">
        <f>TableauProduit[[#This Row],[Revenu brut N4]]-TableauProduit[[#This Row],[Achat plantes N4]]-TableauProduit[[#This Row],[Conditionnement N4]]</f>
        <v/>
      </c>
      <c r="AK35" s="917" t="n">
        <v>98</v>
      </c>
      <c r="AL35" s="917">
        <f>TableauProduit[[#This Row],[Poids (g) / unité]]*TableauProduit[[#This Row],[Objectif de vente en unité N5]]/1000</f>
        <v/>
      </c>
      <c r="AM35" s="918">
        <f>TableauProduit[[#This Row],[Objectif de vente en unité N5]]*TableauProduit[[#This Row],[Packaging / unité]]</f>
        <v/>
      </c>
      <c r="AN35" s="918">
        <f>TableauProduit[[#This Row],[Prix achat plantes / kg]]*TableauProduit[[#This Row],[Total (kg) N5]]</f>
        <v/>
      </c>
      <c r="AO35" s="918">
        <f>TableauProduit[[#This Row],[Prix de vente/kg]]*TableauProduit[[#This Row],[Total (kg) N5]]</f>
        <v/>
      </c>
      <c r="AP35" s="917">
        <f>TableauProduit[[#This Row],[Revenu brut N5]]-TableauProduit[[#This Row],[Achat plantes N5]]-TableauProduit[[#This Row],[Conditionnement N5]]</f>
        <v/>
      </c>
      <c r="AQ35" s="919" t="n">
        <v>102</v>
      </c>
      <c r="AR35" s="919">
        <f>TableauProduit[[#This Row],[Poids (g) / unité]]*TableauProduit[[#This Row],[Objectif de vente en unité N6]]/1000</f>
        <v/>
      </c>
      <c r="AS35" s="920">
        <f>TableauProduit[[#This Row],[Objectif de vente en unité N6]]*TableauProduit[[#This Row],[Packaging / unité]]</f>
        <v/>
      </c>
      <c r="AT35" s="920">
        <f>TableauProduit[[#This Row],[Prix achat plantes / kg]]*TableauProduit[[#This Row],[Total (kg) N6]]</f>
        <v/>
      </c>
      <c r="AU35" s="920">
        <f>TableauProduit[[#This Row],[Prix de vente/kg]]*TableauProduit[[#This Row],[Total (kg) N6]]</f>
        <v/>
      </c>
      <c r="AV35" s="919">
        <f>TableauProduit[[#This Row],[Revenu brut N6]]-TableauProduit[[#This Row],[Achat plantes N6]]-TableauProduit[[#This Row],[Conditionnement N6]]</f>
        <v/>
      </c>
      <c r="AW35" s="904" t="n">
        <v>102</v>
      </c>
      <c r="AX35" s="904">
        <f>TableauProduit[[#This Row],[Poids (g) / unité]]*TableauProduit[[#This Row],[Objectif de vente en unité N7]]/1000</f>
        <v/>
      </c>
      <c r="AY35" s="905">
        <f>TableauProduit[[#This Row],[Objectif de vente en unité N7]]*TableauProduit[[#This Row],[Packaging / unité]]</f>
        <v/>
      </c>
      <c r="AZ35" s="905">
        <f>TableauProduit[[#This Row],[Prix achat plantes / kg]]*TableauProduit[[#This Row],[Total (kg) N7]]</f>
        <v/>
      </c>
      <c r="BA35" s="905">
        <f>TableauProduit[[#This Row],[Prix de vente/kg]]*TableauProduit[[#This Row],[Total (kg) N7]]</f>
        <v/>
      </c>
      <c r="BB35" s="921">
        <f>TableauProduit[[#This Row],[Revenu brut N7]]-TableauProduit[[#This Row],[Achat plantes N7]]-TableauProduit[[#This Row],[Conditionnement N7]]</f>
        <v/>
      </c>
      <c r="BC35" s="922" t="n">
        <v>102</v>
      </c>
      <c r="BD35" s="923">
        <f>TableauProduit[[#This Row],[Poids (g) / unité]]*TableauProduit[[#This Row],[Objectif de vente en unité N8]]/1000</f>
        <v/>
      </c>
      <c r="BE35" s="924">
        <f>TableauProduit[[#This Row],[Objectif de vente en unité N8]]*TableauProduit[[#This Row],[Packaging / unité]]</f>
        <v/>
      </c>
      <c r="BF35" s="924">
        <f>TableauProduit[[#This Row],[Prix achat plantes / kg]]*TableauProduit[[#This Row],[Total (kg) N8]]</f>
        <v/>
      </c>
      <c r="BG35" s="924">
        <f>TableauProduit[[#This Row],[Prix de vente/kg]]*TableauProduit[[#This Row],[Total (kg) N8]]</f>
        <v/>
      </c>
      <c r="BH35" s="925">
        <f>TableauProduit[[#This Row],[Revenu brut N8]]-TableauProduit[[#This Row],[Achat plantes N8]]-TableauProduit[[#This Row],[Conditionnement N8]]</f>
        <v/>
      </c>
      <c r="BI35" s="926" t="n">
        <v>102</v>
      </c>
      <c r="BJ35" s="927">
        <f>TableauProduit[[#This Row],[Poids (g) / unité]]*TableauProduit[[#This Row],[Objectif de vente en unité N9]]/1000</f>
        <v/>
      </c>
      <c r="BK35" s="928">
        <f>TableauProduit[[#This Row],[Objectif de vente en unité N9]]*TableauProduit[[#This Row],[Packaging / unité]]</f>
        <v/>
      </c>
      <c r="BL35" s="928">
        <f>TableauProduit[[#This Row],[Prix achat plantes / kg]]*TableauProduit[[#This Row],[Total (kg) N9]]</f>
        <v/>
      </c>
      <c r="BM35" s="928">
        <f>TableauProduit[[#This Row],[Prix de vente/kg]]*TableauProduit[[#This Row],[Total (kg) N9]]</f>
        <v/>
      </c>
      <c r="BN35" s="927">
        <f>TableauProduit[[#This Row],[Revenu brut N9]]-TableauProduit[[#This Row],[Achat plantes N9]]-TableauProduit[[#This Row],[Conditionnement N9]]</f>
        <v/>
      </c>
      <c r="BO35" t="inlineStr">
        <is>
          <t>Autre</t>
        </is>
      </c>
    </row>
    <row r="36">
      <c r="A36" s="13" t="inlineStr">
        <is>
          <t>Timur ko chhop</t>
        </is>
      </c>
      <c r="B36" s="54">
        <f>TableauProduit[[#This Row],[Recette]]&amp;TableauProduit[[#This Row],[Conditionnement]]</f>
        <v/>
      </c>
      <c r="C36" s="11" t="n">
        <v>1</v>
      </c>
      <c r="D36" s="11" t="n">
        <v>50</v>
      </c>
      <c r="E36" s="6" t="inlineStr">
        <is>
          <t>Epice 100ml</t>
        </is>
      </c>
      <c r="F36" s="7">
        <f>IFERROR(VLOOKUP(TableauProduit[[#This Row],[Conditionnement]],TableauConditionnement[[Nom]:[Contenance]],4,FALSE),"")</f>
        <v/>
      </c>
      <c r="G36" s="897">
        <f>IFERROR(SUMIFS(TableauRecette[Prix d''achat / kg],TableauRecette[Recette],TableauProduit[[#This Row],[Recette]],TableauRecette[Conditionnement],TableauProduit[[#This Row],[Conditionnement]]),0)</f>
        <v/>
      </c>
      <c r="H36" s="898" t="n">
        <v>2.9</v>
      </c>
      <c r="I36" s="899">
        <f>1000*TableauProduit[[#This Row],[Prix de vente/U]]/TableauProduit[[#This Row],[Poids (g) / unité]]</f>
        <v/>
      </c>
      <c r="J36" s="900">
        <f>SUMIFS(TableauConcurence[PRIX_KG],TableauConcurence[PRODUIT],TableauProduit[[#This Row],[Recette]],TableauConcurence[DISTRIBUTION],"magasin NON BIO")</f>
        <v/>
      </c>
      <c r="K36" s="901">
        <f>SUMIFS(TableauConcurence[PRIX_KG],TableauConcurence[PRODUIT],TableauProduit[[#This Row],[Recette]],TableauConcurence[DISTRIBUTION],"magasin BIO")</f>
        <v/>
      </c>
      <c r="L36" s="902">
        <f>SUMIFS(TableauConcurence[PRIX_KG],TableauConcurence[PRODUIT],TableauProduit[[#This Row],[Recette]],TableauConcurence[DISTRIBUTION],"artisanale BIO")</f>
        <v/>
      </c>
      <c r="M36" s="903" t="n">
        <v>0</v>
      </c>
      <c r="N36" s="904">
        <f>TableauProduit[[#This Row],[Poids (g) / unité]]*TableauProduit[[#This Row],[Objectif de vente en unité N1]]/1000</f>
        <v/>
      </c>
      <c r="O36" s="905">
        <f>TableauProduit[[#This Row],[Objectif de vente en unité N1]]*TableauProduit[[#This Row],[Packaging / unité]]</f>
        <v/>
      </c>
      <c r="P36" s="905">
        <f>TableauProduit[[#This Row],[Prix achat plantes / kg]]*TableauProduit[[#This Row],[Total (kg) N1]]</f>
        <v/>
      </c>
      <c r="Q36" s="905">
        <f>TableauProduit[[#This Row],[Prix de vente/kg]]*TableauProduit[[#This Row],[Total (kg) N1]]</f>
        <v/>
      </c>
      <c r="R36" s="906">
        <f>TableauProduit[[#This Row],[Revenu brut N1]]-TableauProduit[[#This Row],[Achat plantes N1]]-TableauProduit[[#This Row],[Conditionnement N1]]</f>
        <v/>
      </c>
      <c r="S36" s="907" t="n">
        <v>0</v>
      </c>
      <c r="T36" s="908">
        <f>TableauProduit[[#This Row],[Poids (g) / unité]]*TableauProduit[[#This Row],[Objectif de vente en unité N2]]/1000</f>
        <v/>
      </c>
      <c r="U36" s="909">
        <f>TableauProduit[[#This Row],[Objectif de vente en unité N2]]*TableauProduit[[#This Row],[Packaging / unité]]</f>
        <v/>
      </c>
      <c r="V36" s="909">
        <f>TableauProduit[[#This Row],[Prix achat plantes / kg]]*TableauProduit[[#This Row],[Total (kg) N2]]</f>
        <v/>
      </c>
      <c r="W36" s="909">
        <f>TableauProduit[[#This Row],[Prix de vente/kg]]*TableauProduit[[#This Row],[Total (kg) N2]]</f>
        <v/>
      </c>
      <c r="X36" s="910">
        <f>TableauProduit[[#This Row],[Revenu brut N2]]-TableauProduit[[#This Row],[Achat plantes N2]]-TableauProduit[[#This Row],[Conditionnement N2]]</f>
        <v/>
      </c>
      <c r="Y36" s="911" t="n">
        <v>0</v>
      </c>
      <c r="Z36" s="912">
        <f>TableauProduit[[#This Row],[Poids (g) / unité]]*TableauProduit[[#This Row],[Objectif de vente en unité N3]]/1000</f>
        <v/>
      </c>
      <c r="AA36" s="913">
        <f>TableauProduit[[#This Row],[Objectif de vente en unité N3]]*TableauProduit[[#This Row],[Packaging / unité]]</f>
        <v/>
      </c>
      <c r="AB36" s="913">
        <f>TableauProduit[[#This Row],[Prix achat plantes / kg]]*TableauProduit[[#This Row],[Total (kg) N3]]</f>
        <v/>
      </c>
      <c r="AC36" s="913">
        <f>TableauProduit[[#This Row],[Prix de vente/kg]]*TableauProduit[[#This Row],[Total (kg) N3]]</f>
        <v/>
      </c>
      <c r="AD36" s="914">
        <f>TableauProduit[[#This Row],[Revenu brut N3]]-TableauProduit[[#This Row],[Achat plantes N3]]-TableauProduit[[#This Row],[Conditionnement N3]]</f>
        <v/>
      </c>
      <c r="AE36" s="915" t="n">
        <v>80</v>
      </c>
      <c r="AF36" s="915">
        <f>TableauProduit[[#This Row],[Poids (g) / unité]]*TableauProduit[[#This Row],[Objectif de vente en unité N4]]/1000</f>
        <v/>
      </c>
      <c r="AG36" s="916">
        <f>TableauProduit[[#This Row],[Objectif de vente en unité N4]]*TableauProduit[[#This Row],[Packaging / unité]]</f>
        <v/>
      </c>
      <c r="AH36" s="916">
        <f>TableauProduit[[#This Row],[Prix achat plantes / kg]]*TableauProduit[[#This Row],[Total (kg) N4]]</f>
        <v/>
      </c>
      <c r="AI36" s="916">
        <f>TableauProduit[[#This Row],[Prix de vente/kg]]*TableauProduit[[#This Row],[Total (kg) N4]]</f>
        <v/>
      </c>
      <c r="AJ36" s="915">
        <f>TableauProduit[[#This Row],[Revenu brut N4]]-TableauProduit[[#This Row],[Achat plantes N4]]-TableauProduit[[#This Row],[Conditionnement N4]]</f>
        <v/>
      </c>
      <c r="AK36" s="917" t="n">
        <v>96</v>
      </c>
      <c r="AL36" s="917">
        <f>TableauProduit[[#This Row],[Poids (g) / unité]]*TableauProduit[[#This Row],[Objectif de vente en unité N5]]/1000</f>
        <v/>
      </c>
      <c r="AM36" s="918">
        <f>TableauProduit[[#This Row],[Objectif de vente en unité N5]]*TableauProduit[[#This Row],[Packaging / unité]]</f>
        <v/>
      </c>
      <c r="AN36" s="918">
        <f>TableauProduit[[#This Row],[Prix achat plantes / kg]]*TableauProduit[[#This Row],[Total (kg) N5]]</f>
        <v/>
      </c>
      <c r="AO36" s="918">
        <f>TableauProduit[[#This Row],[Prix de vente/kg]]*TableauProduit[[#This Row],[Total (kg) N5]]</f>
        <v/>
      </c>
      <c r="AP36" s="917">
        <f>TableauProduit[[#This Row],[Revenu brut N5]]-TableauProduit[[#This Row],[Achat plantes N5]]-TableauProduit[[#This Row],[Conditionnement N5]]</f>
        <v/>
      </c>
      <c r="AQ36" s="919" t="n">
        <v>104</v>
      </c>
      <c r="AR36" s="919">
        <f>TableauProduit[[#This Row],[Poids (g) / unité]]*TableauProduit[[#This Row],[Objectif de vente en unité N6]]/1000</f>
        <v/>
      </c>
      <c r="AS36" s="920">
        <f>TableauProduit[[#This Row],[Objectif de vente en unité N6]]*TableauProduit[[#This Row],[Packaging / unité]]</f>
        <v/>
      </c>
      <c r="AT36" s="920">
        <f>TableauProduit[[#This Row],[Prix achat plantes / kg]]*TableauProduit[[#This Row],[Total (kg) N6]]</f>
        <v/>
      </c>
      <c r="AU36" s="920">
        <f>TableauProduit[[#This Row],[Prix de vente/kg]]*TableauProduit[[#This Row],[Total (kg) N6]]</f>
        <v/>
      </c>
      <c r="AV36" s="919">
        <f>TableauProduit[[#This Row],[Revenu brut N6]]-TableauProduit[[#This Row],[Achat plantes N6]]-TableauProduit[[#This Row],[Conditionnement N6]]</f>
        <v/>
      </c>
      <c r="AW36" s="904" t="n">
        <v>104</v>
      </c>
      <c r="AX36" s="904">
        <f>TableauProduit[[#This Row],[Poids (g) / unité]]*TableauProduit[[#This Row],[Objectif de vente en unité N7]]/1000</f>
        <v/>
      </c>
      <c r="AY36" s="905">
        <f>TableauProduit[[#This Row],[Objectif de vente en unité N7]]*TableauProduit[[#This Row],[Packaging / unité]]</f>
        <v/>
      </c>
      <c r="AZ36" s="905">
        <f>TableauProduit[[#This Row],[Prix achat plantes / kg]]*TableauProduit[[#This Row],[Total (kg) N7]]</f>
        <v/>
      </c>
      <c r="BA36" s="905">
        <f>TableauProduit[[#This Row],[Prix de vente/kg]]*TableauProduit[[#This Row],[Total (kg) N7]]</f>
        <v/>
      </c>
      <c r="BB36" s="921">
        <f>TableauProduit[[#This Row],[Revenu brut N7]]-TableauProduit[[#This Row],[Achat plantes N7]]-TableauProduit[[#This Row],[Conditionnement N7]]</f>
        <v/>
      </c>
      <c r="BC36" s="922" t="n">
        <v>104</v>
      </c>
      <c r="BD36" s="923">
        <f>TableauProduit[[#This Row],[Poids (g) / unité]]*TableauProduit[[#This Row],[Objectif de vente en unité N8]]/1000</f>
        <v/>
      </c>
      <c r="BE36" s="924">
        <f>TableauProduit[[#This Row],[Objectif de vente en unité N8]]*TableauProduit[[#This Row],[Packaging / unité]]</f>
        <v/>
      </c>
      <c r="BF36" s="924">
        <f>TableauProduit[[#This Row],[Prix achat plantes / kg]]*TableauProduit[[#This Row],[Total (kg) N8]]</f>
        <v/>
      </c>
      <c r="BG36" s="924">
        <f>TableauProduit[[#This Row],[Prix de vente/kg]]*TableauProduit[[#This Row],[Total (kg) N8]]</f>
        <v/>
      </c>
      <c r="BH36" s="925">
        <f>TableauProduit[[#This Row],[Revenu brut N8]]-TableauProduit[[#This Row],[Achat plantes N8]]-TableauProduit[[#This Row],[Conditionnement N8]]</f>
        <v/>
      </c>
      <c r="BI36" s="926" t="n">
        <v>104</v>
      </c>
      <c r="BJ36" s="927">
        <f>TableauProduit[[#This Row],[Poids (g) / unité]]*TableauProduit[[#This Row],[Objectif de vente en unité N9]]/1000</f>
        <v/>
      </c>
      <c r="BK36" s="928">
        <f>TableauProduit[[#This Row],[Objectif de vente en unité N9]]*TableauProduit[[#This Row],[Packaging / unité]]</f>
        <v/>
      </c>
      <c r="BL36" s="928">
        <f>TableauProduit[[#This Row],[Prix achat plantes / kg]]*TableauProduit[[#This Row],[Total (kg) N9]]</f>
        <v/>
      </c>
      <c r="BM36" s="928">
        <f>TableauProduit[[#This Row],[Prix de vente/kg]]*TableauProduit[[#This Row],[Total (kg) N9]]</f>
        <v/>
      </c>
      <c r="BN36" s="927">
        <f>TableauProduit[[#This Row],[Revenu brut N9]]-TableauProduit[[#This Row],[Achat plantes N9]]-TableauProduit[[#This Row],[Conditionnement N9]]</f>
        <v/>
      </c>
      <c r="BO36" t="inlineStr">
        <is>
          <t>Mélange</t>
        </is>
      </c>
    </row>
    <row r="37">
      <c r="A37" s="13" t="inlineStr">
        <is>
          <t>Harissa</t>
        </is>
      </c>
      <c r="B37" s="54">
        <f>TableauProduit[[#This Row],[Recette]]&amp;TableauProduit[[#This Row],[Conditionnement]]</f>
        <v/>
      </c>
      <c r="C37" s="11" t="n">
        <v>1</v>
      </c>
      <c r="D37" s="11" t="n">
        <v>65</v>
      </c>
      <c r="E37" s="6" t="inlineStr">
        <is>
          <t>Epice 100ml</t>
        </is>
      </c>
      <c r="F37" s="7">
        <f>IFERROR(VLOOKUP(TableauProduit[[#This Row],[Conditionnement]],TableauConditionnement[[Nom]:[Contenance]],4,FALSE),"")</f>
        <v/>
      </c>
      <c r="G37" s="897">
        <f>IFERROR(SUMIFS(TableauRecette[Prix d''achat / kg],TableauRecette[Recette],TableauProduit[[#This Row],[Recette]],TableauRecette[Conditionnement],TableauProduit[[#This Row],[Conditionnement]]),0)</f>
        <v/>
      </c>
      <c r="H37" s="898" t="n">
        <v>5</v>
      </c>
      <c r="I37" s="899">
        <f>1000*TableauProduit[[#This Row],[Prix de vente/U]]/TableauProduit[[#This Row],[Poids (g) / unité]]</f>
        <v/>
      </c>
      <c r="J37" s="900">
        <f>SUMIFS(TableauConcurence[PRIX_KG],TableauConcurence[PRODUIT],TableauProduit[[#This Row],[Recette]],TableauConcurence[DISTRIBUTION],"magasin NON BIO")</f>
        <v/>
      </c>
      <c r="K37" s="901">
        <f>SUMIFS(TableauConcurence[PRIX_KG],TableauConcurence[PRODUIT],TableauProduit[[#This Row],[Recette]],TableauConcurence[DISTRIBUTION],"magasin BIO")</f>
        <v/>
      </c>
      <c r="L37" s="902">
        <f>SUMIFS(TableauConcurence[PRIX_KG],TableauConcurence[PRODUIT],TableauProduit[[#This Row],[Recette]],TableauConcurence[DISTRIBUTION],"artisanale BIO")</f>
        <v/>
      </c>
      <c r="M37" s="903" t="n">
        <v>0</v>
      </c>
      <c r="N37" s="904">
        <f>TableauProduit[[#This Row],[Poids (g) / unité]]*TableauProduit[[#This Row],[Objectif de vente en unité N1]]/1000</f>
        <v/>
      </c>
      <c r="O37" s="905">
        <f>TableauProduit[[#This Row],[Objectif de vente en unité N1]]*TableauProduit[[#This Row],[Packaging / unité]]</f>
        <v/>
      </c>
      <c r="P37" s="905">
        <f>TableauProduit[[#This Row],[Prix achat plantes / kg]]*TableauProduit[[#This Row],[Total (kg) N1]]</f>
        <v/>
      </c>
      <c r="Q37" s="905">
        <f>TableauProduit[[#This Row],[Prix de vente/kg]]*TableauProduit[[#This Row],[Total (kg) N1]]</f>
        <v/>
      </c>
      <c r="R37" s="906">
        <f>TableauProduit[[#This Row],[Revenu brut N1]]-TableauProduit[[#This Row],[Achat plantes N1]]-TableauProduit[[#This Row],[Conditionnement N1]]</f>
        <v/>
      </c>
      <c r="S37" s="907" t="n">
        <v>0</v>
      </c>
      <c r="T37" s="908">
        <f>TableauProduit[[#This Row],[Poids (g) / unité]]*TableauProduit[[#This Row],[Objectif de vente en unité N2]]/1000</f>
        <v/>
      </c>
      <c r="U37" s="909">
        <f>TableauProduit[[#This Row],[Objectif de vente en unité N2]]*TableauProduit[[#This Row],[Packaging / unité]]</f>
        <v/>
      </c>
      <c r="V37" s="909">
        <f>TableauProduit[[#This Row],[Prix achat plantes / kg]]*TableauProduit[[#This Row],[Total (kg) N2]]</f>
        <v/>
      </c>
      <c r="W37" s="909">
        <f>TableauProduit[[#This Row],[Prix de vente/kg]]*TableauProduit[[#This Row],[Total (kg) N2]]</f>
        <v/>
      </c>
      <c r="X37" s="910">
        <f>TableauProduit[[#This Row],[Revenu brut N2]]-TableauProduit[[#This Row],[Achat plantes N2]]-TableauProduit[[#This Row],[Conditionnement N2]]</f>
        <v/>
      </c>
      <c r="Y37" s="911" t="n">
        <v>100</v>
      </c>
      <c r="Z37" s="912">
        <f>TableauProduit[[#This Row],[Poids (g) / unité]]*TableauProduit[[#This Row],[Objectif de vente en unité N3]]/1000</f>
        <v/>
      </c>
      <c r="AA37" s="913">
        <f>TableauProduit[[#This Row],[Objectif de vente en unité N3]]*TableauProduit[[#This Row],[Packaging / unité]]</f>
        <v/>
      </c>
      <c r="AB37" s="913">
        <f>TableauProduit[[#This Row],[Prix achat plantes / kg]]*TableauProduit[[#This Row],[Total (kg) N3]]</f>
        <v/>
      </c>
      <c r="AC37" s="913">
        <f>TableauProduit[[#This Row],[Prix de vente/kg]]*TableauProduit[[#This Row],[Total (kg) N3]]</f>
        <v/>
      </c>
      <c r="AD37" s="914">
        <f>TableauProduit[[#This Row],[Revenu brut N3]]-TableauProduit[[#This Row],[Achat plantes N3]]-TableauProduit[[#This Row],[Conditionnement N3]]</f>
        <v/>
      </c>
      <c r="AE37" s="915" t="n">
        <v>130</v>
      </c>
      <c r="AF37" s="915">
        <f>TableauProduit[[#This Row],[Poids (g) / unité]]*TableauProduit[[#This Row],[Objectif de vente en unité N4]]/1000</f>
        <v/>
      </c>
      <c r="AG37" s="916">
        <f>TableauProduit[[#This Row],[Objectif de vente en unité N4]]*TableauProduit[[#This Row],[Packaging / unité]]</f>
        <v/>
      </c>
      <c r="AH37" s="916">
        <f>TableauProduit[[#This Row],[Prix achat plantes / kg]]*TableauProduit[[#This Row],[Total (kg) N4]]</f>
        <v/>
      </c>
      <c r="AI37" s="916">
        <f>TableauProduit[[#This Row],[Prix de vente/kg]]*TableauProduit[[#This Row],[Total (kg) N4]]</f>
        <v/>
      </c>
      <c r="AJ37" s="915">
        <f>TableauProduit[[#This Row],[Revenu brut N4]]-TableauProduit[[#This Row],[Achat plantes N4]]-TableauProduit[[#This Row],[Conditionnement N4]]</f>
        <v/>
      </c>
      <c r="AK37" s="917" t="n">
        <v>150</v>
      </c>
      <c r="AL37" s="917">
        <f>TableauProduit[[#This Row],[Poids (g) / unité]]*TableauProduit[[#This Row],[Objectif de vente en unité N5]]/1000</f>
        <v/>
      </c>
      <c r="AM37" s="918">
        <f>TableauProduit[[#This Row],[Objectif de vente en unité N5]]*TableauProduit[[#This Row],[Packaging / unité]]</f>
        <v/>
      </c>
      <c r="AN37" s="918">
        <f>TableauProduit[[#This Row],[Prix achat plantes / kg]]*TableauProduit[[#This Row],[Total (kg) N5]]</f>
        <v/>
      </c>
      <c r="AO37" s="918">
        <f>TableauProduit[[#This Row],[Prix de vente/kg]]*TableauProduit[[#This Row],[Total (kg) N5]]</f>
        <v/>
      </c>
      <c r="AP37" s="917">
        <f>TableauProduit[[#This Row],[Revenu brut N5]]-TableauProduit[[#This Row],[Achat plantes N5]]-TableauProduit[[#This Row],[Conditionnement N5]]</f>
        <v/>
      </c>
      <c r="AQ37" s="919" t="n">
        <v>160</v>
      </c>
      <c r="AR37" s="919">
        <f>TableauProduit[[#This Row],[Poids (g) / unité]]*TableauProduit[[#This Row],[Objectif de vente en unité N6]]/1000</f>
        <v/>
      </c>
      <c r="AS37" s="920">
        <f>TableauProduit[[#This Row],[Objectif de vente en unité N6]]*TableauProduit[[#This Row],[Packaging / unité]]</f>
        <v/>
      </c>
      <c r="AT37" s="920">
        <f>TableauProduit[[#This Row],[Prix achat plantes / kg]]*TableauProduit[[#This Row],[Total (kg) N6]]</f>
        <v/>
      </c>
      <c r="AU37" s="920">
        <f>TableauProduit[[#This Row],[Prix de vente/kg]]*TableauProduit[[#This Row],[Total (kg) N6]]</f>
        <v/>
      </c>
      <c r="AV37" s="919">
        <f>TableauProduit[[#This Row],[Revenu brut N6]]-TableauProduit[[#This Row],[Achat plantes N6]]-TableauProduit[[#This Row],[Conditionnement N6]]</f>
        <v/>
      </c>
      <c r="AW37" s="904" t="n">
        <v>160</v>
      </c>
      <c r="AX37" s="904">
        <f>TableauProduit[[#This Row],[Poids (g) / unité]]*TableauProduit[[#This Row],[Objectif de vente en unité N7]]/1000</f>
        <v/>
      </c>
      <c r="AY37" s="905">
        <f>TableauProduit[[#This Row],[Objectif de vente en unité N7]]*TableauProduit[[#This Row],[Packaging / unité]]</f>
        <v/>
      </c>
      <c r="AZ37" s="905">
        <f>TableauProduit[[#This Row],[Prix achat plantes / kg]]*TableauProduit[[#This Row],[Total (kg) N7]]</f>
        <v/>
      </c>
      <c r="BA37" s="905">
        <f>TableauProduit[[#This Row],[Prix de vente/kg]]*TableauProduit[[#This Row],[Total (kg) N7]]</f>
        <v/>
      </c>
      <c r="BB37" s="921">
        <f>TableauProduit[[#This Row],[Revenu brut N7]]-TableauProduit[[#This Row],[Achat plantes N7]]-TableauProduit[[#This Row],[Conditionnement N7]]</f>
        <v/>
      </c>
      <c r="BC37" s="922" t="n">
        <v>160</v>
      </c>
      <c r="BD37" s="923">
        <f>TableauProduit[[#This Row],[Poids (g) / unité]]*TableauProduit[[#This Row],[Objectif de vente en unité N8]]/1000</f>
        <v/>
      </c>
      <c r="BE37" s="924">
        <f>TableauProduit[[#This Row],[Objectif de vente en unité N8]]*TableauProduit[[#This Row],[Packaging / unité]]</f>
        <v/>
      </c>
      <c r="BF37" s="924">
        <f>TableauProduit[[#This Row],[Prix achat plantes / kg]]*TableauProduit[[#This Row],[Total (kg) N8]]</f>
        <v/>
      </c>
      <c r="BG37" s="924">
        <f>TableauProduit[[#This Row],[Prix de vente/kg]]*TableauProduit[[#This Row],[Total (kg) N8]]</f>
        <v/>
      </c>
      <c r="BH37" s="925">
        <f>TableauProduit[[#This Row],[Revenu brut N8]]-TableauProduit[[#This Row],[Achat plantes N8]]-TableauProduit[[#This Row],[Conditionnement N8]]</f>
        <v/>
      </c>
      <c r="BI37" s="926" t="n">
        <v>160</v>
      </c>
      <c r="BJ37" s="927">
        <f>TableauProduit[[#This Row],[Poids (g) / unité]]*TableauProduit[[#This Row],[Objectif de vente en unité N9]]/1000</f>
        <v/>
      </c>
      <c r="BK37" s="928">
        <f>TableauProduit[[#This Row],[Objectif de vente en unité N9]]*TableauProduit[[#This Row],[Packaging / unité]]</f>
        <v/>
      </c>
      <c r="BL37" s="928">
        <f>TableauProduit[[#This Row],[Prix achat plantes / kg]]*TableauProduit[[#This Row],[Total (kg) N9]]</f>
        <v/>
      </c>
      <c r="BM37" s="928">
        <f>TableauProduit[[#This Row],[Prix de vente/kg]]*TableauProduit[[#This Row],[Total (kg) N9]]</f>
        <v/>
      </c>
      <c r="BN37" s="927">
        <f>TableauProduit[[#This Row],[Revenu brut N9]]-TableauProduit[[#This Row],[Achat plantes N9]]-TableauProduit[[#This Row],[Conditionnement N9]]</f>
        <v/>
      </c>
      <c r="BO37" t="inlineStr">
        <is>
          <t>Mélange</t>
        </is>
      </c>
    </row>
    <row r="38">
      <c r="A38" s="13" t="inlineStr">
        <is>
          <t>Épices cajun</t>
        </is>
      </c>
      <c r="B38" s="54">
        <f>TableauProduit[[#This Row],[Recette]]&amp;TableauProduit[[#This Row],[Conditionnement]]</f>
        <v/>
      </c>
      <c r="C38" s="11" t="n">
        <v>1</v>
      </c>
      <c r="D38" s="11" t="n">
        <v>50</v>
      </c>
      <c r="E38" s="6" t="inlineStr">
        <is>
          <t>Epice 100ml</t>
        </is>
      </c>
      <c r="F38" s="7">
        <f>IFERROR(VLOOKUP(TableauProduit[[#This Row],[Conditionnement]],TableauConditionnement[[Nom]:[Contenance]],4,FALSE),"")</f>
        <v/>
      </c>
      <c r="G38" s="897">
        <f>IFERROR(SUMIFS(TableauRecette[Prix d''achat / kg],TableauRecette[Recette],TableauProduit[[#This Row],[Recette]],TableauRecette[Conditionnement],TableauProduit[[#This Row],[Conditionnement]]),0)</f>
        <v/>
      </c>
      <c r="H38" s="898" t="n">
        <v>4</v>
      </c>
      <c r="I38" s="899">
        <f>1000*TableauProduit[[#This Row],[Prix de vente/U]]/TableauProduit[[#This Row],[Poids (g) / unité]]</f>
        <v/>
      </c>
      <c r="J38" s="900">
        <f>SUMIFS(TableauConcurence[PRIX_KG],TableauConcurence[PRODUIT],TableauProduit[[#This Row],[Recette]],TableauConcurence[DISTRIBUTION],"magasin NON BIO")</f>
        <v/>
      </c>
      <c r="K38" s="901">
        <f>SUMIFS(TableauConcurence[PRIX_KG],TableauConcurence[PRODUIT],TableauProduit[[#This Row],[Recette]],TableauConcurence[DISTRIBUTION],"magasin BIO")</f>
        <v/>
      </c>
      <c r="L38" s="902">
        <f>SUMIFS(TableauConcurence[PRIX_KG],TableauConcurence[PRODUIT],TableauProduit[[#This Row],[Recette]],TableauConcurence[DISTRIBUTION],"artisanale BIO")</f>
        <v/>
      </c>
      <c r="M38" s="903" t="n">
        <v>0</v>
      </c>
      <c r="N38" s="904">
        <f>TableauProduit[[#This Row],[Poids (g) / unité]]*TableauProduit[[#This Row],[Objectif de vente en unité N1]]/1000</f>
        <v/>
      </c>
      <c r="O38" s="905">
        <f>TableauProduit[[#This Row],[Objectif de vente en unité N1]]*TableauProduit[[#This Row],[Packaging / unité]]</f>
        <v/>
      </c>
      <c r="P38" s="905">
        <f>TableauProduit[[#This Row],[Prix achat plantes / kg]]*TableauProduit[[#This Row],[Total (kg) N1]]</f>
        <v/>
      </c>
      <c r="Q38" s="905">
        <f>TableauProduit[[#This Row],[Prix de vente/kg]]*TableauProduit[[#This Row],[Total (kg) N1]]</f>
        <v/>
      </c>
      <c r="R38" s="906">
        <f>TableauProduit[[#This Row],[Revenu brut N1]]-TableauProduit[[#This Row],[Achat plantes N1]]-TableauProduit[[#This Row],[Conditionnement N1]]</f>
        <v/>
      </c>
      <c r="S38" s="907" t="n">
        <v>0</v>
      </c>
      <c r="T38" s="908">
        <f>TableauProduit[[#This Row],[Poids (g) / unité]]*TableauProduit[[#This Row],[Objectif de vente en unité N2]]/1000</f>
        <v/>
      </c>
      <c r="U38" s="909">
        <f>TableauProduit[[#This Row],[Objectif de vente en unité N2]]*TableauProduit[[#This Row],[Packaging / unité]]</f>
        <v/>
      </c>
      <c r="V38" s="909">
        <f>TableauProduit[[#This Row],[Prix achat plantes / kg]]*TableauProduit[[#This Row],[Total (kg) N2]]</f>
        <v/>
      </c>
      <c r="W38" s="909">
        <f>TableauProduit[[#This Row],[Prix de vente/kg]]*TableauProduit[[#This Row],[Total (kg) N2]]</f>
        <v/>
      </c>
      <c r="X38" s="910">
        <f>TableauProduit[[#This Row],[Revenu brut N2]]-TableauProduit[[#This Row],[Achat plantes N2]]-TableauProduit[[#This Row],[Conditionnement N2]]</f>
        <v/>
      </c>
      <c r="Y38" s="911" t="n">
        <v>100</v>
      </c>
      <c r="Z38" s="912">
        <f>TableauProduit[[#This Row],[Poids (g) / unité]]*TableauProduit[[#This Row],[Objectif de vente en unité N3]]/1000</f>
        <v/>
      </c>
      <c r="AA38" s="913">
        <f>TableauProduit[[#This Row],[Objectif de vente en unité N3]]*TableauProduit[[#This Row],[Packaging / unité]]</f>
        <v/>
      </c>
      <c r="AB38" s="913">
        <f>TableauProduit[[#This Row],[Prix achat plantes / kg]]*TableauProduit[[#This Row],[Total (kg) N3]]</f>
        <v/>
      </c>
      <c r="AC38" s="913">
        <f>TableauProduit[[#This Row],[Prix de vente/kg]]*TableauProduit[[#This Row],[Total (kg) N3]]</f>
        <v/>
      </c>
      <c r="AD38" s="914">
        <f>TableauProduit[[#This Row],[Revenu brut N3]]-TableauProduit[[#This Row],[Achat plantes N3]]-TableauProduit[[#This Row],[Conditionnement N3]]</f>
        <v/>
      </c>
      <c r="AE38" s="915" t="n">
        <v>130</v>
      </c>
      <c r="AF38" s="915">
        <f>TableauProduit[[#This Row],[Poids (g) / unité]]*TableauProduit[[#This Row],[Objectif de vente en unité N4]]/1000</f>
        <v/>
      </c>
      <c r="AG38" s="916">
        <f>TableauProduit[[#This Row],[Objectif de vente en unité N4]]*TableauProduit[[#This Row],[Packaging / unité]]</f>
        <v/>
      </c>
      <c r="AH38" s="916">
        <f>TableauProduit[[#This Row],[Prix achat plantes / kg]]*TableauProduit[[#This Row],[Total (kg) N4]]</f>
        <v/>
      </c>
      <c r="AI38" s="916">
        <f>TableauProduit[[#This Row],[Prix de vente/kg]]*TableauProduit[[#This Row],[Total (kg) N4]]</f>
        <v/>
      </c>
      <c r="AJ38" s="915">
        <f>TableauProduit[[#This Row],[Revenu brut N4]]-TableauProduit[[#This Row],[Achat plantes N4]]-TableauProduit[[#This Row],[Conditionnement N4]]</f>
        <v/>
      </c>
      <c r="AK38" s="917" t="n">
        <v>150</v>
      </c>
      <c r="AL38" s="917">
        <f>TableauProduit[[#This Row],[Poids (g) / unité]]*TableauProduit[[#This Row],[Objectif de vente en unité N5]]/1000</f>
        <v/>
      </c>
      <c r="AM38" s="918">
        <f>TableauProduit[[#This Row],[Objectif de vente en unité N5]]*TableauProduit[[#This Row],[Packaging / unité]]</f>
        <v/>
      </c>
      <c r="AN38" s="918">
        <f>TableauProduit[[#This Row],[Prix achat plantes / kg]]*TableauProduit[[#This Row],[Total (kg) N5]]</f>
        <v/>
      </c>
      <c r="AO38" s="918">
        <f>TableauProduit[[#This Row],[Prix de vente/kg]]*TableauProduit[[#This Row],[Total (kg) N5]]</f>
        <v/>
      </c>
      <c r="AP38" s="917">
        <f>TableauProduit[[#This Row],[Revenu brut N5]]-TableauProduit[[#This Row],[Achat plantes N5]]-TableauProduit[[#This Row],[Conditionnement N5]]</f>
        <v/>
      </c>
      <c r="AQ38" s="919" t="n">
        <v>160</v>
      </c>
      <c r="AR38" s="919">
        <f>TableauProduit[[#This Row],[Poids (g) / unité]]*TableauProduit[[#This Row],[Objectif de vente en unité N6]]/1000</f>
        <v/>
      </c>
      <c r="AS38" s="920">
        <f>TableauProduit[[#This Row],[Objectif de vente en unité N6]]*TableauProduit[[#This Row],[Packaging / unité]]</f>
        <v/>
      </c>
      <c r="AT38" s="920">
        <f>TableauProduit[[#This Row],[Prix achat plantes / kg]]*TableauProduit[[#This Row],[Total (kg) N6]]</f>
        <v/>
      </c>
      <c r="AU38" s="920">
        <f>TableauProduit[[#This Row],[Prix de vente/kg]]*TableauProduit[[#This Row],[Total (kg) N6]]</f>
        <v/>
      </c>
      <c r="AV38" s="919">
        <f>TableauProduit[[#This Row],[Revenu brut N6]]-TableauProduit[[#This Row],[Achat plantes N6]]-TableauProduit[[#This Row],[Conditionnement N6]]</f>
        <v/>
      </c>
      <c r="AW38" s="904" t="n">
        <v>160</v>
      </c>
      <c r="AX38" s="904">
        <f>TableauProduit[[#This Row],[Poids (g) / unité]]*TableauProduit[[#This Row],[Objectif de vente en unité N7]]/1000</f>
        <v/>
      </c>
      <c r="AY38" s="905">
        <f>TableauProduit[[#This Row],[Objectif de vente en unité N7]]*TableauProduit[[#This Row],[Packaging / unité]]</f>
        <v/>
      </c>
      <c r="AZ38" s="905">
        <f>TableauProduit[[#This Row],[Prix achat plantes / kg]]*TableauProduit[[#This Row],[Total (kg) N7]]</f>
        <v/>
      </c>
      <c r="BA38" s="905">
        <f>TableauProduit[[#This Row],[Prix de vente/kg]]*TableauProduit[[#This Row],[Total (kg) N7]]</f>
        <v/>
      </c>
      <c r="BB38" s="921">
        <f>TableauProduit[[#This Row],[Revenu brut N7]]-TableauProduit[[#This Row],[Achat plantes N7]]-TableauProduit[[#This Row],[Conditionnement N7]]</f>
        <v/>
      </c>
      <c r="BC38" s="922" t="n">
        <v>160</v>
      </c>
      <c r="BD38" s="923">
        <f>TableauProduit[[#This Row],[Poids (g) / unité]]*TableauProduit[[#This Row],[Objectif de vente en unité N8]]/1000</f>
        <v/>
      </c>
      <c r="BE38" s="924">
        <f>TableauProduit[[#This Row],[Objectif de vente en unité N8]]*TableauProduit[[#This Row],[Packaging / unité]]</f>
        <v/>
      </c>
      <c r="BF38" s="924">
        <f>TableauProduit[[#This Row],[Prix achat plantes / kg]]*TableauProduit[[#This Row],[Total (kg) N8]]</f>
        <v/>
      </c>
      <c r="BG38" s="924">
        <f>TableauProduit[[#This Row],[Prix de vente/kg]]*TableauProduit[[#This Row],[Total (kg) N8]]</f>
        <v/>
      </c>
      <c r="BH38" s="925">
        <f>TableauProduit[[#This Row],[Revenu brut N8]]-TableauProduit[[#This Row],[Achat plantes N8]]-TableauProduit[[#This Row],[Conditionnement N8]]</f>
        <v/>
      </c>
      <c r="BI38" s="926" t="n">
        <v>160</v>
      </c>
      <c r="BJ38" s="927">
        <f>TableauProduit[[#This Row],[Poids (g) / unité]]*TableauProduit[[#This Row],[Objectif de vente en unité N9]]/1000</f>
        <v/>
      </c>
      <c r="BK38" s="928">
        <f>TableauProduit[[#This Row],[Objectif de vente en unité N9]]*TableauProduit[[#This Row],[Packaging / unité]]</f>
        <v/>
      </c>
      <c r="BL38" s="928">
        <f>TableauProduit[[#This Row],[Prix achat plantes / kg]]*TableauProduit[[#This Row],[Total (kg) N9]]</f>
        <v/>
      </c>
      <c r="BM38" s="928">
        <f>TableauProduit[[#This Row],[Prix de vente/kg]]*TableauProduit[[#This Row],[Total (kg) N9]]</f>
        <v/>
      </c>
      <c r="BN38" s="927">
        <f>TableauProduit[[#This Row],[Revenu brut N9]]-TableauProduit[[#This Row],[Achat plantes N9]]-TableauProduit[[#This Row],[Conditionnement N9]]</f>
        <v/>
      </c>
      <c r="BO38" t="inlineStr">
        <is>
          <t>Mélange</t>
        </is>
      </c>
    </row>
    <row r="39">
      <c r="A39" s="13" t="inlineStr">
        <is>
          <t>Taklia</t>
        </is>
      </c>
      <c r="B39" s="54">
        <f>TableauProduit[[#This Row],[Recette]]&amp;TableauProduit[[#This Row],[Conditionnement]]</f>
        <v/>
      </c>
      <c r="C39" s="11" t="n">
        <v>1</v>
      </c>
      <c r="D39" s="11" t="n">
        <v>50</v>
      </c>
      <c r="E39" s="6" t="inlineStr">
        <is>
          <t>Epice 100ml</t>
        </is>
      </c>
      <c r="F39" s="7">
        <f>IFERROR(VLOOKUP(TableauProduit[[#This Row],[Conditionnement]],TableauConditionnement[[Nom]:[Contenance]],4,FALSE),"")</f>
        <v/>
      </c>
      <c r="G39" s="897">
        <f>IFERROR(SUMIFS(TableauRecette[Prix d''achat / kg],TableauRecette[Recette],TableauProduit[[#This Row],[Recette]],TableauRecette[Conditionnement],TableauProduit[[#This Row],[Conditionnement]]),0)</f>
        <v/>
      </c>
      <c r="H39" s="898" t="n">
        <v>2.9</v>
      </c>
      <c r="I39" s="899">
        <f>1000*TableauProduit[[#This Row],[Prix de vente/U]]/TableauProduit[[#This Row],[Poids (g) / unité]]</f>
        <v/>
      </c>
      <c r="J39" s="900">
        <f>SUMIFS(TableauConcurence[PRIX_KG],TableauConcurence[PRODUIT],TableauProduit[[#This Row],[Recette]],TableauConcurence[DISTRIBUTION],"magasin NON BIO")</f>
        <v/>
      </c>
      <c r="K39" s="901">
        <f>SUMIFS(TableauConcurence[PRIX_KG],TableauConcurence[PRODUIT],TableauProduit[[#This Row],[Recette]],TableauConcurence[DISTRIBUTION],"magasin BIO")</f>
        <v/>
      </c>
      <c r="L39" s="902">
        <f>SUMIFS(TableauConcurence[PRIX_KG],TableauConcurence[PRODUIT],TableauProduit[[#This Row],[Recette]],TableauConcurence[DISTRIBUTION],"artisanale BIO")</f>
        <v/>
      </c>
      <c r="M39" s="903" t="n">
        <v>0</v>
      </c>
      <c r="N39" s="904">
        <f>TableauProduit[[#This Row],[Poids (g) / unité]]*TableauProduit[[#This Row],[Objectif de vente en unité N1]]/1000</f>
        <v/>
      </c>
      <c r="O39" s="905">
        <f>TableauProduit[[#This Row],[Objectif de vente en unité N1]]*TableauProduit[[#This Row],[Packaging / unité]]</f>
        <v/>
      </c>
      <c r="P39" s="905">
        <f>TableauProduit[[#This Row],[Prix achat plantes / kg]]*TableauProduit[[#This Row],[Total (kg) N1]]</f>
        <v/>
      </c>
      <c r="Q39" s="905">
        <f>TableauProduit[[#This Row],[Prix de vente/kg]]*TableauProduit[[#This Row],[Total (kg) N1]]</f>
        <v/>
      </c>
      <c r="R39" s="906">
        <f>TableauProduit[[#This Row],[Revenu brut N1]]-TableauProduit[[#This Row],[Achat plantes N1]]-TableauProduit[[#This Row],[Conditionnement N1]]</f>
        <v/>
      </c>
      <c r="S39" s="907" t="n">
        <v>0</v>
      </c>
      <c r="T39" s="908">
        <f>TableauProduit[[#This Row],[Poids (g) / unité]]*TableauProduit[[#This Row],[Objectif de vente en unité N2]]/1000</f>
        <v/>
      </c>
      <c r="U39" s="909">
        <f>TableauProduit[[#This Row],[Objectif de vente en unité N2]]*TableauProduit[[#This Row],[Packaging / unité]]</f>
        <v/>
      </c>
      <c r="V39" s="909">
        <f>TableauProduit[[#This Row],[Prix achat plantes / kg]]*TableauProduit[[#This Row],[Total (kg) N2]]</f>
        <v/>
      </c>
      <c r="W39" s="909">
        <f>TableauProduit[[#This Row],[Prix de vente/kg]]*TableauProduit[[#This Row],[Total (kg) N2]]</f>
        <v/>
      </c>
      <c r="X39" s="910">
        <f>TableauProduit[[#This Row],[Revenu brut N2]]-TableauProduit[[#This Row],[Achat plantes N2]]-TableauProduit[[#This Row],[Conditionnement N2]]</f>
        <v/>
      </c>
      <c r="Y39" s="911" t="n">
        <v>0</v>
      </c>
      <c r="Z39" s="912">
        <f>TableauProduit[[#This Row],[Poids (g) / unité]]*TableauProduit[[#This Row],[Objectif de vente en unité N3]]/1000</f>
        <v/>
      </c>
      <c r="AA39" s="913">
        <f>TableauProduit[[#This Row],[Objectif de vente en unité N3]]*TableauProduit[[#This Row],[Packaging / unité]]</f>
        <v/>
      </c>
      <c r="AB39" s="913">
        <f>TableauProduit[[#This Row],[Prix achat plantes / kg]]*TableauProduit[[#This Row],[Total (kg) N3]]</f>
        <v/>
      </c>
      <c r="AC39" s="913">
        <f>TableauProduit[[#This Row],[Prix de vente/kg]]*TableauProduit[[#This Row],[Total (kg) N3]]</f>
        <v/>
      </c>
      <c r="AD39" s="914">
        <f>TableauProduit[[#This Row],[Revenu brut N3]]-TableauProduit[[#This Row],[Achat plantes N3]]-TableauProduit[[#This Row],[Conditionnement N3]]</f>
        <v/>
      </c>
      <c r="AE39" s="915" t="n">
        <v>50</v>
      </c>
      <c r="AF39" s="915">
        <f>TableauProduit[[#This Row],[Poids (g) / unité]]*TableauProduit[[#This Row],[Objectif de vente en unité N4]]/1000</f>
        <v/>
      </c>
      <c r="AG39" s="916">
        <f>TableauProduit[[#This Row],[Objectif de vente en unité N4]]*TableauProduit[[#This Row],[Packaging / unité]]</f>
        <v/>
      </c>
      <c r="AH39" s="916">
        <f>TableauProduit[[#This Row],[Prix achat plantes / kg]]*TableauProduit[[#This Row],[Total (kg) N4]]</f>
        <v/>
      </c>
      <c r="AI39" s="916">
        <f>TableauProduit[[#This Row],[Prix de vente/kg]]*TableauProduit[[#This Row],[Total (kg) N4]]</f>
        <v/>
      </c>
      <c r="AJ39" s="915">
        <f>TableauProduit[[#This Row],[Revenu brut N4]]-TableauProduit[[#This Row],[Achat plantes N4]]-TableauProduit[[#This Row],[Conditionnement N4]]</f>
        <v/>
      </c>
      <c r="AK39" s="917" t="n">
        <v>60</v>
      </c>
      <c r="AL39" s="917">
        <f>TableauProduit[[#This Row],[Poids (g) / unité]]*TableauProduit[[#This Row],[Objectif de vente en unité N5]]/1000</f>
        <v/>
      </c>
      <c r="AM39" s="918">
        <f>TableauProduit[[#This Row],[Objectif de vente en unité N5]]*TableauProduit[[#This Row],[Packaging / unité]]</f>
        <v/>
      </c>
      <c r="AN39" s="918">
        <f>TableauProduit[[#This Row],[Prix achat plantes / kg]]*TableauProduit[[#This Row],[Total (kg) N5]]</f>
        <v/>
      </c>
      <c r="AO39" s="918">
        <f>TableauProduit[[#This Row],[Prix de vente/kg]]*TableauProduit[[#This Row],[Total (kg) N5]]</f>
        <v/>
      </c>
      <c r="AP39" s="917">
        <f>TableauProduit[[#This Row],[Revenu brut N5]]-TableauProduit[[#This Row],[Achat plantes N5]]-TableauProduit[[#This Row],[Conditionnement N5]]</f>
        <v/>
      </c>
      <c r="AQ39" s="919" t="n">
        <v>65</v>
      </c>
      <c r="AR39" s="919">
        <f>TableauProduit[[#This Row],[Poids (g) / unité]]*TableauProduit[[#This Row],[Objectif de vente en unité N6]]/1000</f>
        <v/>
      </c>
      <c r="AS39" s="920">
        <f>TableauProduit[[#This Row],[Objectif de vente en unité N6]]*TableauProduit[[#This Row],[Packaging / unité]]</f>
        <v/>
      </c>
      <c r="AT39" s="920">
        <f>TableauProduit[[#This Row],[Prix achat plantes / kg]]*TableauProduit[[#This Row],[Total (kg) N6]]</f>
        <v/>
      </c>
      <c r="AU39" s="920">
        <f>TableauProduit[[#This Row],[Prix de vente/kg]]*TableauProduit[[#This Row],[Total (kg) N6]]</f>
        <v/>
      </c>
      <c r="AV39" s="919">
        <f>TableauProduit[[#This Row],[Revenu brut N6]]-TableauProduit[[#This Row],[Achat plantes N6]]-TableauProduit[[#This Row],[Conditionnement N6]]</f>
        <v/>
      </c>
      <c r="AW39" s="904" t="n">
        <v>68</v>
      </c>
      <c r="AX39" s="904">
        <f>TableauProduit[[#This Row],[Poids (g) / unité]]*TableauProduit[[#This Row],[Objectif de vente en unité N7]]/1000</f>
        <v/>
      </c>
      <c r="AY39" s="905">
        <f>TableauProduit[[#This Row],[Objectif de vente en unité N7]]*TableauProduit[[#This Row],[Packaging / unité]]</f>
        <v/>
      </c>
      <c r="AZ39" s="905">
        <f>TableauProduit[[#This Row],[Prix achat plantes / kg]]*TableauProduit[[#This Row],[Total (kg) N7]]</f>
        <v/>
      </c>
      <c r="BA39" s="905">
        <f>TableauProduit[[#This Row],[Prix de vente/kg]]*TableauProduit[[#This Row],[Total (kg) N7]]</f>
        <v/>
      </c>
      <c r="BB39" s="921">
        <f>TableauProduit[[#This Row],[Revenu brut N7]]-TableauProduit[[#This Row],[Achat plantes N7]]-TableauProduit[[#This Row],[Conditionnement N7]]</f>
        <v/>
      </c>
      <c r="BC39" s="922" t="n">
        <v>68</v>
      </c>
      <c r="BD39" s="923">
        <f>TableauProduit[[#This Row],[Poids (g) / unité]]*TableauProduit[[#This Row],[Objectif de vente en unité N8]]/1000</f>
        <v/>
      </c>
      <c r="BE39" s="924">
        <f>TableauProduit[[#This Row],[Objectif de vente en unité N8]]*TableauProduit[[#This Row],[Packaging / unité]]</f>
        <v/>
      </c>
      <c r="BF39" s="924">
        <f>TableauProduit[[#This Row],[Prix achat plantes / kg]]*TableauProduit[[#This Row],[Total (kg) N8]]</f>
        <v/>
      </c>
      <c r="BG39" s="924">
        <f>TableauProduit[[#This Row],[Prix de vente/kg]]*TableauProduit[[#This Row],[Total (kg) N8]]</f>
        <v/>
      </c>
      <c r="BH39" s="925">
        <f>TableauProduit[[#This Row],[Revenu brut N8]]-TableauProduit[[#This Row],[Achat plantes N8]]-TableauProduit[[#This Row],[Conditionnement N8]]</f>
        <v/>
      </c>
      <c r="BI39" s="926" t="n">
        <v>68</v>
      </c>
      <c r="BJ39" s="927">
        <f>TableauProduit[[#This Row],[Poids (g) / unité]]*TableauProduit[[#This Row],[Objectif de vente en unité N9]]/1000</f>
        <v/>
      </c>
      <c r="BK39" s="928">
        <f>TableauProduit[[#This Row],[Objectif de vente en unité N9]]*TableauProduit[[#This Row],[Packaging / unité]]</f>
        <v/>
      </c>
      <c r="BL39" s="928">
        <f>TableauProduit[[#This Row],[Prix achat plantes / kg]]*TableauProduit[[#This Row],[Total (kg) N9]]</f>
        <v/>
      </c>
      <c r="BM39" s="928">
        <f>TableauProduit[[#This Row],[Prix de vente/kg]]*TableauProduit[[#This Row],[Total (kg) N9]]</f>
        <v/>
      </c>
      <c r="BN39" s="927">
        <f>TableauProduit[[#This Row],[Revenu brut N9]]-TableauProduit[[#This Row],[Achat plantes N9]]-TableauProduit[[#This Row],[Conditionnement N9]]</f>
        <v/>
      </c>
      <c r="BO39" t="inlineStr">
        <is>
          <t>Autre</t>
        </is>
      </c>
    </row>
    <row r="40">
      <c r="A40" s="13" t="inlineStr">
        <is>
          <t>Dukkah</t>
        </is>
      </c>
      <c r="B40" s="54">
        <f>TableauProduit[[#This Row],[Recette]]&amp;TableauProduit[[#This Row],[Conditionnement]]</f>
        <v/>
      </c>
      <c r="C40" s="11" t="n">
        <v>1</v>
      </c>
      <c r="D40" s="11" t="n">
        <v>50</v>
      </c>
      <c r="E40" s="6" t="inlineStr">
        <is>
          <t>Epice 100ml</t>
        </is>
      </c>
      <c r="F40" s="7">
        <f>IFERROR(VLOOKUP(TableauProduit[[#This Row],[Conditionnement]],TableauConditionnement[[Nom]:[Contenance]],4,FALSE),"")</f>
        <v/>
      </c>
      <c r="G40" s="897">
        <f>IFERROR(SUMIFS(TableauRecette[Prix d''achat / kg],TableauRecette[Recette],TableauProduit[[#This Row],[Recette]],TableauRecette[Conditionnement],TableauProduit[[#This Row],[Conditionnement]]),0)</f>
        <v/>
      </c>
      <c r="H40" s="898" t="n">
        <v>4</v>
      </c>
      <c r="I40" s="899">
        <f>1000*TableauProduit[[#This Row],[Prix de vente/U]]/TableauProduit[[#This Row],[Poids (g) / unité]]</f>
        <v/>
      </c>
      <c r="J40" s="900">
        <f>SUMIFS(TableauConcurence[PRIX_KG],TableauConcurence[PRODUIT],TableauProduit[[#This Row],[Recette]],TableauConcurence[DISTRIBUTION],"magasin NON BIO")</f>
        <v/>
      </c>
      <c r="K40" s="901">
        <f>SUMIFS(TableauConcurence[PRIX_KG],TableauConcurence[PRODUIT],TableauProduit[[#This Row],[Recette]],TableauConcurence[DISTRIBUTION],"magasin BIO")</f>
        <v/>
      </c>
      <c r="L40" s="902">
        <f>SUMIFS(TableauConcurence[PRIX_KG],TableauConcurence[PRODUIT],TableauProduit[[#This Row],[Recette]],TableauConcurence[DISTRIBUTION],"artisanale BIO")</f>
        <v/>
      </c>
      <c r="M40" s="903" t="n">
        <v>0</v>
      </c>
      <c r="N40" s="904">
        <f>TableauProduit[[#This Row],[Poids (g) / unité]]*TableauProduit[[#This Row],[Objectif de vente en unité N1]]/1000</f>
        <v/>
      </c>
      <c r="O40" s="905">
        <f>TableauProduit[[#This Row],[Objectif de vente en unité N1]]*TableauProduit[[#This Row],[Packaging / unité]]</f>
        <v/>
      </c>
      <c r="P40" s="905">
        <f>TableauProduit[[#This Row],[Prix achat plantes / kg]]*TableauProduit[[#This Row],[Total (kg) N1]]</f>
        <v/>
      </c>
      <c r="Q40" s="905">
        <f>TableauProduit[[#This Row],[Prix de vente/kg]]*TableauProduit[[#This Row],[Total (kg) N1]]</f>
        <v/>
      </c>
      <c r="R40" s="906">
        <f>TableauProduit[[#This Row],[Revenu brut N1]]-TableauProduit[[#This Row],[Achat plantes N1]]-TableauProduit[[#This Row],[Conditionnement N1]]</f>
        <v/>
      </c>
      <c r="S40" s="907" t="n">
        <v>0</v>
      </c>
      <c r="T40" s="908">
        <f>TableauProduit[[#This Row],[Poids (g) / unité]]*TableauProduit[[#This Row],[Objectif de vente en unité N2]]/1000</f>
        <v/>
      </c>
      <c r="U40" s="909">
        <f>TableauProduit[[#This Row],[Objectif de vente en unité N2]]*TableauProduit[[#This Row],[Packaging / unité]]</f>
        <v/>
      </c>
      <c r="V40" s="909">
        <f>TableauProduit[[#This Row],[Prix achat plantes / kg]]*TableauProduit[[#This Row],[Total (kg) N2]]</f>
        <v/>
      </c>
      <c r="W40" s="909">
        <f>TableauProduit[[#This Row],[Prix de vente/kg]]*TableauProduit[[#This Row],[Total (kg) N2]]</f>
        <v/>
      </c>
      <c r="X40" s="910">
        <f>TableauProduit[[#This Row],[Revenu brut N2]]-TableauProduit[[#This Row],[Achat plantes N2]]-TableauProduit[[#This Row],[Conditionnement N2]]</f>
        <v/>
      </c>
      <c r="Y40" s="911" t="n">
        <v>100</v>
      </c>
      <c r="Z40" s="912">
        <f>TableauProduit[[#This Row],[Poids (g) / unité]]*TableauProduit[[#This Row],[Objectif de vente en unité N3]]/1000</f>
        <v/>
      </c>
      <c r="AA40" s="913">
        <f>TableauProduit[[#This Row],[Objectif de vente en unité N3]]*TableauProduit[[#This Row],[Packaging / unité]]</f>
        <v/>
      </c>
      <c r="AB40" s="913">
        <f>TableauProduit[[#This Row],[Prix achat plantes / kg]]*TableauProduit[[#This Row],[Total (kg) N3]]</f>
        <v/>
      </c>
      <c r="AC40" s="913">
        <f>TableauProduit[[#This Row],[Prix de vente/kg]]*TableauProduit[[#This Row],[Total (kg) N3]]</f>
        <v/>
      </c>
      <c r="AD40" s="914">
        <f>TableauProduit[[#This Row],[Revenu brut N3]]-TableauProduit[[#This Row],[Achat plantes N3]]-TableauProduit[[#This Row],[Conditionnement N3]]</f>
        <v/>
      </c>
      <c r="AE40" s="915" t="n">
        <v>130</v>
      </c>
      <c r="AF40" s="915">
        <f>TableauProduit[[#This Row],[Poids (g) / unité]]*TableauProduit[[#This Row],[Objectif de vente en unité N4]]/1000</f>
        <v/>
      </c>
      <c r="AG40" s="916">
        <f>TableauProduit[[#This Row],[Objectif de vente en unité N4]]*TableauProduit[[#This Row],[Packaging / unité]]</f>
        <v/>
      </c>
      <c r="AH40" s="916">
        <f>TableauProduit[[#This Row],[Prix achat plantes / kg]]*TableauProduit[[#This Row],[Total (kg) N4]]</f>
        <v/>
      </c>
      <c r="AI40" s="916">
        <f>TableauProduit[[#This Row],[Prix de vente/kg]]*TableauProduit[[#This Row],[Total (kg) N4]]</f>
        <v/>
      </c>
      <c r="AJ40" s="915">
        <f>TableauProduit[[#This Row],[Revenu brut N4]]-TableauProduit[[#This Row],[Achat plantes N4]]-TableauProduit[[#This Row],[Conditionnement N4]]</f>
        <v/>
      </c>
      <c r="AK40" s="917" t="n">
        <v>150</v>
      </c>
      <c r="AL40" s="917">
        <f>TableauProduit[[#This Row],[Poids (g) / unité]]*TableauProduit[[#This Row],[Objectif de vente en unité N5]]/1000</f>
        <v/>
      </c>
      <c r="AM40" s="918">
        <f>TableauProduit[[#This Row],[Objectif de vente en unité N5]]*TableauProduit[[#This Row],[Packaging / unité]]</f>
        <v/>
      </c>
      <c r="AN40" s="918">
        <f>TableauProduit[[#This Row],[Prix achat plantes / kg]]*TableauProduit[[#This Row],[Total (kg) N5]]</f>
        <v/>
      </c>
      <c r="AO40" s="918">
        <f>TableauProduit[[#This Row],[Prix de vente/kg]]*TableauProduit[[#This Row],[Total (kg) N5]]</f>
        <v/>
      </c>
      <c r="AP40" s="917">
        <f>TableauProduit[[#This Row],[Revenu brut N5]]-TableauProduit[[#This Row],[Achat plantes N5]]-TableauProduit[[#This Row],[Conditionnement N5]]</f>
        <v/>
      </c>
      <c r="AQ40" s="919" t="n">
        <v>160</v>
      </c>
      <c r="AR40" s="919">
        <f>TableauProduit[[#This Row],[Poids (g) / unité]]*TableauProduit[[#This Row],[Objectif de vente en unité N6]]/1000</f>
        <v/>
      </c>
      <c r="AS40" s="920">
        <f>TableauProduit[[#This Row],[Objectif de vente en unité N6]]*TableauProduit[[#This Row],[Packaging / unité]]</f>
        <v/>
      </c>
      <c r="AT40" s="920">
        <f>TableauProduit[[#This Row],[Prix achat plantes / kg]]*TableauProduit[[#This Row],[Total (kg) N6]]</f>
        <v/>
      </c>
      <c r="AU40" s="920">
        <f>TableauProduit[[#This Row],[Prix de vente/kg]]*TableauProduit[[#This Row],[Total (kg) N6]]</f>
        <v/>
      </c>
      <c r="AV40" s="919">
        <f>TableauProduit[[#This Row],[Revenu brut N6]]-TableauProduit[[#This Row],[Achat plantes N6]]-TableauProduit[[#This Row],[Conditionnement N6]]</f>
        <v/>
      </c>
      <c r="AW40" s="904" t="n">
        <v>160</v>
      </c>
      <c r="AX40" s="904">
        <f>TableauProduit[[#This Row],[Poids (g) / unité]]*TableauProduit[[#This Row],[Objectif de vente en unité N7]]/1000</f>
        <v/>
      </c>
      <c r="AY40" s="905">
        <f>TableauProduit[[#This Row],[Objectif de vente en unité N7]]*TableauProduit[[#This Row],[Packaging / unité]]</f>
        <v/>
      </c>
      <c r="AZ40" s="905">
        <f>TableauProduit[[#This Row],[Prix achat plantes / kg]]*TableauProduit[[#This Row],[Total (kg) N7]]</f>
        <v/>
      </c>
      <c r="BA40" s="905">
        <f>TableauProduit[[#This Row],[Prix de vente/kg]]*TableauProduit[[#This Row],[Total (kg) N7]]</f>
        <v/>
      </c>
      <c r="BB40" s="921">
        <f>TableauProduit[[#This Row],[Revenu brut N7]]-TableauProduit[[#This Row],[Achat plantes N7]]-TableauProduit[[#This Row],[Conditionnement N7]]</f>
        <v/>
      </c>
      <c r="BC40" s="922" t="n">
        <v>160</v>
      </c>
      <c r="BD40" s="923">
        <f>TableauProduit[[#This Row],[Poids (g) / unité]]*TableauProduit[[#This Row],[Objectif de vente en unité N8]]/1000</f>
        <v/>
      </c>
      <c r="BE40" s="924">
        <f>TableauProduit[[#This Row],[Objectif de vente en unité N8]]*TableauProduit[[#This Row],[Packaging / unité]]</f>
        <v/>
      </c>
      <c r="BF40" s="924">
        <f>TableauProduit[[#This Row],[Prix achat plantes / kg]]*TableauProduit[[#This Row],[Total (kg) N8]]</f>
        <v/>
      </c>
      <c r="BG40" s="924">
        <f>TableauProduit[[#This Row],[Prix de vente/kg]]*TableauProduit[[#This Row],[Total (kg) N8]]</f>
        <v/>
      </c>
      <c r="BH40" s="925">
        <f>TableauProduit[[#This Row],[Revenu brut N8]]-TableauProduit[[#This Row],[Achat plantes N8]]-TableauProduit[[#This Row],[Conditionnement N8]]</f>
        <v/>
      </c>
      <c r="BI40" s="926" t="n">
        <v>160</v>
      </c>
      <c r="BJ40" s="927">
        <f>TableauProduit[[#This Row],[Poids (g) / unité]]*TableauProduit[[#This Row],[Objectif de vente en unité N9]]/1000</f>
        <v/>
      </c>
      <c r="BK40" s="928">
        <f>TableauProduit[[#This Row],[Objectif de vente en unité N9]]*TableauProduit[[#This Row],[Packaging / unité]]</f>
        <v/>
      </c>
      <c r="BL40" s="928">
        <f>TableauProduit[[#This Row],[Prix achat plantes / kg]]*TableauProduit[[#This Row],[Total (kg) N9]]</f>
        <v/>
      </c>
      <c r="BM40" s="928">
        <f>TableauProduit[[#This Row],[Prix de vente/kg]]*TableauProduit[[#This Row],[Total (kg) N9]]</f>
        <v/>
      </c>
      <c r="BN40" s="927">
        <f>TableauProduit[[#This Row],[Revenu brut N9]]-TableauProduit[[#This Row],[Achat plantes N9]]-TableauProduit[[#This Row],[Conditionnement N9]]</f>
        <v/>
      </c>
      <c r="BO40" t="inlineStr">
        <is>
          <t>Mélange</t>
        </is>
      </c>
    </row>
    <row r="41">
      <c r="A41" s="13" t="inlineStr">
        <is>
          <t>Tabel ou Tabil tunisien</t>
        </is>
      </c>
      <c r="B41" s="54">
        <f>TableauProduit[[#This Row],[Recette]]&amp;TableauProduit[[#This Row],[Conditionnement]]</f>
        <v/>
      </c>
      <c r="C41" s="11" t="n">
        <v>1</v>
      </c>
      <c r="D41" s="11" t="n">
        <v>50</v>
      </c>
      <c r="E41" s="6" t="inlineStr">
        <is>
          <t>Epice 100ml</t>
        </is>
      </c>
      <c r="F41" s="7">
        <f>IFERROR(VLOOKUP(TableauProduit[[#This Row],[Conditionnement]],TableauConditionnement[[Nom]:[Contenance]],4,FALSE),"")</f>
        <v/>
      </c>
      <c r="G41" s="897">
        <f>IFERROR(SUMIFS(TableauRecette[Prix d''achat / kg],TableauRecette[Recette],TableauProduit[[#This Row],[Recette]],TableauRecette[Conditionnement],TableauProduit[[#This Row],[Conditionnement]]),0)</f>
        <v/>
      </c>
      <c r="H41" s="898" t="n">
        <v>2.9</v>
      </c>
      <c r="I41" s="899">
        <f>1000*TableauProduit[[#This Row],[Prix de vente/U]]/TableauProduit[[#This Row],[Poids (g) / unité]]</f>
        <v/>
      </c>
      <c r="J41" s="900">
        <f>SUMIFS(TableauConcurence[PRIX_KG],TableauConcurence[PRODUIT],TableauProduit[[#This Row],[Recette]],TableauConcurence[DISTRIBUTION],"magasin NON BIO")</f>
        <v/>
      </c>
      <c r="K41" s="901">
        <f>SUMIFS(TableauConcurence[PRIX_KG],TableauConcurence[PRODUIT],TableauProduit[[#This Row],[Recette]],TableauConcurence[DISTRIBUTION],"magasin BIO")</f>
        <v/>
      </c>
      <c r="L41" s="902">
        <f>SUMIFS(TableauConcurence[PRIX_KG],TableauConcurence[PRODUIT],TableauProduit[[#This Row],[Recette]],TableauConcurence[DISTRIBUTION],"artisanale BIO")</f>
        <v/>
      </c>
      <c r="M41" s="903" t="n">
        <v>0</v>
      </c>
      <c r="N41" s="904">
        <f>TableauProduit[[#This Row],[Poids (g) / unité]]*TableauProduit[[#This Row],[Objectif de vente en unité N1]]/1000</f>
        <v/>
      </c>
      <c r="O41" s="905">
        <f>TableauProduit[[#This Row],[Objectif de vente en unité N1]]*TableauProduit[[#This Row],[Packaging / unité]]</f>
        <v/>
      </c>
      <c r="P41" s="905">
        <f>TableauProduit[[#This Row],[Prix achat plantes / kg]]*TableauProduit[[#This Row],[Total (kg) N1]]</f>
        <v/>
      </c>
      <c r="Q41" s="905">
        <f>TableauProduit[[#This Row],[Prix de vente/kg]]*TableauProduit[[#This Row],[Total (kg) N1]]</f>
        <v/>
      </c>
      <c r="R41" s="906">
        <f>TableauProduit[[#This Row],[Revenu brut N1]]-TableauProduit[[#This Row],[Achat plantes N1]]-TableauProduit[[#This Row],[Conditionnement N1]]</f>
        <v/>
      </c>
      <c r="S41" s="907" t="n">
        <v>0</v>
      </c>
      <c r="T41" s="908">
        <f>TableauProduit[[#This Row],[Poids (g) / unité]]*TableauProduit[[#This Row],[Objectif de vente en unité N2]]/1000</f>
        <v/>
      </c>
      <c r="U41" s="909">
        <f>TableauProduit[[#This Row],[Objectif de vente en unité N2]]*TableauProduit[[#This Row],[Packaging / unité]]</f>
        <v/>
      </c>
      <c r="V41" s="909">
        <f>TableauProduit[[#This Row],[Prix achat plantes / kg]]*TableauProduit[[#This Row],[Total (kg) N2]]</f>
        <v/>
      </c>
      <c r="W41" s="909">
        <f>TableauProduit[[#This Row],[Prix de vente/kg]]*TableauProduit[[#This Row],[Total (kg) N2]]</f>
        <v/>
      </c>
      <c r="X41" s="910">
        <f>TableauProduit[[#This Row],[Revenu brut N2]]-TableauProduit[[#This Row],[Achat plantes N2]]-TableauProduit[[#This Row],[Conditionnement N2]]</f>
        <v/>
      </c>
      <c r="Y41" s="911" t="n">
        <v>0</v>
      </c>
      <c r="Z41" s="912">
        <f>TableauProduit[[#This Row],[Poids (g) / unité]]*TableauProduit[[#This Row],[Objectif de vente en unité N3]]/1000</f>
        <v/>
      </c>
      <c r="AA41" s="913">
        <f>TableauProduit[[#This Row],[Objectif de vente en unité N3]]*TableauProduit[[#This Row],[Packaging / unité]]</f>
        <v/>
      </c>
      <c r="AB41" s="913">
        <f>TableauProduit[[#This Row],[Prix achat plantes / kg]]*TableauProduit[[#This Row],[Total (kg) N3]]</f>
        <v/>
      </c>
      <c r="AC41" s="913">
        <f>TableauProduit[[#This Row],[Prix de vente/kg]]*TableauProduit[[#This Row],[Total (kg) N3]]</f>
        <v/>
      </c>
      <c r="AD41" s="914">
        <f>TableauProduit[[#This Row],[Revenu brut N3]]-TableauProduit[[#This Row],[Achat plantes N3]]-TableauProduit[[#This Row],[Conditionnement N3]]</f>
        <v/>
      </c>
      <c r="AE41" s="915" t="n">
        <v>50</v>
      </c>
      <c r="AF41" s="915">
        <f>TableauProduit[[#This Row],[Poids (g) / unité]]*TableauProduit[[#This Row],[Objectif de vente en unité N4]]/1000</f>
        <v/>
      </c>
      <c r="AG41" s="916">
        <f>TableauProduit[[#This Row],[Objectif de vente en unité N4]]*TableauProduit[[#This Row],[Packaging / unité]]</f>
        <v/>
      </c>
      <c r="AH41" s="916">
        <f>TableauProduit[[#This Row],[Prix achat plantes / kg]]*TableauProduit[[#This Row],[Total (kg) N4]]</f>
        <v/>
      </c>
      <c r="AI41" s="916">
        <f>TableauProduit[[#This Row],[Prix de vente/kg]]*TableauProduit[[#This Row],[Total (kg) N4]]</f>
        <v/>
      </c>
      <c r="AJ41" s="915">
        <f>TableauProduit[[#This Row],[Revenu brut N4]]-TableauProduit[[#This Row],[Achat plantes N4]]-TableauProduit[[#This Row],[Conditionnement N4]]</f>
        <v/>
      </c>
      <c r="AK41" s="917" t="n">
        <v>60</v>
      </c>
      <c r="AL41" s="917">
        <f>TableauProduit[[#This Row],[Poids (g) / unité]]*TableauProduit[[#This Row],[Objectif de vente en unité N5]]/1000</f>
        <v/>
      </c>
      <c r="AM41" s="918">
        <f>TableauProduit[[#This Row],[Objectif de vente en unité N5]]*TableauProduit[[#This Row],[Packaging / unité]]</f>
        <v/>
      </c>
      <c r="AN41" s="918">
        <f>TableauProduit[[#This Row],[Prix achat plantes / kg]]*TableauProduit[[#This Row],[Total (kg) N5]]</f>
        <v/>
      </c>
      <c r="AO41" s="918">
        <f>TableauProduit[[#This Row],[Prix de vente/kg]]*TableauProduit[[#This Row],[Total (kg) N5]]</f>
        <v/>
      </c>
      <c r="AP41" s="917">
        <f>TableauProduit[[#This Row],[Revenu brut N5]]-TableauProduit[[#This Row],[Achat plantes N5]]-TableauProduit[[#This Row],[Conditionnement N5]]</f>
        <v/>
      </c>
      <c r="AQ41" s="919" t="n">
        <v>65</v>
      </c>
      <c r="AR41" s="919">
        <f>TableauProduit[[#This Row],[Poids (g) / unité]]*TableauProduit[[#This Row],[Objectif de vente en unité N6]]/1000</f>
        <v/>
      </c>
      <c r="AS41" s="920">
        <f>TableauProduit[[#This Row],[Objectif de vente en unité N6]]*TableauProduit[[#This Row],[Packaging / unité]]</f>
        <v/>
      </c>
      <c r="AT41" s="920">
        <f>TableauProduit[[#This Row],[Prix achat plantes / kg]]*TableauProduit[[#This Row],[Total (kg) N6]]</f>
        <v/>
      </c>
      <c r="AU41" s="920">
        <f>TableauProduit[[#This Row],[Prix de vente/kg]]*TableauProduit[[#This Row],[Total (kg) N6]]</f>
        <v/>
      </c>
      <c r="AV41" s="919">
        <f>TableauProduit[[#This Row],[Revenu brut N6]]-TableauProduit[[#This Row],[Achat plantes N6]]-TableauProduit[[#This Row],[Conditionnement N6]]</f>
        <v/>
      </c>
      <c r="AW41" s="904" t="n">
        <v>68</v>
      </c>
      <c r="AX41" s="904">
        <f>TableauProduit[[#This Row],[Poids (g) / unité]]*TableauProduit[[#This Row],[Objectif de vente en unité N7]]/1000</f>
        <v/>
      </c>
      <c r="AY41" s="905">
        <f>TableauProduit[[#This Row],[Objectif de vente en unité N7]]*TableauProduit[[#This Row],[Packaging / unité]]</f>
        <v/>
      </c>
      <c r="AZ41" s="905">
        <f>TableauProduit[[#This Row],[Prix achat plantes / kg]]*TableauProduit[[#This Row],[Total (kg) N7]]</f>
        <v/>
      </c>
      <c r="BA41" s="905">
        <f>TableauProduit[[#This Row],[Prix de vente/kg]]*TableauProduit[[#This Row],[Total (kg) N7]]</f>
        <v/>
      </c>
      <c r="BB41" s="921">
        <f>TableauProduit[[#This Row],[Revenu brut N7]]-TableauProduit[[#This Row],[Achat plantes N7]]-TableauProduit[[#This Row],[Conditionnement N7]]</f>
        <v/>
      </c>
      <c r="BC41" s="922" t="n">
        <v>68</v>
      </c>
      <c r="BD41" s="923">
        <f>TableauProduit[[#This Row],[Poids (g) / unité]]*TableauProduit[[#This Row],[Objectif de vente en unité N8]]/1000</f>
        <v/>
      </c>
      <c r="BE41" s="924">
        <f>TableauProduit[[#This Row],[Objectif de vente en unité N8]]*TableauProduit[[#This Row],[Packaging / unité]]</f>
        <v/>
      </c>
      <c r="BF41" s="924">
        <f>TableauProduit[[#This Row],[Prix achat plantes / kg]]*TableauProduit[[#This Row],[Total (kg) N8]]</f>
        <v/>
      </c>
      <c r="BG41" s="924">
        <f>TableauProduit[[#This Row],[Prix de vente/kg]]*TableauProduit[[#This Row],[Total (kg) N8]]</f>
        <v/>
      </c>
      <c r="BH41" s="925">
        <f>TableauProduit[[#This Row],[Revenu brut N8]]-TableauProduit[[#This Row],[Achat plantes N8]]-TableauProduit[[#This Row],[Conditionnement N8]]</f>
        <v/>
      </c>
      <c r="BI41" s="926" t="n">
        <v>68</v>
      </c>
      <c r="BJ41" s="927">
        <f>TableauProduit[[#This Row],[Poids (g) / unité]]*TableauProduit[[#This Row],[Objectif de vente en unité N9]]/1000</f>
        <v/>
      </c>
      <c r="BK41" s="928">
        <f>TableauProduit[[#This Row],[Objectif de vente en unité N9]]*TableauProduit[[#This Row],[Packaging / unité]]</f>
        <v/>
      </c>
      <c r="BL41" s="928">
        <f>TableauProduit[[#This Row],[Prix achat plantes / kg]]*TableauProduit[[#This Row],[Total (kg) N9]]</f>
        <v/>
      </c>
      <c r="BM41" s="928">
        <f>TableauProduit[[#This Row],[Prix de vente/kg]]*TableauProduit[[#This Row],[Total (kg) N9]]</f>
        <v/>
      </c>
      <c r="BN41" s="927">
        <f>TableauProduit[[#This Row],[Revenu brut N9]]-TableauProduit[[#This Row],[Achat plantes N9]]-TableauProduit[[#This Row],[Conditionnement N9]]</f>
        <v/>
      </c>
      <c r="BO41" t="inlineStr">
        <is>
          <t>Autre</t>
        </is>
      </c>
    </row>
    <row r="42">
      <c r="A42" s="13" t="inlineStr">
        <is>
          <t>Zhug</t>
        </is>
      </c>
      <c r="B42" s="54">
        <f>TableauProduit[[#This Row],[Recette]]&amp;TableauProduit[[#This Row],[Conditionnement]]</f>
        <v/>
      </c>
      <c r="C42" s="11" t="n">
        <v>1</v>
      </c>
      <c r="D42" s="11" t="n">
        <v>50</v>
      </c>
      <c r="E42" s="6" t="inlineStr">
        <is>
          <t>Epice 100ml</t>
        </is>
      </c>
      <c r="F42" s="7">
        <f>IFERROR(VLOOKUP(TableauProduit[[#This Row],[Conditionnement]],TableauConditionnement[[Nom]:[Contenance]],4,FALSE),"")</f>
        <v/>
      </c>
      <c r="G42" s="897">
        <f>IFERROR(SUMIFS(TableauRecette[Prix d''achat / kg],TableauRecette[Recette],TableauProduit[[#This Row],[Recette]],TableauRecette[Conditionnement],TableauProduit[[#This Row],[Conditionnement]]),0)</f>
        <v/>
      </c>
      <c r="H42" s="898" t="n">
        <v>2.9</v>
      </c>
      <c r="I42" s="899">
        <f>1000*TableauProduit[[#This Row],[Prix de vente/U]]/TableauProduit[[#This Row],[Poids (g) / unité]]</f>
        <v/>
      </c>
      <c r="J42" s="900">
        <f>SUMIFS(TableauConcurence[PRIX_KG],TableauConcurence[PRODUIT],TableauProduit[[#This Row],[Recette]],TableauConcurence[DISTRIBUTION],"magasin NON BIO")</f>
        <v/>
      </c>
      <c r="K42" s="901">
        <f>SUMIFS(TableauConcurence[PRIX_KG],TableauConcurence[PRODUIT],TableauProduit[[#This Row],[Recette]],TableauConcurence[DISTRIBUTION],"magasin BIO")</f>
        <v/>
      </c>
      <c r="L42" s="902">
        <f>SUMIFS(TableauConcurence[PRIX_KG],TableauConcurence[PRODUIT],TableauProduit[[#This Row],[Recette]],TableauConcurence[DISTRIBUTION],"artisanale BIO")</f>
        <v/>
      </c>
      <c r="M42" s="903" t="n">
        <v>0</v>
      </c>
      <c r="N42" s="904">
        <f>TableauProduit[[#This Row],[Poids (g) / unité]]*TableauProduit[[#This Row],[Objectif de vente en unité N1]]/1000</f>
        <v/>
      </c>
      <c r="O42" s="905">
        <f>TableauProduit[[#This Row],[Objectif de vente en unité N1]]*TableauProduit[[#This Row],[Packaging / unité]]</f>
        <v/>
      </c>
      <c r="P42" s="905">
        <f>TableauProduit[[#This Row],[Prix achat plantes / kg]]*TableauProduit[[#This Row],[Total (kg) N1]]</f>
        <v/>
      </c>
      <c r="Q42" s="905">
        <f>TableauProduit[[#This Row],[Prix de vente/kg]]*TableauProduit[[#This Row],[Total (kg) N1]]</f>
        <v/>
      </c>
      <c r="R42" s="906">
        <f>TableauProduit[[#This Row],[Revenu brut N1]]-TableauProduit[[#This Row],[Achat plantes N1]]-TableauProduit[[#This Row],[Conditionnement N1]]</f>
        <v/>
      </c>
      <c r="S42" s="907" t="n">
        <v>0</v>
      </c>
      <c r="T42" s="908">
        <f>TableauProduit[[#This Row],[Poids (g) / unité]]*TableauProduit[[#This Row],[Objectif de vente en unité N2]]/1000</f>
        <v/>
      </c>
      <c r="U42" s="909">
        <f>TableauProduit[[#This Row],[Objectif de vente en unité N2]]*TableauProduit[[#This Row],[Packaging / unité]]</f>
        <v/>
      </c>
      <c r="V42" s="909">
        <f>TableauProduit[[#This Row],[Prix achat plantes / kg]]*TableauProduit[[#This Row],[Total (kg) N2]]</f>
        <v/>
      </c>
      <c r="W42" s="909">
        <f>TableauProduit[[#This Row],[Prix de vente/kg]]*TableauProduit[[#This Row],[Total (kg) N2]]</f>
        <v/>
      </c>
      <c r="X42" s="910">
        <f>TableauProduit[[#This Row],[Revenu brut N2]]-TableauProduit[[#This Row],[Achat plantes N2]]-TableauProduit[[#This Row],[Conditionnement N2]]</f>
        <v/>
      </c>
      <c r="Y42" s="911" t="n">
        <v>0</v>
      </c>
      <c r="Z42" s="912">
        <f>TableauProduit[[#This Row],[Poids (g) / unité]]*TableauProduit[[#This Row],[Objectif de vente en unité N3]]/1000</f>
        <v/>
      </c>
      <c r="AA42" s="913">
        <f>TableauProduit[[#This Row],[Objectif de vente en unité N3]]*TableauProduit[[#This Row],[Packaging / unité]]</f>
        <v/>
      </c>
      <c r="AB42" s="913">
        <f>TableauProduit[[#This Row],[Prix achat plantes / kg]]*TableauProduit[[#This Row],[Total (kg) N3]]</f>
        <v/>
      </c>
      <c r="AC42" s="913">
        <f>TableauProduit[[#This Row],[Prix de vente/kg]]*TableauProduit[[#This Row],[Total (kg) N3]]</f>
        <v/>
      </c>
      <c r="AD42" s="914">
        <f>TableauProduit[[#This Row],[Revenu brut N3]]-TableauProduit[[#This Row],[Achat plantes N3]]-TableauProduit[[#This Row],[Conditionnement N3]]</f>
        <v/>
      </c>
      <c r="AE42" s="915" t="n">
        <v>50</v>
      </c>
      <c r="AF42" s="915">
        <f>TableauProduit[[#This Row],[Poids (g) / unité]]*TableauProduit[[#This Row],[Objectif de vente en unité N4]]/1000</f>
        <v/>
      </c>
      <c r="AG42" s="916">
        <f>TableauProduit[[#This Row],[Objectif de vente en unité N4]]*TableauProduit[[#This Row],[Packaging / unité]]</f>
        <v/>
      </c>
      <c r="AH42" s="916">
        <f>TableauProduit[[#This Row],[Prix achat plantes / kg]]*TableauProduit[[#This Row],[Total (kg) N4]]</f>
        <v/>
      </c>
      <c r="AI42" s="916">
        <f>TableauProduit[[#This Row],[Prix de vente/kg]]*TableauProduit[[#This Row],[Total (kg) N4]]</f>
        <v/>
      </c>
      <c r="AJ42" s="915">
        <f>TableauProduit[[#This Row],[Revenu brut N4]]-TableauProduit[[#This Row],[Achat plantes N4]]-TableauProduit[[#This Row],[Conditionnement N4]]</f>
        <v/>
      </c>
      <c r="AK42" s="917" t="n">
        <v>60</v>
      </c>
      <c r="AL42" s="917">
        <f>TableauProduit[[#This Row],[Poids (g) / unité]]*TableauProduit[[#This Row],[Objectif de vente en unité N5]]/1000</f>
        <v/>
      </c>
      <c r="AM42" s="918">
        <f>TableauProduit[[#This Row],[Objectif de vente en unité N5]]*TableauProduit[[#This Row],[Packaging / unité]]</f>
        <v/>
      </c>
      <c r="AN42" s="918">
        <f>TableauProduit[[#This Row],[Prix achat plantes / kg]]*TableauProduit[[#This Row],[Total (kg) N5]]</f>
        <v/>
      </c>
      <c r="AO42" s="918">
        <f>TableauProduit[[#This Row],[Prix de vente/kg]]*TableauProduit[[#This Row],[Total (kg) N5]]</f>
        <v/>
      </c>
      <c r="AP42" s="917">
        <f>TableauProduit[[#This Row],[Revenu brut N5]]-TableauProduit[[#This Row],[Achat plantes N5]]-TableauProduit[[#This Row],[Conditionnement N5]]</f>
        <v/>
      </c>
      <c r="AQ42" s="919" t="n">
        <v>65</v>
      </c>
      <c r="AR42" s="919">
        <f>TableauProduit[[#This Row],[Poids (g) / unité]]*TableauProduit[[#This Row],[Objectif de vente en unité N6]]/1000</f>
        <v/>
      </c>
      <c r="AS42" s="920">
        <f>TableauProduit[[#This Row],[Objectif de vente en unité N6]]*TableauProduit[[#This Row],[Packaging / unité]]</f>
        <v/>
      </c>
      <c r="AT42" s="920">
        <f>TableauProduit[[#This Row],[Prix achat plantes / kg]]*TableauProduit[[#This Row],[Total (kg) N6]]</f>
        <v/>
      </c>
      <c r="AU42" s="920">
        <f>TableauProduit[[#This Row],[Prix de vente/kg]]*TableauProduit[[#This Row],[Total (kg) N6]]</f>
        <v/>
      </c>
      <c r="AV42" s="919">
        <f>TableauProduit[[#This Row],[Revenu brut N6]]-TableauProduit[[#This Row],[Achat plantes N6]]-TableauProduit[[#This Row],[Conditionnement N6]]</f>
        <v/>
      </c>
      <c r="AW42" s="904" t="n">
        <v>68</v>
      </c>
      <c r="AX42" s="904">
        <f>TableauProduit[[#This Row],[Poids (g) / unité]]*TableauProduit[[#This Row],[Objectif de vente en unité N7]]/1000</f>
        <v/>
      </c>
      <c r="AY42" s="905">
        <f>TableauProduit[[#This Row],[Objectif de vente en unité N7]]*TableauProduit[[#This Row],[Packaging / unité]]</f>
        <v/>
      </c>
      <c r="AZ42" s="905">
        <f>TableauProduit[[#This Row],[Prix achat plantes / kg]]*TableauProduit[[#This Row],[Total (kg) N7]]</f>
        <v/>
      </c>
      <c r="BA42" s="905">
        <f>TableauProduit[[#This Row],[Prix de vente/kg]]*TableauProduit[[#This Row],[Total (kg) N7]]</f>
        <v/>
      </c>
      <c r="BB42" s="921">
        <f>TableauProduit[[#This Row],[Revenu brut N7]]-TableauProduit[[#This Row],[Achat plantes N7]]-TableauProduit[[#This Row],[Conditionnement N7]]</f>
        <v/>
      </c>
      <c r="BC42" s="922" t="n">
        <v>68</v>
      </c>
      <c r="BD42" s="923">
        <f>TableauProduit[[#This Row],[Poids (g) / unité]]*TableauProduit[[#This Row],[Objectif de vente en unité N8]]/1000</f>
        <v/>
      </c>
      <c r="BE42" s="924">
        <f>TableauProduit[[#This Row],[Objectif de vente en unité N8]]*TableauProduit[[#This Row],[Packaging / unité]]</f>
        <v/>
      </c>
      <c r="BF42" s="924">
        <f>TableauProduit[[#This Row],[Prix achat plantes / kg]]*TableauProduit[[#This Row],[Total (kg) N8]]</f>
        <v/>
      </c>
      <c r="BG42" s="924">
        <f>TableauProduit[[#This Row],[Prix de vente/kg]]*TableauProduit[[#This Row],[Total (kg) N8]]</f>
        <v/>
      </c>
      <c r="BH42" s="925">
        <f>TableauProduit[[#This Row],[Revenu brut N8]]-TableauProduit[[#This Row],[Achat plantes N8]]-TableauProduit[[#This Row],[Conditionnement N8]]</f>
        <v/>
      </c>
      <c r="BI42" s="926" t="n">
        <v>68</v>
      </c>
      <c r="BJ42" s="927">
        <f>TableauProduit[[#This Row],[Poids (g) / unité]]*TableauProduit[[#This Row],[Objectif de vente en unité N9]]/1000</f>
        <v/>
      </c>
      <c r="BK42" s="928">
        <f>TableauProduit[[#This Row],[Objectif de vente en unité N9]]*TableauProduit[[#This Row],[Packaging / unité]]</f>
        <v/>
      </c>
      <c r="BL42" s="928">
        <f>TableauProduit[[#This Row],[Prix achat plantes / kg]]*TableauProduit[[#This Row],[Total (kg) N9]]</f>
        <v/>
      </c>
      <c r="BM42" s="928">
        <f>TableauProduit[[#This Row],[Prix de vente/kg]]*TableauProduit[[#This Row],[Total (kg) N9]]</f>
        <v/>
      </c>
      <c r="BN42" s="927">
        <f>TableauProduit[[#This Row],[Revenu brut N9]]-TableauProduit[[#This Row],[Achat plantes N9]]-TableauProduit[[#This Row],[Conditionnement N9]]</f>
        <v/>
      </c>
      <c r="BO42" t="inlineStr">
        <is>
          <t>Autre</t>
        </is>
      </c>
    </row>
    <row r="43">
      <c r="A43" s="13" t="inlineStr">
        <is>
          <t>Épices pour marinade</t>
        </is>
      </c>
      <c r="B43" s="54">
        <f>TableauProduit[[#This Row],[Recette]]&amp;TableauProduit[[#This Row],[Conditionnement]]</f>
        <v/>
      </c>
      <c r="C43" s="11" t="n">
        <v>1</v>
      </c>
      <c r="D43" s="11" t="n">
        <v>50</v>
      </c>
      <c r="E43" s="6" t="inlineStr">
        <is>
          <t>Epice 100ml</t>
        </is>
      </c>
      <c r="F43" s="7">
        <f>IFERROR(VLOOKUP(TableauProduit[[#This Row],[Conditionnement]],TableauConditionnement[[Nom]:[Contenance]],4,FALSE),"")</f>
        <v/>
      </c>
      <c r="G43" s="897">
        <f>IFERROR(SUMIFS(TableauRecette[Prix d''achat / kg],TableauRecette[Recette],TableauProduit[[#This Row],[Recette]],TableauRecette[Conditionnement],TableauProduit[[#This Row],[Conditionnement]]),0)</f>
        <v/>
      </c>
      <c r="H43" s="898" t="n">
        <v>5</v>
      </c>
      <c r="I43" s="899">
        <f>1000*TableauProduit[[#This Row],[Prix de vente/U]]/TableauProduit[[#This Row],[Poids (g) / unité]]</f>
        <v/>
      </c>
      <c r="J43" s="900">
        <f>SUMIFS(TableauConcurence[PRIX_KG],TableauConcurence[PRODUIT],TableauProduit[[#This Row],[Recette]],TableauConcurence[DISTRIBUTION],"magasin NON BIO")</f>
        <v/>
      </c>
      <c r="K43" s="901">
        <f>SUMIFS(TableauConcurence[PRIX_KG],TableauConcurence[PRODUIT],TableauProduit[[#This Row],[Recette]],TableauConcurence[DISTRIBUTION],"magasin BIO")</f>
        <v/>
      </c>
      <c r="L43" s="902">
        <f>SUMIFS(TableauConcurence[PRIX_KG],TableauConcurence[PRODUIT],TableauProduit[[#This Row],[Recette]],TableauConcurence[DISTRIBUTION],"artisanale BIO")</f>
        <v/>
      </c>
      <c r="M43" s="903" t="n">
        <v>0</v>
      </c>
      <c r="N43" s="904">
        <f>TableauProduit[[#This Row],[Poids (g) / unité]]*TableauProduit[[#This Row],[Objectif de vente en unité N1]]/1000</f>
        <v/>
      </c>
      <c r="O43" s="905">
        <f>TableauProduit[[#This Row],[Objectif de vente en unité N1]]*TableauProduit[[#This Row],[Packaging / unité]]</f>
        <v/>
      </c>
      <c r="P43" s="905">
        <f>TableauProduit[[#This Row],[Prix achat plantes / kg]]*TableauProduit[[#This Row],[Total (kg) N1]]</f>
        <v/>
      </c>
      <c r="Q43" s="905">
        <f>TableauProduit[[#This Row],[Prix de vente/kg]]*TableauProduit[[#This Row],[Total (kg) N1]]</f>
        <v/>
      </c>
      <c r="R43" s="906">
        <f>TableauProduit[[#This Row],[Revenu brut N1]]-TableauProduit[[#This Row],[Achat plantes N1]]-TableauProduit[[#This Row],[Conditionnement N1]]</f>
        <v/>
      </c>
      <c r="S43" s="907" t="n">
        <v>0</v>
      </c>
      <c r="T43" s="908">
        <f>TableauProduit[[#This Row],[Poids (g) / unité]]*TableauProduit[[#This Row],[Objectif de vente en unité N2]]/1000</f>
        <v/>
      </c>
      <c r="U43" s="909">
        <f>TableauProduit[[#This Row],[Objectif de vente en unité N2]]*TableauProduit[[#This Row],[Packaging / unité]]</f>
        <v/>
      </c>
      <c r="V43" s="909">
        <f>TableauProduit[[#This Row],[Prix achat plantes / kg]]*TableauProduit[[#This Row],[Total (kg) N2]]</f>
        <v/>
      </c>
      <c r="W43" s="909">
        <f>TableauProduit[[#This Row],[Prix de vente/kg]]*TableauProduit[[#This Row],[Total (kg) N2]]</f>
        <v/>
      </c>
      <c r="X43" s="910">
        <f>TableauProduit[[#This Row],[Revenu brut N2]]-TableauProduit[[#This Row],[Achat plantes N2]]-TableauProduit[[#This Row],[Conditionnement N2]]</f>
        <v/>
      </c>
      <c r="Y43" s="911" t="n">
        <v>100</v>
      </c>
      <c r="Z43" s="912">
        <f>TableauProduit[[#This Row],[Poids (g) / unité]]*TableauProduit[[#This Row],[Objectif de vente en unité N3]]/1000</f>
        <v/>
      </c>
      <c r="AA43" s="913">
        <f>TableauProduit[[#This Row],[Objectif de vente en unité N3]]*TableauProduit[[#This Row],[Packaging / unité]]</f>
        <v/>
      </c>
      <c r="AB43" s="913">
        <f>TableauProduit[[#This Row],[Prix achat plantes / kg]]*TableauProduit[[#This Row],[Total (kg) N3]]</f>
        <v/>
      </c>
      <c r="AC43" s="913">
        <f>TableauProduit[[#This Row],[Prix de vente/kg]]*TableauProduit[[#This Row],[Total (kg) N3]]</f>
        <v/>
      </c>
      <c r="AD43" s="914">
        <f>TableauProduit[[#This Row],[Revenu brut N3]]-TableauProduit[[#This Row],[Achat plantes N3]]-TableauProduit[[#This Row],[Conditionnement N3]]</f>
        <v/>
      </c>
      <c r="AE43" s="915" t="n">
        <v>130</v>
      </c>
      <c r="AF43" s="915">
        <f>TableauProduit[[#This Row],[Poids (g) / unité]]*TableauProduit[[#This Row],[Objectif de vente en unité N4]]/1000</f>
        <v/>
      </c>
      <c r="AG43" s="916">
        <f>TableauProduit[[#This Row],[Objectif de vente en unité N4]]*TableauProduit[[#This Row],[Packaging / unité]]</f>
        <v/>
      </c>
      <c r="AH43" s="916">
        <f>TableauProduit[[#This Row],[Prix achat plantes / kg]]*TableauProduit[[#This Row],[Total (kg) N4]]</f>
        <v/>
      </c>
      <c r="AI43" s="916">
        <f>TableauProduit[[#This Row],[Prix de vente/kg]]*TableauProduit[[#This Row],[Total (kg) N4]]</f>
        <v/>
      </c>
      <c r="AJ43" s="915">
        <f>TableauProduit[[#This Row],[Revenu brut N4]]-TableauProduit[[#This Row],[Achat plantes N4]]-TableauProduit[[#This Row],[Conditionnement N4]]</f>
        <v/>
      </c>
      <c r="AK43" s="917" t="n">
        <v>150</v>
      </c>
      <c r="AL43" s="917">
        <f>TableauProduit[[#This Row],[Poids (g) / unité]]*TableauProduit[[#This Row],[Objectif de vente en unité N5]]/1000</f>
        <v/>
      </c>
      <c r="AM43" s="918">
        <f>TableauProduit[[#This Row],[Objectif de vente en unité N5]]*TableauProduit[[#This Row],[Packaging / unité]]</f>
        <v/>
      </c>
      <c r="AN43" s="918">
        <f>TableauProduit[[#This Row],[Prix achat plantes / kg]]*TableauProduit[[#This Row],[Total (kg) N5]]</f>
        <v/>
      </c>
      <c r="AO43" s="918">
        <f>TableauProduit[[#This Row],[Prix de vente/kg]]*TableauProduit[[#This Row],[Total (kg) N5]]</f>
        <v/>
      </c>
      <c r="AP43" s="917">
        <f>TableauProduit[[#This Row],[Revenu brut N5]]-TableauProduit[[#This Row],[Achat plantes N5]]-TableauProduit[[#This Row],[Conditionnement N5]]</f>
        <v/>
      </c>
      <c r="AQ43" s="919" t="n">
        <v>160</v>
      </c>
      <c r="AR43" s="919">
        <f>TableauProduit[[#This Row],[Poids (g) / unité]]*TableauProduit[[#This Row],[Objectif de vente en unité N6]]/1000</f>
        <v/>
      </c>
      <c r="AS43" s="920">
        <f>TableauProduit[[#This Row],[Objectif de vente en unité N6]]*TableauProduit[[#This Row],[Packaging / unité]]</f>
        <v/>
      </c>
      <c r="AT43" s="920">
        <f>TableauProduit[[#This Row],[Prix achat plantes / kg]]*TableauProduit[[#This Row],[Total (kg) N6]]</f>
        <v/>
      </c>
      <c r="AU43" s="920">
        <f>TableauProduit[[#This Row],[Prix de vente/kg]]*TableauProduit[[#This Row],[Total (kg) N6]]</f>
        <v/>
      </c>
      <c r="AV43" s="919">
        <f>TableauProduit[[#This Row],[Revenu brut N6]]-TableauProduit[[#This Row],[Achat plantes N6]]-TableauProduit[[#This Row],[Conditionnement N6]]</f>
        <v/>
      </c>
      <c r="AW43" s="904" t="n">
        <v>160</v>
      </c>
      <c r="AX43" s="904">
        <f>TableauProduit[[#This Row],[Poids (g) / unité]]*TableauProduit[[#This Row],[Objectif de vente en unité N7]]/1000</f>
        <v/>
      </c>
      <c r="AY43" s="905">
        <f>TableauProduit[[#This Row],[Objectif de vente en unité N7]]*TableauProduit[[#This Row],[Packaging / unité]]</f>
        <v/>
      </c>
      <c r="AZ43" s="905">
        <f>TableauProduit[[#This Row],[Prix achat plantes / kg]]*TableauProduit[[#This Row],[Total (kg) N7]]</f>
        <v/>
      </c>
      <c r="BA43" s="905">
        <f>TableauProduit[[#This Row],[Prix de vente/kg]]*TableauProduit[[#This Row],[Total (kg) N7]]</f>
        <v/>
      </c>
      <c r="BB43" s="921">
        <f>TableauProduit[[#This Row],[Revenu brut N7]]-TableauProduit[[#This Row],[Achat plantes N7]]-TableauProduit[[#This Row],[Conditionnement N7]]</f>
        <v/>
      </c>
      <c r="BC43" s="922" t="n">
        <v>160</v>
      </c>
      <c r="BD43" s="923">
        <f>TableauProduit[[#This Row],[Poids (g) / unité]]*TableauProduit[[#This Row],[Objectif de vente en unité N8]]/1000</f>
        <v/>
      </c>
      <c r="BE43" s="924">
        <f>TableauProduit[[#This Row],[Objectif de vente en unité N8]]*TableauProduit[[#This Row],[Packaging / unité]]</f>
        <v/>
      </c>
      <c r="BF43" s="924">
        <f>TableauProduit[[#This Row],[Prix achat plantes / kg]]*TableauProduit[[#This Row],[Total (kg) N8]]</f>
        <v/>
      </c>
      <c r="BG43" s="924">
        <f>TableauProduit[[#This Row],[Prix de vente/kg]]*TableauProduit[[#This Row],[Total (kg) N8]]</f>
        <v/>
      </c>
      <c r="BH43" s="925">
        <f>TableauProduit[[#This Row],[Revenu brut N8]]-TableauProduit[[#This Row],[Achat plantes N8]]-TableauProduit[[#This Row],[Conditionnement N8]]</f>
        <v/>
      </c>
      <c r="BI43" s="926" t="n">
        <v>160</v>
      </c>
      <c r="BJ43" s="927">
        <f>TableauProduit[[#This Row],[Poids (g) / unité]]*TableauProduit[[#This Row],[Objectif de vente en unité N9]]/1000</f>
        <v/>
      </c>
      <c r="BK43" s="928">
        <f>TableauProduit[[#This Row],[Objectif de vente en unité N9]]*TableauProduit[[#This Row],[Packaging / unité]]</f>
        <v/>
      </c>
      <c r="BL43" s="928">
        <f>TableauProduit[[#This Row],[Prix achat plantes / kg]]*TableauProduit[[#This Row],[Total (kg) N9]]</f>
        <v/>
      </c>
      <c r="BM43" s="928">
        <f>TableauProduit[[#This Row],[Prix de vente/kg]]*TableauProduit[[#This Row],[Total (kg) N9]]</f>
        <v/>
      </c>
      <c r="BN43" s="927">
        <f>TableauProduit[[#This Row],[Revenu brut N9]]-TableauProduit[[#This Row],[Achat plantes N9]]-TableauProduit[[#This Row],[Conditionnement N9]]</f>
        <v/>
      </c>
      <c r="BO43" t="inlineStr">
        <is>
          <t>Mélange</t>
        </is>
      </c>
    </row>
    <row r="44">
      <c r="A44" s="13" t="inlineStr">
        <is>
          <t>Épices poissons et fruits de mer</t>
        </is>
      </c>
      <c r="B44" s="54">
        <f>TableauProduit[[#This Row],[Recette]]&amp;TableauProduit[[#This Row],[Conditionnement]]</f>
        <v/>
      </c>
      <c r="C44" s="11" t="n">
        <v>1</v>
      </c>
      <c r="D44" s="11" t="n">
        <v>50</v>
      </c>
      <c r="E44" s="6" t="inlineStr">
        <is>
          <t>Epice 100ml</t>
        </is>
      </c>
      <c r="F44" s="7">
        <f>IFERROR(VLOOKUP(TableauProduit[[#This Row],[Conditionnement]],TableauConditionnement[[Nom]:[Contenance]],4,FALSE),"")</f>
        <v/>
      </c>
      <c r="G44" s="897">
        <f>IFERROR(SUMIFS(TableauRecette[Prix d''achat / kg],TableauRecette[Recette],TableauProduit[[#This Row],[Recette]],TableauRecette[Conditionnement],TableauProduit[[#This Row],[Conditionnement]]),0)</f>
        <v/>
      </c>
      <c r="H44" s="898" t="n">
        <v>5</v>
      </c>
      <c r="I44" s="899">
        <f>1000*TableauProduit[[#This Row],[Prix de vente/U]]/TableauProduit[[#This Row],[Poids (g) / unité]]</f>
        <v/>
      </c>
      <c r="J44" s="900">
        <f>SUMIFS(TableauConcurence[PRIX_KG],TableauConcurence[PRODUIT],TableauProduit[[#This Row],[Recette]],TableauConcurence[DISTRIBUTION],"magasin NON BIO")</f>
        <v/>
      </c>
      <c r="K44" s="901">
        <f>SUMIFS(TableauConcurence[PRIX_KG],TableauConcurence[PRODUIT],TableauProduit[[#This Row],[Recette]],TableauConcurence[DISTRIBUTION],"magasin BIO")</f>
        <v/>
      </c>
      <c r="L44" s="902">
        <f>SUMIFS(TableauConcurence[PRIX_KG],TableauConcurence[PRODUIT],TableauProduit[[#This Row],[Recette]],TableauConcurence[DISTRIBUTION],"artisanale BIO")</f>
        <v/>
      </c>
      <c r="M44" s="903" t="n">
        <v>0</v>
      </c>
      <c r="N44" s="904">
        <f>TableauProduit[[#This Row],[Poids (g) / unité]]*TableauProduit[[#This Row],[Objectif de vente en unité N1]]/1000</f>
        <v/>
      </c>
      <c r="O44" s="905">
        <f>TableauProduit[[#This Row],[Objectif de vente en unité N1]]*TableauProduit[[#This Row],[Packaging / unité]]</f>
        <v/>
      </c>
      <c r="P44" s="905">
        <f>TableauProduit[[#This Row],[Prix achat plantes / kg]]*TableauProduit[[#This Row],[Total (kg) N1]]</f>
        <v/>
      </c>
      <c r="Q44" s="905">
        <f>TableauProduit[[#This Row],[Prix de vente/kg]]*TableauProduit[[#This Row],[Total (kg) N1]]</f>
        <v/>
      </c>
      <c r="R44" s="906">
        <f>TableauProduit[[#This Row],[Revenu brut N1]]-TableauProduit[[#This Row],[Achat plantes N1]]-TableauProduit[[#This Row],[Conditionnement N1]]</f>
        <v/>
      </c>
      <c r="S44" s="907" t="n">
        <v>0</v>
      </c>
      <c r="T44" s="908">
        <f>TableauProduit[[#This Row],[Poids (g) / unité]]*TableauProduit[[#This Row],[Objectif de vente en unité N2]]/1000</f>
        <v/>
      </c>
      <c r="U44" s="909">
        <f>TableauProduit[[#This Row],[Objectif de vente en unité N2]]*TableauProduit[[#This Row],[Packaging / unité]]</f>
        <v/>
      </c>
      <c r="V44" s="909">
        <f>TableauProduit[[#This Row],[Prix achat plantes / kg]]*TableauProduit[[#This Row],[Total (kg) N2]]</f>
        <v/>
      </c>
      <c r="W44" s="909">
        <f>TableauProduit[[#This Row],[Prix de vente/kg]]*TableauProduit[[#This Row],[Total (kg) N2]]</f>
        <v/>
      </c>
      <c r="X44" s="910">
        <f>TableauProduit[[#This Row],[Revenu brut N2]]-TableauProduit[[#This Row],[Achat plantes N2]]-TableauProduit[[#This Row],[Conditionnement N2]]</f>
        <v/>
      </c>
      <c r="Y44" s="911" t="n">
        <v>80</v>
      </c>
      <c r="Z44" s="912">
        <f>TableauProduit[[#This Row],[Poids (g) / unité]]*TableauProduit[[#This Row],[Objectif de vente en unité N3]]/1000</f>
        <v/>
      </c>
      <c r="AA44" s="913">
        <f>TableauProduit[[#This Row],[Objectif de vente en unité N3]]*TableauProduit[[#This Row],[Packaging / unité]]</f>
        <v/>
      </c>
      <c r="AB44" s="913">
        <f>TableauProduit[[#This Row],[Prix achat plantes / kg]]*TableauProduit[[#This Row],[Total (kg) N3]]</f>
        <v/>
      </c>
      <c r="AC44" s="913">
        <f>TableauProduit[[#This Row],[Prix de vente/kg]]*TableauProduit[[#This Row],[Total (kg) N3]]</f>
        <v/>
      </c>
      <c r="AD44" s="914">
        <f>TableauProduit[[#This Row],[Revenu brut N3]]-TableauProduit[[#This Row],[Achat plantes N3]]-TableauProduit[[#This Row],[Conditionnement N3]]</f>
        <v/>
      </c>
      <c r="AE44" s="915" t="n">
        <v>104</v>
      </c>
      <c r="AF44" s="915">
        <f>TableauProduit[[#This Row],[Poids (g) / unité]]*TableauProduit[[#This Row],[Objectif de vente en unité N4]]/1000</f>
        <v/>
      </c>
      <c r="AG44" s="916">
        <f>TableauProduit[[#This Row],[Objectif de vente en unité N4]]*TableauProduit[[#This Row],[Packaging / unité]]</f>
        <v/>
      </c>
      <c r="AH44" s="916">
        <f>TableauProduit[[#This Row],[Prix achat plantes / kg]]*TableauProduit[[#This Row],[Total (kg) N4]]</f>
        <v/>
      </c>
      <c r="AI44" s="916">
        <f>TableauProduit[[#This Row],[Prix de vente/kg]]*TableauProduit[[#This Row],[Total (kg) N4]]</f>
        <v/>
      </c>
      <c r="AJ44" s="915">
        <f>TableauProduit[[#This Row],[Revenu brut N4]]-TableauProduit[[#This Row],[Achat plantes N4]]-TableauProduit[[#This Row],[Conditionnement N4]]</f>
        <v/>
      </c>
      <c r="AK44" s="917" t="n">
        <v>120</v>
      </c>
      <c r="AL44" s="917">
        <f>TableauProduit[[#This Row],[Poids (g) / unité]]*TableauProduit[[#This Row],[Objectif de vente en unité N5]]/1000</f>
        <v/>
      </c>
      <c r="AM44" s="918">
        <f>TableauProduit[[#This Row],[Objectif de vente en unité N5]]*TableauProduit[[#This Row],[Packaging / unité]]</f>
        <v/>
      </c>
      <c r="AN44" s="918">
        <f>TableauProduit[[#This Row],[Prix achat plantes / kg]]*TableauProduit[[#This Row],[Total (kg) N5]]</f>
        <v/>
      </c>
      <c r="AO44" s="918">
        <f>TableauProduit[[#This Row],[Prix de vente/kg]]*TableauProduit[[#This Row],[Total (kg) N5]]</f>
        <v/>
      </c>
      <c r="AP44" s="917">
        <f>TableauProduit[[#This Row],[Revenu brut N5]]-TableauProduit[[#This Row],[Achat plantes N5]]-TableauProduit[[#This Row],[Conditionnement N5]]</f>
        <v/>
      </c>
      <c r="AQ44" s="919" t="n">
        <v>128</v>
      </c>
      <c r="AR44" s="919">
        <f>TableauProduit[[#This Row],[Poids (g) / unité]]*TableauProduit[[#This Row],[Objectif de vente en unité N6]]/1000</f>
        <v/>
      </c>
      <c r="AS44" s="920">
        <f>TableauProduit[[#This Row],[Objectif de vente en unité N6]]*TableauProduit[[#This Row],[Packaging / unité]]</f>
        <v/>
      </c>
      <c r="AT44" s="920">
        <f>TableauProduit[[#This Row],[Prix achat plantes / kg]]*TableauProduit[[#This Row],[Total (kg) N6]]</f>
        <v/>
      </c>
      <c r="AU44" s="920">
        <f>TableauProduit[[#This Row],[Prix de vente/kg]]*TableauProduit[[#This Row],[Total (kg) N6]]</f>
        <v/>
      </c>
      <c r="AV44" s="919">
        <f>TableauProduit[[#This Row],[Revenu brut N6]]-TableauProduit[[#This Row],[Achat plantes N6]]-TableauProduit[[#This Row],[Conditionnement N6]]</f>
        <v/>
      </c>
      <c r="AW44" s="904" t="n">
        <v>128</v>
      </c>
      <c r="AX44" s="904">
        <f>TableauProduit[[#This Row],[Poids (g) / unité]]*TableauProduit[[#This Row],[Objectif de vente en unité N7]]/1000</f>
        <v/>
      </c>
      <c r="AY44" s="905">
        <f>TableauProduit[[#This Row],[Objectif de vente en unité N7]]*TableauProduit[[#This Row],[Packaging / unité]]</f>
        <v/>
      </c>
      <c r="AZ44" s="905">
        <f>TableauProduit[[#This Row],[Prix achat plantes / kg]]*TableauProduit[[#This Row],[Total (kg) N7]]</f>
        <v/>
      </c>
      <c r="BA44" s="905">
        <f>TableauProduit[[#This Row],[Prix de vente/kg]]*TableauProduit[[#This Row],[Total (kg) N7]]</f>
        <v/>
      </c>
      <c r="BB44" s="921">
        <f>TableauProduit[[#This Row],[Revenu brut N7]]-TableauProduit[[#This Row],[Achat plantes N7]]-TableauProduit[[#This Row],[Conditionnement N7]]</f>
        <v/>
      </c>
      <c r="BC44" s="922" t="n">
        <v>128</v>
      </c>
      <c r="BD44" s="923">
        <f>TableauProduit[[#This Row],[Poids (g) / unité]]*TableauProduit[[#This Row],[Objectif de vente en unité N8]]/1000</f>
        <v/>
      </c>
      <c r="BE44" s="924">
        <f>TableauProduit[[#This Row],[Objectif de vente en unité N8]]*TableauProduit[[#This Row],[Packaging / unité]]</f>
        <v/>
      </c>
      <c r="BF44" s="924">
        <f>TableauProduit[[#This Row],[Prix achat plantes / kg]]*TableauProduit[[#This Row],[Total (kg) N8]]</f>
        <v/>
      </c>
      <c r="BG44" s="924">
        <f>TableauProduit[[#This Row],[Prix de vente/kg]]*TableauProduit[[#This Row],[Total (kg) N8]]</f>
        <v/>
      </c>
      <c r="BH44" s="925">
        <f>TableauProduit[[#This Row],[Revenu brut N8]]-TableauProduit[[#This Row],[Achat plantes N8]]-TableauProduit[[#This Row],[Conditionnement N8]]</f>
        <v/>
      </c>
      <c r="BI44" s="926" t="n">
        <v>128</v>
      </c>
      <c r="BJ44" s="927">
        <f>TableauProduit[[#This Row],[Poids (g) / unité]]*TableauProduit[[#This Row],[Objectif de vente en unité N9]]/1000</f>
        <v/>
      </c>
      <c r="BK44" s="928">
        <f>TableauProduit[[#This Row],[Objectif de vente en unité N9]]*TableauProduit[[#This Row],[Packaging / unité]]</f>
        <v/>
      </c>
      <c r="BL44" s="928">
        <f>TableauProduit[[#This Row],[Prix achat plantes / kg]]*TableauProduit[[#This Row],[Total (kg) N9]]</f>
        <v/>
      </c>
      <c r="BM44" s="928">
        <f>TableauProduit[[#This Row],[Prix de vente/kg]]*TableauProduit[[#This Row],[Total (kg) N9]]</f>
        <v/>
      </c>
      <c r="BN44" s="927">
        <f>TableauProduit[[#This Row],[Revenu brut N9]]-TableauProduit[[#This Row],[Achat plantes N9]]-TableauProduit[[#This Row],[Conditionnement N9]]</f>
        <v/>
      </c>
      <c r="BO44" t="inlineStr">
        <is>
          <t>Mélange</t>
        </is>
      </c>
    </row>
    <row r="45">
      <c r="A45" s="13" t="inlineStr">
        <is>
          <t>Suya ghanéen</t>
        </is>
      </c>
      <c r="B45" s="54">
        <f>TableauProduit[[#This Row],[Recette]]&amp;TableauProduit[[#This Row],[Conditionnement]]</f>
        <v/>
      </c>
      <c r="C45" s="11" t="n">
        <v>1</v>
      </c>
      <c r="D45" s="11" t="n">
        <v>40</v>
      </c>
      <c r="E45" s="6" t="inlineStr">
        <is>
          <t>Epice 100ml</t>
        </is>
      </c>
      <c r="F45" s="7">
        <f>IFERROR(VLOOKUP(TableauProduit[[#This Row],[Conditionnement]],TableauConditionnement[[Nom]:[Contenance]],4,FALSE),"")</f>
        <v/>
      </c>
      <c r="G45" s="897">
        <f>IFERROR(SUMIFS(TableauRecette[Prix d''achat / kg],TableauRecette[Recette],TableauProduit[[#This Row],[Recette]],TableauRecette[Conditionnement],TableauProduit[[#This Row],[Conditionnement]]),0)</f>
        <v/>
      </c>
      <c r="H45" s="898" t="n">
        <v>5</v>
      </c>
      <c r="I45" s="899">
        <f>1000*TableauProduit[[#This Row],[Prix de vente/U]]/TableauProduit[[#This Row],[Poids (g) / unité]]</f>
        <v/>
      </c>
      <c r="J45" s="900">
        <f>SUMIFS(TableauConcurence[PRIX_KG],TableauConcurence[PRODUIT],TableauProduit[[#This Row],[Recette]],TableauConcurence[DISTRIBUTION],"magasin NON BIO")</f>
        <v/>
      </c>
      <c r="K45" s="901">
        <f>SUMIFS(TableauConcurence[PRIX_KG],TableauConcurence[PRODUIT],TableauProduit[[#This Row],[Recette]],TableauConcurence[DISTRIBUTION],"magasin BIO")</f>
        <v/>
      </c>
      <c r="L45" s="902">
        <f>SUMIFS(TableauConcurence[PRIX_KG],TableauConcurence[PRODUIT],TableauProduit[[#This Row],[Recette]],TableauConcurence[DISTRIBUTION],"artisanale BIO")</f>
        <v/>
      </c>
      <c r="M45" s="903" t="n">
        <v>0</v>
      </c>
      <c r="N45" s="904">
        <f>TableauProduit[[#This Row],[Poids (g) / unité]]*TableauProduit[[#This Row],[Objectif de vente en unité N1]]/1000</f>
        <v/>
      </c>
      <c r="O45" s="905">
        <f>TableauProduit[[#This Row],[Objectif de vente en unité N1]]*TableauProduit[[#This Row],[Packaging / unité]]</f>
        <v/>
      </c>
      <c r="P45" s="905">
        <f>TableauProduit[[#This Row],[Prix achat plantes / kg]]*TableauProduit[[#This Row],[Total (kg) N1]]</f>
        <v/>
      </c>
      <c r="Q45" s="905">
        <f>TableauProduit[[#This Row],[Prix de vente/kg]]*TableauProduit[[#This Row],[Total (kg) N1]]</f>
        <v/>
      </c>
      <c r="R45" s="906">
        <f>TableauProduit[[#This Row],[Revenu brut N1]]-TableauProduit[[#This Row],[Achat plantes N1]]-TableauProduit[[#This Row],[Conditionnement N1]]</f>
        <v/>
      </c>
      <c r="S45" s="907" t="n">
        <v>0</v>
      </c>
      <c r="T45" s="908">
        <f>TableauProduit[[#This Row],[Poids (g) / unité]]*TableauProduit[[#This Row],[Objectif de vente en unité N2]]/1000</f>
        <v/>
      </c>
      <c r="U45" s="909">
        <f>TableauProduit[[#This Row],[Objectif de vente en unité N2]]*TableauProduit[[#This Row],[Packaging / unité]]</f>
        <v/>
      </c>
      <c r="V45" s="909">
        <f>TableauProduit[[#This Row],[Prix achat plantes / kg]]*TableauProduit[[#This Row],[Total (kg) N2]]</f>
        <v/>
      </c>
      <c r="W45" s="909">
        <f>TableauProduit[[#This Row],[Prix de vente/kg]]*TableauProduit[[#This Row],[Total (kg) N2]]</f>
        <v/>
      </c>
      <c r="X45" s="910">
        <f>TableauProduit[[#This Row],[Revenu brut N2]]-TableauProduit[[#This Row],[Achat plantes N2]]-TableauProduit[[#This Row],[Conditionnement N2]]</f>
        <v/>
      </c>
      <c r="Y45" s="911" t="n">
        <v>0</v>
      </c>
      <c r="Z45" s="912">
        <f>TableauProduit[[#This Row],[Poids (g) / unité]]*TableauProduit[[#This Row],[Objectif de vente en unité N3]]/1000</f>
        <v/>
      </c>
      <c r="AA45" s="913">
        <f>TableauProduit[[#This Row],[Objectif de vente en unité N3]]*TableauProduit[[#This Row],[Packaging / unité]]</f>
        <v/>
      </c>
      <c r="AB45" s="913">
        <f>TableauProduit[[#This Row],[Prix achat plantes / kg]]*TableauProduit[[#This Row],[Total (kg) N3]]</f>
        <v/>
      </c>
      <c r="AC45" s="913">
        <f>TableauProduit[[#This Row],[Prix de vente/kg]]*TableauProduit[[#This Row],[Total (kg) N3]]</f>
        <v/>
      </c>
      <c r="AD45" s="914">
        <f>TableauProduit[[#This Row],[Revenu brut N3]]-TableauProduit[[#This Row],[Achat plantes N3]]-TableauProduit[[#This Row],[Conditionnement N3]]</f>
        <v/>
      </c>
      <c r="AE45" s="915" t="n">
        <v>50</v>
      </c>
      <c r="AF45" s="915">
        <f>TableauProduit[[#This Row],[Poids (g) / unité]]*TableauProduit[[#This Row],[Objectif de vente en unité N4]]/1000</f>
        <v/>
      </c>
      <c r="AG45" s="916">
        <f>TableauProduit[[#This Row],[Objectif de vente en unité N4]]*TableauProduit[[#This Row],[Packaging / unité]]</f>
        <v/>
      </c>
      <c r="AH45" s="916">
        <f>TableauProduit[[#This Row],[Prix achat plantes / kg]]*TableauProduit[[#This Row],[Total (kg) N4]]</f>
        <v/>
      </c>
      <c r="AI45" s="916">
        <f>TableauProduit[[#This Row],[Prix de vente/kg]]*TableauProduit[[#This Row],[Total (kg) N4]]</f>
        <v/>
      </c>
      <c r="AJ45" s="915">
        <f>TableauProduit[[#This Row],[Revenu brut N4]]-TableauProduit[[#This Row],[Achat plantes N4]]-TableauProduit[[#This Row],[Conditionnement N4]]</f>
        <v/>
      </c>
      <c r="AK45" s="917" t="n">
        <v>60</v>
      </c>
      <c r="AL45" s="917">
        <f>TableauProduit[[#This Row],[Poids (g) / unité]]*TableauProduit[[#This Row],[Objectif de vente en unité N5]]/1000</f>
        <v/>
      </c>
      <c r="AM45" s="918">
        <f>TableauProduit[[#This Row],[Objectif de vente en unité N5]]*TableauProduit[[#This Row],[Packaging / unité]]</f>
        <v/>
      </c>
      <c r="AN45" s="918">
        <f>TableauProduit[[#This Row],[Prix achat plantes / kg]]*TableauProduit[[#This Row],[Total (kg) N5]]</f>
        <v/>
      </c>
      <c r="AO45" s="918">
        <f>TableauProduit[[#This Row],[Prix de vente/kg]]*TableauProduit[[#This Row],[Total (kg) N5]]</f>
        <v/>
      </c>
      <c r="AP45" s="917">
        <f>TableauProduit[[#This Row],[Revenu brut N5]]-TableauProduit[[#This Row],[Achat plantes N5]]-TableauProduit[[#This Row],[Conditionnement N5]]</f>
        <v/>
      </c>
      <c r="AQ45" s="919" t="n">
        <v>65</v>
      </c>
      <c r="AR45" s="919">
        <f>TableauProduit[[#This Row],[Poids (g) / unité]]*TableauProduit[[#This Row],[Objectif de vente en unité N6]]/1000</f>
        <v/>
      </c>
      <c r="AS45" s="920">
        <f>TableauProduit[[#This Row],[Objectif de vente en unité N6]]*TableauProduit[[#This Row],[Packaging / unité]]</f>
        <v/>
      </c>
      <c r="AT45" s="920">
        <f>TableauProduit[[#This Row],[Prix achat plantes / kg]]*TableauProduit[[#This Row],[Total (kg) N6]]</f>
        <v/>
      </c>
      <c r="AU45" s="920">
        <f>TableauProduit[[#This Row],[Prix de vente/kg]]*TableauProduit[[#This Row],[Total (kg) N6]]</f>
        <v/>
      </c>
      <c r="AV45" s="919">
        <f>TableauProduit[[#This Row],[Revenu brut N6]]-TableauProduit[[#This Row],[Achat plantes N6]]-TableauProduit[[#This Row],[Conditionnement N6]]</f>
        <v/>
      </c>
      <c r="AW45" s="904" t="n">
        <v>68</v>
      </c>
      <c r="AX45" s="904">
        <f>TableauProduit[[#This Row],[Poids (g) / unité]]*TableauProduit[[#This Row],[Objectif de vente en unité N7]]/1000</f>
        <v/>
      </c>
      <c r="AY45" s="905">
        <f>TableauProduit[[#This Row],[Objectif de vente en unité N7]]*TableauProduit[[#This Row],[Packaging / unité]]</f>
        <v/>
      </c>
      <c r="AZ45" s="905">
        <f>TableauProduit[[#This Row],[Prix achat plantes / kg]]*TableauProduit[[#This Row],[Total (kg) N7]]</f>
        <v/>
      </c>
      <c r="BA45" s="905">
        <f>TableauProduit[[#This Row],[Prix de vente/kg]]*TableauProduit[[#This Row],[Total (kg) N7]]</f>
        <v/>
      </c>
      <c r="BB45" s="921">
        <f>TableauProduit[[#This Row],[Revenu brut N7]]-TableauProduit[[#This Row],[Achat plantes N7]]-TableauProduit[[#This Row],[Conditionnement N7]]</f>
        <v/>
      </c>
      <c r="BC45" s="922" t="n">
        <v>68</v>
      </c>
      <c r="BD45" s="923">
        <f>TableauProduit[[#This Row],[Poids (g) / unité]]*TableauProduit[[#This Row],[Objectif de vente en unité N8]]/1000</f>
        <v/>
      </c>
      <c r="BE45" s="924">
        <f>TableauProduit[[#This Row],[Objectif de vente en unité N8]]*TableauProduit[[#This Row],[Packaging / unité]]</f>
        <v/>
      </c>
      <c r="BF45" s="924">
        <f>TableauProduit[[#This Row],[Prix achat plantes / kg]]*TableauProduit[[#This Row],[Total (kg) N8]]</f>
        <v/>
      </c>
      <c r="BG45" s="924">
        <f>TableauProduit[[#This Row],[Prix de vente/kg]]*TableauProduit[[#This Row],[Total (kg) N8]]</f>
        <v/>
      </c>
      <c r="BH45" s="925">
        <f>TableauProduit[[#This Row],[Revenu brut N8]]-TableauProduit[[#This Row],[Achat plantes N8]]-TableauProduit[[#This Row],[Conditionnement N8]]</f>
        <v/>
      </c>
      <c r="BI45" s="926" t="n">
        <v>68</v>
      </c>
      <c r="BJ45" s="927">
        <f>TableauProduit[[#This Row],[Poids (g) / unité]]*TableauProduit[[#This Row],[Objectif de vente en unité N9]]/1000</f>
        <v/>
      </c>
      <c r="BK45" s="928">
        <f>TableauProduit[[#This Row],[Objectif de vente en unité N9]]*TableauProduit[[#This Row],[Packaging / unité]]</f>
        <v/>
      </c>
      <c r="BL45" s="928">
        <f>TableauProduit[[#This Row],[Prix achat plantes / kg]]*TableauProduit[[#This Row],[Total (kg) N9]]</f>
        <v/>
      </c>
      <c r="BM45" s="928">
        <f>TableauProduit[[#This Row],[Prix de vente/kg]]*TableauProduit[[#This Row],[Total (kg) N9]]</f>
        <v/>
      </c>
      <c r="BN45" s="927">
        <f>TableauProduit[[#This Row],[Revenu brut N9]]-TableauProduit[[#This Row],[Achat plantes N9]]-TableauProduit[[#This Row],[Conditionnement N9]]</f>
        <v/>
      </c>
      <c r="BO45" t="inlineStr">
        <is>
          <t>Autre</t>
        </is>
      </c>
    </row>
    <row r="46">
      <c r="A46" s="13" t="inlineStr">
        <is>
          <t>Steak de Montréal</t>
        </is>
      </c>
      <c r="B46" s="54">
        <f>TableauProduit[[#This Row],[Recette]]&amp;TableauProduit[[#This Row],[Conditionnement]]</f>
        <v/>
      </c>
      <c r="C46" s="11" t="n">
        <v>1</v>
      </c>
      <c r="D46" s="11" t="n">
        <v>50</v>
      </c>
      <c r="E46" s="6" t="inlineStr">
        <is>
          <t>Epice 100ml</t>
        </is>
      </c>
      <c r="F46" s="7">
        <f>IFERROR(VLOOKUP(TableauProduit[[#This Row],[Conditionnement]],TableauConditionnement[[Nom]:[Contenance]],4,FALSE),"")</f>
        <v/>
      </c>
      <c r="G46" s="897">
        <f>IFERROR(SUMIFS(TableauRecette[Prix d''achat / kg],TableauRecette[Recette],TableauProduit[[#This Row],[Recette]],TableauRecette[Conditionnement],TableauProduit[[#This Row],[Conditionnement]]),0)</f>
        <v/>
      </c>
      <c r="H46" s="898" t="n">
        <v>5</v>
      </c>
      <c r="I46" s="899">
        <f>1000*TableauProduit[[#This Row],[Prix de vente/U]]/TableauProduit[[#This Row],[Poids (g) / unité]]</f>
        <v/>
      </c>
      <c r="J46" s="900">
        <f>SUMIFS(TableauConcurence[PRIX_KG],TableauConcurence[PRODUIT],TableauProduit[[#This Row],[Recette]],TableauConcurence[DISTRIBUTION],"magasin NON BIO")</f>
        <v/>
      </c>
      <c r="K46" s="901">
        <f>SUMIFS(TableauConcurence[PRIX_KG],TableauConcurence[PRODUIT],TableauProduit[[#This Row],[Recette]],TableauConcurence[DISTRIBUTION],"magasin BIO")</f>
        <v/>
      </c>
      <c r="L46" s="902">
        <f>SUMIFS(TableauConcurence[PRIX_KG],TableauConcurence[PRODUIT],TableauProduit[[#This Row],[Recette]],TableauConcurence[DISTRIBUTION],"artisanale BIO")</f>
        <v/>
      </c>
      <c r="M46" s="903" t="n">
        <v>0</v>
      </c>
      <c r="N46" s="904">
        <f>TableauProduit[[#This Row],[Poids (g) / unité]]*TableauProduit[[#This Row],[Objectif de vente en unité N1]]/1000</f>
        <v/>
      </c>
      <c r="O46" s="905">
        <f>TableauProduit[[#This Row],[Objectif de vente en unité N1]]*TableauProduit[[#This Row],[Packaging / unité]]</f>
        <v/>
      </c>
      <c r="P46" s="905">
        <f>TableauProduit[[#This Row],[Prix achat plantes / kg]]*TableauProduit[[#This Row],[Total (kg) N1]]</f>
        <v/>
      </c>
      <c r="Q46" s="905">
        <f>TableauProduit[[#This Row],[Prix de vente/kg]]*TableauProduit[[#This Row],[Total (kg) N1]]</f>
        <v/>
      </c>
      <c r="R46" s="906">
        <f>TableauProduit[[#This Row],[Revenu brut N1]]-TableauProduit[[#This Row],[Achat plantes N1]]-TableauProduit[[#This Row],[Conditionnement N1]]</f>
        <v/>
      </c>
      <c r="S46" s="907" t="n">
        <v>0</v>
      </c>
      <c r="T46" s="908">
        <f>TableauProduit[[#This Row],[Poids (g) / unité]]*TableauProduit[[#This Row],[Objectif de vente en unité N2]]/1000</f>
        <v/>
      </c>
      <c r="U46" s="909">
        <f>TableauProduit[[#This Row],[Objectif de vente en unité N2]]*TableauProduit[[#This Row],[Packaging / unité]]</f>
        <v/>
      </c>
      <c r="V46" s="909">
        <f>TableauProduit[[#This Row],[Prix achat plantes / kg]]*TableauProduit[[#This Row],[Total (kg) N2]]</f>
        <v/>
      </c>
      <c r="W46" s="909">
        <f>TableauProduit[[#This Row],[Prix de vente/kg]]*TableauProduit[[#This Row],[Total (kg) N2]]</f>
        <v/>
      </c>
      <c r="X46" s="910">
        <f>TableauProduit[[#This Row],[Revenu brut N2]]-TableauProduit[[#This Row],[Achat plantes N2]]-TableauProduit[[#This Row],[Conditionnement N2]]</f>
        <v/>
      </c>
      <c r="Y46" s="911" t="n">
        <v>0</v>
      </c>
      <c r="Z46" s="912">
        <f>TableauProduit[[#This Row],[Poids (g) / unité]]*TableauProduit[[#This Row],[Objectif de vente en unité N3]]/1000</f>
        <v/>
      </c>
      <c r="AA46" s="913">
        <f>TableauProduit[[#This Row],[Objectif de vente en unité N3]]*TableauProduit[[#This Row],[Packaging / unité]]</f>
        <v/>
      </c>
      <c r="AB46" s="913">
        <f>TableauProduit[[#This Row],[Prix achat plantes / kg]]*TableauProduit[[#This Row],[Total (kg) N3]]</f>
        <v/>
      </c>
      <c r="AC46" s="913">
        <f>TableauProduit[[#This Row],[Prix de vente/kg]]*TableauProduit[[#This Row],[Total (kg) N3]]</f>
        <v/>
      </c>
      <c r="AD46" s="914">
        <f>TableauProduit[[#This Row],[Revenu brut N3]]-TableauProduit[[#This Row],[Achat plantes N3]]-TableauProduit[[#This Row],[Conditionnement N3]]</f>
        <v/>
      </c>
      <c r="AE46" s="915" t="n">
        <v>50</v>
      </c>
      <c r="AF46" s="915">
        <f>TableauProduit[[#This Row],[Poids (g) / unité]]*TableauProduit[[#This Row],[Objectif de vente en unité N4]]/1000</f>
        <v/>
      </c>
      <c r="AG46" s="916">
        <f>TableauProduit[[#This Row],[Objectif de vente en unité N4]]*TableauProduit[[#This Row],[Packaging / unité]]</f>
        <v/>
      </c>
      <c r="AH46" s="916">
        <f>TableauProduit[[#This Row],[Prix achat plantes / kg]]*TableauProduit[[#This Row],[Total (kg) N4]]</f>
        <v/>
      </c>
      <c r="AI46" s="916">
        <f>TableauProduit[[#This Row],[Prix de vente/kg]]*TableauProduit[[#This Row],[Total (kg) N4]]</f>
        <v/>
      </c>
      <c r="AJ46" s="915">
        <f>TableauProduit[[#This Row],[Revenu brut N4]]-TableauProduit[[#This Row],[Achat plantes N4]]-TableauProduit[[#This Row],[Conditionnement N4]]</f>
        <v/>
      </c>
      <c r="AK46" s="917" t="n">
        <v>60</v>
      </c>
      <c r="AL46" s="917">
        <f>TableauProduit[[#This Row],[Poids (g) / unité]]*TableauProduit[[#This Row],[Objectif de vente en unité N5]]/1000</f>
        <v/>
      </c>
      <c r="AM46" s="918">
        <f>TableauProduit[[#This Row],[Objectif de vente en unité N5]]*TableauProduit[[#This Row],[Packaging / unité]]</f>
        <v/>
      </c>
      <c r="AN46" s="918">
        <f>TableauProduit[[#This Row],[Prix achat plantes / kg]]*TableauProduit[[#This Row],[Total (kg) N5]]</f>
        <v/>
      </c>
      <c r="AO46" s="918">
        <f>TableauProduit[[#This Row],[Prix de vente/kg]]*TableauProduit[[#This Row],[Total (kg) N5]]</f>
        <v/>
      </c>
      <c r="AP46" s="917">
        <f>TableauProduit[[#This Row],[Revenu brut N5]]-TableauProduit[[#This Row],[Achat plantes N5]]-TableauProduit[[#This Row],[Conditionnement N5]]</f>
        <v/>
      </c>
      <c r="AQ46" s="919" t="n">
        <v>65</v>
      </c>
      <c r="AR46" s="919">
        <f>TableauProduit[[#This Row],[Poids (g) / unité]]*TableauProduit[[#This Row],[Objectif de vente en unité N6]]/1000</f>
        <v/>
      </c>
      <c r="AS46" s="920">
        <f>TableauProduit[[#This Row],[Objectif de vente en unité N6]]*TableauProduit[[#This Row],[Packaging / unité]]</f>
        <v/>
      </c>
      <c r="AT46" s="920">
        <f>TableauProduit[[#This Row],[Prix achat plantes / kg]]*TableauProduit[[#This Row],[Total (kg) N6]]</f>
        <v/>
      </c>
      <c r="AU46" s="920">
        <f>TableauProduit[[#This Row],[Prix de vente/kg]]*TableauProduit[[#This Row],[Total (kg) N6]]</f>
        <v/>
      </c>
      <c r="AV46" s="919">
        <f>TableauProduit[[#This Row],[Revenu brut N6]]-TableauProduit[[#This Row],[Achat plantes N6]]-TableauProduit[[#This Row],[Conditionnement N6]]</f>
        <v/>
      </c>
      <c r="AW46" s="904" t="n">
        <v>68</v>
      </c>
      <c r="AX46" s="904">
        <f>TableauProduit[[#This Row],[Poids (g) / unité]]*TableauProduit[[#This Row],[Objectif de vente en unité N7]]/1000</f>
        <v/>
      </c>
      <c r="AY46" s="905">
        <f>TableauProduit[[#This Row],[Objectif de vente en unité N7]]*TableauProduit[[#This Row],[Packaging / unité]]</f>
        <v/>
      </c>
      <c r="AZ46" s="905">
        <f>TableauProduit[[#This Row],[Prix achat plantes / kg]]*TableauProduit[[#This Row],[Total (kg) N7]]</f>
        <v/>
      </c>
      <c r="BA46" s="905">
        <f>TableauProduit[[#This Row],[Prix de vente/kg]]*TableauProduit[[#This Row],[Total (kg) N7]]</f>
        <v/>
      </c>
      <c r="BB46" s="921">
        <f>TableauProduit[[#This Row],[Revenu brut N7]]-TableauProduit[[#This Row],[Achat plantes N7]]-TableauProduit[[#This Row],[Conditionnement N7]]</f>
        <v/>
      </c>
      <c r="BC46" s="922" t="n">
        <v>68</v>
      </c>
      <c r="BD46" s="923">
        <f>TableauProduit[[#This Row],[Poids (g) / unité]]*TableauProduit[[#This Row],[Objectif de vente en unité N8]]/1000</f>
        <v/>
      </c>
      <c r="BE46" s="924">
        <f>TableauProduit[[#This Row],[Objectif de vente en unité N8]]*TableauProduit[[#This Row],[Packaging / unité]]</f>
        <v/>
      </c>
      <c r="BF46" s="924">
        <f>TableauProduit[[#This Row],[Prix achat plantes / kg]]*TableauProduit[[#This Row],[Total (kg) N8]]</f>
        <v/>
      </c>
      <c r="BG46" s="924">
        <f>TableauProduit[[#This Row],[Prix de vente/kg]]*TableauProduit[[#This Row],[Total (kg) N8]]</f>
        <v/>
      </c>
      <c r="BH46" s="925">
        <f>TableauProduit[[#This Row],[Revenu brut N8]]-TableauProduit[[#This Row],[Achat plantes N8]]-TableauProduit[[#This Row],[Conditionnement N8]]</f>
        <v/>
      </c>
      <c r="BI46" s="926" t="n">
        <v>68</v>
      </c>
      <c r="BJ46" s="927">
        <f>TableauProduit[[#This Row],[Poids (g) / unité]]*TableauProduit[[#This Row],[Objectif de vente en unité N9]]/1000</f>
        <v/>
      </c>
      <c r="BK46" s="928">
        <f>TableauProduit[[#This Row],[Objectif de vente en unité N9]]*TableauProduit[[#This Row],[Packaging / unité]]</f>
        <v/>
      </c>
      <c r="BL46" s="928">
        <f>TableauProduit[[#This Row],[Prix achat plantes / kg]]*TableauProduit[[#This Row],[Total (kg) N9]]</f>
        <v/>
      </c>
      <c r="BM46" s="928">
        <f>TableauProduit[[#This Row],[Prix de vente/kg]]*TableauProduit[[#This Row],[Total (kg) N9]]</f>
        <v/>
      </c>
      <c r="BN46" s="927">
        <f>TableauProduit[[#This Row],[Revenu brut N9]]-TableauProduit[[#This Row],[Achat plantes N9]]-TableauProduit[[#This Row],[Conditionnement N9]]</f>
        <v/>
      </c>
      <c r="BO46" t="inlineStr">
        <is>
          <t>Autre</t>
        </is>
      </c>
    </row>
    <row r="47">
      <c r="A47" s="13" t="inlineStr">
        <is>
          <t>Colombo</t>
        </is>
      </c>
      <c r="B47" s="54">
        <f>TableauProduit[[#This Row],[Recette]]&amp;TableauProduit[[#This Row],[Conditionnement]]</f>
        <v/>
      </c>
      <c r="C47" s="11" t="n">
        <v>1</v>
      </c>
      <c r="D47" s="11" t="n">
        <v>45</v>
      </c>
      <c r="E47" s="6" t="inlineStr">
        <is>
          <t>Epice 100ml</t>
        </is>
      </c>
      <c r="F47" s="7">
        <f>IFERROR(VLOOKUP(TableauProduit[[#This Row],[Conditionnement]],TableauConditionnement[[Nom]:[Contenance]],4,FALSE),"")</f>
        <v/>
      </c>
      <c r="G47" s="897">
        <f>IFERROR(SUMIFS(TableauRecette[Prix d''achat / kg],TableauRecette[Recette],TableauProduit[[#This Row],[Recette]],TableauRecette[Conditionnement],TableauProduit[[#This Row],[Conditionnement]]),0)</f>
        <v/>
      </c>
      <c r="H47" s="898" t="n">
        <v>4.5</v>
      </c>
      <c r="I47" s="899">
        <f>1000*TableauProduit[[#This Row],[Prix de vente/U]]/TableauProduit[[#This Row],[Poids (g) / unité]]</f>
        <v/>
      </c>
      <c r="J47" s="900">
        <f>SUMIFS(TableauConcurence[PRIX_KG],TableauConcurence[PRODUIT],TableauProduit[[#This Row],[Recette]],TableauConcurence[DISTRIBUTION],"magasin NON BIO")</f>
        <v/>
      </c>
      <c r="K47" s="901">
        <f>SUMIFS(TableauConcurence[PRIX_KG],TableauConcurence[PRODUIT],TableauProduit[[#This Row],[Recette]],TableauConcurence[DISTRIBUTION],"magasin BIO")</f>
        <v/>
      </c>
      <c r="L47" s="902">
        <f>SUMIFS(TableauConcurence[PRIX_KG],TableauConcurence[PRODUIT],TableauProduit[[#This Row],[Recette]],TableauConcurence[DISTRIBUTION],"artisanale BIO")</f>
        <v/>
      </c>
      <c r="M47" s="903" t="n">
        <v>0</v>
      </c>
      <c r="N47" s="904">
        <f>TableauProduit[[#This Row],[Poids (g) / unité]]*TableauProduit[[#This Row],[Objectif de vente en unité N1]]/1000</f>
        <v/>
      </c>
      <c r="O47" s="905">
        <f>TableauProduit[[#This Row],[Objectif de vente en unité N1]]*TableauProduit[[#This Row],[Packaging / unité]]</f>
        <v/>
      </c>
      <c r="P47" s="905">
        <f>TableauProduit[[#This Row],[Prix achat plantes / kg]]*TableauProduit[[#This Row],[Total (kg) N1]]</f>
        <v/>
      </c>
      <c r="Q47" s="905">
        <f>TableauProduit[[#This Row],[Prix de vente/kg]]*TableauProduit[[#This Row],[Total (kg) N1]]</f>
        <v/>
      </c>
      <c r="R47" s="906">
        <f>TableauProduit[[#This Row],[Revenu brut N1]]-TableauProduit[[#This Row],[Achat plantes N1]]-TableauProduit[[#This Row],[Conditionnement N1]]</f>
        <v/>
      </c>
      <c r="S47" s="907" t="n">
        <v>0</v>
      </c>
      <c r="T47" s="908">
        <f>TableauProduit[[#This Row],[Poids (g) / unité]]*TableauProduit[[#This Row],[Objectif de vente en unité N2]]/1000</f>
        <v/>
      </c>
      <c r="U47" s="909">
        <f>TableauProduit[[#This Row],[Objectif de vente en unité N2]]*TableauProduit[[#This Row],[Packaging / unité]]</f>
        <v/>
      </c>
      <c r="V47" s="909">
        <f>TableauProduit[[#This Row],[Prix achat plantes / kg]]*TableauProduit[[#This Row],[Total (kg) N2]]</f>
        <v/>
      </c>
      <c r="W47" s="909">
        <f>TableauProduit[[#This Row],[Prix de vente/kg]]*TableauProduit[[#This Row],[Total (kg) N2]]</f>
        <v/>
      </c>
      <c r="X47" s="910">
        <f>TableauProduit[[#This Row],[Revenu brut N2]]-TableauProduit[[#This Row],[Achat plantes N2]]-TableauProduit[[#This Row],[Conditionnement N2]]</f>
        <v/>
      </c>
      <c r="Y47" s="911" t="n">
        <v>100</v>
      </c>
      <c r="Z47" s="912">
        <f>TableauProduit[[#This Row],[Poids (g) / unité]]*TableauProduit[[#This Row],[Objectif de vente en unité N3]]/1000</f>
        <v/>
      </c>
      <c r="AA47" s="913">
        <f>TableauProduit[[#This Row],[Objectif de vente en unité N3]]*TableauProduit[[#This Row],[Packaging / unité]]</f>
        <v/>
      </c>
      <c r="AB47" s="913">
        <f>TableauProduit[[#This Row],[Prix achat plantes / kg]]*TableauProduit[[#This Row],[Total (kg) N3]]</f>
        <v/>
      </c>
      <c r="AC47" s="913">
        <f>TableauProduit[[#This Row],[Prix de vente/kg]]*TableauProduit[[#This Row],[Total (kg) N3]]</f>
        <v/>
      </c>
      <c r="AD47" s="914">
        <f>TableauProduit[[#This Row],[Revenu brut N3]]-TableauProduit[[#This Row],[Achat plantes N3]]-TableauProduit[[#This Row],[Conditionnement N3]]</f>
        <v/>
      </c>
      <c r="AE47" s="915" t="n">
        <v>130</v>
      </c>
      <c r="AF47" s="915">
        <f>TableauProduit[[#This Row],[Poids (g) / unité]]*TableauProduit[[#This Row],[Objectif de vente en unité N4]]/1000</f>
        <v/>
      </c>
      <c r="AG47" s="916">
        <f>TableauProduit[[#This Row],[Objectif de vente en unité N4]]*TableauProduit[[#This Row],[Packaging / unité]]</f>
        <v/>
      </c>
      <c r="AH47" s="916">
        <f>TableauProduit[[#This Row],[Prix achat plantes / kg]]*TableauProduit[[#This Row],[Total (kg) N4]]</f>
        <v/>
      </c>
      <c r="AI47" s="916">
        <f>TableauProduit[[#This Row],[Prix de vente/kg]]*TableauProduit[[#This Row],[Total (kg) N4]]</f>
        <v/>
      </c>
      <c r="AJ47" s="915">
        <f>TableauProduit[[#This Row],[Revenu brut N4]]-TableauProduit[[#This Row],[Achat plantes N4]]-TableauProduit[[#This Row],[Conditionnement N4]]</f>
        <v/>
      </c>
      <c r="AK47" s="917" t="n">
        <v>150</v>
      </c>
      <c r="AL47" s="917">
        <f>TableauProduit[[#This Row],[Poids (g) / unité]]*TableauProduit[[#This Row],[Objectif de vente en unité N5]]/1000</f>
        <v/>
      </c>
      <c r="AM47" s="918">
        <f>TableauProduit[[#This Row],[Objectif de vente en unité N5]]*TableauProduit[[#This Row],[Packaging / unité]]</f>
        <v/>
      </c>
      <c r="AN47" s="918">
        <f>TableauProduit[[#This Row],[Prix achat plantes / kg]]*TableauProduit[[#This Row],[Total (kg) N5]]</f>
        <v/>
      </c>
      <c r="AO47" s="918">
        <f>TableauProduit[[#This Row],[Prix de vente/kg]]*TableauProduit[[#This Row],[Total (kg) N5]]</f>
        <v/>
      </c>
      <c r="AP47" s="917">
        <f>TableauProduit[[#This Row],[Revenu brut N5]]-TableauProduit[[#This Row],[Achat plantes N5]]-TableauProduit[[#This Row],[Conditionnement N5]]</f>
        <v/>
      </c>
      <c r="AQ47" s="919" t="n">
        <v>160</v>
      </c>
      <c r="AR47" s="919">
        <f>TableauProduit[[#This Row],[Poids (g) / unité]]*TableauProduit[[#This Row],[Objectif de vente en unité N6]]/1000</f>
        <v/>
      </c>
      <c r="AS47" s="920">
        <f>TableauProduit[[#This Row],[Objectif de vente en unité N6]]*TableauProduit[[#This Row],[Packaging / unité]]</f>
        <v/>
      </c>
      <c r="AT47" s="920">
        <f>TableauProduit[[#This Row],[Prix achat plantes / kg]]*TableauProduit[[#This Row],[Total (kg) N6]]</f>
        <v/>
      </c>
      <c r="AU47" s="920">
        <f>TableauProduit[[#This Row],[Prix de vente/kg]]*TableauProduit[[#This Row],[Total (kg) N6]]</f>
        <v/>
      </c>
      <c r="AV47" s="919">
        <f>TableauProduit[[#This Row],[Revenu brut N6]]-TableauProduit[[#This Row],[Achat plantes N6]]-TableauProduit[[#This Row],[Conditionnement N6]]</f>
        <v/>
      </c>
      <c r="AW47" s="904" t="n">
        <v>160</v>
      </c>
      <c r="AX47" s="904">
        <f>TableauProduit[[#This Row],[Poids (g) / unité]]*TableauProduit[[#This Row],[Objectif de vente en unité N7]]/1000</f>
        <v/>
      </c>
      <c r="AY47" s="905">
        <f>TableauProduit[[#This Row],[Objectif de vente en unité N7]]*TableauProduit[[#This Row],[Packaging / unité]]</f>
        <v/>
      </c>
      <c r="AZ47" s="905">
        <f>TableauProduit[[#This Row],[Prix achat plantes / kg]]*TableauProduit[[#This Row],[Total (kg) N7]]</f>
        <v/>
      </c>
      <c r="BA47" s="905">
        <f>TableauProduit[[#This Row],[Prix de vente/kg]]*TableauProduit[[#This Row],[Total (kg) N7]]</f>
        <v/>
      </c>
      <c r="BB47" s="921">
        <f>TableauProduit[[#This Row],[Revenu brut N7]]-TableauProduit[[#This Row],[Achat plantes N7]]-TableauProduit[[#This Row],[Conditionnement N7]]</f>
        <v/>
      </c>
      <c r="BC47" s="922" t="n">
        <v>160</v>
      </c>
      <c r="BD47" s="923">
        <f>TableauProduit[[#This Row],[Poids (g) / unité]]*TableauProduit[[#This Row],[Objectif de vente en unité N8]]/1000</f>
        <v/>
      </c>
      <c r="BE47" s="924">
        <f>TableauProduit[[#This Row],[Objectif de vente en unité N8]]*TableauProduit[[#This Row],[Packaging / unité]]</f>
        <v/>
      </c>
      <c r="BF47" s="924">
        <f>TableauProduit[[#This Row],[Prix achat plantes / kg]]*TableauProduit[[#This Row],[Total (kg) N8]]</f>
        <v/>
      </c>
      <c r="BG47" s="924">
        <f>TableauProduit[[#This Row],[Prix de vente/kg]]*TableauProduit[[#This Row],[Total (kg) N8]]</f>
        <v/>
      </c>
      <c r="BH47" s="925">
        <f>TableauProduit[[#This Row],[Revenu brut N8]]-TableauProduit[[#This Row],[Achat plantes N8]]-TableauProduit[[#This Row],[Conditionnement N8]]</f>
        <v/>
      </c>
      <c r="BI47" s="926" t="n">
        <v>160</v>
      </c>
      <c r="BJ47" s="927">
        <f>TableauProduit[[#This Row],[Poids (g) / unité]]*TableauProduit[[#This Row],[Objectif de vente en unité N9]]/1000</f>
        <v/>
      </c>
      <c r="BK47" s="928">
        <f>TableauProduit[[#This Row],[Objectif de vente en unité N9]]*TableauProduit[[#This Row],[Packaging / unité]]</f>
        <v/>
      </c>
      <c r="BL47" s="928">
        <f>TableauProduit[[#This Row],[Prix achat plantes / kg]]*TableauProduit[[#This Row],[Total (kg) N9]]</f>
        <v/>
      </c>
      <c r="BM47" s="928">
        <f>TableauProduit[[#This Row],[Prix de vente/kg]]*TableauProduit[[#This Row],[Total (kg) N9]]</f>
        <v/>
      </c>
      <c r="BN47" s="927">
        <f>TableauProduit[[#This Row],[Revenu brut N9]]-TableauProduit[[#This Row],[Achat plantes N9]]-TableauProduit[[#This Row],[Conditionnement N9]]</f>
        <v/>
      </c>
      <c r="BO47" t="inlineStr">
        <is>
          <t>Mélange</t>
        </is>
      </c>
    </row>
    <row r="48">
      <c r="A48" s="13" t="inlineStr">
        <is>
          <t>Vindaloo masala</t>
        </is>
      </c>
      <c r="B48" s="54">
        <f>TableauProduit[[#This Row],[Recette]]&amp;TableauProduit[[#This Row],[Conditionnement]]</f>
        <v/>
      </c>
      <c r="C48" s="11" t="n">
        <v>1</v>
      </c>
      <c r="D48" s="11" t="n">
        <v>50</v>
      </c>
      <c r="E48" s="6" t="inlineStr">
        <is>
          <t>Epice 100ml</t>
        </is>
      </c>
      <c r="F48" s="7">
        <f>IFERROR(VLOOKUP(TableauProduit[[#This Row],[Conditionnement]],TableauConditionnement[[Nom]:[Contenance]],4,FALSE),"")</f>
        <v/>
      </c>
      <c r="G48" s="897">
        <f>IFERROR(SUMIFS(TableauRecette[Prix d''achat / kg],TableauRecette[Recette],TableauProduit[[#This Row],[Recette]],TableauRecette[Conditionnement],TableauProduit[[#This Row],[Conditionnement]]),0)</f>
        <v/>
      </c>
      <c r="H48" s="898" t="n">
        <v>2.9</v>
      </c>
      <c r="I48" s="899">
        <f>1000*TableauProduit[[#This Row],[Prix de vente/U]]/TableauProduit[[#This Row],[Poids (g) / unité]]</f>
        <v/>
      </c>
      <c r="J48" s="900">
        <f>SUMIFS(TableauConcurence[PRIX_KG],TableauConcurence[PRODUIT],TableauProduit[[#This Row],[Recette]],TableauConcurence[DISTRIBUTION],"magasin NON BIO")</f>
        <v/>
      </c>
      <c r="K48" s="901">
        <f>SUMIFS(TableauConcurence[PRIX_KG],TableauConcurence[PRODUIT],TableauProduit[[#This Row],[Recette]],TableauConcurence[DISTRIBUTION],"magasin BIO")</f>
        <v/>
      </c>
      <c r="L48" s="902">
        <f>SUMIFS(TableauConcurence[PRIX_KG],TableauConcurence[PRODUIT],TableauProduit[[#This Row],[Recette]],TableauConcurence[DISTRIBUTION],"artisanale BIO")</f>
        <v/>
      </c>
      <c r="M48" s="903" t="n">
        <v>0</v>
      </c>
      <c r="N48" s="904">
        <f>TableauProduit[[#This Row],[Poids (g) / unité]]*TableauProduit[[#This Row],[Objectif de vente en unité N1]]/1000</f>
        <v/>
      </c>
      <c r="O48" s="905">
        <f>TableauProduit[[#This Row],[Objectif de vente en unité N1]]*TableauProduit[[#This Row],[Packaging / unité]]</f>
        <v/>
      </c>
      <c r="P48" s="905">
        <f>TableauProduit[[#This Row],[Prix achat plantes / kg]]*TableauProduit[[#This Row],[Total (kg) N1]]</f>
        <v/>
      </c>
      <c r="Q48" s="905">
        <f>TableauProduit[[#This Row],[Prix de vente/kg]]*TableauProduit[[#This Row],[Total (kg) N1]]</f>
        <v/>
      </c>
      <c r="R48" s="906">
        <f>TableauProduit[[#This Row],[Revenu brut N1]]-TableauProduit[[#This Row],[Achat plantes N1]]-TableauProduit[[#This Row],[Conditionnement N1]]</f>
        <v/>
      </c>
      <c r="S48" s="907" t="n">
        <v>0</v>
      </c>
      <c r="T48" s="908">
        <f>TableauProduit[[#This Row],[Poids (g) / unité]]*TableauProduit[[#This Row],[Objectif de vente en unité N2]]/1000</f>
        <v/>
      </c>
      <c r="U48" s="909">
        <f>TableauProduit[[#This Row],[Objectif de vente en unité N2]]*TableauProduit[[#This Row],[Packaging / unité]]</f>
        <v/>
      </c>
      <c r="V48" s="909">
        <f>TableauProduit[[#This Row],[Prix achat plantes / kg]]*TableauProduit[[#This Row],[Total (kg) N2]]</f>
        <v/>
      </c>
      <c r="W48" s="909">
        <f>TableauProduit[[#This Row],[Prix de vente/kg]]*TableauProduit[[#This Row],[Total (kg) N2]]</f>
        <v/>
      </c>
      <c r="X48" s="910">
        <f>TableauProduit[[#This Row],[Revenu brut N2]]-TableauProduit[[#This Row],[Achat plantes N2]]-TableauProduit[[#This Row],[Conditionnement N2]]</f>
        <v/>
      </c>
      <c r="Y48" s="911" t="n">
        <v>0</v>
      </c>
      <c r="Z48" s="912">
        <f>TableauProduit[[#This Row],[Poids (g) / unité]]*TableauProduit[[#This Row],[Objectif de vente en unité N3]]/1000</f>
        <v/>
      </c>
      <c r="AA48" s="913">
        <f>TableauProduit[[#This Row],[Objectif de vente en unité N3]]*TableauProduit[[#This Row],[Packaging / unité]]</f>
        <v/>
      </c>
      <c r="AB48" s="913">
        <f>TableauProduit[[#This Row],[Prix achat plantes / kg]]*TableauProduit[[#This Row],[Total (kg) N3]]</f>
        <v/>
      </c>
      <c r="AC48" s="913">
        <f>TableauProduit[[#This Row],[Prix de vente/kg]]*TableauProduit[[#This Row],[Total (kg) N3]]</f>
        <v/>
      </c>
      <c r="AD48" s="914">
        <f>TableauProduit[[#This Row],[Revenu brut N3]]-TableauProduit[[#This Row],[Achat plantes N3]]-TableauProduit[[#This Row],[Conditionnement N3]]</f>
        <v/>
      </c>
      <c r="AE48" s="915" t="n">
        <v>50</v>
      </c>
      <c r="AF48" s="915">
        <f>TableauProduit[[#This Row],[Poids (g) / unité]]*TableauProduit[[#This Row],[Objectif de vente en unité N4]]/1000</f>
        <v/>
      </c>
      <c r="AG48" s="916">
        <f>TableauProduit[[#This Row],[Objectif de vente en unité N4]]*TableauProduit[[#This Row],[Packaging / unité]]</f>
        <v/>
      </c>
      <c r="AH48" s="916">
        <f>TableauProduit[[#This Row],[Prix achat plantes / kg]]*TableauProduit[[#This Row],[Total (kg) N4]]</f>
        <v/>
      </c>
      <c r="AI48" s="916">
        <f>TableauProduit[[#This Row],[Prix de vente/kg]]*TableauProduit[[#This Row],[Total (kg) N4]]</f>
        <v/>
      </c>
      <c r="AJ48" s="915">
        <f>TableauProduit[[#This Row],[Revenu brut N4]]-TableauProduit[[#This Row],[Achat plantes N4]]-TableauProduit[[#This Row],[Conditionnement N4]]</f>
        <v/>
      </c>
      <c r="AK48" s="917" t="n">
        <v>60</v>
      </c>
      <c r="AL48" s="917">
        <f>TableauProduit[[#This Row],[Poids (g) / unité]]*TableauProduit[[#This Row],[Objectif de vente en unité N5]]/1000</f>
        <v/>
      </c>
      <c r="AM48" s="918">
        <f>TableauProduit[[#This Row],[Objectif de vente en unité N5]]*TableauProduit[[#This Row],[Packaging / unité]]</f>
        <v/>
      </c>
      <c r="AN48" s="918">
        <f>TableauProduit[[#This Row],[Prix achat plantes / kg]]*TableauProduit[[#This Row],[Total (kg) N5]]</f>
        <v/>
      </c>
      <c r="AO48" s="918">
        <f>TableauProduit[[#This Row],[Prix de vente/kg]]*TableauProduit[[#This Row],[Total (kg) N5]]</f>
        <v/>
      </c>
      <c r="AP48" s="917">
        <f>TableauProduit[[#This Row],[Revenu brut N5]]-TableauProduit[[#This Row],[Achat plantes N5]]-TableauProduit[[#This Row],[Conditionnement N5]]</f>
        <v/>
      </c>
      <c r="AQ48" s="919" t="n">
        <v>65</v>
      </c>
      <c r="AR48" s="919">
        <f>TableauProduit[[#This Row],[Poids (g) / unité]]*TableauProduit[[#This Row],[Objectif de vente en unité N6]]/1000</f>
        <v/>
      </c>
      <c r="AS48" s="920">
        <f>TableauProduit[[#This Row],[Objectif de vente en unité N6]]*TableauProduit[[#This Row],[Packaging / unité]]</f>
        <v/>
      </c>
      <c r="AT48" s="920">
        <f>TableauProduit[[#This Row],[Prix achat plantes / kg]]*TableauProduit[[#This Row],[Total (kg) N6]]</f>
        <v/>
      </c>
      <c r="AU48" s="920">
        <f>TableauProduit[[#This Row],[Prix de vente/kg]]*TableauProduit[[#This Row],[Total (kg) N6]]</f>
        <v/>
      </c>
      <c r="AV48" s="919">
        <f>TableauProduit[[#This Row],[Revenu brut N6]]-TableauProduit[[#This Row],[Achat plantes N6]]-TableauProduit[[#This Row],[Conditionnement N6]]</f>
        <v/>
      </c>
      <c r="AW48" s="904" t="n">
        <v>68</v>
      </c>
      <c r="AX48" s="904">
        <f>TableauProduit[[#This Row],[Poids (g) / unité]]*TableauProduit[[#This Row],[Objectif de vente en unité N7]]/1000</f>
        <v/>
      </c>
      <c r="AY48" s="905">
        <f>TableauProduit[[#This Row],[Objectif de vente en unité N7]]*TableauProduit[[#This Row],[Packaging / unité]]</f>
        <v/>
      </c>
      <c r="AZ48" s="905">
        <f>TableauProduit[[#This Row],[Prix achat plantes / kg]]*TableauProduit[[#This Row],[Total (kg) N7]]</f>
        <v/>
      </c>
      <c r="BA48" s="905">
        <f>TableauProduit[[#This Row],[Prix de vente/kg]]*TableauProduit[[#This Row],[Total (kg) N7]]</f>
        <v/>
      </c>
      <c r="BB48" s="921">
        <f>TableauProduit[[#This Row],[Revenu brut N7]]-TableauProduit[[#This Row],[Achat plantes N7]]-TableauProduit[[#This Row],[Conditionnement N7]]</f>
        <v/>
      </c>
      <c r="BC48" s="922" t="n">
        <v>68</v>
      </c>
      <c r="BD48" s="923">
        <f>TableauProduit[[#This Row],[Poids (g) / unité]]*TableauProduit[[#This Row],[Objectif de vente en unité N8]]/1000</f>
        <v/>
      </c>
      <c r="BE48" s="924">
        <f>TableauProduit[[#This Row],[Objectif de vente en unité N8]]*TableauProduit[[#This Row],[Packaging / unité]]</f>
        <v/>
      </c>
      <c r="BF48" s="924">
        <f>TableauProduit[[#This Row],[Prix achat plantes / kg]]*TableauProduit[[#This Row],[Total (kg) N8]]</f>
        <v/>
      </c>
      <c r="BG48" s="924">
        <f>TableauProduit[[#This Row],[Prix de vente/kg]]*TableauProduit[[#This Row],[Total (kg) N8]]</f>
        <v/>
      </c>
      <c r="BH48" s="925">
        <f>TableauProduit[[#This Row],[Revenu brut N8]]-TableauProduit[[#This Row],[Achat plantes N8]]-TableauProduit[[#This Row],[Conditionnement N8]]</f>
        <v/>
      </c>
      <c r="BI48" s="926" t="n">
        <v>68</v>
      </c>
      <c r="BJ48" s="927">
        <f>TableauProduit[[#This Row],[Poids (g) / unité]]*TableauProduit[[#This Row],[Objectif de vente en unité N9]]/1000</f>
        <v/>
      </c>
      <c r="BK48" s="928">
        <f>TableauProduit[[#This Row],[Objectif de vente en unité N9]]*TableauProduit[[#This Row],[Packaging / unité]]</f>
        <v/>
      </c>
      <c r="BL48" s="928">
        <f>TableauProduit[[#This Row],[Prix achat plantes / kg]]*TableauProduit[[#This Row],[Total (kg) N9]]</f>
        <v/>
      </c>
      <c r="BM48" s="928">
        <f>TableauProduit[[#This Row],[Prix de vente/kg]]*TableauProduit[[#This Row],[Total (kg) N9]]</f>
        <v/>
      </c>
      <c r="BN48" s="927">
        <f>TableauProduit[[#This Row],[Revenu brut N9]]-TableauProduit[[#This Row],[Achat plantes N9]]-TableauProduit[[#This Row],[Conditionnement N9]]</f>
        <v/>
      </c>
      <c r="BO48" t="inlineStr">
        <is>
          <t>Mélange</t>
        </is>
      </c>
    </row>
    <row r="49">
      <c r="A49" s="13" t="inlineStr">
        <is>
          <t>Nuoc cham</t>
        </is>
      </c>
      <c r="B49" s="54">
        <f>TableauProduit[[#This Row],[Recette]]&amp;TableauProduit[[#This Row],[Conditionnement]]</f>
        <v/>
      </c>
      <c r="C49" s="11" t="n">
        <v>1</v>
      </c>
      <c r="D49" s="11" t="n">
        <v>50</v>
      </c>
      <c r="E49" s="6" t="inlineStr">
        <is>
          <t>Epice 100ml</t>
        </is>
      </c>
      <c r="F49" s="7">
        <f>IFERROR(VLOOKUP(TableauProduit[[#This Row],[Conditionnement]],TableauConditionnement[[Nom]:[Contenance]],4,FALSE),"")</f>
        <v/>
      </c>
      <c r="G49" s="897">
        <f>IFERROR(SUMIFS(TableauRecette[Prix d''achat / kg],TableauRecette[Recette],TableauProduit[[#This Row],[Recette]],TableauRecette[Conditionnement],TableauProduit[[#This Row],[Conditionnement]]),0)</f>
        <v/>
      </c>
      <c r="H49" s="898" t="n">
        <v>5</v>
      </c>
      <c r="I49" s="899">
        <f>1000*TableauProduit[[#This Row],[Prix de vente/U]]/TableauProduit[[#This Row],[Poids (g) / unité]]</f>
        <v/>
      </c>
      <c r="J49" s="900">
        <f>SUMIFS(TableauConcurence[PRIX_KG],TableauConcurence[PRODUIT],TableauProduit[[#This Row],[Recette]],TableauConcurence[DISTRIBUTION],"magasin NON BIO")</f>
        <v/>
      </c>
      <c r="K49" s="901">
        <f>SUMIFS(TableauConcurence[PRIX_KG],TableauConcurence[PRODUIT],TableauProduit[[#This Row],[Recette]],TableauConcurence[DISTRIBUTION],"magasin BIO")</f>
        <v/>
      </c>
      <c r="L49" s="902">
        <f>SUMIFS(TableauConcurence[PRIX_KG],TableauConcurence[PRODUIT],TableauProduit[[#This Row],[Recette]],TableauConcurence[DISTRIBUTION],"artisanale BIO")</f>
        <v/>
      </c>
      <c r="M49" s="903" t="n">
        <v>0</v>
      </c>
      <c r="N49" s="904">
        <f>TableauProduit[[#This Row],[Poids (g) / unité]]*TableauProduit[[#This Row],[Objectif de vente en unité N1]]/1000</f>
        <v/>
      </c>
      <c r="O49" s="905">
        <f>TableauProduit[[#This Row],[Objectif de vente en unité N1]]*TableauProduit[[#This Row],[Packaging / unité]]</f>
        <v/>
      </c>
      <c r="P49" s="905">
        <f>TableauProduit[[#This Row],[Prix achat plantes / kg]]*TableauProduit[[#This Row],[Total (kg) N1]]</f>
        <v/>
      </c>
      <c r="Q49" s="905">
        <f>TableauProduit[[#This Row],[Prix de vente/kg]]*TableauProduit[[#This Row],[Total (kg) N1]]</f>
        <v/>
      </c>
      <c r="R49" s="906">
        <f>TableauProduit[[#This Row],[Revenu brut N1]]-TableauProduit[[#This Row],[Achat plantes N1]]-TableauProduit[[#This Row],[Conditionnement N1]]</f>
        <v/>
      </c>
      <c r="S49" s="907" t="n">
        <v>0</v>
      </c>
      <c r="T49" s="908">
        <f>TableauProduit[[#This Row],[Poids (g) / unité]]*TableauProduit[[#This Row],[Objectif de vente en unité N2]]/1000</f>
        <v/>
      </c>
      <c r="U49" s="909">
        <f>TableauProduit[[#This Row],[Objectif de vente en unité N2]]*TableauProduit[[#This Row],[Packaging / unité]]</f>
        <v/>
      </c>
      <c r="V49" s="909">
        <f>TableauProduit[[#This Row],[Prix achat plantes / kg]]*TableauProduit[[#This Row],[Total (kg) N2]]</f>
        <v/>
      </c>
      <c r="W49" s="909">
        <f>TableauProduit[[#This Row],[Prix de vente/kg]]*TableauProduit[[#This Row],[Total (kg) N2]]</f>
        <v/>
      </c>
      <c r="X49" s="910">
        <f>TableauProduit[[#This Row],[Revenu brut N2]]-TableauProduit[[#This Row],[Achat plantes N2]]-TableauProduit[[#This Row],[Conditionnement N2]]</f>
        <v/>
      </c>
      <c r="Y49" s="911" t="n">
        <v>0</v>
      </c>
      <c r="Z49" s="912">
        <f>TableauProduit[[#This Row],[Poids (g) / unité]]*TableauProduit[[#This Row],[Objectif de vente en unité N3]]/1000</f>
        <v/>
      </c>
      <c r="AA49" s="913">
        <f>TableauProduit[[#This Row],[Objectif de vente en unité N3]]*TableauProduit[[#This Row],[Packaging / unité]]</f>
        <v/>
      </c>
      <c r="AB49" s="913">
        <f>TableauProduit[[#This Row],[Prix achat plantes / kg]]*TableauProduit[[#This Row],[Total (kg) N3]]</f>
        <v/>
      </c>
      <c r="AC49" s="913">
        <f>TableauProduit[[#This Row],[Prix de vente/kg]]*TableauProduit[[#This Row],[Total (kg) N3]]</f>
        <v/>
      </c>
      <c r="AD49" s="914">
        <f>TableauProduit[[#This Row],[Revenu brut N3]]-TableauProduit[[#This Row],[Achat plantes N3]]-TableauProduit[[#This Row],[Conditionnement N3]]</f>
        <v/>
      </c>
      <c r="AE49" s="915" t="n">
        <v>50</v>
      </c>
      <c r="AF49" s="915">
        <f>TableauProduit[[#This Row],[Poids (g) / unité]]*TableauProduit[[#This Row],[Objectif de vente en unité N4]]/1000</f>
        <v/>
      </c>
      <c r="AG49" s="916">
        <f>TableauProduit[[#This Row],[Objectif de vente en unité N4]]*TableauProduit[[#This Row],[Packaging / unité]]</f>
        <v/>
      </c>
      <c r="AH49" s="916">
        <f>TableauProduit[[#This Row],[Prix achat plantes / kg]]*TableauProduit[[#This Row],[Total (kg) N4]]</f>
        <v/>
      </c>
      <c r="AI49" s="916">
        <f>TableauProduit[[#This Row],[Prix de vente/kg]]*TableauProduit[[#This Row],[Total (kg) N4]]</f>
        <v/>
      </c>
      <c r="AJ49" s="915">
        <f>TableauProduit[[#This Row],[Revenu brut N4]]-TableauProduit[[#This Row],[Achat plantes N4]]-TableauProduit[[#This Row],[Conditionnement N4]]</f>
        <v/>
      </c>
      <c r="AK49" s="917" t="n">
        <v>60</v>
      </c>
      <c r="AL49" s="917">
        <f>TableauProduit[[#This Row],[Poids (g) / unité]]*TableauProduit[[#This Row],[Objectif de vente en unité N5]]/1000</f>
        <v/>
      </c>
      <c r="AM49" s="918">
        <f>TableauProduit[[#This Row],[Objectif de vente en unité N5]]*TableauProduit[[#This Row],[Packaging / unité]]</f>
        <v/>
      </c>
      <c r="AN49" s="918">
        <f>TableauProduit[[#This Row],[Prix achat plantes / kg]]*TableauProduit[[#This Row],[Total (kg) N5]]</f>
        <v/>
      </c>
      <c r="AO49" s="918">
        <f>TableauProduit[[#This Row],[Prix de vente/kg]]*TableauProduit[[#This Row],[Total (kg) N5]]</f>
        <v/>
      </c>
      <c r="AP49" s="917">
        <f>TableauProduit[[#This Row],[Revenu brut N5]]-TableauProduit[[#This Row],[Achat plantes N5]]-TableauProduit[[#This Row],[Conditionnement N5]]</f>
        <v/>
      </c>
      <c r="AQ49" s="919" t="n">
        <v>65</v>
      </c>
      <c r="AR49" s="919">
        <f>TableauProduit[[#This Row],[Poids (g) / unité]]*TableauProduit[[#This Row],[Objectif de vente en unité N6]]/1000</f>
        <v/>
      </c>
      <c r="AS49" s="920">
        <f>TableauProduit[[#This Row],[Objectif de vente en unité N6]]*TableauProduit[[#This Row],[Packaging / unité]]</f>
        <v/>
      </c>
      <c r="AT49" s="920">
        <f>TableauProduit[[#This Row],[Prix achat plantes / kg]]*TableauProduit[[#This Row],[Total (kg) N6]]</f>
        <v/>
      </c>
      <c r="AU49" s="920">
        <f>TableauProduit[[#This Row],[Prix de vente/kg]]*TableauProduit[[#This Row],[Total (kg) N6]]</f>
        <v/>
      </c>
      <c r="AV49" s="919">
        <f>TableauProduit[[#This Row],[Revenu brut N6]]-TableauProduit[[#This Row],[Achat plantes N6]]-TableauProduit[[#This Row],[Conditionnement N6]]</f>
        <v/>
      </c>
      <c r="AW49" s="904" t="n">
        <v>68</v>
      </c>
      <c r="AX49" s="904">
        <f>TableauProduit[[#This Row],[Poids (g) / unité]]*TableauProduit[[#This Row],[Objectif de vente en unité N7]]/1000</f>
        <v/>
      </c>
      <c r="AY49" s="905">
        <f>TableauProduit[[#This Row],[Objectif de vente en unité N7]]*TableauProduit[[#This Row],[Packaging / unité]]</f>
        <v/>
      </c>
      <c r="AZ49" s="905">
        <f>TableauProduit[[#This Row],[Prix achat plantes / kg]]*TableauProduit[[#This Row],[Total (kg) N7]]</f>
        <v/>
      </c>
      <c r="BA49" s="905">
        <f>TableauProduit[[#This Row],[Prix de vente/kg]]*TableauProduit[[#This Row],[Total (kg) N7]]</f>
        <v/>
      </c>
      <c r="BB49" s="921">
        <f>TableauProduit[[#This Row],[Revenu brut N7]]-TableauProduit[[#This Row],[Achat plantes N7]]-TableauProduit[[#This Row],[Conditionnement N7]]</f>
        <v/>
      </c>
      <c r="BC49" s="922" t="n">
        <v>68</v>
      </c>
      <c r="BD49" s="923">
        <f>TableauProduit[[#This Row],[Poids (g) / unité]]*TableauProduit[[#This Row],[Objectif de vente en unité N8]]/1000</f>
        <v/>
      </c>
      <c r="BE49" s="924">
        <f>TableauProduit[[#This Row],[Objectif de vente en unité N8]]*TableauProduit[[#This Row],[Packaging / unité]]</f>
        <v/>
      </c>
      <c r="BF49" s="924">
        <f>TableauProduit[[#This Row],[Prix achat plantes / kg]]*TableauProduit[[#This Row],[Total (kg) N8]]</f>
        <v/>
      </c>
      <c r="BG49" s="924">
        <f>TableauProduit[[#This Row],[Prix de vente/kg]]*TableauProduit[[#This Row],[Total (kg) N8]]</f>
        <v/>
      </c>
      <c r="BH49" s="925">
        <f>TableauProduit[[#This Row],[Revenu brut N8]]-TableauProduit[[#This Row],[Achat plantes N8]]-TableauProduit[[#This Row],[Conditionnement N8]]</f>
        <v/>
      </c>
      <c r="BI49" s="926" t="n">
        <v>68</v>
      </c>
      <c r="BJ49" s="927">
        <f>TableauProduit[[#This Row],[Poids (g) / unité]]*TableauProduit[[#This Row],[Objectif de vente en unité N9]]/1000</f>
        <v/>
      </c>
      <c r="BK49" s="928">
        <f>TableauProduit[[#This Row],[Objectif de vente en unité N9]]*TableauProduit[[#This Row],[Packaging / unité]]</f>
        <v/>
      </c>
      <c r="BL49" s="928">
        <f>TableauProduit[[#This Row],[Prix achat plantes / kg]]*TableauProduit[[#This Row],[Total (kg) N9]]</f>
        <v/>
      </c>
      <c r="BM49" s="928">
        <f>TableauProduit[[#This Row],[Prix de vente/kg]]*TableauProduit[[#This Row],[Total (kg) N9]]</f>
        <v/>
      </c>
      <c r="BN49" s="927">
        <f>TableauProduit[[#This Row],[Revenu brut N9]]-TableauProduit[[#This Row],[Achat plantes N9]]-TableauProduit[[#This Row],[Conditionnement N9]]</f>
        <v/>
      </c>
      <c r="BO49" t="inlineStr">
        <is>
          <t>Autre</t>
        </is>
      </c>
    </row>
    <row r="50">
      <c r="A50" s="13" t="inlineStr">
        <is>
          <t>Épices guacamole</t>
        </is>
      </c>
      <c r="B50" s="54">
        <f>TableauProduit[[#This Row],[Recette]]&amp;TableauProduit[[#This Row],[Conditionnement]]</f>
        <v/>
      </c>
      <c r="C50" s="11" t="n">
        <v>1</v>
      </c>
      <c r="D50" s="11" t="n">
        <v>40</v>
      </c>
      <c r="E50" s="6" t="inlineStr">
        <is>
          <t>Epice 100ml</t>
        </is>
      </c>
      <c r="F50" s="7">
        <f>IFERROR(VLOOKUP(TableauProduit[[#This Row],[Conditionnement]],TableauConditionnement[[Nom]:[Contenance]],4,FALSE),"")</f>
        <v/>
      </c>
      <c r="G50" s="897">
        <f>IFERROR(SUMIFS(TableauRecette[Prix d''achat / kg],TableauRecette[Recette],TableauProduit[[#This Row],[Recette]],TableauRecette[Conditionnement],TableauProduit[[#This Row],[Conditionnement]]),0)</f>
        <v/>
      </c>
      <c r="H50" s="898" t="n">
        <v>4</v>
      </c>
      <c r="I50" s="899">
        <f>1000*TableauProduit[[#This Row],[Prix de vente/U]]/TableauProduit[[#This Row],[Poids (g) / unité]]</f>
        <v/>
      </c>
      <c r="J50" s="900">
        <f>SUMIFS(TableauConcurence[PRIX_KG],TableauConcurence[PRODUIT],TableauProduit[[#This Row],[Recette]],TableauConcurence[DISTRIBUTION],"magasin NON BIO")</f>
        <v/>
      </c>
      <c r="K50" s="901">
        <f>SUMIFS(TableauConcurence[PRIX_KG],TableauConcurence[PRODUIT],TableauProduit[[#This Row],[Recette]],TableauConcurence[DISTRIBUTION],"magasin BIO")</f>
        <v/>
      </c>
      <c r="L50" s="902">
        <f>SUMIFS(TableauConcurence[PRIX_KG],TableauConcurence[PRODUIT],TableauProduit[[#This Row],[Recette]],TableauConcurence[DISTRIBUTION],"artisanale BIO")</f>
        <v/>
      </c>
      <c r="M50" s="903" t="n">
        <v>0</v>
      </c>
      <c r="N50" s="904">
        <f>TableauProduit[[#This Row],[Poids (g) / unité]]*TableauProduit[[#This Row],[Objectif de vente en unité N1]]/1000</f>
        <v/>
      </c>
      <c r="O50" s="905">
        <f>TableauProduit[[#This Row],[Objectif de vente en unité N1]]*TableauProduit[[#This Row],[Packaging / unité]]</f>
        <v/>
      </c>
      <c r="P50" s="905">
        <f>TableauProduit[[#This Row],[Prix achat plantes / kg]]*TableauProduit[[#This Row],[Total (kg) N1]]</f>
        <v/>
      </c>
      <c r="Q50" s="905">
        <f>TableauProduit[[#This Row],[Prix de vente/kg]]*TableauProduit[[#This Row],[Total (kg) N1]]</f>
        <v/>
      </c>
      <c r="R50" s="906">
        <f>TableauProduit[[#This Row],[Revenu brut N1]]-TableauProduit[[#This Row],[Achat plantes N1]]-TableauProduit[[#This Row],[Conditionnement N1]]</f>
        <v/>
      </c>
      <c r="S50" s="907" t="n">
        <v>0</v>
      </c>
      <c r="T50" s="908">
        <f>TableauProduit[[#This Row],[Poids (g) / unité]]*TableauProduit[[#This Row],[Objectif de vente en unité N2]]/1000</f>
        <v/>
      </c>
      <c r="U50" s="909">
        <f>TableauProduit[[#This Row],[Objectif de vente en unité N2]]*TableauProduit[[#This Row],[Packaging / unité]]</f>
        <v/>
      </c>
      <c r="V50" s="909">
        <f>TableauProduit[[#This Row],[Prix achat plantes / kg]]*TableauProduit[[#This Row],[Total (kg) N2]]</f>
        <v/>
      </c>
      <c r="W50" s="909">
        <f>TableauProduit[[#This Row],[Prix de vente/kg]]*TableauProduit[[#This Row],[Total (kg) N2]]</f>
        <v/>
      </c>
      <c r="X50" s="910">
        <f>TableauProduit[[#This Row],[Revenu brut N2]]-TableauProduit[[#This Row],[Achat plantes N2]]-TableauProduit[[#This Row],[Conditionnement N2]]</f>
        <v/>
      </c>
      <c r="Y50" s="911" t="n">
        <v>0</v>
      </c>
      <c r="Z50" s="912">
        <f>TableauProduit[[#This Row],[Poids (g) / unité]]*TableauProduit[[#This Row],[Objectif de vente en unité N3]]/1000</f>
        <v/>
      </c>
      <c r="AA50" s="913">
        <f>TableauProduit[[#This Row],[Objectif de vente en unité N3]]*TableauProduit[[#This Row],[Packaging / unité]]</f>
        <v/>
      </c>
      <c r="AB50" s="913">
        <f>TableauProduit[[#This Row],[Prix achat plantes / kg]]*TableauProduit[[#This Row],[Total (kg) N3]]</f>
        <v/>
      </c>
      <c r="AC50" s="913">
        <f>TableauProduit[[#This Row],[Prix de vente/kg]]*TableauProduit[[#This Row],[Total (kg) N3]]</f>
        <v/>
      </c>
      <c r="AD50" s="914">
        <f>TableauProduit[[#This Row],[Revenu brut N3]]-TableauProduit[[#This Row],[Achat plantes N3]]-TableauProduit[[#This Row],[Conditionnement N3]]</f>
        <v/>
      </c>
      <c r="AE50" s="915" t="n">
        <v>50</v>
      </c>
      <c r="AF50" s="915">
        <f>TableauProduit[[#This Row],[Poids (g) / unité]]*TableauProduit[[#This Row],[Objectif de vente en unité N4]]/1000</f>
        <v/>
      </c>
      <c r="AG50" s="916">
        <f>TableauProduit[[#This Row],[Objectif de vente en unité N4]]*TableauProduit[[#This Row],[Packaging / unité]]</f>
        <v/>
      </c>
      <c r="AH50" s="916">
        <f>TableauProduit[[#This Row],[Prix achat plantes / kg]]*TableauProduit[[#This Row],[Total (kg) N4]]</f>
        <v/>
      </c>
      <c r="AI50" s="916">
        <f>TableauProduit[[#This Row],[Prix de vente/kg]]*TableauProduit[[#This Row],[Total (kg) N4]]</f>
        <v/>
      </c>
      <c r="AJ50" s="915">
        <f>TableauProduit[[#This Row],[Revenu brut N4]]-TableauProduit[[#This Row],[Achat plantes N4]]-TableauProduit[[#This Row],[Conditionnement N4]]</f>
        <v/>
      </c>
      <c r="AK50" s="917" t="n">
        <v>60</v>
      </c>
      <c r="AL50" s="917">
        <f>TableauProduit[[#This Row],[Poids (g) / unité]]*TableauProduit[[#This Row],[Objectif de vente en unité N5]]/1000</f>
        <v/>
      </c>
      <c r="AM50" s="918">
        <f>TableauProduit[[#This Row],[Objectif de vente en unité N5]]*TableauProduit[[#This Row],[Packaging / unité]]</f>
        <v/>
      </c>
      <c r="AN50" s="918">
        <f>TableauProduit[[#This Row],[Prix achat plantes / kg]]*TableauProduit[[#This Row],[Total (kg) N5]]</f>
        <v/>
      </c>
      <c r="AO50" s="918">
        <f>TableauProduit[[#This Row],[Prix de vente/kg]]*TableauProduit[[#This Row],[Total (kg) N5]]</f>
        <v/>
      </c>
      <c r="AP50" s="917">
        <f>TableauProduit[[#This Row],[Revenu brut N5]]-TableauProduit[[#This Row],[Achat plantes N5]]-TableauProduit[[#This Row],[Conditionnement N5]]</f>
        <v/>
      </c>
      <c r="AQ50" s="919" t="n">
        <v>65</v>
      </c>
      <c r="AR50" s="919">
        <f>TableauProduit[[#This Row],[Poids (g) / unité]]*TableauProduit[[#This Row],[Objectif de vente en unité N6]]/1000</f>
        <v/>
      </c>
      <c r="AS50" s="920">
        <f>TableauProduit[[#This Row],[Objectif de vente en unité N6]]*TableauProduit[[#This Row],[Packaging / unité]]</f>
        <v/>
      </c>
      <c r="AT50" s="920">
        <f>TableauProduit[[#This Row],[Prix achat plantes / kg]]*TableauProduit[[#This Row],[Total (kg) N6]]</f>
        <v/>
      </c>
      <c r="AU50" s="920">
        <f>TableauProduit[[#This Row],[Prix de vente/kg]]*TableauProduit[[#This Row],[Total (kg) N6]]</f>
        <v/>
      </c>
      <c r="AV50" s="919">
        <f>TableauProduit[[#This Row],[Revenu brut N6]]-TableauProduit[[#This Row],[Achat plantes N6]]-TableauProduit[[#This Row],[Conditionnement N6]]</f>
        <v/>
      </c>
      <c r="AW50" s="904" t="n">
        <v>68</v>
      </c>
      <c r="AX50" s="904">
        <f>TableauProduit[[#This Row],[Poids (g) / unité]]*TableauProduit[[#This Row],[Objectif de vente en unité N7]]/1000</f>
        <v/>
      </c>
      <c r="AY50" s="905">
        <f>TableauProduit[[#This Row],[Objectif de vente en unité N7]]*TableauProduit[[#This Row],[Packaging / unité]]</f>
        <v/>
      </c>
      <c r="AZ50" s="905">
        <f>TableauProduit[[#This Row],[Prix achat plantes / kg]]*TableauProduit[[#This Row],[Total (kg) N7]]</f>
        <v/>
      </c>
      <c r="BA50" s="905">
        <f>TableauProduit[[#This Row],[Prix de vente/kg]]*TableauProduit[[#This Row],[Total (kg) N7]]</f>
        <v/>
      </c>
      <c r="BB50" s="921">
        <f>TableauProduit[[#This Row],[Revenu brut N7]]-TableauProduit[[#This Row],[Achat plantes N7]]-TableauProduit[[#This Row],[Conditionnement N7]]</f>
        <v/>
      </c>
      <c r="BC50" s="922" t="n">
        <v>68</v>
      </c>
      <c r="BD50" s="923">
        <f>TableauProduit[[#This Row],[Poids (g) / unité]]*TableauProduit[[#This Row],[Objectif de vente en unité N8]]/1000</f>
        <v/>
      </c>
      <c r="BE50" s="924">
        <f>TableauProduit[[#This Row],[Objectif de vente en unité N8]]*TableauProduit[[#This Row],[Packaging / unité]]</f>
        <v/>
      </c>
      <c r="BF50" s="924">
        <f>TableauProduit[[#This Row],[Prix achat plantes / kg]]*TableauProduit[[#This Row],[Total (kg) N8]]</f>
        <v/>
      </c>
      <c r="BG50" s="924">
        <f>TableauProduit[[#This Row],[Prix de vente/kg]]*TableauProduit[[#This Row],[Total (kg) N8]]</f>
        <v/>
      </c>
      <c r="BH50" s="925">
        <f>TableauProduit[[#This Row],[Revenu brut N8]]-TableauProduit[[#This Row],[Achat plantes N8]]-TableauProduit[[#This Row],[Conditionnement N8]]</f>
        <v/>
      </c>
      <c r="BI50" s="926" t="n">
        <v>68</v>
      </c>
      <c r="BJ50" s="927">
        <f>TableauProduit[[#This Row],[Poids (g) / unité]]*TableauProduit[[#This Row],[Objectif de vente en unité N9]]/1000</f>
        <v/>
      </c>
      <c r="BK50" s="928">
        <f>TableauProduit[[#This Row],[Objectif de vente en unité N9]]*TableauProduit[[#This Row],[Packaging / unité]]</f>
        <v/>
      </c>
      <c r="BL50" s="928">
        <f>TableauProduit[[#This Row],[Prix achat plantes / kg]]*TableauProduit[[#This Row],[Total (kg) N9]]</f>
        <v/>
      </c>
      <c r="BM50" s="928">
        <f>TableauProduit[[#This Row],[Prix de vente/kg]]*TableauProduit[[#This Row],[Total (kg) N9]]</f>
        <v/>
      </c>
      <c r="BN50" s="927">
        <f>TableauProduit[[#This Row],[Revenu brut N9]]-TableauProduit[[#This Row],[Achat plantes N9]]-TableauProduit[[#This Row],[Conditionnement N9]]</f>
        <v/>
      </c>
      <c r="BO50" t="inlineStr">
        <is>
          <t>Mélange</t>
        </is>
      </c>
    </row>
    <row r="51">
      <c r="A51" s="13" t="inlineStr">
        <is>
          <t>Huile massage anti-arthrite</t>
        </is>
      </c>
      <c r="B51" s="54">
        <f>TableauProduit[[#This Row],[Recette]]&amp;TableauProduit[[#This Row],[Conditionnement]]</f>
        <v/>
      </c>
      <c r="C51" s="11" t="n">
        <v>1</v>
      </c>
      <c r="D51" s="11" t="n">
        <v>500</v>
      </c>
      <c r="E51" s="6" t="inlineStr">
        <is>
          <t>Huile 1L</t>
        </is>
      </c>
      <c r="F51" s="7">
        <f>IFERROR(VLOOKUP(TableauProduit[[#This Row],[Conditionnement]],TableauConditionnement[[Nom]:[Contenance]],4,FALSE),"")</f>
        <v/>
      </c>
      <c r="G51" s="897">
        <f>IFERROR(SUMIFS(TableauRecette[Prix d''achat / kg],TableauRecette[Recette],TableauProduit[[#This Row],[Recette]],TableauRecette[Conditionnement],TableauProduit[[#This Row],[Conditionnement]]),0)</f>
        <v/>
      </c>
      <c r="H51" s="898" t="n">
        <v>5</v>
      </c>
      <c r="I51" s="899">
        <f>1000*TableauProduit[[#This Row],[Prix de vente/U]]/TableauProduit[[#This Row],[Poids (g) / unité]]</f>
        <v/>
      </c>
      <c r="J51" s="900">
        <f>SUMIFS(TableauConcurence[PRIX_KG],TableauConcurence[PRODUIT],TableauProduit[[#This Row],[Recette]],TableauConcurence[DISTRIBUTION],"magasin NON BIO")</f>
        <v/>
      </c>
      <c r="K51" s="901">
        <f>SUMIFS(TableauConcurence[PRIX_KG],TableauConcurence[PRODUIT],TableauProduit[[#This Row],[Recette]],TableauConcurence[DISTRIBUTION],"magasin BIO")</f>
        <v/>
      </c>
      <c r="L51" s="902">
        <f>SUMIFS(TableauConcurence[PRIX_KG],TableauConcurence[PRODUIT],TableauProduit[[#This Row],[Recette]],TableauConcurence[DISTRIBUTION],"artisanale BIO")</f>
        <v/>
      </c>
      <c r="M51" s="903" t="n">
        <v>0</v>
      </c>
      <c r="N51" s="904">
        <f>TableauProduit[[#This Row],[Poids (g) / unité]]*TableauProduit[[#This Row],[Objectif de vente en unité N1]]/1000</f>
        <v/>
      </c>
      <c r="O51" s="905">
        <f>TableauProduit[[#This Row],[Objectif de vente en unité N1]]*TableauProduit[[#This Row],[Packaging / unité]]</f>
        <v/>
      </c>
      <c r="P51" s="905">
        <f>TableauProduit[[#This Row],[Prix achat plantes / kg]]*TableauProduit[[#This Row],[Total (kg) N1]]</f>
        <v/>
      </c>
      <c r="Q51" s="905">
        <f>TableauProduit[[#This Row],[Prix de vente/kg]]*TableauProduit[[#This Row],[Total (kg) N1]]</f>
        <v/>
      </c>
      <c r="R51" s="906">
        <f>TableauProduit[[#This Row],[Revenu brut N1]]-TableauProduit[[#This Row],[Achat plantes N1]]-TableauProduit[[#This Row],[Conditionnement N1]]</f>
        <v/>
      </c>
      <c r="S51" s="907" t="n">
        <v>0</v>
      </c>
      <c r="T51" s="908">
        <f>TableauProduit[[#This Row],[Poids (g) / unité]]*TableauProduit[[#This Row],[Objectif de vente en unité N2]]/1000</f>
        <v/>
      </c>
      <c r="U51" s="909">
        <f>TableauProduit[[#This Row],[Objectif de vente en unité N2]]*TableauProduit[[#This Row],[Packaging / unité]]</f>
        <v/>
      </c>
      <c r="V51" s="909">
        <f>TableauProduit[[#This Row],[Prix achat plantes / kg]]*TableauProduit[[#This Row],[Total (kg) N2]]</f>
        <v/>
      </c>
      <c r="W51" s="909">
        <f>TableauProduit[[#This Row],[Prix de vente/kg]]*TableauProduit[[#This Row],[Total (kg) N2]]</f>
        <v/>
      </c>
      <c r="X51" s="910">
        <f>TableauProduit[[#This Row],[Revenu brut N2]]-TableauProduit[[#This Row],[Achat plantes N2]]-TableauProduit[[#This Row],[Conditionnement N2]]</f>
        <v/>
      </c>
      <c r="Y51" s="911" t="n">
        <v>0</v>
      </c>
      <c r="Z51" s="912">
        <f>TableauProduit[[#This Row],[Poids (g) / unité]]*TableauProduit[[#This Row],[Objectif de vente en unité N3]]/1000</f>
        <v/>
      </c>
      <c r="AA51" s="913">
        <f>TableauProduit[[#This Row],[Objectif de vente en unité N3]]*TableauProduit[[#This Row],[Packaging / unité]]</f>
        <v/>
      </c>
      <c r="AB51" s="913">
        <f>TableauProduit[[#This Row],[Prix achat plantes / kg]]*TableauProduit[[#This Row],[Total (kg) N3]]</f>
        <v/>
      </c>
      <c r="AC51" s="913">
        <f>TableauProduit[[#This Row],[Prix de vente/kg]]*TableauProduit[[#This Row],[Total (kg) N3]]</f>
        <v/>
      </c>
      <c r="AD51" s="914">
        <f>TableauProduit[[#This Row],[Revenu brut N3]]-TableauProduit[[#This Row],[Achat plantes N3]]-TableauProduit[[#This Row],[Conditionnement N3]]</f>
        <v/>
      </c>
      <c r="AE51" s="915" t="n">
        <v>0</v>
      </c>
      <c r="AF51" s="915">
        <f>TableauProduit[[#This Row],[Poids (g) / unité]]*TableauProduit[[#This Row],[Objectif de vente en unité N4]]/1000</f>
        <v/>
      </c>
      <c r="AG51" s="916">
        <f>TableauProduit[[#This Row],[Objectif de vente en unité N4]]*TableauProduit[[#This Row],[Packaging / unité]]</f>
        <v/>
      </c>
      <c r="AH51" s="916">
        <f>TableauProduit[[#This Row],[Prix achat plantes / kg]]*TableauProduit[[#This Row],[Total (kg) N4]]</f>
        <v/>
      </c>
      <c r="AI51" s="916">
        <f>TableauProduit[[#This Row],[Prix de vente/kg]]*TableauProduit[[#This Row],[Total (kg) N4]]</f>
        <v/>
      </c>
      <c r="AJ51" s="915">
        <f>TableauProduit[[#This Row],[Revenu brut N4]]-TableauProduit[[#This Row],[Achat plantes N4]]-TableauProduit[[#This Row],[Conditionnement N4]]</f>
        <v/>
      </c>
      <c r="AK51" s="917" t="n">
        <v>0</v>
      </c>
      <c r="AL51" s="917">
        <f>TableauProduit[[#This Row],[Poids (g) / unité]]*TableauProduit[[#This Row],[Objectif de vente en unité N5]]/1000</f>
        <v/>
      </c>
      <c r="AM51" s="918">
        <f>TableauProduit[[#This Row],[Objectif de vente en unité N5]]*TableauProduit[[#This Row],[Packaging / unité]]</f>
        <v/>
      </c>
      <c r="AN51" s="918">
        <f>TableauProduit[[#This Row],[Prix achat plantes / kg]]*TableauProduit[[#This Row],[Total (kg) N5]]</f>
        <v/>
      </c>
      <c r="AO51" s="918">
        <f>TableauProduit[[#This Row],[Prix de vente/kg]]*TableauProduit[[#This Row],[Total (kg) N5]]</f>
        <v/>
      </c>
      <c r="AP51" s="917">
        <f>TableauProduit[[#This Row],[Revenu brut N5]]-TableauProduit[[#This Row],[Achat plantes N5]]-TableauProduit[[#This Row],[Conditionnement N5]]</f>
        <v/>
      </c>
      <c r="AQ51" s="919" t="n">
        <v>0</v>
      </c>
      <c r="AR51" s="919">
        <f>TableauProduit[[#This Row],[Poids (g) / unité]]*TableauProduit[[#This Row],[Objectif de vente en unité N6]]/1000</f>
        <v/>
      </c>
      <c r="AS51" s="920">
        <f>TableauProduit[[#This Row],[Objectif de vente en unité N6]]*TableauProduit[[#This Row],[Packaging / unité]]</f>
        <v/>
      </c>
      <c r="AT51" s="920">
        <f>TableauProduit[[#This Row],[Prix achat plantes / kg]]*TableauProduit[[#This Row],[Total (kg) N6]]</f>
        <v/>
      </c>
      <c r="AU51" s="920">
        <f>TableauProduit[[#This Row],[Prix de vente/kg]]*TableauProduit[[#This Row],[Total (kg) N6]]</f>
        <v/>
      </c>
      <c r="AV51" s="919">
        <f>TableauProduit[[#This Row],[Revenu brut N6]]-TableauProduit[[#This Row],[Achat plantes N6]]-TableauProduit[[#This Row],[Conditionnement N6]]</f>
        <v/>
      </c>
      <c r="AW51" s="904" t="n">
        <v>0</v>
      </c>
      <c r="AX51" s="904">
        <f>TableauProduit[[#This Row],[Poids (g) / unité]]*TableauProduit[[#This Row],[Objectif de vente en unité N7]]/1000</f>
        <v/>
      </c>
      <c r="AY51" s="905">
        <f>TableauProduit[[#This Row],[Objectif de vente en unité N7]]*TableauProduit[[#This Row],[Packaging / unité]]</f>
        <v/>
      </c>
      <c r="AZ51" s="905">
        <f>TableauProduit[[#This Row],[Prix achat plantes / kg]]*TableauProduit[[#This Row],[Total (kg) N7]]</f>
        <v/>
      </c>
      <c r="BA51" s="905">
        <f>TableauProduit[[#This Row],[Prix de vente/kg]]*TableauProduit[[#This Row],[Total (kg) N7]]</f>
        <v/>
      </c>
      <c r="BB51" s="921">
        <f>TableauProduit[[#This Row],[Revenu brut N7]]-TableauProduit[[#This Row],[Achat plantes N7]]-TableauProduit[[#This Row],[Conditionnement N7]]</f>
        <v/>
      </c>
      <c r="BC51" s="922" t="n">
        <v>0</v>
      </c>
      <c r="BD51" s="923">
        <f>TableauProduit[[#This Row],[Poids (g) / unité]]*TableauProduit[[#This Row],[Objectif de vente en unité N8]]/1000</f>
        <v/>
      </c>
      <c r="BE51" s="924">
        <f>TableauProduit[[#This Row],[Objectif de vente en unité N8]]*TableauProduit[[#This Row],[Packaging / unité]]</f>
        <v/>
      </c>
      <c r="BF51" s="924">
        <f>TableauProduit[[#This Row],[Prix achat plantes / kg]]*TableauProduit[[#This Row],[Total (kg) N8]]</f>
        <v/>
      </c>
      <c r="BG51" s="924">
        <f>TableauProduit[[#This Row],[Prix de vente/kg]]*TableauProduit[[#This Row],[Total (kg) N8]]</f>
        <v/>
      </c>
      <c r="BH51" s="925">
        <f>TableauProduit[[#This Row],[Revenu brut N8]]-TableauProduit[[#This Row],[Achat plantes N8]]-TableauProduit[[#This Row],[Conditionnement N8]]</f>
        <v/>
      </c>
      <c r="BI51" s="926" t="n">
        <v>0</v>
      </c>
      <c r="BJ51" s="927">
        <f>TableauProduit[[#This Row],[Poids (g) / unité]]*TableauProduit[[#This Row],[Objectif de vente en unité N9]]/1000</f>
        <v/>
      </c>
      <c r="BK51" s="928">
        <f>TableauProduit[[#This Row],[Objectif de vente en unité N9]]*TableauProduit[[#This Row],[Packaging / unité]]</f>
        <v/>
      </c>
      <c r="BL51" s="928">
        <f>TableauProduit[[#This Row],[Prix achat plantes / kg]]*TableauProduit[[#This Row],[Total (kg) N9]]</f>
        <v/>
      </c>
      <c r="BM51" s="928">
        <f>TableauProduit[[#This Row],[Prix de vente/kg]]*TableauProduit[[#This Row],[Total (kg) N9]]</f>
        <v/>
      </c>
      <c r="BN51" s="927">
        <f>TableauProduit[[#This Row],[Revenu brut N9]]-TableauProduit[[#This Row],[Achat plantes N9]]-TableauProduit[[#This Row],[Conditionnement N9]]</f>
        <v/>
      </c>
      <c r="BO51" t="inlineStr">
        <is>
          <t>Sauce / autre</t>
        </is>
      </c>
    </row>
    <row r="52">
      <c r="A52" s="13" t="inlineStr">
        <is>
          <t>Sriracha</t>
        </is>
      </c>
      <c r="B52" s="54">
        <f>TableauProduit[[#This Row],[Recette]]&amp;TableauProduit[[#This Row],[Conditionnement]]</f>
        <v/>
      </c>
      <c r="C52" s="11" t="n">
        <v>1</v>
      </c>
      <c r="D52" s="11" t="n">
        <v>230</v>
      </c>
      <c r="E52" s="6" t="inlineStr">
        <is>
          <t>Piment liquide 250ml</t>
        </is>
      </c>
      <c r="F52" s="7">
        <f>IFERROR(VLOOKUP(TableauProduit[[#This Row],[Conditionnement]],TableauConditionnement[[Nom]:[Contenance]],4,FALSE),"")</f>
        <v/>
      </c>
      <c r="G52" s="897">
        <f>IFERROR(SUMIFS(TableauRecette[Prix d''achat / kg],TableauRecette[Recette],TableauProduit[[#This Row],[Recette]],TableauRecette[Conditionnement],TableauProduit[[#This Row],[Conditionnement]]),0)</f>
        <v/>
      </c>
      <c r="H52" s="898" t="n">
        <v>5</v>
      </c>
      <c r="I52" s="899">
        <f>1000*TableauProduit[[#This Row],[Prix de vente/U]]/TableauProduit[[#This Row],[Poids (g) / unité]]</f>
        <v/>
      </c>
      <c r="J52" s="900">
        <f>SUMIFS(TableauConcurence[PRIX_KG],TableauConcurence[PRODUIT],TableauProduit[[#This Row],[Recette]],TableauConcurence[DISTRIBUTION],"magasin NON BIO")</f>
        <v/>
      </c>
      <c r="K52" s="901">
        <f>SUMIFS(TableauConcurence[PRIX_KG],TableauConcurence[PRODUIT],TableauProduit[[#This Row],[Recette]],TableauConcurence[DISTRIBUTION],"magasin BIO")</f>
        <v/>
      </c>
      <c r="L52" s="902">
        <f>SUMIFS(TableauConcurence[PRIX_KG],TableauConcurence[PRODUIT],TableauProduit[[#This Row],[Recette]],TableauConcurence[DISTRIBUTION],"artisanale BIO")</f>
        <v/>
      </c>
      <c r="M52" s="903" t="n">
        <v>0</v>
      </c>
      <c r="N52" s="904">
        <f>TableauProduit[[#This Row],[Poids (g) / unité]]*TableauProduit[[#This Row],[Objectif de vente en unité N1]]/1000</f>
        <v/>
      </c>
      <c r="O52" s="905">
        <f>TableauProduit[[#This Row],[Objectif de vente en unité N1]]*TableauProduit[[#This Row],[Packaging / unité]]</f>
        <v/>
      </c>
      <c r="P52" s="905">
        <f>TableauProduit[[#This Row],[Prix achat plantes / kg]]*TableauProduit[[#This Row],[Total (kg) N1]]</f>
        <v/>
      </c>
      <c r="Q52" s="905">
        <f>TableauProduit[[#This Row],[Prix de vente/kg]]*TableauProduit[[#This Row],[Total (kg) N1]]</f>
        <v/>
      </c>
      <c r="R52" s="906">
        <f>TableauProduit[[#This Row],[Revenu brut N1]]-TableauProduit[[#This Row],[Achat plantes N1]]-TableauProduit[[#This Row],[Conditionnement N1]]</f>
        <v/>
      </c>
      <c r="S52" s="907" t="n">
        <v>0</v>
      </c>
      <c r="T52" s="908">
        <f>TableauProduit[[#This Row],[Poids (g) / unité]]*TableauProduit[[#This Row],[Objectif de vente en unité N2]]/1000</f>
        <v/>
      </c>
      <c r="U52" s="909">
        <f>TableauProduit[[#This Row],[Objectif de vente en unité N2]]*TableauProduit[[#This Row],[Packaging / unité]]</f>
        <v/>
      </c>
      <c r="V52" s="909">
        <f>TableauProduit[[#This Row],[Prix achat plantes / kg]]*TableauProduit[[#This Row],[Total (kg) N2]]</f>
        <v/>
      </c>
      <c r="W52" s="909">
        <f>TableauProduit[[#This Row],[Prix de vente/kg]]*TableauProduit[[#This Row],[Total (kg) N2]]</f>
        <v/>
      </c>
      <c r="X52" s="910">
        <f>TableauProduit[[#This Row],[Revenu brut N2]]-TableauProduit[[#This Row],[Achat plantes N2]]-TableauProduit[[#This Row],[Conditionnement N2]]</f>
        <v/>
      </c>
      <c r="Y52" s="911" t="n">
        <v>0</v>
      </c>
      <c r="Z52" s="912">
        <f>TableauProduit[[#This Row],[Poids (g) / unité]]*TableauProduit[[#This Row],[Objectif de vente en unité N3]]/1000</f>
        <v/>
      </c>
      <c r="AA52" s="913">
        <f>TableauProduit[[#This Row],[Objectif de vente en unité N3]]*TableauProduit[[#This Row],[Packaging / unité]]</f>
        <v/>
      </c>
      <c r="AB52" s="913">
        <f>TableauProduit[[#This Row],[Prix achat plantes / kg]]*TableauProduit[[#This Row],[Total (kg) N3]]</f>
        <v/>
      </c>
      <c r="AC52" s="913">
        <f>TableauProduit[[#This Row],[Prix de vente/kg]]*TableauProduit[[#This Row],[Total (kg) N3]]</f>
        <v/>
      </c>
      <c r="AD52" s="914">
        <f>TableauProduit[[#This Row],[Revenu brut N3]]-TableauProduit[[#This Row],[Achat plantes N3]]-TableauProduit[[#This Row],[Conditionnement N3]]</f>
        <v/>
      </c>
      <c r="AE52" s="915" t="n">
        <v>0</v>
      </c>
      <c r="AF52" s="915">
        <f>TableauProduit[[#This Row],[Poids (g) / unité]]*TableauProduit[[#This Row],[Objectif de vente en unité N4]]/1000</f>
        <v/>
      </c>
      <c r="AG52" s="916">
        <f>TableauProduit[[#This Row],[Objectif de vente en unité N4]]*TableauProduit[[#This Row],[Packaging / unité]]</f>
        <v/>
      </c>
      <c r="AH52" s="916">
        <f>TableauProduit[[#This Row],[Prix achat plantes / kg]]*TableauProduit[[#This Row],[Total (kg) N4]]</f>
        <v/>
      </c>
      <c r="AI52" s="916">
        <f>TableauProduit[[#This Row],[Prix de vente/kg]]*TableauProduit[[#This Row],[Total (kg) N4]]</f>
        <v/>
      </c>
      <c r="AJ52" s="915">
        <f>TableauProduit[[#This Row],[Revenu brut N4]]-TableauProduit[[#This Row],[Achat plantes N4]]-TableauProduit[[#This Row],[Conditionnement N4]]</f>
        <v/>
      </c>
      <c r="AK52" s="917" t="n">
        <v>0</v>
      </c>
      <c r="AL52" s="917">
        <f>TableauProduit[[#This Row],[Poids (g) / unité]]*TableauProduit[[#This Row],[Objectif de vente en unité N5]]/1000</f>
        <v/>
      </c>
      <c r="AM52" s="918">
        <f>TableauProduit[[#This Row],[Objectif de vente en unité N5]]*TableauProduit[[#This Row],[Packaging / unité]]</f>
        <v/>
      </c>
      <c r="AN52" s="918">
        <f>TableauProduit[[#This Row],[Prix achat plantes / kg]]*TableauProduit[[#This Row],[Total (kg) N5]]</f>
        <v/>
      </c>
      <c r="AO52" s="918">
        <f>TableauProduit[[#This Row],[Prix de vente/kg]]*TableauProduit[[#This Row],[Total (kg) N5]]</f>
        <v/>
      </c>
      <c r="AP52" s="917">
        <f>TableauProduit[[#This Row],[Revenu brut N5]]-TableauProduit[[#This Row],[Achat plantes N5]]-TableauProduit[[#This Row],[Conditionnement N5]]</f>
        <v/>
      </c>
      <c r="AQ52" s="919" t="n">
        <v>0</v>
      </c>
      <c r="AR52" s="919">
        <f>TableauProduit[[#This Row],[Poids (g) / unité]]*TableauProduit[[#This Row],[Objectif de vente en unité N6]]/1000</f>
        <v/>
      </c>
      <c r="AS52" s="920">
        <f>TableauProduit[[#This Row],[Objectif de vente en unité N6]]*TableauProduit[[#This Row],[Packaging / unité]]</f>
        <v/>
      </c>
      <c r="AT52" s="920">
        <f>TableauProduit[[#This Row],[Prix achat plantes / kg]]*TableauProduit[[#This Row],[Total (kg) N6]]</f>
        <v/>
      </c>
      <c r="AU52" s="920">
        <f>TableauProduit[[#This Row],[Prix de vente/kg]]*TableauProduit[[#This Row],[Total (kg) N6]]</f>
        <v/>
      </c>
      <c r="AV52" s="919">
        <f>TableauProduit[[#This Row],[Revenu brut N6]]-TableauProduit[[#This Row],[Achat plantes N6]]-TableauProduit[[#This Row],[Conditionnement N6]]</f>
        <v/>
      </c>
      <c r="AW52" s="904" t="n">
        <v>0</v>
      </c>
      <c r="AX52" s="904">
        <f>TableauProduit[[#This Row],[Poids (g) / unité]]*TableauProduit[[#This Row],[Objectif de vente en unité N7]]/1000</f>
        <v/>
      </c>
      <c r="AY52" s="905">
        <f>TableauProduit[[#This Row],[Objectif de vente en unité N7]]*TableauProduit[[#This Row],[Packaging / unité]]</f>
        <v/>
      </c>
      <c r="AZ52" s="905">
        <f>TableauProduit[[#This Row],[Prix achat plantes / kg]]*TableauProduit[[#This Row],[Total (kg) N7]]</f>
        <v/>
      </c>
      <c r="BA52" s="905">
        <f>TableauProduit[[#This Row],[Prix de vente/kg]]*TableauProduit[[#This Row],[Total (kg) N7]]</f>
        <v/>
      </c>
      <c r="BB52" s="921">
        <f>TableauProduit[[#This Row],[Revenu brut N7]]-TableauProduit[[#This Row],[Achat plantes N7]]-TableauProduit[[#This Row],[Conditionnement N7]]</f>
        <v/>
      </c>
      <c r="BC52" s="922" t="n">
        <v>0</v>
      </c>
      <c r="BD52" s="923">
        <f>TableauProduit[[#This Row],[Poids (g) / unité]]*TableauProduit[[#This Row],[Objectif de vente en unité N8]]/1000</f>
        <v/>
      </c>
      <c r="BE52" s="924">
        <f>TableauProduit[[#This Row],[Objectif de vente en unité N8]]*TableauProduit[[#This Row],[Packaging / unité]]</f>
        <v/>
      </c>
      <c r="BF52" s="924">
        <f>TableauProduit[[#This Row],[Prix achat plantes / kg]]*TableauProduit[[#This Row],[Total (kg) N8]]</f>
        <v/>
      </c>
      <c r="BG52" s="924">
        <f>TableauProduit[[#This Row],[Prix de vente/kg]]*TableauProduit[[#This Row],[Total (kg) N8]]</f>
        <v/>
      </c>
      <c r="BH52" s="925">
        <f>TableauProduit[[#This Row],[Revenu brut N8]]-TableauProduit[[#This Row],[Achat plantes N8]]-TableauProduit[[#This Row],[Conditionnement N8]]</f>
        <v/>
      </c>
      <c r="BI52" s="926" t="n">
        <v>0</v>
      </c>
      <c r="BJ52" s="927">
        <f>TableauProduit[[#This Row],[Poids (g) / unité]]*TableauProduit[[#This Row],[Objectif de vente en unité N9]]/1000</f>
        <v/>
      </c>
      <c r="BK52" s="928">
        <f>TableauProduit[[#This Row],[Objectif de vente en unité N9]]*TableauProduit[[#This Row],[Packaging / unité]]</f>
        <v/>
      </c>
      <c r="BL52" s="928">
        <f>TableauProduit[[#This Row],[Prix achat plantes / kg]]*TableauProduit[[#This Row],[Total (kg) N9]]</f>
        <v/>
      </c>
      <c r="BM52" s="928">
        <f>TableauProduit[[#This Row],[Prix de vente/kg]]*TableauProduit[[#This Row],[Total (kg) N9]]</f>
        <v/>
      </c>
      <c r="BN52" s="927">
        <f>TableauProduit[[#This Row],[Revenu brut N9]]-TableauProduit[[#This Row],[Achat plantes N9]]-TableauProduit[[#This Row],[Conditionnement N9]]</f>
        <v/>
      </c>
      <c r="BO52" t="inlineStr">
        <is>
          <t>Sauce / autre</t>
        </is>
      </c>
    </row>
    <row r="53">
      <c r="A53" s="13" t="inlineStr">
        <is>
          <t>Ras el hanout</t>
        </is>
      </c>
      <c r="B53" s="54">
        <f>TableauProduit[[#This Row],[Recette]]&amp;TableauProduit[[#This Row],[Conditionnement]]</f>
        <v/>
      </c>
      <c r="C53" s="11" t="n">
        <v>1</v>
      </c>
      <c r="D53" s="11" t="n">
        <v>50</v>
      </c>
      <c r="E53" s="6" t="inlineStr">
        <is>
          <t>Epice 100ml</t>
        </is>
      </c>
      <c r="F53" s="7">
        <f>IFERROR(VLOOKUP(TableauProduit[[#This Row],[Conditionnement]],TableauConditionnement[[Nom]:[Contenance]],4,FALSE),"")</f>
        <v/>
      </c>
      <c r="G53" s="897">
        <f>IFERROR(SUMIFS(TableauRecette[Prix d''achat / kg],TableauRecette[Recette],TableauProduit[[#This Row],[Recette]],TableauRecette[Conditionnement],TableauProduit[[#This Row],[Conditionnement]]),0)</f>
        <v/>
      </c>
      <c r="H53" s="898" t="n">
        <v>5</v>
      </c>
      <c r="I53" s="899">
        <f>1000*TableauProduit[[#This Row],[Prix de vente/U]]/TableauProduit[[#This Row],[Poids (g) / unité]]</f>
        <v/>
      </c>
      <c r="J53" s="900">
        <f>SUMIFS(TableauConcurence[PRIX_KG],TableauConcurence[PRODUIT],TableauProduit[[#This Row],[Recette]],TableauConcurence[DISTRIBUTION],"magasin NON BIO")</f>
        <v/>
      </c>
      <c r="K53" s="901">
        <f>SUMIFS(TableauConcurence[PRIX_KG],TableauConcurence[PRODUIT],TableauProduit[[#This Row],[Recette]],TableauConcurence[DISTRIBUTION],"magasin BIO")</f>
        <v/>
      </c>
      <c r="L53" s="902">
        <f>SUMIFS(TableauConcurence[PRIX_KG],TableauConcurence[PRODUIT],TableauProduit[[#This Row],[Recette]],TableauConcurence[DISTRIBUTION],"artisanale BIO")</f>
        <v/>
      </c>
      <c r="M53" s="903" t="n">
        <v>0</v>
      </c>
      <c r="N53" s="904">
        <f>TableauProduit[[#This Row],[Poids (g) / unité]]*TableauProduit[[#This Row],[Objectif de vente en unité N1]]/1000</f>
        <v/>
      </c>
      <c r="O53" s="905">
        <f>TableauProduit[[#This Row],[Objectif de vente en unité N1]]*TableauProduit[[#This Row],[Packaging / unité]]</f>
        <v/>
      </c>
      <c r="P53" s="905">
        <f>TableauProduit[[#This Row],[Prix achat plantes / kg]]*TableauProduit[[#This Row],[Total (kg) N1]]</f>
        <v/>
      </c>
      <c r="Q53" s="905">
        <f>TableauProduit[[#This Row],[Prix de vente/kg]]*TableauProduit[[#This Row],[Total (kg) N1]]</f>
        <v/>
      </c>
      <c r="R53" s="921">
        <f>TableauProduit[[#This Row],[Revenu brut N1]]-TableauProduit[[#This Row],[Achat plantes N1]]-TableauProduit[[#This Row],[Conditionnement N1]]</f>
        <v/>
      </c>
      <c r="S53" s="907" t="n">
        <v>0</v>
      </c>
      <c r="T53" s="908">
        <f>TableauProduit[[#This Row],[Poids (g) / unité]]*TableauProduit[[#This Row],[Objectif de vente en unité N2]]/1000</f>
        <v/>
      </c>
      <c r="U53" s="909">
        <f>TableauProduit[[#This Row],[Objectif de vente en unité N2]]*TableauProduit[[#This Row],[Packaging / unité]]</f>
        <v/>
      </c>
      <c r="V53" s="909">
        <f>TableauProduit[[#This Row],[Prix achat plantes / kg]]*TableauProduit[[#This Row],[Total (kg) N2]]</f>
        <v/>
      </c>
      <c r="W53" s="909">
        <f>TableauProduit[[#This Row],[Prix de vente/kg]]*TableauProduit[[#This Row],[Total (kg) N2]]</f>
        <v/>
      </c>
      <c r="X53" s="910">
        <f>TableauProduit[[#This Row],[Revenu brut N2]]-TableauProduit[[#This Row],[Achat plantes N2]]-TableauProduit[[#This Row],[Conditionnement N2]]</f>
        <v/>
      </c>
      <c r="Y53" s="911" t="n">
        <v>100</v>
      </c>
      <c r="Z53" s="912">
        <f>TableauProduit[[#This Row],[Poids (g) / unité]]*TableauProduit[[#This Row],[Objectif de vente en unité N3]]/1000</f>
        <v/>
      </c>
      <c r="AA53" s="913">
        <f>TableauProduit[[#This Row],[Objectif de vente en unité N3]]*TableauProduit[[#This Row],[Packaging / unité]]</f>
        <v/>
      </c>
      <c r="AB53" s="913">
        <f>TableauProduit[[#This Row],[Prix achat plantes / kg]]*TableauProduit[[#This Row],[Total (kg) N3]]</f>
        <v/>
      </c>
      <c r="AC53" s="913">
        <f>TableauProduit[[#This Row],[Prix de vente/kg]]*TableauProduit[[#This Row],[Total (kg) N3]]</f>
        <v/>
      </c>
      <c r="AD53" s="914">
        <f>TableauProduit[[#This Row],[Revenu brut N3]]-TableauProduit[[#This Row],[Achat plantes N3]]-TableauProduit[[#This Row],[Conditionnement N3]]</f>
        <v/>
      </c>
      <c r="AE53" s="915" t="n">
        <v>130</v>
      </c>
      <c r="AF53" s="915">
        <f>TableauProduit[[#This Row],[Poids (g) / unité]]*TableauProduit[[#This Row],[Objectif de vente en unité N4]]/1000</f>
        <v/>
      </c>
      <c r="AG53" s="916">
        <f>TableauProduit[[#This Row],[Objectif de vente en unité N4]]*TableauProduit[[#This Row],[Packaging / unité]]</f>
        <v/>
      </c>
      <c r="AH53" s="916">
        <f>TableauProduit[[#This Row],[Prix achat plantes / kg]]*TableauProduit[[#This Row],[Total (kg) N4]]</f>
        <v/>
      </c>
      <c r="AI53" s="916">
        <f>TableauProduit[[#This Row],[Prix de vente/kg]]*TableauProduit[[#This Row],[Total (kg) N4]]</f>
        <v/>
      </c>
      <c r="AJ53" s="915">
        <f>TableauProduit[[#This Row],[Revenu brut N4]]-TableauProduit[[#This Row],[Achat plantes N4]]-TableauProduit[[#This Row],[Conditionnement N4]]</f>
        <v/>
      </c>
      <c r="AK53" s="917" t="n">
        <v>150</v>
      </c>
      <c r="AL53" s="917">
        <f>TableauProduit[[#This Row],[Poids (g) / unité]]*TableauProduit[[#This Row],[Objectif de vente en unité N5]]/1000</f>
        <v/>
      </c>
      <c r="AM53" s="918">
        <f>TableauProduit[[#This Row],[Objectif de vente en unité N5]]*TableauProduit[[#This Row],[Packaging / unité]]</f>
        <v/>
      </c>
      <c r="AN53" s="918">
        <f>TableauProduit[[#This Row],[Prix achat plantes / kg]]*TableauProduit[[#This Row],[Total (kg) N5]]</f>
        <v/>
      </c>
      <c r="AO53" s="918">
        <f>TableauProduit[[#This Row],[Prix de vente/kg]]*TableauProduit[[#This Row],[Total (kg) N5]]</f>
        <v/>
      </c>
      <c r="AP53" s="917">
        <f>TableauProduit[[#This Row],[Revenu brut N5]]-TableauProduit[[#This Row],[Achat plantes N5]]-TableauProduit[[#This Row],[Conditionnement N5]]</f>
        <v/>
      </c>
      <c r="AQ53" s="919" t="n">
        <v>160</v>
      </c>
      <c r="AR53" s="919">
        <f>TableauProduit[[#This Row],[Poids (g) / unité]]*TableauProduit[[#This Row],[Objectif de vente en unité N6]]/1000</f>
        <v/>
      </c>
      <c r="AS53" s="920">
        <f>TableauProduit[[#This Row],[Objectif de vente en unité N6]]*TableauProduit[[#This Row],[Packaging / unité]]</f>
        <v/>
      </c>
      <c r="AT53" s="920">
        <f>TableauProduit[[#This Row],[Prix achat plantes / kg]]*TableauProduit[[#This Row],[Total (kg) N6]]</f>
        <v/>
      </c>
      <c r="AU53" s="920">
        <f>TableauProduit[[#This Row],[Prix de vente/kg]]*TableauProduit[[#This Row],[Total (kg) N6]]</f>
        <v/>
      </c>
      <c r="AV53" s="919">
        <f>TableauProduit[[#This Row],[Revenu brut N6]]-TableauProduit[[#This Row],[Achat plantes N6]]-TableauProduit[[#This Row],[Conditionnement N6]]</f>
        <v/>
      </c>
      <c r="AW53" s="904" t="n">
        <v>160</v>
      </c>
      <c r="AX53" s="904">
        <f>TableauProduit[[#This Row],[Poids (g) / unité]]*TableauProduit[[#This Row],[Objectif de vente en unité N7]]/1000</f>
        <v/>
      </c>
      <c r="AY53" s="905">
        <f>TableauProduit[[#This Row],[Objectif de vente en unité N7]]*TableauProduit[[#This Row],[Packaging / unité]]</f>
        <v/>
      </c>
      <c r="AZ53" s="905">
        <f>TableauProduit[[#This Row],[Prix achat plantes / kg]]*TableauProduit[[#This Row],[Total (kg) N7]]</f>
        <v/>
      </c>
      <c r="BA53" s="905">
        <f>TableauProduit[[#This Row],[Prix de vente/kg]]*TableauProduit[[#This Row],[Total (kg) N7]]</f>
        <v/>
      </c>
      <c r="BB53" s="921">
        <f>TableauProduit[[#This Row],[Revenu brut N7]]-TableauProduit[[#This Row],[Achat plantes N7]]-TableauProduit[[#This Row],[Conditionnement N7]]</f>
        <v/>
      </c>
      <c r="BC53" s="922" t="n">
        <v>160</v>
      </c>
      <c r="BD53" s="923">
        <f>TableauProduit[[#This Row],[Poids (g) / unité]]*TableauProduit[[#This Row],[Objectif de vente en unité N8]]/1000</f>
        <v/>
      </c>
      <c r="BE53" s="924">
        <f>TableauProduit[[#This Row],[Objectif de vente en unité N8]]*TableauProduit[[#This Row],[Packaging / unité]]</f>
        <v/>
      </c>
      <c r="BF53" s="924">
        <f>TableauProduit[[#This Row],[Prix achat plantes / kg]]*TableauProduit[[#This Row],[Total (kg) N8]]</f>
        <v/>
      </c>
      <c r="BG53" s="924">
        <f>TableauProduit[[#This Row],[Prix de vente/kg]]*TableauProduit[[#This Row],[Total (kg) N8]]</f>
        <v/>
      </c>
      <c r="BH53" s="925">
        <f>TableauProduit[[#This Row],[Revenu brut N8]]-TableauProduit[[#This Row],[Achat plantes N8]]-TableauProduit[[#This Row],[Conditionnement N8]]</f>
        <v/>
      </c>
      <c r="BI53" s="926" t="n">
        <v>160</v>
      </c>
      <c r="BJ53" s="927">
        <f>TableauProduit[[#This Row],[Poids (g) / unité]]*TableauProduit[[#This Row],[Objectif de vente en unité N9]]/1000</f>
        <v/>
      </c>
      <c r="BK53" s="928">
        <f>TableauProduit[[#This Row],[Objectif de vente en unité N9]]*TableauProduit[[#This Row],[Packaging / unité]]</f>
        <v/>
      </c>
      <c r="BL53" s="928">
        <f>TableauProduit[[#This Row],[Prix achat plantes / kg]]*TableauProduit[[#This Row],[Total (kg) N9]]</f>
        <v/>
      </c>
      <c r="BM53" s="928">
        <f>TableauProduit[[#This Row],[Prix de vente/kg]]*TableauProduit[[#This Row],[Total (kg) N9]]</f>
        <v/>
      </c>
      <c r="BN53" s="927">
        <f>TableauProduit[[#This Row],[Revenu brut N9]]-TableauProduit[[#This Row],[Achat plantes N9]]-TableauProduit[[#This Row],[Conditionnement N9]]</f>
        <v/>
      </c>
      <c r="BO53" t="inlineStr">
        <is>
          <t>Mélange</t>
        </is>
      </c>
    </row>
    <row r="54">
      <c r="A54" s="13" t="inlineStr">
        <is>
          <t>Jamaican Jerk</t>
        </is>
      </c>
      <c r="B54" s="54">
        <f>TableauProduit[[#This Row],[Recette]]&amp;TableauProduit[[#This Row],[Conditionnement]]</f>
        <v/>
      </c>
      <c r="C54" s="11" t="n">
        <v>1</v>
      </c>
      <c r="D54" s="11" t="n">
        <v>50</v>
      </c>
      <c r="E54" s="6" t="inlineStr">
        <is>
          <t>Epice 100ml</t>
        </is>
      </c>
      <c r="F54" s="7">
        <f>IFERROR(VLOOKUP(TableauProduit[[#This Row],[Conditionnement]],TableauConditionnement[[Nom]:[Contenance]],4,FALSE),"")</f>
        <v/>
      </c>
      <c r="G54" s="897">
        <f>IFERROR(SUMIFS(TableauRecette[Prix d''achat / kg],TableauRecette[Recette],TableauProduit[[#This Row],[Recette]],TableauRecette[Conditionnement],TableauProduit[[#This Row],[Conditionnement]]),0)</f>
        <v/>
      </c>
      <c r="H54" s="898" t="n">
        <v>5</v>
      </c>
      <c r="I54" s="899">
        <f>1000*TableauProduit[[#This Row],[Prix de vente/U]]/TableauProduit[[#This Row],[Poids (g) / unité]]</f>
        <v/>
      </c>
      <c r="J54" s="900">
        <f>SUMIFS(TableauConcurence[PRIX_KG],TableauConcurence[PRODUIT],TableauProduit[[#This Row],[Recette]],TableauConcurence[DISTRIBUTION],"magasin NON BIO")</f>
        <v/>
      </c>
      <c r="K54" s="901">
        <f>SUMIFS(TableauConcurence[PRIX_KG],TableauConcurence[PRODUIT],TableauProduit[[#This Row],[Recette]],TableauConcurence[DISTRIBUTION],"magasin BIO")</f>
        <v/>
      </c>
      <c r="L54" s="902">
        <f>SUMIFS(TableauConcurence[PRIX_KG],TableauConcurence[PRODUIT],TableauProduit[[#This Row],[Recette]],TableauConcurence[DISTRIBUTION],"artisanale BIO")</f>
        <v/>
      </c>
      <c r="M54" s="903" t="n">
        <v>0</v>
      </c>
      <c r="N54" s="904">
        <f>TableauProduit[[#This Row],[Poids (g) / unité]]*TableauProduit[[#This Row],[Objectif de vente en unité N1]]/1000</f>
        <v/>
      </c>
      <c r="O54" s="905">
        <f>TableauProduit[[#This Row],[Objectif de vente en unité N1]]*TableauProduit[[#This Row],[Packaging / unité]]</f>
        <v/>
      </c>
      <c r="P54" s="905">
        <f>TableauProduit[[#This Row],[Prix achat plantes / kg]]*TableauProduit[[#This Row],[Total (kg) N1]]</f>
        <v/>
      </c>
      <c r="Q54" s="905">
        <f>TableauProduit[[#This Row],[Prix de vente/kg]]*TableauProduit[[#This Row],[Total (kg) N1]]</f>
        <v/>
      </c>
      <c r="R54" s="921">
        <f>TableauProduit[[#This Row],[Revenu brut N1]]-TableauProduit[[#This Row],[Achat plantes N1]]-TableauProduit[[#This Row],[Conditionnement N1]]</f>
        <v/>
      </c>
      <c r="S54" s="907" t="n">
        <v>0</v>
      </c>
      <c r="T54" s="908">
        <f>TableauProduit[[#This Row],[Poids (g) / unité]]*TableauProduit[[#This Row],[Objectif de vente en unité N2]]/1000</f>
        <v/>
      </c>
      <c r="U54" s="909">
        <f>TableauProduit[[#This Row],[Objectif de vente en unité N2]]*TableauProduit[[#This Row],[Packaging / unité]]</f>
        <v/>
      </c>
      <c r="V54" s="909">
        <f>TableauProduit[[#This Row],[Prix achat plantes / kg]]*TableauProduit[[#This Row],[Total (kg) N2]]</f>
        <v/>
      </c>
      <c r="W54" s="909">
        <f>TableauProduit[[#This Row],[Prix de vente/kg]]*TableauProduit[[#This Row],[Total (kg) N2]]</f>
        <v/>
      </c>
      <c r="X54" s="910">
        <f>TableauProduit[[#This Row],[Revenu brut N2]]-TableauProduit[[#This Row],[Achat plantes N2]]-TableauProduit[[#This Row],[Conditionnement N2]]</f>
        <v/>
      </c>
      <c r="Y54" s="911" t="n">
        <v>0</v>
      </c>
      <c r="Z54" s="912">
        <f>TableauProduit[[#This Row],[Poids (g) / unité]]*TableauProduit[[#This Row],[Objectif de vente en unité N3]]/1000</f>
        <v/>
      </c>
      <c r="AA54" s="913">
        <f>TableauProduit[[#This Row],[Objectif de vente en unité N3]]*TableauProduit[[#This Row],[Packaging / unité]]</f>
        <v/>
      </c>
      <c r="AB54" s="913">
        <f>TableauProduit[[#This Row],[Prix achat plantes / kg]]*TableauProduit[[#This Row],[Total (kg) N3]]</f>
        <v/>
      </c>
      <c r="AC54" s="913">
        <f>TableauProduit[[#This Row],[Prix de vente/kg]]*TableauProduit[[#This Row],[Total (kg) N3]]</f>
        <v/>
      </c>
      <c r="AD54" s="914">
        <f>TableauProduit[[#This Row],[Revenu brut N3]]-TableauProduit[[#This Row],[Achat plantes N3]]-TableauProduit[[#This Row],[Conditionnement N3]]</f>
        <v/>
      </c>
      <c r="AE54" s="915" t="n">
        <v>50</v>
      </c>
      <c r="AF54" s="915">
        <f>TableauProduit[[#This Row],[Poids (g) / unité]]*TableauProduit[[#This Row],[Objectif de vente en unité N4]]/1000</f>
        <v/>
      </c>
      <c r="AG54" s="916">
        <f>TableauProduit[[#This Row],[Objectif de vente en unité N4]]*TableauProduit[[#This Row],[Packaging / unité]]</f>
        <v/>
      </c>
      <c r="AH54" s="916">
        <f>TableauProduit[[#This Row],[Prix achat plantes / kg]]*TableauProduit[[#This Row],[Total (kg) N4]]</f>
        <v/>
      </c>
      <c r="AI54" s="916">
        <f>TableauProduit[[#This Row],[Prix de vente/kg]]*TableauProduit[[#This Row],[Total (kg) N4]]</f>
        <v/>
      </c>
      <c r="AJ54" s="915">
        <f>TableauProduit[[#This Row],[Revenu brut N4]]-TableauProduit[[#This Row],[Achat plantes N4]]-TableauProduit[[#This Row],[Conditionnement N4]]</f>
        <v/>
      </c>
      <c r="AK54" s="917" t="n">
        <v>60</v>
      </c>
      <c r="AL54" s="917">
        <f>TableauProduit[[#This Row],[Poids (g) / unité]]*TableauProduit[[#This Row],[Objectif de vente en unité N5]]/1000</f>
        <v/>
      </c>
      <c r="AM54" s="918">
        <f>TableauProduit[[#This Row],[Objectif de vente en unité N5]]*TableauProduit[[#This Row],[Packaging / unité]]</f>
        <v/>
      </c>
      <c r="AN54" s="918">
        <f>TableauProduit[[#This Row],[Prix achat plantes / kg]]*TableauProduit[[#This Row],[Total (kg) N5]]</f>
        <v/>
      </c>
      <c r="AO54" s="918">
        <f>TableauProduit[[#This Row],[Prix de vente/kg]]*TableauProduit[[#This Row],[Total (kg) N5]]</f>
        <v/>
      </c>
      <c r="AP54" s="917">
        <f>TableauProduit[[#This Row],[Revenu brut N5]]-TableauProduit[[#This Row],[Achat plantes N5]]-TableauProduit[[#This Row],[Conditionnement N5]]</f>
        <v/>
      </c>
      <c r="AQ54" s="919" t="n">
        <v>65</v>
      </c>
      <c r="AR54" s="919">
        <f>TableauProduit[[#This Row],[Poids (g) / unité]]*TableauProduit[[#This Row],[Objectif de vente en unité N6]]/1000</f>
        <v/>
      </c>
      <c r="AS54" s="920">
        <f>TableauProduit[[#This Row],[Objectif de vente en unité N6]]*TableauProduit[[#This Row],[Packaging / unité]]</f>
        <v/>
      </c>
      <c r="AT54" s="920">
        <f>TableauProduit[[#This Row],[Prix achat plantes / kg]]*TableauProduit[[#This Row],[Total (kg) N6]]</f>
        <v/>
      </c>
      <c r="AU54" s="920">
        <f>TableauProduit[[#This Row],[Prix de vente/kg]]*TableauProduit[[#This Row],[Total (kg) N6]]</f>
        <v/>
      </c>
      <c r="AV54" s="919">
        <f>TableauProduit[[#This Row],[Revenu brut N6]]-TableauProduit[[#This Row],[Achat plantes N6]]-TableauProduit[[#This Row],[Conditionnement N6]]</f>
        <v/>
      </c>
      <c r="AW54" s="904" t="n">
        <v>68</v>
      </c>
      <c r="AX54" s="904">
        <f>TableauProduit[[#This Row],[Poids (g) / unité]]*TableauProduit[[#This Row],[Objectif de vente en unité N7]]/1000</f>
        <v/>
      </c>
      <c r="AY54" s="905">
        <f>TableauProduit[[#This Row],[Objectif de vente en unité N7]]*TableauProduit[[#This Row],[Packaging / unité]]</f>
        <v/>
      </c>
      <c r="AZ54" s="905">
        <f>TableauProduit[[#This Row],[Prix achat plantes / kg]]*TableauProduit[[#This Row],[Total (kg) N7]]</f>
        <v/>
      </c>
      <c r="BA54" s="905">
        <f>TableauProduit[[#This Row],[Prix de vente/kg]]*TableauProduit[[#This Row],[Total (kg) N7]]</f>
        <v/>
      </c>
      <c r="BB54" s="921">
        <f>TableauProduit[[#This Row],[Revenu brut N7]]-TableauProduit[[#This Row],[Achat plantes N7]]-TableauProduit[[#This Row],[Conditionnement N7]]</f>
        <v/>
      </c>
      <c r="BC54" s="922" t="n">
        <v>68</v>
      </c>
      <c r="BD54" s="923">
        <f>TableauProduit[[#This Row],[Poids (g) / unité]]*TableauProduit[[#This Row],[Objectif de vente en unité N8]]/1000</f>
        <v/>
      </c>
      <c r="BE54" s="924">
        <f>TableauProduit[[#This Row],[Objectif de vente en unité N8]]*TableauProduit[[#This Row],[Packaging / unité]]</f>
        <v/>
      </c>
      <c r="BF54" s="924">
        <f>TableauProduit[[#This Row],[Prix achat plantes / kg]]*TableauProduit[[#This Row],[Total (kg) N8]]</f>
        <v/>
      </c>
      <c r="BG54" s="924">
        <f>TableauProduit[[#This Row],[Prix de vente/kg]]*TableauProduit[[#This Row],[Total (kg) N8]]</f>
        <v/>
      </c>
      <c r="BH54" s="925">
        <f>TableauProduit[[#This Row],[Revenu brut N8]]-TableauProduit[[#This Row],[Achat plantes N8]]-TableauProduit[[#This Row],[Conditionnement N8]]</f>
        <v/>
      </c>
      <c r="BI54" s="926" t="n">
        <v>68</v>
      </c>
      <c r="BJ54" s="927">
        <f>TableauProduit[[#This Row],[Poids (g) / unité]]*TableauProduit[[#This Row],[Objectif de vente en unité N9]]/1000</f>
        <v/>
      </c>
      <c r="BK54" s="928">
        <f>TableauProduit[[#This Row],[Objectif de vente en unité N9]]*TableauProduit[[#This Row],[Packaging / unité]]</f>
        <v/>
      </c>
      <c r="BL54" s="928">
        <f>TableauProduit[[#This Row],[Prix achat plantes / kg]]*TableauProduit[[#This Row],[Total (kg) N9]]</f>
        <v/>
      </c>
      <c r="BM54" s="928">
        <f>TableauProduit[[#This Row],[Prix de vente/kg]]*TableauProduit[[#This Row],[Total (kg) N9]]</f>
        <v/>
      </c>
      <c r="BN54" s="927">
        <f>TableauProduit[[#This Row],[Revenu brut N9]]-TableauProduit[[#This Row],[Achat plantes N9]]-TableauProduit[[#This Row],[Conditionnement N9]]</f>
        <v/>
      </c>
      <c r="BO54" t="inlineStr">
        <is>
          <t>Autre</t>
        </is>
      </c>
    </row>
    <row r="55">
      <c r="A55" s="536" t="inlineStr">
        <is>
          <t>Durban masala</t>
        </is>
      </c>
      <c r="B55" s="54">
        <f>TableauProduit[[#This Row],[Recette]]&amp;TableauProduit[[#This Row],[Conditionnement]]</f>
        <v/>
      </c>
      <c r="C55" s="11" t="n">
        <v>1</v>
      </c>
      <c r="D55" s="11" t="n">
        <v>50</v>
      </c>
      <c r="E55" s="6" t="inlineStr">
        <is>
          <t>Epice 100ml</t>
        </is>
      </c>
      <c r="F55" s="7">
        <f>IFERROR(VLOOKUP(TableauProduit[[#This Row],[Conditionnement]],TableauConditionnement[[Nom]:[Contenance]],4,FALSE),"")</f>
        <v/>
      </c>
      <c r="G55" s="897">
        <f>IFERROR(SUMIFS(TableauRecette[Prix d''achat / kg],TableauRecette[Recette],TableauProduit[[#This Row],[Recette]],TableauRecette[Conditionnement],TableauProduit[[#This Row],[Conditionnement]]),0)</f>
        <v/>
      </c>
      <c r="H55" s="929" t="n">
        <v>4</v>
      </c>
      <c r="I55" s="899">
        <f>1000*TableauProduit[[#This Row],[Prix de vente/U]]/TableauProduit[[#This Row],[Poids (g) / unité]]</f>
        <v/>
      </c>
      <c r="J55" s="900">
        <f>SUMIFS(TableauConcurence[PRIX_KG],TableauConcurence[PRODUIT],TableauProduit[[#This Row],[Recette]],TableauConcurence[DISTRIBUTION],"magasin NON BIO")</f>
        <v/>
      </c>
      <c r="K55" s="901">
        <f>SUMIFS(TableauConcurence[PRIX_KG],TableauConcurence[PRODUIT],TableauProduit[[#This Row],[Recette]],TableauConcurence[DISTRIBUTION],"magasin BIO")</f>
        <v/>
      </c>
      <c r="L55" s="902">
        <f>SUMIFS(TableauConcurence[PRIX_KG],TableauConcurence[PRODUIT],TableauProduit[[#This Row],[Recette]],TableauConcurence[DISTRIBUTION],"artisanale BIO")</f>
        <v/>
      </c>
      <c r="M55" s="903" t="n">
        <v>0</v>
      </c>
      <c r="N55" s="960">
        <f>TableauProduit[[#This Row],[Poids (g) / unité]]*TableauProduit[[#This Row],[Objectif de vente en unité N1]]/1000</f>
        <v/>
      </c>
      <c r="O55" s="905">
        <f>TableauProduit[[#This Row],[Objectif de vente en unité N1]]*TableauProduit[[#This Row],[Packaging / unité]]</f>
        <v/>
      </c>
      <c r="P55" s="905">
        <f>TableauProduit[[#This Row],[Prix achat plantes / kg]]*TableauProduit[[#This Row],[Total (kg) N1]]</f>
        <v/>
      </c>
      <c r="Q55" s="905">
        <f>TableauProduit[[#This Row],[Prix de vente/kg]]*TableauProduit[[#This Row],[Total (kg) N1]]</f>
        <v/>
      </c>
      <c r="R55" s="921">
        <f>TableauProduit[[#This Row],[Revenu brut N1]]-TableauProduit[[#This Row],[Achat plantes N1]]-TableauProduit[[#This Row],[Conditionnement N1]]</f>
        <v/>
      </c>
      <c r="S55" s="910" t="n">
        <v>0</v>
      </c>
      <c r="T55" s="930">
        <f>TableauProduit[[#This Row],[Poids (g) / unité]]*TableauProduit[[#This Row],[Objectif de vente en unité N2]]/1000</f>
        <v/>
      </c>
      <c r="U55" s="931">
        <f>TableauProduit[[#This Row],[Objectif de vente en unité N2]]*TableauProduit[[#This Row],[Packaging / unité]]</f>
        <v/>
      </c>
      <c r="V55" s="909">
        <f>TableauProduit[[#This Row],[Prix achat plantes / kg]]*TableauProduit[[#This Row],[Total (kg) N2]]</f>
        <v/>
      </c>
      <c r="W55" s="932">
        <f>TableauProduit[[#This Row],[Prix de vente/kg]]*TableauProduit[[#This Row],[Total (kg) N2]]</f>
        <v/>
      </c>
      <c r="X55" s="961">
        <f>TableauProduit[[#This Row],[Revenu brut N2]]-TableauProduit[[#This Row],[Achat plantes N2]]-TableauProduit[[#This Row],[Conditionnement N2]]</f>
        <v/>
      </c>
      <c r="Y55" s="962" t="n">
        <v>0</v>
      </c>
      <c r="Z55" s="933">
        <f>TableauProduit[[#This Row],[Poids (g) / unité]]*TableauProduit[[#This Row],[Objectif de vente en unité N3]]/1000</f>
        <v/>
      </c>
      <c r="AA55" s="934">
        <f>TableauProduit[[#This Row],[Objectif de vente en unité N3]]*TableauProduit[[#This Row],[Packaging / unité]]</f>
        <v/>
      </c>
      <c r="AB55" s="913">
        <f>TableauProduit[[#This Row],[Prix achat plantes / kg]]*TableauProduit[[#This Row],[Total (kg) N3]]</f>
        <v/>
      </c>
      <c r="AC55" s="935">
        <f>TableauProduit[[#This Row],[Prix de vente/kg]]*TableauProduit[[#This Row],[Total (kg) N3]]</f>
        <v/>
      </c>
      <c r="AD55" s="963">
        <f>TableauProduit[[#This Row],[Revenu brut N3]]-TableauProduit[[#This Row],[Achat plantes N3]]-TableauProduit[[#This Row],[Conditionnement N3]]</f>
        <v/>
      </c>
      <c r="AE55" s="964" t="n">
        <v>50</v>
      </c>
      <c r="AF55" s="936">
        <f>TableauProduit[[#This Row],[Poids (g) / unité]]*TableauProduit[[#This Row],[Objectif de vente en unité N4]]/1000</f>
        <v/>
      </c>
      <c r="AG55" s="937">
        <f>TableauProduit[[#This Row],[Objectif de vente en unité N4]]*TableauProduit[[#This Row],[Packaging / unité]]</f>
        <v/>
      </c>
      <c r="AH55" s="916">
        <f>TableauProduit[[#This Row],[Prix achat plantes / kg]]*TableauProduit[[#This Row],[Total (kg) N4]]</f>
        <v/>
      </c>
      <c r="AI55" s="938">
        <f>TableauProduit[[#This Row],[Prix de vente/kg]]*TableauProduit[[#This Row],[Total (kg) N4]]</f>
        <v/>
      </c>
      <c r="AJ55" s="939">
        <f>TableauProduit[[#This Row],[Revenu brut N4]]-TableauProduit[[#This Row],[Achat plantes N4]]-TableauProduit[[#This Row],[Conditionnement N4]]</f>
        <v/>
      </c>
      <c r="AK55" s="965" t="n">
        <v>60</v>
      </c>
      <c r="AL55" s="940">
        <f>TableauProduit[[#This Row],[Poids (g) / unité]]*TableauProduit[[#This Row],[Objectif de vente en unité N5]]/1000</f>
        <v/>
      </c>
      <c r="AM55" s="941">
        <f>TableauProduit[[#This Row],[Objectif de vente en unité N5]]*TableauProduit[[#This Row],[Packaging / unité]]</f>
        <v/>
      </c>
      <c r="AN55" s="918">
        <f>TableauProduit[[#This Row],[Prix achat plantes / kg]]*TableauProduit[[#This Row],[Total (kg) N5]]</f>
        <v/>
      </c>
      <c r="AO55" s="942">
        <f>TableauProduit[[#This Row],[Prix de vente/kg]]*TableauProduit[[#This Row],[Total (kg) N5]]</f>
        <v/>
      </c>
      <c r="AP55" s="943">
        <f>TableauProduit[[#This Row],[Revenu brut N5]]-TableauProduit[[#This Row],[Achat plantes N5]]-TableauProduit[[#This Row],[Conditionnement N5]]</f>
        <v/>
      </c>
      <c r="AQ55" s="966" t="n">
        <v>65</v>
      </c>
      <c r="AR55" s="944">
        <f>TableauProduit[[#This Row],[Poids (g) / unité]]*TableauProduit[[#This Row],[Objectif de vente en unité N6]]/1000</f>
        <v/>
      </c>
      <c r="AS55" s="945">
        <f>TableauProduit[[#This Row],[Objectif de vente en unité N6]]*TableauProduit[[#This Row],[Packaging / unité]]</f>
        <v/>
      </c>
      <c r="AT55" s="920">
        <f>TableauProduit[[#This Row],[Prix achat plantes / kg]]*TableauProduit[[#This Row],[Total (kg) N6]]</f>
        <v/>
      </c>
      <c r="AU55" s="946">
        <f>TableauProduit[[#This Row],[Prix de vente/kg]]*TableauProduit[[#This Row],[Total (kg) N6]]</f>
        <v/>
      </c>
      <c r="AV55" s="947">
        <f>TableauProduit[[#This Row],[Revenu brut N6]]-TableauProduit[[#This Row],[Achat plantes N6]]-TableauProduit[[#This Row],[Conditionnement N6]]</f>
        <v/>
      </c>
      <c r="AW55" s="960" t="n">
        <v>68</v>
      </c>
      <c r="AX55" s="948">
        <f>TableauProduit[[#This Row],[Poids (g) / unité]]*TableauProduit[[#This Row],[Objectif de vente en unité N7]]/1000</f>
        <v/>
      </c>
      <c r="AY55" s="949">
        <f>TableauProduit[[#This Row],[Objectif de vente en unité N7]]*TableauProduit[[#This Row],[Packaging / unité]]</f>
        <v/>
      </c>
      <c r="AZ55" s="905">
        <f>TableauProduit[[#This Row],[Prix achat plantes / kg]]*TableauProduit[[#This Row],[Total (kg) N7]]</f>
        <v/>
      </c>
      <c r="BA55" s="950">
        <f>TableauProduit[[#This Row],[Prix de vente/kg]]*TableauProduit[[#This Row],[Total (kg) N7]]</f>
        <v/>
      </c>
      <c r="BB55" s="921">
        <f>TableauProduit[[#This Row],[Revenu brut N7]]-TableauProduit[[#This Row],[Achat plantes N7]]-TableauProduit[[#This Row],[Conditionnement N7]]</f>
        <v/>
      </c>
      <c r="BC55" s="967" t="n">
        <v>68</v>
      </c>
      <c r="BD55" s="951">
        <f>TableauProduit[[#This Row],[Poids (g) / unité]]*TableauProduit[[#This Row],[Objectif de vente en unité N8]]/1000</f>
        <v/>
      </c>
      <c r="BE55" s="952">
        <f>TableauProduit[[#This Row],[Objectif de vente en unité N8]]*TableauProduit[[#This Row],[Packaging / unité]]</f>
        <v/>
      </c>
      <c r="BF55" s="924">
        <f>TableauProduit[[#This Row],[Prix achat plantes / kg]]*TableauProduit[[#This Row],[Total (kg) N8]]</f>
        <v/>
      </c>
      <c r="BG55" s="953">
        <f>TableauProduit[[#This Row],[Prix de vente/kg]]*TableauProduit[[#This Row],[Total (kg) N8]]</f>
        <v/>
      </c>
      <c r="BH55" s="954">
        <f>TableauProduit[[#This Row],[Revenu brut N8]]-TableauProduit[[#This Row],[Achat plantes N8]]-TableauProduit[[#This Row],[Conditionnement N8]]</f>
        <v/>
      </c>
      <c r="BI55" s="968" t="n">
        <v>68</v>
      </c>
      <c r="BJ55" s="926">
        <f>TableauProduit[[#This Row],[Poids (g) / unité]]*TableauProduit[[#This Row],[Objectif de vente en unité N9]]/1000</f>
        <v/>
      </c>
      <c r="BK55" s="955">
        <f>TableauProduit[[#This Row],[Objectif de vente en unité N9]]*TableauProduit[[#This Row],[Packaging / unité]]</f>
        <v/>
      </c>
      <c r="BL55" s="928">
        <f>TableauProduit[[#This Row],[Prix achat plantes / kg]]*TableauProduit[[#This Row],[Total (kg) N9]]</f>
        <v/>
      </c>
      <c r="BM55" s="956">
        <f>TableauProduit[[#This Row],[Prix de vente/kg]]*TableauProduit[[#This Row],[Total (kg) N9]]</f>
        <v/>
      </c>
      <c r="BN55" s="927">
        <f>TableauProduit[[#This Row],[Revenu brut N9]]-TableauProduit[[#This Row],[Achat plantes N9]]-TableauProduit[[#This Row],[Conditionnement N9]]</f>
        <v/>
      </c>
      <c r="BO55" t="inlineStr">
        <is>
          <t>Mélange</t>
        </is>
      </c>
    </row>
    <row r="56">
      <c r="A56" s="536" t="inlineStr">
        <is>
          <t>Curry japonais</t>
        </is>
      </c>
      <c r="B56" s="54">
        <f>TableauProduit[[#This Row],[Recette]]&amp;TableauProduit[[#This Row],[Conditionnement]]</f>
        <v/>
      </c>
      <c r="C56" s="11" t="n">
        <v>1</v>
      </c>
      <c r="D56" s="11" t="n">
        <v>40</v>
      </c>
      <c r="E56" s="6" t="inlineStr">
        <is>
          <t>Epice 100ml</t>
        </is>
      </c>
      <c r="F56" s="7">
        <f>IFERROR(VLOOKUP(TableauProduit[[#This Row],[Conditionnement]],TableauConditionnement[[Nom]:[Contenance]],4,FALSE),"")</f>
        <v/>
      </c>
      <c r="G56" s="897">
        <f>IFERROR(SUMIFS(TableauRecette[Prix d''achat / kg],TableauRecette[Recette],TableauProduit[[#This Row],[Recette]],TableauRecette[Conditionnement],TableauProduit[[#This Row],[Conditionnement]]),0)</f>
        <v/>
      </c>
      <c r="H56" s="929" t="n">
        <v>4</v>
      </c>
      <c r="I56" s="899">
        <f>1000*TableauProduit[[#This Row],[Prix de vente/U]]/TableauProduit[[#This Row],[Poids (g) / unité]]</f>
        <v/>
      </c>
      <c r="J56" s="900">
        <f>SUMIFS(TableauConcurence[PRIX_KG],TableauConcurence[PRODUIT],TableauProduit[[#This Row],[Recette]],TableauConcurence[DISTRIBUTION],"magasin NON BIO")</f>
        <v/>
      </c>
      <c r="K56" s="901">
        <f>SUMIFS(TableauConcurence[PRIX_KG],TableauConcurence[PRODUIT],TableauProduit[[#This Row],[Recette]],TableauConcurence[DISTRIBUTION],"magasin BIO")</f>
        <v/>
      </c>
      <c r="L56" s="902">
        <f>SUMIFS(TableauConcurence[PRIX_KG],TableauConcurence[PRODUIT],TableauProduit[[#This Row],[Recette]],TableauConcurence[DISTRIBUTION],"artisanale BIO")</f>
        <v/>
      </c>
      <c r="M56" s="903" t="n">
        <v>0</v>
      </c>
      <c r="N56" s="960">
        <f>TableauProduit[[#This Row],[Poids (g) / unité]]*TableauProduit[[#This Row],[Objectif de vente en unité N1]]/1000</f>
        <v/>
      </c>
      <c r="O56" s="905">
        <f>TableauProduit[[#This Row],[Objectif de vente en unité N1]]*TableauProduit[[#This Row],[Packaging / unité]]</f>
        <v/>
      </c>
      <c r="P56" s="905">
        <f>TableauProduit[[#This Row],[Prix achat plantes / kg]]*TableauProduit[[#This Row],[Total (kg) N1]]</f>
        <v/>
      </c>
      <c r="Q56" s="905">
        <f>TableauProduit[[#This Row],[Prix de vente/kg]]*TableauProduit[[#This Row],[Total (kg) N1]]</f>
        <v/>
      </c>
      <c r="R56" s="921">
        <f>TableauProduit[[#This Row],[Revenu brut N1]]-TableauProduit[[#This Row],[Achat plantes N1]]-TableauProduit[[#This Row],[Conditionnement N1]]</f>
        <v/>
      </c>
      <c r="S56" s="910" t="n">
        <v>0</v>
      </c>
      <c r="T56" s="930">
        <f>TableauProduit[[#This Row],[Poids (g) / unité]]*TableauProduit[[#This Row],[Objectif de vente en unité N2]]/1000</f>
        <v/>
      </c>
      <c r="U56" s="931">
        <f>TableauProduit[[#This Row],[Objectif de vente en unité N2]]*TableauProduit[[#This Row],[Packaging / unité]]</f>
        <v/>
      </c>
      <c r="V56" s="909">
        <f>TableauProduit[[#This Row],[Prix achat plantes / kg]]*TableauProduit[[#This Row],[Total (kg) N2]]</f>
        <v/>
      </c>
      <c r="W56" s="932">
        <f>TableauProduit[[#This Row],[Prix de vente/kg]]*TableauProduit[[#This Row],[Total (kg) N2]]</f>
        <v/>
      </c>
      <c r="X56" s="961">
        <f>TableauProduit[[#This Row],[Revenu brut N2]]-TableauProduit[[#This Row],[Achat plantes N2]]-TableauProduit[[#This Row],[Conditionnement N2]]</f>
        <v/>
      </c>
      <c r="Y56" s="962" t="n">
        <v>0</v>
      </c>
      <c r="Z56" s="933">
        <f>TableauProduit[[#This Row],[Poids (g) / unité]]*TableauProduit[[#This Row],[Objectif de vente en unité N3]]/1000</f>
        <v/>
      </c>
      <c r="AA56" s="934">
        <f>TableauProduit[[#This Row],[Objectif de vente en unité N3]]*TableauProduit[[#This Row],[Packaging / unité]]</f>
        <v/>
      </c>
      <c r="AB56" s="913">
        <f>TableauProduit[[#This Row],[Prix achat plantes / kg]]*TableauProduit[[#This Row],[Total (kg) N3]]</f>
        <v/>
      </c>
      <c r="AC56" s="935">
        <f>TableauProduit[[#This Row],[Prix de vente/kg]]*TableauProduit[[#This Row],[Total (kg) N3]]</f>
        <v/>
      </c>
      <c r="AD56" s="963">
        <f>TableauProduit[[#This Row],[Revenu brut N3]]-TableauProduit[[#This Row],[Achat plantes N3]]-TableauProduit[[#This Row],[Conditionnement N3]]</f>
        <v/>
      </c>
      <c r="AE56" s="964" t="n">
        <v>50</v>
      </c>
      <c r="AF56" s="936">
        <f>TableauProduit[[#This Row],[Poids (g) / unité]]*TableauProduit[[#This Row],[Objectif de vente en unité N4]]/1000</f>
        <v/>
      </c>
      <c r="AG56" s="937">
        <f>TableauProduit[[#This Row],[Objectif de vente en unité N4]]*TableauProduit[[#This Row],[Packaging / unité]]</f>
        <v/>
      </c>
      <c r="AH56" s="916">
        <f>TableauProduit[[#This Row],[Prix achat plantes / kg]]*TableauProduit[[#This Row],[Total (kg) N4]]</f>
        <v/>
      </c>
      <c r="AI56" s="938">
        <f>TableauProduit[[#This Row],[Prix de vente/kg]]*TableauProduit[[#This Row],[Total (kg) N4]]</f>
        <v/>
      </c>
      <c r="AJ56" s="939">
        <f>TableauProduit[[#This Row],[Revenu brut N4]]-TableauProduit[[#This Row],[Achat plantes N4]]-TableauProduit[[#This Row],[Conditionnement N4]]</f>
        <v/>
      </c>
      <c r="AK56" s="965" t="n">
        <v>60</v>
      </c>
      <c r="AL56" s="940">
        <f>TableauProduit[[#This Row],[Poids (g) / unité]]*TableauProduit[[#This Row],[Objectif de vente en unité N5]]/1000</f>
        <v/>
      </c>
      <c r="AM56" s="941">
        <f>TableauProduit[[#This Row],[Objectif de vente en unité N5]]*TableauProduit[[#This Row],[Packaging / unité]]</f>
        <v/>
      </c>
      <c r="AN56" s="918">
        <f>TableauProduit[[#This Row],[Prix achat plantes / kg]]*TableauProduit[[#This Row],[Total (kg) N5]]</f>
        <v/>
      </c>
      <c r="AO56" s="942">
        <f>TableauProduit[[#This Row],[Prix de vente/kg]]*TableauProduit[[#This Row],[Total (kg) N5]]</f>
        <v/>
      </c>
      <c r="AP56" s="943">
        <f>TableauProduit[[#This Row],[Revenu brut N5]]-TableauProduit[[#This Row],[Achat plantes N5]]-TableauProduit[[#This Row],[Conditionnement N5]]</f>
        <v/>
      </c>
      <c r="AQ56" s="966" t="n">
        <v>65</v>
      </c>
      <c r="AR56" s="944">
        <f>TableauProduit[[#This Row],[Poids (g) / unité]]*TableauProduit[[#This Row],[Objectif de vente en unité N6]]/1000</f>
        <v/>
      </c>
      <c r="AS56" s="945">
        <f>TableauProduit[[#This Row],[Objectif de vente en unité N6]]*TableauProduit[[#This Row],[Packaging / unité]]</f>
        <v/>
      </c>
      <c r="AT56" s="920">
        <f>TableauProduit[[#This Row],[Prix achat plantes / kg]]*TableauProduit[[#This Row],[Total (kg) N6]]</f>
        <v/>
      </c>
      <c r="AU56" s="946">
        <f>TableauProduit[[#This Row],[Prix de vente/kg]]*TableauProduit[[#This Row],[Total (kg) N6]]</f>
        <v/>
      </c>
      <c r="AV56" s="947">
        <f>TableauProduit[[#This Row],[Revenu brut N6]]-TableauProduit[[#This Row],[Achat plantes N6]]-TableauProduit[[#This Row],[Conditionnement N6]]</f>
        <v/>
      </c>
      <c r="AW56" s="960" t="n">
        <v>68</v>
      </c>
      <c r="AX56" s="948">
        <f>TableauProduit[[#This Row],[Poids (g) / unité]]*TableauProduit[[#This Row],[Objectif de vente en unité N7]]/1000</f>
        <v/>
      </c>
      <c r="AY56" s="949">
        <f>TableauProduit[[#This Row],[Objectif de vente en unité N7]]*TableauProduit[[#This Row],[Packaging / unité]]</f>
        <v/>
      </c>
      <c r="AZ56" s="905">
        <f>TableauProduit[[#This Row],[Prix achat plantes / kg]]*TableauProduit[[#This Row],[Total (kg) N7]]</f>
        <v/>
      </c>
      <c r="BA56" s="950">
        <f>TableauProduit[[#This Row],[Prix de vente/kg]]*TableauProduit[[#This Row],[Total (kg) N7]]</f>
        <v/>
      </c>
      <c r="BB56" s="921">
        <f>TableauProduit[[#This Row],[Revenu brut N7]]-TableauProduit[[#This Row],[Achat plantes N7]]-TableauProduit[[#This Row],[Conditionnement N7]]</f>
        <v/>
      </c>
      <c r="BC56" s="967" t="n">
        <v>68</v>
      </c>
      <c r="BD56" s="951">
        <f>TableauProduit[[#This Row],[Poids (g) / unité]]*TableauProduit[[#This Row],[Objectif de vente en unité N8]]/1000</f>
        <v/>
      </c>
      <c r="BE56" s="952">
        <f>TableauProduit[[#This Row],[Objectif de vente en unité N8]]*TableauProduit[[#This Row],[Packaging / unité]]</f>
        <v/>
      </c>
      <c r="BF56" s="924">
        <f>TableauProduit[[#This Row],[Prix achat plantes / kg]]*TableauProduit[[#This Row],[Total (kg) N8]]</f>
        <v/>
      </c>
      <c r="BG56" s="953">
        <f>TableauProduit[[#This Row],[Prix de vente/kg]]*TableauProduit[[#This Row],[Total (kg) N8]]</f>
        <v/>
      </c>
      <c r="BH56" s="954">
        <f>TableauProduit[[#This Row],[Revenu brut N8]]-TableauProduit[[#This Row],[Achat plantes N8]]-TableauProduit[[#This Row],[Conditionnement N8]]</f>
        <v/>
      </c>
      <c r="BI56" s="968" t="n">
        <v>68</v>
      </c>
      <c r="BJ56" s="926">
        <f>TableauProduit[[#This Row],[Poids (g) / unité]]*TableauProduit[[#This Row],[Objectif de vente en unité N9]]/1000</f>
        <v/>
      </c>
      <c r="BK56" s="955">
        <f>TableauProduit[[#This Row],[Objectif de vente en unité N9]]*TableauProduit[[#This Row],[Packaging / unité]]</f>
        <v/>
      </c>
      <c r="BL56" s="928">
        <f>TableauProduit[[#This Row],[Prix achat plantes / kg]]*TableauProduit[[#This Row],[Total (kg) N9]]</f>
        <v/>
      </c>
      <c r="BM56" s="956">
        <f>TableauProduit[[#This Row],[Prix de vente/kg]]*TableauProduit[[#This Row],[Total (kg) N9]]</f>
        <v/>
      </c>
      <c r="BN56" s="927">
        <f>TableauProduit[[#This Row],[Revenu brut N9]]-TableauProduit[[#This Row],[Achat plantes N9]]-TableauProduit[[#This Row],[Conditionnement N9]]</f>
        <v/>
      </c>
      <c r="BO56" t="inlineStr">
        <is>
          <t>Mélange</t>
        </is>
      </c>
    </row>
    <row r="57">
      <c r="A57" s="536" t="inlineStr">
        <is>
          <t>Chaat masala</t>
        </is>
      </c>
      <c r="B57" s="54">
        <f>TableauProduit[[#This Row],[Recette]]&amp;TableauProduit[[#This Row],[Conditionnement]]</f>
        <v/>
      </c>
      <c r="C57" s="11" t="n">
        <v>1</v>
      </c>
      <c r="D57" s="11" t="n">
        <v>50</v>
      </c>
      <c r="E57" s="6" t="inlineStr">
        <is>
          <t>Epice 100ml</t>
        </is>
      </c>
      <c r="F57" s="7">
        <f>IFERROR(VLOOKUP(TableauProduit[[#This Row],[Conditionnement]],TableauConditionnement[[Nom]:[Contenance]],4,FALSE),"")</f>
        <v/>
      </c>
      <c r="G57" s="897">
        <f>IFERROR(SUMIFS(TableauRecette[Prix d''achat / kg],TableauRecette[Recette],TableauProduit[[#This Row],[Recette]],TableauRecette[Conditionnement],TableauProduit[[#This Row],[Conditionnement]]),0)</f>
        <v/>
      </c>
      <c r="H57" s="929" t="n">
        <v>4.225</v>
      </c>
      <c r="I57" s="899">
        <f>1000*TableauProduit[[#This Row],[Prix de vente/U]]/TableauProduit[[#This Row],[Poids (g) / unité]]</f>
        <v/>
      </c>
      <c r="J57" s="900">
        <f>SUMIFS(TableauConcurence[PRIX_KG],TableauConcurence[PRODUIT],TableauProduit[[#This Row],[Recette]],TableauConcurence[DISTRIBUTION],"magasin NON BIO")</f>
        <v/>
      </c>
      <c r="K57" s="901">
        <f>SUMIFS(TableauConcurence[PRIX_KG],TableauConcurence[PRODUIT],TableauProduit[[#This Row],[Recette]],TableauConcurence[DISTRIBUTION],"magasin BIO")</f>
        <v/>
      </c>
      <c r="L57" s="902">
        <f>SUMIFS(TableauConcurence[PRIX_KG],TableauConcurence[PRODUIT],TableauProduit[[#This Row],[Recette]],TableauConcurence[DISTRIBUTION],"artisanale BIO")</f>
        <v/>
      </c>
      <c r="M57" s="903" t="n">
        <v>0</v>
      </c>
      <c r="N57" s="960">
        <f>TableauProduit[[#This Row],[Poids (g) / unité]]*TableauProduit[[#This Row],[Objectif de vente en unité N1]]/1000</f>
        <v/>
      </c>
      <c r="O57" s="905">
        <f>TableauProduit[[#This Row],[Objectif de vente en unité N1]]*TableauProduit[[#This Row],[Packaging / unité]]</f>
        <v/>
      </c>
      <c r="P57" s="905">
        <f>TableauProduit[[#This Row],[Prix achat plantes / kg]]*TableauProduit[[#This Row],[Total (kg) N1]]</f>
        <v/>
      </c>
      <c r="Q57" s="905">
        <f>TableauProduit[[#This Row],[Prix de vente/kg]]*TableauProduit[[#This Row],[Total (kg) N1]]</f>
        <v/>
      </c>
      <c r="R57" s="921">
        <f>TableauProduit[[#This Row],[Revenu brut N1]]-TableauProduit[[#This Row],[Achat plantes N1]]-TableauProduit[[#This Row],[Conditionnement N1]]</f>
        <v/>
      </c>
      <c r="S57" s="910" t="n">
        <v>0</v>
      </c>
      <c r="T57" s="930">
        <f>TableauProduit[[#This Row],[Poids (g) / unité]]*TableauProduit[[#This Row],[Objectif de vente en unité N2]]/1000</f>
        <v/>
      </c>
      <c r="U57" s="931">
        <f>TableauProduit[[#This Row],[Objectif de vente en unité N2]]*TableauProduit[[#This Row],[Packaging / unité]]</f>
        <v/>
      </c>
      <c r="V57" s="909">
        <f>TableauProduit[[#This Row],[Prix achat plantes / kg]]*TableauProduit[[#This Row],[Total (kg) N2]]</f>
        <v/>
      </c>
      <c r="W57" s="932">
        <f>TableauProduit[[#This Row],[Prix de vente/kg]]*TableauProduit[[#This Row],[Total (kg) N2]]</f>
        <v/>
      </c>
      <c r="X57" s="961">
        <f>TableauProduit[[#This Row],[Revenu brut N2]]-TableauProduit[[#This Row],[Achat plantes N2]]-TableauProduit[[#This Row],[Conditionnement N2]]</f>
        <v/>
      </c>
      <c r="Y57" s="962" t="n">
        <v>0</v>
      </c>
      <c r="Z57" s="933">
        <f>TableauProduit[[#This Row],[Poids (g) / unité]]*TableauProduit[[#This Row],[Objectif de vente en unité N3]]/1000</f>
        <v/>
      </c>
      <c r="AA57" s="934">
        <f>TableauProduit[[#This Row],[Objectif de vente en unité N3]]*TableauProduit[[#This Row],[Packaging / unité]]</f>
        <v/>
      </c>
      <c r="AB57" s="913">
        <f>TableauProduit[[#This Row],[Prix achat plantes / kg]]*TableauProduit[[#This Row],[Total (kg) N3]]</f>
        <v/>
      </c>
      <c r="AC57" s="935">
        <f>TableauProduit[[#This Row],[Prix de vente/kg]]*TableauProduit[[#This Row],[Total (kg) N3]]</f>
        <v/>
      </c>
      <c r="AD57" s="963">
        <f>TableauProduit[[#This Row],[Revenu brut N3]]-TableauProduit[[#This Row],[Achat plantes N3]]-TableauProduit[[#This Row],[Conditionnement N3]]</f>
        <v/>
      </c>
      <c r="AE57" s="964" t="n">
        <v>50</v>
      </c>
      <c r="AF57" s="936">
        <f>TableauProduit[[#This Row],[Poids (g) / unité]]*TableauProduit[[#This Row],[Objectif de vente en unité N4]]/1000</f>
        <v/>
      </c>
      <c r="AG57" s="937">
        <f>TableauProduit[[#This Row],[Objectif de vente en unité N4]]*TableauProduit[[#This Row],[Packaging / unité]]</f>
        <v/>
      </c>
      <c r="AH57" s="916">
        <f>TableauProduit[[#This Row],[Prix achat plantes / kg]]*TableauProduit[[#This Row],[Total (kg) N4]]</f>
        <v/>
      </c>
      <c r="AI57" s="938">
        <f>TableauProduit[[#This Row],[Prix de vente/kg]]*TableauProduit[[#This Row],[Total (kg) N4]]</f>
        <v/>
      </c>
      <c r="AJ57" s="939">
        <f>TableauProduit[[#This Row],[Revenu brut N4]]-TableauProduit[[#This Row],[Achat plantes N4]]-TableauProduit[[#This Row],[Conditionnement N4]]</f>
        <v/>
      </c>
      <c r="AK57" s="965" t="n">
        <v>60</v>
      </c>
      <c r="AL57" s="940">
        <f>TableauProduit[[#This Row],[Poids (g) / unité]]*TableauProduit[[#This Row],[Objectif de vente en unité N5]]/1000</f>
        <v/>
      </c>
      <c r="AM57" s="941">
        <f>TableauProduit[[#This Row],[Objectif de vente en unité N5]]*TableauProduit[[#This Row],[Packaging / unité]]</f>
        <v/>
      </c>
      <c r="AN57" s="918">
        <f>TableauProduit[[#This Row],[Prix achat plantes / kg]]*TableauProduit[[#This Row],[Total (kg) N5]]</f>
        <v/>
      </c>
      <c r="AO57" s="942">
        <f>TableauProduit[[#This Row],[Prix de vente/kg]]*TableauProduit[[#This Row],[Total (kg) N5]]</f>
        <v/>
      </c>
      <c r="AP57" s="943">
        <f>TableauProduit[[#This Row],[Revenu brut N5]]-TableauProduit[[#This Row],[Achat plantes N5]]-TableauProduit[[#This Row],[Conditionnement N5]]</f>
        <v/>
      </c>
      <c r="AQ57" s="966" t="n">
        <v>65</v>
      </c>
      <c r="AR57" s="944">
        <f>TableauProduit[[#This Row],[Poids (g) / unité]]*TableauProduit[[#This Row],[Objectif de vente en unité N6]]/1000</f>
        <v/>
      </c>
      <c r="AS57" s="945">
        <f>TableauProduit[[#This Row],[Objectif de vente en unité N6]]*TableauProduit[[#This Row],[Packaging / unité]]</f>
        <v/>
      </c>
      <c r="AT57" s="920">
        <f>TableauProduit[[#This Row],[Prix achat plantes / kg]]*TableauProduit[[#This Row],[Total (kg) N6]]</f>
        <v/>
      </c>
      <c r="AU57" s="946">
        <f>TableauProduit[[#This Row],[Prix de vente/kg]]*TableauProduit[[#This Row],[Total (kg) N6]]</f>
        <v/>
      </c>
      <c r="AV57" s="947">
        <f>TableauProduit[[#This Row],[Revenu brut N6]]-TableauProduit[[#This Row],[Achat plantes N6]]-TableauProduit[[#This Row],[Conditionnement N6]]</f>
        <v/>
      </c>
      <c r="AW57" s="960" t="n">
        <v>68</v>
      </c>
      <c r="AX57" s="948">
        <f>TableauProduit[[#This Row],[Poids (g) / unité]]*TableauProduit[[#This Row],[Objectif de vente en unité N7]]/1000</f>
        <v/>
      </c>
      <c r="AY57" s="949">
        <f>TableauProduit[[#This Row],[Objectif de vente en unité N7]]*TableauProduit[[#This Row],[Packaging / unité]]</f>
        <v/>
      </c>
      <c r="AZ57" s="905">
        <f>TableauProduit[[#This Row],[Prix achat plantes / kg]]*TableauProduit[[#This Row],[Total (kg) N7]]</f>
        <v/>
      </c>
      <c r="BA57" s="950">
        <f>TableauProduit[[#This Row],[Prix de vente/kg]]*TableauProduit[[#This Row],[Total (kg) N7]]</f>
        <v/>
      </c>
      <c r="BB57" s="921">
        <f>TableauProduit[[#This Row],[Revenu brut N7]]-TableauProduit[[#This Row],[Achat plantes N7]]-TableauProduit[[#This Row],[Conditionnement N7]]</f>
        <v/>
      </c>
      <c r="BC57" s="967" t="n">
        <v>68</v>
      </c>
      <c r="BD57" s="951">
        <f>TableauProduit[[#This Row],[Poids (g) / unité]]*TableauProduit[[#This Row],[Objectif de vente en unité N8]]/1000</f>
        <v/>
      </c>
      <c r="BE57" s="952">
        <f>TableauProduit[[#This Row],[Objectif de vente en unité N8]]*TableauProduit[[#This Row],[Packaging / unité]]</f>
        <v/>
      </c>
      <c r="BF57" s="924">
        <f>TableauProduit[[#This Row],[Prix achat plantes / kg]]*TableauProduit[[#This Row],[Total (kg) N8]]</f>
        <v/>
      </c>
      <c r="BG57" s="953">
        <f>TableauProduit[[#This Row],[Prix de vente/kg]]*TableauProduit[[#This Row],[Total (kg) N8]]</f>
        <v/>
      </c>
      <c r="BH57" s="954">
        <f>TableauProduit[[#This Row],[Revenu brut N8]]-TableauProduit[[#This Row],[Achat plantes N8]]-TableauProduit[[#This Row],[Conditionnement N8]]</f>
        <v/>
      </c>
      <c r="BI57" s="968" t="n">
        <v>68</v>
      </c>
      <c r="BJ57" s="926">
        <f>TableauProduit[[#This Row],[Poids (g) / unité]]*TableauProduit[[#This Row],[Objectif de vente en unité N9]]/1000</f>
        <v/>
      </c>
      <c r="BK57" s="955">
        <f>TableauProduit[[#This Row],[Objectif de vente en unité N9]]*TableauProduit[[#This Row],[Packaging / unité]]</f>
        <v/>
      </c>
      <c r="BL57" s="928">
        <f>TableauProduit[[#This Row],[Prix achat plantes / kg]]*TableauProduit[[#This Row],[Total (kg) N9]]</f>
        <v/>
      </c>
      <c r="BM57" s="956">
        <f>TableauProduit[[#This Row],[Prix de vente/kg]]*TableauProduit[[#This Row],[Total (kg) N9]]</f>
        <v/>
      </c>
      <c r="BN57" s="927">
        <f>TableauProduit[[#This Row],[Revenu brut N9]]-TableauProduit[[#This Row],[Achat plantes N9]]-TableauProduit[[#This Row],[Conditionnement N9]]</f>
        <v/>
      </c>
      <c r="BO57" t="inlineStr">
        <is>
          <t>Mélange</t>
        </is>
      </c>
    </row>
    <row r="58">
      <c r="A58" s="536" t="inlineStr">
        <is>
          <t>Hawaij</t>
        </is>
      </c>
      <c r="B58" s="54">
        <f>TableauProduit[[#This Row],[Recette]]&amp;TableauProduit[[#This Row],[Conditionnement]]</f>
        <v/>
      </c>
      <c r="C58" s="11" t="n">
        <v>1</v>
      </c>
      <c r="D58" s="11" t="n">
        <v>50</v>
      </c>
      <c r="E58" s="6" t="inlineStr">
        <is>
          <t>Epice 100ml</t>
        </is>
      </c>
      <c r="F58" s="7">
        <f>IFERROR(VLOOKUP(TableauProduit[[#This Row],[Conditionnement]],TableauConditionnement[[Nom]:[Contenance]],4,FALSE),"")</f>
        <v/>
      </c>
      <c r="G58" s="897">
        <f>IFERROR(SUMIFS(TableauRecette[Prix d''achat / kg],TableauRecette[Recette],TableauProduit[[#This Row],[Recette]],TableauRecette[Conditionnement],TableauProduit[[#This Row],[Conditionnement]]),0)</f>
        <v/>
      </c>
      <c r="H58" s="929" t="n">
        <v>5</v>
      </c>
      <c r="I58" s="899">
        <f>1000*TableauProduit[[#This Row],[Prix de vente/U]]/TableauProduit[[#This Row],[Poids (g) / unité]]</f>
        <v/>
      </c>
      <c r="J58" s="900">
        <f>SUMIFS(TableauConcurence[PRIX_KG],TableauConcurence[PRODUIT],TableauProduit[[#This Row],[Recette]],TableauConcurence[DISTRIBUTION],"magasin NON BIO")</f>
        <v/>
      </c>
      <c r="K58" s="901">
        <f>SUMIFS(TableauConcurence[PRIX_KG],TableauConcurence[PRODUIT],TableauProduit[[#This Row],[Recette]],TableauConcurence[DISTRIBUTION],"magasin BIO")</f>
        <v/>
      </c>
      <c r="L58" s="902">
        <f>SUMIFS(TableauConcurence[PRIX_KG],TableauConcurence[PRODUIT],TableauProduit[[#This Row],[Recette]],TableauConcurence[DISTRIBUTION],"artisanale BIO")</f>
        <v/>
      </c>
      <c r="M58" s="903" t="n">
        <v>0</v>
      </c>
      <c r="N58" s="960">
        <f>TableauProduit[[#This Row],[Poids (g) / unité]]*TableauProduit[[#This Row],[Objectif de vente en unité N1]]/1000</f>
        <v/>
      </c>
      <c r="O58" s="905">
        <f>TableauProduit[[#This Row],[Objectif de vente en unité N1]]*TableauProduit[[#This Row],[Packaging / unité]]</f>
        <v/>
      </c>
      <c r="P58" s="905">
        <f>TableauProduit[[#This Row],[Prix achat plantes / kg]]*TableauProduit[[#This Row],[Total (kg) N1]]</f>
        <v/>
      </c>
      <c r="Q58" s="905">
        <f>TableauProduit[[#This Row],[Prix de vente/kg]]*TableauProduit[[#This Row],[Total (kg) N1]]</f>
        <v/>
      </c>
      <c r="R58" s="921">
        <f>TableauProduit[[#This Row],[Revenu brut N1]]-TableauProduit[[#This Row],[Achat plantes N1]]-TableauProduit[[#This Row],[Conditionnement N1]]</f>
        <v/>
      </c>
      <c r="S58" s="910" t="n">
        <v>0</v>
      </c>
      <c r="T58" s="930">
        <f>TableauProduit[[#This Row],[Poids (g) / unité]]*TableauProduit[[#This Row],[Objectif de vente en unité N2]]/1000</f>
        <v/>
      </c>
      <c r="U58" s="931">
        <f>TableauProduit[[#This Row],[Objectif de vente en unité N2]]*TableauProduit[[#This Row],[Packaging / unité]]</f>
        <v/>
      </c>
      <c r="V58" s="909">
        <f>TableauProduit[[#This Row],[Prix achat plantes / kg]]*TableauProduit[[#This Row],[Total (kg) N2]]</f>
        <v/>
      </c>
      <c r="W58" s="932">
        <f>TableauProduit[[#This Row],[Prix de vente/kg]]*TableauProduit[[#This Row],[Total (kg) N2]]</f>
        <v/>
      </c>
      <c r="X58" s="961">
        <f>TableauProduit[[#This Row],[Revenu brut N2]]-TableauProduit[[#This Row],[Achat plantes N2]]-TableauProduit[[#This Row],[Conditionnement N2]]</f>
        <v/>
      </c>
      <c r="Y58" s="962" t="n">
        <v>0</v>
      </c>
      <c r="Z58" s="933">
        <f>TableauProduit[[#This Row],[Poids (g) / unité]]*TableauProduit[[#This Row],[Objectif de vente en unité N3]]/1000</f>
        <v/>
      </c>
      <c r="AA58" s="934">
        <f>TableauProduit[[#This Row],[Objectif de vente en unité N3]]*TableauProduit[[#This Row],[Packaging / unité]]</f>
        <v/>
      </c>
      <c r="AB58" s="913">
        <f>TableauProduit[[#This Row],[Prix achat plantes / kg]]*TableauProduit[[#This Row],[Total (kg) N3]]</f>
        <v/>
      </c>
      <c r="AC58" s="935">
        <f>TableauProduit[[#This Row],[Prix de vente/kg]]*TableauProduit[[#This Row],[Total (kg) N3]]</f>
        <v/>
      </c>
      <c r="AD58" s="963">
        <f>TableauProduit[[#This Row],[Revenu brut N3]]-TableauProduit[[#This Row],[Achat plantes N3]]-TableauProduit[[#This Row],[Conditionnement N3]]</f>
        <v/>
      </c>
      <c r="AE58" s="964" t="n">
        <v>50</v>
      </c>
      <c r="AF58" s="936">
        <f>TableauProduit[[#This Row],[Poids (g) / unité]]*TableauProduit[[#This Row],[Objectif de vente en unité N4]]/1000</f>
        <v/>
      </c>
      <c r="AG58" s="937">
        <f>TableauProduit[[#This Row],[Objectif de vente en unité N4]]*TableauProduit[[#This Row],[Packaging / unité]]</f>
        <v/>
      </c>
      <c r="AH58" s="916">
        <f>TableauProduit[[#This Row],[Prix achat plantes / kg]]*TableauProduit[[#This Row],[Total (kg) N4]]</f>
        <v/>
      </c>
      <c r="AI58" s="938">
        <f>TableauProduit[[#This Row],[Prix de vente/kg]]*TableauProduit[[#This Row],[Total (kg) N4]]</f>
        <v/>
      </c>
      <c r="AJ58" s="939">
        <f>TableauProduit[[#This Row],[Revenu brut N4]]-TableauProduit[[#This Row],[Achat plantes N4]]-TableauProduit[[#This Row],[Conditionnement N4]]</f>
        <v/>
      </c>
      <c r="AK58" s="965" t="n">
        <v>60</v>
      </c>
      <c r="AL58" s="940">
        <f>TableauProduit[[#This Row],[Poids (g) / unité]]*TableauProduit[[#This Row],[Objectif de vente en unité N5]]/1000</f>
        <v/>
      </c>
      <c r="AM58" s="941">
        <f>TableauProduit[[#This Row],[Objectif de vente en unité N5]]*TableauProduit[[#This Row],[Packaging / unité]]</f>
        <v/>
      </c>
      <c r="AN58" s="918">
        <f>TableauProduit[[#This Row],[Prix achat plantes / kg]]*TableauProduit[[#This Row],[Total (kg) N5]]</f>
        <v/>
      </c>
      <c r="AO58" s="942">
        <f>TableauProduit[[#This Row],[Prix de vente/kg]]*TableauProduit[[#This Row],[Total (kg) N5]]</f>
        <v/>
      </c>
      <c r="AP58" s="943">
        <f>TableauProduit[[#This Row],[Revenu brut N5]]-TableauProduit[[#This Row],[Achat plantes N5]]-TableauProduit[[#This Row],[Conditionnement N5]]</f>
        <v/>
      </c>
      <c r="AQ58" s="966" t="n">
        <v>65</v>
      </c>
      <c r="AR58" s="944">
        <f>TableauProduit[[#This Row],[Poids (g) / unité]]*TableauProduit[[#This Row],[Objectif de vente en unité N6]]/1000</f>
        <v/>
      </c>
      <c r="AS58" s="945">
        <f>TableauProduit[[#This Row],[Objectif de vente en unité N6]]*TableauProduit[[#This Row],[Packaging / unité]]</f>
        <v/>
      </c>
      <c r="AT58" s="920">
        <f>TableauProduit[[#This Row],[Prix achat plantes / kg]]*TableauProduit[[#This Row],[Total (kg) N6]]</f>
        <v/>
      </c>
      <c r="AU58" s="946">
        <f>TableauProduit[[#This Row],[Prix de vente/kg]]*TableauProduit[[#This Row],[Total (kg) N6]]</f>
        <v/>
      </c>
      <c r="AV58" s="947">
        <f>TableauProduit[[#This Row],[Revenu brut N6]]-TableauProduit[[#This Row],[Achat plantes N6]]-TableauProduit[[#This Row],[Conditionnement N6]]</f>
        <v/>
      </c>
      <c r="AW58" s="960" t="n">
        <v>68</v>
      </c>
      <c r="AX58" s="948">
        <f>TableauProduit[[#This Row],[Poids (g) / unité]]*TableauProduit[[#This Row],[Objectif de vente en unité N7]]/1000</f>
        <v/>
      </c>
      <c r="AY58" s="949">
        <f>TableauProduit[[#This Row],[Objectif de vente en unité N7]]*TableauProduit[[#This Row],[Packaging / unité]]</f>
        <v/>
      </c>
      <c r="AZ58" s="905">
        <f>TableauProduit[[#This Row],[Prix achat plantes / kg]]*TableauProduit[[#This Row],[Total (kg) N7]]</f>
        <v/>
      </c>
      <c r="BA58" s="950">
        <f>TableauProduit[[#This Row],[Prix de vente/kg]]*TableauProduit[[#This Row],[Total (kg) N7]]</f>
        <v/>
      </c>
      <c r="BB58" s="921">
        <f>TableauProduit[[#This Row],[Revenu brut N7]]-TableauProduit[[#This Row],[Achat plantes N7]]-TableauProduit[[#This Row],[Conditionnement N7]]</f>
        <v/>
      </c>
      <c r="BC58" s="967" t="n">
        <v>68</v>
      </c>
      <c r="BD58" s="951">
        <f>TableauProduit[[#This Row],[Poids (g) / unité]]*TableauProduit[[#This Row],[Objectif de vente en unité N8]]/1000</f>
        <v/>
      </c>
      <c r="BE58" s="952">
        <f>TableauProduit[[#This Row],[Objectif de vente en unité N8]]*TableauProduit[[#This Row],[Packaging / unité]]</f>
        <v/>
      </c>
      <c r="BF58" s="924">
        <f>TableauProduit[[#This Row],[Prix achat plantes / kg]]*TableauProduit[[#This Row],[Total (kg) N8]]</f>
        <v/>
      </c>
      <c r="BG58" s="953">
        <f>TableauProduit[[#This Row],[Prix de vente/kg]]*TableauProduit[[#This Row],[Total (kg) N8]]</f>
        <v/>
      </c>
      <c r="BH58" s="954">
        <f>TableauProduit[[#This Row],[Revenu brut N8]]-TableauProduit[[#This Row],[Achat plantes N8]]-TableauProduit[[#This Row],[Conditionnement N8]]</f>
        <v/>
      </c>
      <c r="BI58" s="968" t="n">
        <v>68</v>
      </c>
      <c r="BJ58" s="926">
        <f>TableauProduit[[#This Row],[Poids (g) / unité]]*TableauProduit[[#This Row],[Objectif de vente en unité N9]]/1000</f>
        <v/>
      </c>
      <c r="BK58" s="955">
        <f>TableauProduit[[#This Row],[Objectif de vente en unité N9]]*TableauProduit[[#This Row],[Packaging / unité]]</f>
        <v/>
      </c>
      <c r="BL58" s="928">
        <f>TableauProduit[[#This Row],[Prix achat plantes / kg]]*TableauProduit[[#This Row],[Total (kg) N9]]</f>
        <v/>
      </c>
      <c r="BM58" s="956">
        <f>TableauProduit[[#This Row],[Prix de vente/kg]]*TableauProduit[[#This Row],[Total (kg) N9]]</f>
        <v/>
      </c>
      <c r="BN58" s="927">
        <f>TableauProduit[[#This Row],[Revenu brut N9]]-TableauProduit[[#This Row],[Achat plantes N9]]-TableauProduit[[#This Row],[Conditionnement N9]]</f>
        <v/>
      </c>
      <c r="BO58" t="inlineStr">
        <is>
          <t>Autre</t>
        </is>
      </c>
    </row>
    <row r="59">
      <c r="A59" s="536" t="inlineStr">
        <is>
          <t>Carvi moulu</t>
        </is>
      </c>
      <c r="B59" s="54">
        <f>TableauProduit[[#This Row],[Recette]]&amp;TableauProduit[[#This Row],[Conditionnement]]</f>
        <v/>
      </c>
      <c r="C59" s="11" t="n">
        <v>1</v>
      </c>
      <c r="D59" s="11" t="n">
        <v>65</v>
      </c>
      <c r="E59" s="6" t="inlineStr">
        <is>
          <t>Epice 100ml</t>
        </is>
      </c>
      <c r="F59" s="7">
        <f>IFERROR(VLOOKUP(TableauProduit[[#This Row],[Conditionnement]],TableauConditionnement[[Nom]:[Contenance]],4,FALSE),"")</f>
        <v/>
      </c>
      <c r="G59" s="897">
        <f>IFERROR(SUMIFS(TableauRecette[Prix d''achat / kg],TableauRecette[Recette],TableauProduit[[#This Row],[Recette]],TableauRecette[Conditionnement],TableauProduit[[#This Row],[Conditionnement]]),0)</f>
        <v/>
      </c>
      <c r="H59" s="929" t="n">
        <v>4.225</v>
      </c>
      <c r="I59" s="899">
        <f>1000*TableauProduit[[#This Row],[Prix de vente/U]]/TableauProduit[[#This Row],[Poids (g) / unité]]</f>
        <v/>
      </c>
      <c r="J59" s="900">
        <f>SUMIFS(TableauConcurence[PRIX_KG],TableauConcurence[PRODUIT],TableauProduit[[#This Row],[Recette]],TableauConcurence[DISTRIBUTION],"magasin NON BIO")</f>
        <v/>
      </c>
      <c r="K59" s="901">
        <f>SUMIFS(TableauConcurence[PRIX_KG],TableauConcurence[PRODUIT],TableauProduit[[#This Row],[Recette]],TableauConcurence[DISTRIBUTION],"magasin BIO")</f>
        <v/>
      </c>
      <c r="L59" s="902">
        <f>SUMIFS(TableauConcurence[PRIX_KG],TableauConcurence[PRODUIT],TableauProduit[[#This Row],[Recette]],TableauConcurence[DISTRIBUTION],"artisanale BIO")</f>
        <v/>
      </c>
      <c r="M59" s="903" t="n">
        <v>0</v>
      </c>
      <c r="N59" s="960">
        <f>TableauProduit[[#This Row],[Poids (g) / unité]]*TableauProduit[[#This Row],[Objectif de vente en unité N1]]/1000</f>
        <v/>
      </c>
      <c r="O59" s="905">
        <f>TableauProduit[[#This Row],[Objectif de vente en unité N1]]*TableauProduit[[#This Row],[Packaging / unité]]</f>
        <v/>
      </c>
      <c r="P59" s="905">
        <f>TableauProduit[[#This Row],[Prix achat plantes / kg]]*TableauProduit[[#This Row],[Total (kg) N1]]</f>
        <v/>
      </c>
      <c r="Q59" s="905">
        <f>TableauProduit[[#This Row],[Prix de vente/kg]]*TableauProduit[[#This Row],[Total (kg) N1]]</f>
        <v/>
      </c>
      <c r="R59" s="921">
        <f>TableauProduit[[#This Row],[Revenu brut N1]]-TableauProduit[[#This Row],[Achat plantes N1]]-TableauProduit[[#This Row],[Conditionnement N1]]</f>
        <v/>
      </c>
      <c r="S59" s="910" t="n">
        <v>0</v>
      </c>
      <c r="T59" s="930">
        <f>TableauProduit[[#This Row],[Poids (g) / unité]]*TableauProduit[[#This Row],[Objectif de vente en unité N2]]/1000</f>
        <v/>
      </c>
      <c r="U59" s="931">
        <f>TableauProduit[[#This Row],[Objectif de vente en unité N2]]*TableauProduit[[#This Row],[Packaging / unité]]</f>
        <v/>
      </c>
      <c r="V59" s="909">
        <f>TableauProduit[[#This Row],[Prix achat plantes / kg]]*TableauProduit[[#This Row],[Total (kg) N2]]</f>
        <v/>
      </c>
      <c r="W59" s="932">
        <f>TableauProduit[[#This Row],[Prix de vente/kg]]*TableauProduit[[#This Row],[Total (kg) N2]]</f>
        <v/>
      </c>
      <c r="X59" s="961">
        <f>TableauProduit[[#This Row],[Revenu brut N2]]-TableauProduit[[#This Row],[Achat plantes N2]]-TableauProduit[[#This Row],[Conditionnement N2]]</f>
        <v/>
      </c>
      <c r="Y59" s="962" t="n">
        <v>0</v>
      </c>
      <c r="Z59" s="933">
        <f>TableauProduit[[#This Row],[Poids (g) / unité]]*TableauProduit[[#This Row],[Objectif de vente en unité N3]]/1000</f>
        <v/>
      </c>
      <c r="AA59" s="934">
        <f>TableauProduit[[#This Row],[Objectif de vente en unité N3]]*TableauProduit[[#This Row],[Packaging / unité]]</f>
        <v/>
      </c>
      <c r="AB59" s="913">
        <f>TableauProduit[[#This Row],[Prix achat plantes / kg]]*TableauProduit[[#This Row],[Total (kg) N3]]</f>
        <v/>
      </c>
      <c r="AC59" s="935">
        <f>TableauProduit[[#This Row],[Prix de vente/kg]]*TableauProduit[[#This Row],[Total (kg) N3]]</f>
        <v/>
      </c>
      <c r="AD59" s="963">
        <f>TableauProduit[[#This Row],[Revenu brut N3]]-TableauProduit[[#This Row],[Achat plantes N3]]-TableauProduit[[#This Row],[Conditionnement N3]]</f>
        <v/>
      </c>
      <c r="AE59" s="964" t="n">
        <v>0</v>
      </c>
      <c r="AF59" s="936">
        <f>TableauProduit[[#This Row],[Poids (g) / unité]]*TableauProduit[[#This Row],[Objectif de vente en unité N4]]/1000</f>
        <v/>
      </c>
      <c r="AG59" s="937">
        <f>TableauProduit[[#This Row],[Objectif de vente en unité N4]]*TableauProduit[[#This Row],[Packaging / unité]]</f>
        <v/>
      </c>
      <c r="AH59" s="916">
        <f>TableauProduit[[#This Row],[Prix achat plantes / kg]]*TableauProduit[[#This Row],[Total (kg) N4]]</f>
        <v/>
      </c>
      <c r="AI59" s="938">
        <f>TableauProduit[[#This Row],[Prix de vente/kg]]*TableauProduit[[#This Row],[Total (kg) N4]]</f>
        <v/>
      </c>
      <c r="AJ59" s="939">
        <f>TableauProduit[[#This Row],[Revenu brut N4]]-TableauProduit[[#This Row],[Achat plantes N4]]-TableauProduit[[#This Row],[Conditionnement N4]]</f>
        <v/>
      </c>
      <c r="AK59" s="965" t="n">
        <v>0</v>
      </c>
      <c r="AL59" s="940">
        <f>TableauProduit[[#This Row],[Poids (g) / unité]]*TableauProduit[[#This Row],[Objectif de vente en unité N5]]/1000</f>
        <v/>
      </c>
      <c r="AM59" s="941">
        <f>TableauProduit[[#This Row],[Objectif de vente en unité N5]]*TableauProduit[[#This Row],[Packaging / unité]]</f>
        <v/>
      </c>
      <c r="AN59" s="918">
        <f>TableauProduit[[#This Row],[Prix achat plantes / kg]]*TableauProduit[[#This Row],[Total (kg) N5]]</f>
        <v/>
      </c>
      <c r="AO59" s="942">
        <f>TableauProduit[[#This Row],[Prix de vente/kg]]*TableauProduit[[#This Row],[Total (kg) N5]]</f>
        <v/>
      </c>
      <c r="AP59" s="943">
        <f>TableauProduit[[#This Row],[Revenu brut N5]]-TableauProduit[[#This Row],[Achat plantes N5]]-TableauProduit[[#This Row],[Conditionnement N5]]</f>
        <v/>
      </c>
      <c r="AQ59" s="966" t="n">
        <v>0</v>
      </c>
      <c r="AR59" s="944">
        <f>TableauProduit[[#This Row],[Poids (g) / unité]]*TableauProduit[[#This Row],[Objectif de vente en unité N6]]/1000</f>
        <v/>
      </c>
      <c r="AS59" s="945">
        <f>TableauProduit[[#This Row],[Objectif de vente en unité N6]]*TableauProduit[[#This Row],[Packaging / unité]]</f>
        <v/>
      </c>
      <c r="AT59" s="920">
        <f>TableauProduit[[#This Row],[Prix achat plantes / kg]]*TableauProduit[[#This Row],[Total (kg) N6]]</f>
        <v/>
      </c>
      <c r="AU59" s="946">
        <f>TableauProduit[[#This Row],[Prix de vente/kg]]*TableauProduit[[#This Row],[Total (kg) N6]]</f>
        <v/>
      </c>
      <c r="AV59" s="947">
        <f>TableauProduit[[#This Row],[Revenu brut N6]]-TableauProduit[[#This Row],[Achat plantes N6]]-TableauProduit[[#This Row],[Conditionnement N6]]</f>
        <v/>
      </c>
      <c r="AW59" s="960" t="n">
        <v>0</v>
      </c>
      <c r="AX59" s="948">
        <f>TableauProduit[[#This Row],[Poids (g) / unité]]*TableauProduit[[#This Row],[Objectif de vente en unité N7]]/1000</f>
        <v/>
      </c>
      <c r="AY59" s="949">
        <f>TableauProduit[[#This Row],[Objectif de vente en unité N7]]*TableauProduit[[#This Row],[Packaging / unité]]</f>
        <v/>
      </c>
      <c r="AZ59" s="905">
        <f>TableauProduit[[#This Row],[Prix achat plantes / kg]]*TableauProduit[[#This Row],[Total (kg) N7]]</f>
        <v/>
      </c>
      <c r="BA59" s="950">
        <f>TableauProduit[[#This Row],[Prix de vente/kg]]*TableauProduit[[#This Row],[Total (kg) N7]]</f>
        <v/>
      </c>
      <c r="BB59" s="921">
        <f>TableauProduit[[#This Row],[Revenu brut N7]]-TableauProduit[[#This Row],[Achat plantes N7]]-TableauProduit[[#This Row],[Conditionnement N7]]</f>
        <v/>
      </c>
      <c r="BC59" s="967" t="n">
        <v>0</v>
      </c>
      <c r="BD59" s="951">
        <f>TableauProduit[[#This Row],[Poids (g) / unité]]*TableauProduit[[#This Row],[Objectif de vente en unité N8]]/1000</f>
        <v/>
      </c>
      <c r="BE59" s="952">
        <f>TableauProduit[[#This Row],[Objectif de vente en unité N8]]*TableauProduit[[#This Row],[Packaging / unité]]</f>
        <v/>
      </c>
      <c r="BF59" s="924">
        <f>TableauProduit[[#This Row],[Prix achat plantes / kg]]*TableauProduit[[#This Row],[Total (kg) N8]]</f>
        <v/>
      </c>
      <c r="BG59" s="953">
        <f>TableauProduit[[#This Row],[Prix de vente/kg]]*TableauProduit[[#This Row],[Total (kg) N8]]</f>
        <v/>
      </c>
      <c r="BH59" s="954">
        <f>TableauProduit[[#This Row],[Revenu brut N8]]-TableauProduit[[#This Row],[Achat plantes N8]]-TableauProduit[[#This Row],[Conditionnement N8]]</f>
        <v/>
      </c>
      <c r="BI59" s="968" t="n">
        <v>0</v>
      </c>
      <c r="BJ59" s="926">
        <f>TableauProduit[[#This Row],[Poids (g) / unité]]*TableauProduit[[#This Row],[Objectif de vente en unité N9]]/1000</f>
        <v/>
      </c>
      <c r="BK59" s="955">
        <f>TableauProduit[[#This Row],[Objectif de vente en unité N9]]*TableauProduit[[#This Row],[Packaging / unité]]</f>
        <v/>
      </c>
      <c r="BL59" s="928">
        <f>TableauProduit[[#This Row],[Prix achat plantes / kg]]*TableauProduit[[#This Row],[Total (kg) N9]]</f>
        <v/>
      </c>
      <c r="BM59" s="956">
        <f>TableauProduit[[#This Row],[Prix de vente/kg]]*TableauProduit[[#This Row],[Total (kg) N9]]</f>
        <v/>
      </c>
      <c r="BN59" s="927">
        <f>TableauProduit[[#This Row],[Revenu brut N9]]-TableauProduit[[#This Row],[Achat plantes N9]]-TableauProduit[[#This Row],[Conditionnement N9]]</f>
        <v/>
      </c>
      <c r="BO59" t="inlineStr">
        <is>
          <t>Brut (hors gamme)</t>
        </is>
      </c>
    </row>
    <row r="60">
      <c r="A60" s="536" t="inlineStr">
        <is>
          <t>Baharat arabe</t>
        </is>
      </c>
      <c r="B60" s="54">
        <f>TableauProduit[[#This Row],[Recette]]&amp;TableauProduit[[#This Row],[Conditionnement]]</f>
        <v/>
      </c>
      <c r="C60" s="11" t="n">
        <v>1</v>
      </c>
      <c r="D60" s="11" t="n">
        <v>45</v>
      </c>
      <c r="E60" s="6" t="inlineStr">
        <is>
          <t>Epice 100ml</t>
        </is>
      </c>
      <c r="F60" s="7">
        <f>IFERROR(VLOOKUP(TableauProduit[[#This Row],[Conditionnement]],TableauConditionnement[[Nom]:[Contenance]],4,FALSE),"")</f>
        <v/>
      </c>
      <c r="G60" s="897">
        <f>IFERROR(SUMIFS(TableauRecette[Prix d''achat / kg],TableauRecette[Recette],TableauProduit[[#This Row],[Recette]],TableauRecette[Conditionnement],TableauProduit[[#This Row],[Conditionnement]]),0)</f>
        <v/>
      </c>
      <c r="H60" s="929" t="n">
        <v>7.3125</v>
      </c>
      <c r="I60" s="899">
        <f>1000*TableauProduit[[#This Row],[Prix de vente/U]]/TableauProduit[[#This Row],[Poids (g) / unité]]</f>
        <v/>
      </c>
      <c r="J60" s="900">
        <f>SUMIFS(TableauConcurence[PRIX_KG],TableauConcurence[PRODUIT],TableauProduit[[#This Row],[Recette]],TableauConcurence[DISTRIBUTION],"magasin NON BIO")</f>
        <v/>
      </c>
      <c r="K60" s="901">
        <f>SUMIFS(TableauConcurence[PRIX_KG],TableauConcurence[PRODUIT],TableauProduit[[#This Row],[Recette]],TableauConcurence[DISTRIBUTION],"magasin BIO")</f>
        <v/>
      </c>
      <c r="L60" s="902">
        <f>SUMIFS(TableauConcurence[PRIX_KG],TableauConcurence[PRODUIT],TableauProduit[[#This Row],[Recette]],TableauConcurence[DISTRIBUTION],"artisanale BIO")</f>
        <v/>
      </c>
      <c r="M60" s="903" t="n">
        <v>0</v>
      </c>
      <c r="N60" s="960">
        <f>TableauProduit[[#This Row],[Poids (g) / unité]]*TableauProduit[[#This Row],[Objectif de vente en unité N1]]/1000</f>
        <v/>
      </c>
      <c r="O60" s="905">
        <f>TableauProduit[[#This Row],[Objectif de vente en unité N1]]*TableauProduit[[#This Row],[Packaging / unité]]</f>
        <v/>
      </c>
      <c r="P60" s="905">
        <f>TableauProduit[[#This Row],[Prix achat plantes / kg]]*TableauProduit[[#This Row],[Total (kg) N1]]</f>
        <v/>
      </c>
      <c r="Q60" s="905">
        <f>TableauProduit[[#This Row],[Prix de vente/kg]]*TableauProduit[[#This Row],[Total (kg) N1]]</f>
        <v/>
      </c>
      <c r="R60" s="921">
        <f>TableauProduit[[#This Row],[Revenu brut N1]]-TableauProduit[[#This Row],[Achat plantes N1]]-TableauProduit[[#This Row],[Conditionnement N1]]</f>
        <v/>
      </c>
      <c r="S60" s="910" t="n">
        <v>0</v>
      </c>
      <c r="T60" s="930">
        <f>TableauProduit[[#This Row],[Poids (g) / unité]]*TableauProduit[[#This Row],[Objectif de vente en unité N2]]/1000</f>
        <v/>
      </c>
      <c r="U60" s="931">
        <f>TableauProduit[[#This Row],[Objectif de vente en unité N2]]*TableauProduit[[#This Row],[Packaging / unité]]</f>
        <v/>
      </c>
      <c r="V60" s="909">
        <f>TableauProduit[[#This Row],[Prix achat plantes / kg]]*TableauProduit[[#This Row],[Total (kg) N2]]</f>
        <v/>
      </c>
      <c r="W60" s="932">
        <f>TableauProduit[[#This Row],[Prix de vente/kg]]*TableauProduit[[#This Row],[Total (kg) N2]]</f>
        <v/>
      </c>
      <c r="X60" s="961">
        <f>TableauProduit[[#This Row],[Revenu brut N2]]-TableauProduit[[#This Row],[Achat plantes N2]]-TableauProduit[[#This Row],[Conditionnement N2]]</f>
        <v/>
      </c>
      <c r="Y60" s="962" t="n">
        <v>100</v>
      </c>
      <c r="Z60" s="933">
        <f>TableauProduit[[#This Row],[Poids (g) / unité]]*TableauProduit[[#This Row],[Objectif de vente en unité N3]]/1000</f>
        <v/>
      </c>
      <c r="AA60" s="934">
        <f>TableauProduit[[#This Row],[Objectif de vente en unité N3]]*TableauProduit[[#This Row],[Packaging / unité]]</f>
        <v/>
      </c>
      <c r="AB60" s="913">
        <f>TableauProduit[[#This Row],[Prix achat plantes / kg]]*TableauProduit[[#This Row],[Total (kg) N3]]</f>
        <v/>
      </c>
      <c r="AC60" s="935">
        <f>TableauProduit[[#This Row],[Prix de vente/kg]]*TableauProduit[[#This Row],[Total (kg) N3]]</f>
        <v/>
      </c>
      <c r="AD60" s="963">
        <f>TableauProduit[[#This Row],[Revenu brut N3]]-TableauProduit[[#This Row],[Achat plantes N3]]-TableauProduit[[#This Row],[Conditionnement N3]]</f>
        <v/>
      </c>
      <c r="AE60" s="964" t="n">
        <v>130</v>
      </c>
      <c r="AF60" s="936">
        <f>TableauProduit[[#This Row],[Poids (g) / unité]]*TableauProduit[[#This Row],[Objectif de vente en unité N4]]/1000</f>
        <v/>
      </c>
      <c r="AG60" s="937">
        <f>TableauProduit[[#This Row],[Objectif de vente en unité N4]]*TableauProduit[[#This Row],[Packaging / unité]]</f>
        <v/>
      </c>
      <c r="AH60" s="916">
        <f>TableauProduit[[#This Row],[Prix achat plantes / kg]]*TableauProduit[[#This Row],[Total (kg) N4]]</f>
        <v/>
      </c>
      <c r="AI60" s="938">
        <f>TableauProduit[[#This Row],[Prix de vente/kg]]*TableauProduit[[#This Row],[Total (kg) N4]]</f>
        <v/>
      </c>
      <c r="AJ60" s="939">
        <f>TableauProduit[[#This Row],[Revenu brut N4]]-TableauProduit[[#This Row],[Achat plantes N4]]-TableauProduit[[#This Row],[Conditionnement N4]]</f>
        <v/>
      </c>
      <c r="AK60" s="965" t="n">
        <v>150</v>
      </c>
      <c r="AL60" s="940">
        <f>TableauProduit[[#This Row],[Poids (g) / unité]]*TableauProduit[[#This Row],[Objectif de vente en unité N5]]/1000</f>
        <v/>
      </c>
      <c r="AM60" s="941">
        <f>TableauProduit[[#This Row],[Objectif de vente en unité N5]]*TableauProduit[[#This Row],[Packaging / unité]]</f>
        <v/>
      </c>
      <c r="AN60" s="918">
        <f>TableauProduit[[#This Row],[Prix achat plantes / kg]]*TableauProduit[[#This Row],[Total (kg) N5]]</f>
        <v/>
      </c>
      <c r="AO60" s="942">
        <f>TableauProduit[[#This Row],[Prix de vente/kg]]*TableauProduit[[#This Row],[Total (kg) N5]]</f>
        <v/>
      </c>
      <c r="AP60" s="943">
        <f>TableauProduit[[#This Row],[Revenu brut N5]]-TableauProduit[[#This Row],[Achat plantes N5]]-TableauProduit[[#This Row],[Conditionnement N5]]</f>
        <v/>
      </c>
      <c r="AQ60" s="966" t="n">
        <v>160</v>
      </c>
      <c r="AR60" s="944">
        <f>TableauProduit[[#This Row],[Poids (g) / unité]]*TableauProduit[[#This Row],[Objectif de vente en unité N6]]/1000</f>
        <v/>
      </c>
      <c r="AS60" s="945">
        <f>TableauProduit[[#This Row],[Objectif de vente en unité N6]]*TableauProduit[[#This Row],[Packaging / unité]]</f>
        <v/>
      </c>
      <c r="AT60" s="920">
        <f>TableauProduit[[#This Row],[Prix achat plantes / kg]]*TableauProduit[[#This Row],[Total (kg) N6]]</f>
        <v/>
      </c>
      <c r="AU60" s="946">
        <f>TableauProduit[[#This Row],[Prix de vente/kg]]*TableauProduit[[#This Row],[Total (kg) N6]]</f>
        <v/>
      </c>
      <c r="AV60" s="947">
        <f>TableauProduit[[#This Row],[Revenu brut N6]]-TableauProduit[[#This Row],[Achat plantes N6]]-TableauProduit[[#This Row],[Conditionnement N6]]</f>
        <v/>
      </c>
      <c r="AW60" s="960" t="n">
        <v>160</v>
      </c>
      <c r="AX60" s="948">
        <f>TableauProduit[[#This Row],[Poids (g) / unité]]*TableauProduit[[#This Row],[Objectif de vente en unité N7]]/1000</f>
        <v/>
      </c>
      <c r="AY60" s="949">
        <f>TableauProduit[[#This Row],[Objectif de vente en unité N7]]*TableauProduit[[#This Row],[Packaging / unité]]</f>
        <v/>
      </c>
      <c r="AZ60" s="905">
        <f>TableauProduit[[#This Row],[Prix achat plantes / kg]]*TableauProduit[[#This Row],[Total (kg) N7]]</f>
        <v/>
      </c>
      <c r="BA60" s="950">
        <f>TableauProduit[[#This Row],[Prix de vente/kg]]*TableauProduit[[#This Row],[Total (kg) N7]]</f>
        <v/>
      </c>
      <c r="BB60" s="921">
        <f>TableauProduit[[#This Row],[Revenu brut N7]]-TableauProduit[[#This Row],[Achat plantes N7]]-TableauProduit[[#This Row],[Conditionnement N7]]</f>
        <v/>
      </c>
      <c r="BC60" s="967" t="n">
        <v>160</v>
      </c>
      <c r="BD60" s="951">
        <f>TableauProduit[[#This Row],[Poids (g) / unité]]*TableauProduit[[#This Row],[Objectif de vente en unité N8]]/1000</f>
        <v/>
      </c>
      <c r="BE60" s="952">
        <f>TableauProduit[[#This Row],[Objectif de vente en unité N8]]*TableauProduit[[#This Row],[Packaging / unité]]</f>
        <v/>
      </c>
      <c r="BF60" s="924">
        <f>TableauProduit[[#This Row],[Prix achat plantes / kg]]*TableauProduit[[#This Row],[Total (kg) N8]]</f>
        <v/>
      </c>
      <c r="BG60" s="953">
        <f>TableauProduit[[#This Row],[Prix de vente/kg]]*TableauProduit[[#This Row],[Total (kg) N8]]</f>
        <v/>
      </c>
      <c r="BH60" s="954">
        <f>TableauProduit[[#This Row],[Revenu brut N8]]-TableauProduit[[#This Row],[Achat plantes N8]]-TableauProduit[[#This Row],[Conditionnement N8]]</f>
        <v/>
      </c>
      <c r="BI60" s="968" t="n">
        <v>160</v>
      </c>
      <c r="BJ60" s="926">
        <f>TableauProduit[[#This Row],[Poids (g) / unité]]*TableauProduit[[#This Row],[Objectif de vente en unité N9]]/1000</f>
        <v/>
      </c>
      <c r="BK60" s="955">
        <f>TableauProduit[[#This Row],[Objectif de vente en unité N9]]*TableauProduit[[#This Row],[Packaging / unité]]</f>
        <v/>
      </c>
      <c r="BL60" s="928">
        <f>TableauProduit[[#This Row],[Prix achat plantes / kg]]*TableauProduit[[#This Row],[Total (kg) N9]]</f>
        <v/>
      </c>
      <c r="BM60" s="956">
        <f>TableauProduit[[#This Row],[Prix de vente/kg]]*TableauProduit[[#This Row],[Total (kg) N9]]</f>
        <v/>
      </c>
      <c r="BN60" s="927">
        <f>TableauProduit[[#This Row],[Revenu brut N9]]-TableauProduit[[#This Row],[Achat plantes N9]]-TableauProduit[[#This Row],[Conditionnement N9]]</f>
        <v/>
      </c>
      <c r="BO60" t="inlineStr">
        <is>
          <t>Mélange</t>
        </is>
      </c>
    </row>
    <row r="61">
      <c r="A61" s="536" t="inlineStr">
        <is>
          <t>Pâte vindaloo</t>
        </is>
      </c>
      <c r="B61" s="54">
        <f>TableauProduit[[#This Row],[Recette]]&amp;TableauProduit[[#This Row],[Conditionnement]]</f>
        <v/>
      </c>
      <c r="C61" s="11" t="n">
        <v>1</v>
      </c>
      <c r="D61" s="11" t="n">
        <v>50</v>
      </c>
      <c r="E61" s="6" t="inlineStr">
        <is>
          <t>Epice 100ml</t>
        </is>
      </c>
      <c r="F61" s="7">
        <f>IFERROR(VLOOKUP(TableauProduit[[#This Row],[Conditionnement]],TableauConditionnement[[Nom]:[Contenance]],4,FALSE),"")</f>
        <v/>
      </c>
      <c r="G61" s="897">
        <f>IFERROR(SUMIFS(TableauRecette[Prix d''achat / kg],TableauRecette[Recette],TableauProduit[[#This Row],[Recette]],TableauRecette[Conditionnement],TableauProduit[[#This Row],[Conditionnement]]),0)</f>
        <v/>
      </c>
      <c r="H61" s="929" t="n">
        <v>5</v>
      </c>
      <c r="I61" s="899">
        <f>1000*TableauProduit[[#This Row],[Prix de vente/U]]/TableauProduit[[#This Row],[Poids (g) / unité]]</f>
        <v/>
      </c>
      <c r="J61" s="900">
        <f>SUMIFS(TableauConcurence[PRIX_KG],TableauConcurence[PRODUIT],TableauProduit[[#This Row],[Recette]],TableauConcurence[DISTRIBUTION],"magasin NON BIO")</f>
        <v/>
      </c>
      <c r="K61" s="901">
        <f>SUMIFS(TableauConcurence[PRIX_KG],TableauConcurence[PRODUIT],TableauProduit[[#This Row],[Recette]],TableauConcurence[DISTRIBUTION],"magasin BIO")</f>
        <v/>
      </c>
      <c r="L61" s="902">
        <f>SUMIFS(TableauConcurence[PRIX_KG],TableauConcurence[PRODUIT],TableauProduit[[#This Row],[Recette]],TableauConcurence[DISTRIBUTION],"artisanale BIO")</f>
        <v/>
      </c>
      <c r="M61" s="903" t="n">
        <v>0</v>
      </c>
      <c r="N61" s="960">
        <f>TableauProduit[[#This Row],[Poids (g) / unité]]*TableauProduit[[#This Row],[Objectif de vente en unité N1]]/1000</f>
        <v/>
      </c>
      <c r="O61" s="905">
        <f>TableauProduit[[#This Row],[Objectif de vente en unité N1]]*TableauProduit[[#This Row],[Packaging / unité]]</f>
        <v/>
      </c>
      <c r="P61" s="905">
        <f>TableauProduit[[#This Row],[Prix achat plantes / kg]]*TableauProduit[[#This Row],[Total (kg) N1]]</f>
        <v/>
      </c>
      <c r="Q61" s="905">
        <f>TableauProduit[[#This Row],[Prix de vente/kg]]*TableauProduit[[#This Row],[Total (kg) N1]]</f>
        <v/>
      </c>
      <c r="R61" s="921">
        <f>TableauProduit[[#This Row],[Revenu brut N1]]-TableauProduit[[#This Row],[Achat plantes N1]]-TableauProduit[[#This Row],[Conditionnement N1]]</f>
        <v/>
      </c>
      <c r="S61" s="910" t="n">
        <v>0</v>
      </c>
      <c r="T61" s="930">
        <f>TableauProduit[[#This Row],[Poids (g) / unité]]*TableauProduit[[#This Row],[Objectif de vente en unité N2]]/1000</f>
        <v/>
      </c>
      <c r="U61" s="931">
        <f>TableauProduit[[#This Row],[Objectif de vente en unité N2]]*TableauProduit[[#This Row],[Packaging / unité]]</f>
        <v/>
      </c>
      <c r="V61" s="909">
        <f>TableauProduit[[#This Row],[Prix achat plantes / kg]]*TableauProduit[[#This Row],[Total (kg) N2]]</f>
        <v/>
      </c>
      <c r="W61" s="932">
        <f>TableauProduit[[#This Row],[Prix de vente/kg]]*TableauProduit[[#This Row],[Total (kg) N2]]</f>
        <v/>
      </c>
      <c r="X61" s="961">
        <f>TableauProduit[[#This Row],[Revenu brut N2]]-TableauProduit[[#This Row],[Achat plantes N2]]-TableauProduit[[#This Row],[Conditionnement N2]]</f>
        <v/>
      </c>
      <c r="Y61" s="962" t="n">
        <v>0</v>
      </c>
      <c r="Z61" s="933">
        <f>TableauProduit[[#This Row],[Poids (g) / unité]]*TableauProduit[[#This Row],[Objectif de vente en unité N3]]/1000</f>
        <v/>
      </c>
      <c r="AA61" s="934">
        <f>TableauProduit[[#This Row],[Objectif de vente en unité N3]]*TableauProduit[[#This Row],[Packaging / unité]]</f>
        <v/>
      </c>
      <c r="AB61" s="913">
        <f>TableauProduit[[#This Row],[Prix achat plantes / kg]]*TableauProduit[[#This Row],[Total (kg) N3]]</f>
        <v/>
      </c>
      <c r="AC61" s="935">
        <f>TableauProduit[[#This Row],[Prix de vente/kg]]*TableauProduit[[#This Row],[Total (kg) N3]]</f>
        <v/>
      </c>
      <c r="AD61" s="963">
        <f>TableauProduit[[#This Row],[Revenu brut N3]]-TableauProduit[[#This Row],[Achat plantes N3]]-TableauProduit[[#This Row],[Conditionnement N3]]</f>
        <v/>
      </c>
      <c r="AE61" s="964" t="n">
        <v>50</v>
      </c>
      <c r="AF61" s="936">
        <f>TableauProduit[[#This Row],[Poids (g) / unité]]*TableauProduit[[#This Row],[Objectif de vente en unité N4]]/1000</f>
        <v/>
      </c>
      <c r="AG61" s="937">
        <f>TableauProduit[[#This Row],[Objectif de vente en unité N4]]*TableauProduit[[#This Row],[Packaging / unité]]</f>
        <v/>
      </c>
      <c r="AH61" s="916">
        <f>TableauProduit[[#This Row],[Prix achat plantes / kg]]*TableauProduit[[#This Row],[Total (kg) N4]]</f>
        <v/>
      </c>
      <c r="AI61" s="938">
        <f>TableauProduit[[#This Row],[Prix de vente/kg]]*TableauProduit[[#This Row],[Total (kg) N4]]</f>
        <v/>
      </c>
      <c r="AJ61" s="939">
        <f>TableauProduit[[#This Row],[Revenu brut N4]]-TableauProduit[[#This Row],[Achat plantes N4]]-TableauProduit[[#This Row],[Conditionnement N4]]</f>
        <v/>
      </c>
      <c r="AK61" s="965" t="n">
        <v>60</v>
      </c>
      <c r="AL61" s="940">
        <f>TableauProduit[[#This Row],[Poids (g) / unité]]*TableauProduit[[#This Row],[Objectif de vente en unité N5]]/1000</f>
        <v/>
      </c>
      <c r="AM61" s="941">
        <f>TableauProduit[[#This Row],[Objectif de vente en unité N5]]*TableauProduit[[#This Row],[Packaging / unité]]</f>
        <v/>
      </c>
      <c r="AN61" s="918">
        <f>TableauProduit[[#This Row],[Prix achat plantes / kg]]*TableauProduit[[#This Row],[Total (kg) N5]]</f>
        <v/>
      </c>
      <c r="AO61" s="942">
        <f>TableauProduit[[#This Row],[Prix de vente/kg]]*TableauProduit[[#This Row],[Total (kg) N5]]</f>
        <v/>
      </c>
      <c r="AP61" s="943">
        <f>TableauProduit[[#This Row],[Revenu brut N5]]-TableauProduit[[#This Row],[Achat plantes N5]]-TableauProduit[[#This Row],[Conditionnement N5]]</f>
        <v/>
      </c>
      <c r="AQ61" s="966" t="n">
        <v>65</v>
      </c>
      <c r="AR61" s="944">
        <f>TableauProduit[[#This Row],[Poids (g) / unité]]*TableauProduit[[#This Row],[Objectif de vente en unité N6]]/1000</f>
        <v/>
      </c>
      <c r="AS61" s="945">
        <f>TableauProduit[[#This Row],[Objectif de vente en unité N6]]*TableauProduit[[#This Row],[Packaging / unité]]</f>
        <v/>
      </c>
      <c r="AT61" s="920">
        <f>TableauProduit[[#This Row],[Prix achat plantes / kg]]*TableauProduit[[#This Row],[Total (kg) N6]]</f>
        <v/>
      </c>
      <c r="AU61" s="946">
        <f>TableauProduit[[#This Row],[Prix de vente/kg]]*TableauProduit[[#This Row],[Total (kg) N6]]</f>
        <v/>
      </c>
      <c r="AV61" s="947">
        <f>TableauProduit[[#This Row],[Revenu brut N6]]-TableauProduit[[#This Row],[Achat plantes N6]]-TableauProduit[[#This Row],[Conditionnement N6]]</f>
        <v/>
      </c>
      <c r="AW61" s="960" t="n">
        <v>68</v>
      </c>
      <c r="AX61" s="948">
        <f>TableauProduit[[#This Row],[Poids (g) / unité]]*TableauProduit[[#This Row],[Objectif de vente en unité N7]]/1000</f>
        <v/>
      </c>
      <c r="AY61" s="949">
        <f>TableauProduit[[#This Row],[Objectif de vente en unité N7]]*TableauProduit[[#This Row],[Packaging / unité]]</f>
        <v/>
      </c>
      <c r="AZ61" s="905">
        <f>TableauProduit[[#This Row],[Prix achat plantes / kg]]*TableauProduit[[#This Row],[Total (kg) N7]]</f>
        <v/>
      </c>
      <c r="BA61" s="950">
        <f>TableauProduit[[#This Row],[Prix de vente/kg]]*TableauProduit[[#This Row],[Total (kg) N7]]</f>
        <v/>
      </c>
      <c r="BB61" s="921">
        <f>TableauProduit[[#This Row],[Revenu brut N7]]-TableauProduit[[#This Row],[Achat plantes N7]]-TableauProduit[[#This Row],[Conditionnement N7]]</f>
        <v/>
      </c>
      <c r="BC61" s="967" t="n">
        <v>68</v>
      </c>
      <c r="BD61" s="951">
        <f>TableauProduit[[#This Row],[Poids (g) / unité]]*TableauProduit[[#This Row],[Objectif de vente en unité N8]]/1000</f>
        <v/>
      </c>
      <c r="BE61" s="952">
        <f>TableauProduit[[#This Row],[Objectif de vente en unité N8]]*TableauProduit[[#This Row],[Packaging / unité]]</f>
        <v/>
      </c>
      <c r="BF61" s="924">
        <f>TableauProduit[[#This Row],[Prix achat plantes / kg]]*TableauProduit[[#This Row],[Total (kg) N8]]</f>
        <v/>
      </c>
      <c r="BG61" s="953">
        <f>TableauProduit[[#This Row],[Prix de vente/kg]]*TableauProduit[[#This Row],[Total (kg) N8]]</f>
        <v/>
      </c>
      <c r="BH61" s="954">
        <f>TableauProduit[[#This Row],[Revenu brut N8]]-TableauProduit[[#This Row],[Achat plantes N8]]-TableauProduit[[#This Row],[Conditionnement N8]]</f>
        <v/>
      </c>
      <c r="BI61" s="968" t="n">
        <v>68</v>
      </c>
      <c r="BJ61" s="926">
        <f>TableauProduit[[#This Row],[Poids (g) / unité]]*TableauProduit[[#This Row],[Objectif de vente en unité N9]]/1000</f>
        <v/>
      </c>
      <c r="BK61" s="955">
        <f>TableauProduit[[#This Row],[Objectif de vente en unité N9]]*TableauProduit[[#This Row],[Packaging / unité]]</f>
        <v/>
      </c>
      <c r="BL61" s="928">
        <f>TableauProduit[[#This Row],[Prix achat plantes / kg]]*TableauProduit[[#This Row],[Total (kg) N9]]</f>
        <v/>
      </c>
      <c r="BM61" s="956">
        <f>TableauProduit[[#This Row],[Prix de vente/kg]]*TableauProduit[[#This Row],[Total (kg) N9]]</f>
        <v/>
      </c>
      <c r="BN61" s="927">
        <f>TableauProduit[[#This Row],[Revenu brut N9]]-TableauProduit[[#This Row],[Achat plantes N9]]-TableauProduit[[#This Row],[Conditionnement N9]]</f>
        <v/>
      </c>
      <c r="BO61" t="inlineStr">
        <is>
          <t>Autre</t>
        </is>
      </c>
    </row>
    <row r="62">
      <c r="A62" s="536" t="inlineStr">
        <is>
          <t>Baharat turc</t>
        </is>
      </c>
      <c r="B62" s="54">
        <f>TableauProduit[[#This Row],[Recette]]&amp;TableauProduit[[#This Row],[Conditionnement]]</f>
        <v/>
      </c>
      <c r="C62" s="11" t="n">
        <v>1</v>
      </c>
      <c r="D62" s="11" t="n">
        <v>65</v>
      </c>
      <c r="E62" s="6" t="inlineStr">
        <is>
          <t>Epice 100ml</t>
        </is>
      </c>
      <c r="F62" s="7">
        <f>IFERROR(VLOOKUP(TableauProduit[[#This Row],[Conditionnement]],TableauConditionnement[[Nom]:[Contenance]],4,FALSE),"")</f>
        <v/>
      </c>
      <c r="G62" s="897">
        <f>IFERROR(SUMIFS(TableauRecette[Prix d''achat / kg],TableauRecette[Recette],TableauProduit[[#This Row],[Recette]],TableauRecette[Conditionnement],TableauProduit[[#This Row],[Conditionnement]]),0)</f>
        <v/>
      </c>
      <c r="H62" s="929" t="n">
        <v>7.8</v>
      </c>
      <c r="I62" s="899">
        <f>1000*TableauProduit[[#This Row],[Prix de vente/U]]/TableauProduit[[#This Row],[Poids (g) / unité]]</f>
        <v/>
      </c>
      <c r="J62" s="900">
        <f>SUMIFS(TableauConcurence[PRIX_KG],TableauConcurence[PRODUIT],TableauProduit[[#This Row],[Recette]],TableauConcurence[DISTRIBUTION],"magasin NON BIO")</f>
        <v/>
      </c>
      <c r="K62" s="901">
        <f>SUMIFS(TableauConcurence[PRIX_KG],TableauConcurence[PRODUIT],TableauProduit[[#This Row],[Recette]],TableauConcurence[DISTRIBUTION],"magasin BIO")</f>
        <v/>
      </c>
      <c r="L62" s="902">
        <f>SUMIFS(TableauConcurence[PRIX_KG],TableauConcurence[PRODUIT],TableauProduit[[#This Row],[Recette]],TableauConcurence[DISTRIBUTION],"artisanale BIO")</f>
        <v/>
      </c>
      <c r="M62" s="903" t="n">
        <v>0</v>
      </c>
      <c r="N62" s="960">
        <f>TableauProduit[[#This Row],[Poids (g) / unité]]*TableauProduit[[#This Row],[Objectif de vente en unité N1]]/1000</f>
        <v/>
      </c>
      <c r="O62" s="905">
        <f>TableauProduit[[#This Row],[Objectif de vente en unité N1]]*TableauProduit[[#This Row],[Packaging / unité]]</f>
        <v/>
      </c>
      <c r="P62" s="905">
        <f>TableauProduit[[#This Row],[Prix achat plantes / kg]]*TableauProduit[[#This Row],[Total (kg) N1]]</f>
        <v/>
      </c>
      <c r="Q62" s="905">
        <f>TableauProduit[[#This Row],[Prix de vente/kg]]*TableauProduit[[#This Row],[Total (kg) N1]]</f>
        <v/>
      </c>
      <c r="R62" s="921">
        <f>TableauProduit[[#This Row],[Revenu brut N1]]-TableauProduit[[#This Row],[Achat plantes N1]]-TableauProduit[[#This Row],[Conditionnement N1]]</f>
        <v/>
      </c>
      <c r="S62" s="910" t="n">
        <v>0</v>
      </c>
      <c r="T62" s="930">
        <f>TableauProduit[[#This Row],[Poids (g) / unité]]*TableauProduit[[#This Row],[Objectif de vente en unité N2]]/1000</f>
        <v/>
      </c>
      <c r="U62" s="931">
        <f>TableauProduit[[#This Row],[Objectif de vente en unité N2]]*TableauProduit[[#This Row],[Packaging / unité]]</f>
        <v/>
      </c>
      <c r="V62" s="909">
        <f>TableauProduit[[#This Row],[Prix achat plantes / kg]]*TableauProduit[[#This Row],[Total (kg) N2]]</f>
        <v/>
      </c>
      <c r="W62" s="932">
        <f>TableauProduit[[#This Row],[Prix de vente/kg]]*TableauProduit[[#This Row],[Total (kg) N2]]</f>
        <v/>
      </c>
      <c r="X62" s="961">
        <f>TableauProduit[[#This Row],[Revenu brut N2]]-TableauProduit[[#This Row],[Achat plantes N2]]-TableauProduit[[#This Row],[Conditionnement N2]]</f>
        <v/>
      </c>
      <c r="Y62" s="962" t="n">
        <v>0</v>
      </c>
      <c r="Z62" s="933">
        <f>TableauProduit[[#This Row],[Poids (g) / unité]]*TableauProduit[[#This Row],[Objectif de vente en unité N3]]/1000</f>
        <v/>
      </c>
      <c r="AA62" s="934">
        <f>TableauProduit[[#This Row],[Objectif de vente en unité N3]]*TableauProduit[[#This Row],[Packaging / unité]]</f>
        <v/>
      </c>
      <c r="AB62" s="913">
        <f>TableauProduit[[#This Row],[Prix achat plantes / kg]]*TableauProduit[[#This Row],[Total (kg) N3]]</f>
        <v/>
      </c>
      <c r="AC62" s="935">
        <f>TableauProduit[[#This Row],[Prix de vente/kg]]*TableauProduit[[#This Row],[Total (kg) N3]]</f>
        <v/>
      </c>
      <c r="AD62" s="963">
        <f>TableauProduit[[#This Row],[Revenu brut N3]]-TableauProduit[[#This Row],[Achat plantes N3]]-TableauProduit[[#This Row],[Conditionnement N3]]</f>
        <v/>
      </c>
      <c r="AE62" s="964" t="n">
        <v>50</v>
      </c>
      <c r="AF62" s="936">
        <f>TableauProduit[[#This Row],[Poids (g) / unité]]*TableauProduit[[#This Row],[Objectif de vente en unité N4]]/1000</f>
        <v/>
      </c>
      <c r="AG62" s="937">
        <f>TableauProduit[[#This Row],[Objectif de vente en unité N4]]*TableauProduit[[#This Row],[Packaging / unité]]</f>
        <v/>
      </c>
      <c r="AH62" s="916">
        <f>TableauProduit[[#This Row],[Prix achat plantes / kg]]*TableauProduit[[#This Row],[Total (kg) N4]]</f>
        <v/>
      </c>
      <c r="AI62" s="938">
        <f>TableauProduit[[#This Row],[Prix de vente/kg]]*TableauProduit[[#This Row],[Total (kg) N4]]</f>
        <v/>
      </c>
      <c r="AJ62" s="939">
        <f>TableauProduit[[#This Row],[Revenu brut N4]]-TableauProduit[[#This Row],[Achat plantes N4]]-TableauProduit[[#This Row],[Conditionnement N4]]</f>
        <v/>
      </c>
      <c r="AK62" s="965" t="n">
        <v>60</v>
      </c>
      <c r="AL62" s="940">
        <f>TableauProduit[[#This Row],[Poids (g) / unité]]*TableauProduit[[#This Row],[Objectif de vente en unité N5]]/1000</f>
        <v/>
      </c>
      <c r="AM62" s="941">
        <f>TableauProduit[[#This Row],[Objectif de vente en unité N5]]*TableauProduit[[#This Row],[Packaging / unité]]</f>
        <v/>
      </c>
      <c r="AN62" s="918">
        <f>TableauProduit[[#This Row],[Prix achat plantes / kg]]*TableauProduit[[#This Row],[Total (kg) N5]]</f>
        <v/>
      </c>
      <c r="AO62" s="942">
        <f>TableauProduit[[#This Row],[Prix de vente/kg]]*TableauProduit[[#This Row],[Total (kg) N5]]</f>
        <v/>
      </c>
      <c r="AP62" s="943">
        <f>TableauProduit[[#This Row],[Revenu brut N5]]-TableauProduit[[#This Row],[Achat plantes N5]]-TableauProduit[[#This Row],[Conditionnement N5]]</f>
        <v/>
      </c>
      <c r="AQ62" s="966" t="n">
        <v>65</v>
      </c>
      <c r="AR62" s="944">
        <f>TableauProduit[[#This Row],[Poids (g) / unité]]*TableauProduit[[#This Row],[Objectif de vente en unité N6]]/1000</f>
        <v/>
      </c>
      <c r="AS62" s="945">
        <f>TableauProduit[[#This Row],[Objectif de vente en unité N6]]*TableauProduit[[#This Row],[Packaging / unité]]</f>
        <v/>
      </c>
      <c r="AT62" s="920">
        <f>TableauProduit[[#This Row],[Prix achat plantes / kg]]*TableauProduit[[#This Row],[Total (kg) N6]]</f>
        <v/>
      </c>
      <c r="AU62" s="946">
        <f>TableauProduit[[#This Row],[Prix de vente/kg]]*TableauProduit[[#This Row],[Total (kg) N6]]</f>
        <v/>
      </c>
      <c r="AV62" s="947">
        <f>TableauProduit[[#This Row],[Revenu brut N6]]-TableauProduit[[#This Row],[Achat plantes N6]]-TableauProduit[[#This Row],[Conditionnement N6]]</f>
        <v/>
      </c>
      <c r="AW62" s="960" t="n">
        <v>68</v>
      </c>
      <c r="AX62" s="948">
        <f>TableauProduit[[#This Row],[Poids (g) / unité]]*TableauProduit[[#This Row],[Objectif de vente en unité N7]]/1000</f>
        <v/>
      </c>
      <c r="AY62" s="949">
        <f>TableauProduit[[#This Row],[Objectif de vente en unité N7]]*TableauProduit[[#This Row],[Packaging / unité]]</f>
        <v/>
      </c>
      <c r="AZ62" s="905">
        <f>TableauProduit[[#This Row],[Prix achat plantes / kg]]*TableauProduit[[#This Row],[Total (kg) N7]]</f>
        <v/>
      </c>
      <c r="BA62" s="950">
        <f>TableauProduit[[#This Row],[Prix de vente/kg]]*TableauProduit[[#This Row],[Total (kg) N7]]</f>
        <v/>
      </c>
      <c r="BB62" s="921">
        <f>TableauProduit[[#This Row],[Revenu brut N7]]-TableauProduit[[#This Row],[Achat plantes N7]]-TableauProduit[[#This Row],[Conditionnement N7]]</f>
        <v/>
      </c>
      <c r="BC62" s="967" t="n">
        <v>68</v>
      </c>
      <c r="BD62" s="951">
        <f>TableauProduit[[#This Row],[Poids (g) / unité]]*TableauProduit[[#This Row],[Objectif de vente en unité N8]]/1000</f>
        <v/>
      </c>
      <c r="BE62" s="952">
        <f>TableauProduit[[#This Row],[Objectif de vente en unité N8]]*TableauProduit[[#This Row],[Packaging / unité]]</f>
        <v/>
      </c>
      <c r="BF62" s="924">
        <f>TableauProduit[[#This Row],[Prix achat plantes / kg]]*TableauProduit[[#This Row],[Total (kg) N8]]</f>
        <v/>
      </c>
      <c r="BG62" s="953">
        <f>TableauProduit[[#This Row],[Prix de vente/kg]]*TableauProduit[[#This Row],[Total (kg) N8]]</f>
        <v/>
      </c>
      <c r="BH62" s="954">
        <f>TableauProduit[[#This Row],[Revenu brut N8]]-TableauProduit[[#This Row],[Achat plantes N8]]-TableauProduit[[#This Row],[Conditionnement N8]]</f>
        <v/>
      </c>
      <c r="BI62" s="968" t="n">
        <v>68</v>
      </c>
      <c r="BJ62" s="926">
        <f>TableauProduit[[#This Row],[Poids (g) / unité]]*TableauProduit[[#This Row],[Objectif de vente en unité N9]]/1000</f>
        <v/>
      </c>
      <c r="BK62" s="955">
        <f>TableauProduit[[#This Row],[Objectif de vente en unité N9]]*TableauProduit[[#This Row],[Packaging / unité]]</f>
        <v/>
      </c>
      <c r="BL62" s="928">
        <f>TableauProduit[[#This Row],[Prix achat plantes / kg]]*TableauProduit[[#This Row],[Total (kg) N9]]</f>
        <v/>
      </c>
      <c r="BM62" s="956">
        <f>TableauProduit[[#This Row],[Prix de vente/kg]]*TableauProduit[[#This Row],[Total (kg) N9]]</f>
        <v/>
      </c>
      <c r="BN62" s="927">
        <f>TableauProduit[[#This Row],[Revenu brut N9]]-TableauProduit[[#This Row],[Achat plantes N9]]-TableauProduit[[#This Row],[Conditionnement N9]]</f>
        <v/>
      </c>
      <c r="BO62" t="inlineStr">
        <is>
          <t>Mélange</t>
        </is>
      </c>
    </row>
    <row r="63">
      <c r="A63" s="626" t="inlineStr">
        <is>
          <t>Advieh</t>
        </is>
      </c>
      <c r="B63" s="54">
        <f>TableauProduit[[#This Row],[Recette]]&amp;TableauProduit[[#This Row],[Conditionnement]]</f>
        <v/>
      </c>
      <c r="C63" s="11" t="n">
        <v>1</v>
      </c>
      <c r="D63" s="11" t="n">
        <v>45</v>
      </c>
      <c r="E63" s="6" t="inlineStr">
        <is>
          <t>Epice 100ml</t>
        </is>
      </c>
      <c r="F63" s="7">
        <f>IFERROR(VLOOKUP(TableauProduit[[#This Row],[Conditionnement]],TableauConditionnement[[Nom]:[Contenance]],4,FALSE),"")</f>
        <v/>
      </c>
      <c r="G63" s="969">
        <f>IFERROR(SUMIFS(TableauRecette[Prix d''achat / kg],TableauRecette[Recette],TableauProduit[[#This Row],[Recette]],TableauRecette[Conditionnement],TableauProduit[[#This Row],[Conditionnement]]),0)</f>
        <v/>
      </c>
      <c r="H63" s="929" t="n">
        <v>7.2</v>
      </c>
      <c r="I63" s="899">
        <f>1000*TableauProduit[[#This Row],[Prix de vente/U]]/TableauProduit[[#This Row],[Poids (g) / unité]]</f>
        <v/>
      </c>
      <c r="J63" s="900">
        <f>SUMIFS(TableauConcurence[PRIX_KG],TableauConcurence[PRODUIT],TableauProduit[[#This Row],[Recette]],TableauConcurence[DISTRIBUTION],"magasin NON BIO")</f>
        <v/>
      </c>
      <c r="K63" s="970">
        <f>SUMIFS(TableauConcurence[PRIX_KG],TableauConcurence[PRODUIT],TableauProduit[[#This Row],[Recette]],TableauConcurence[DISTRIBUTION],"magasin BIO")</f>
        <v/>
      </c>
      <c r="L63" s="971">
        <f>SUMIFS(TableauConcurence[PRIX_KG],TableauConcurence[PRODUIT],TableauProduit[[#This Row],[Recette]],TableauConcurence[DISTRIBUTION],"artisanale BIO")</f>
        <v/>
      </c>
      <c r="M63" s="960" t="n">
        <v>0</v>
      </c>
      <c r="N63" s="960">
        <f>TableauProduit[[#This Row],[Poids (g) / unité]]*TableauProduit[[#This Row],[Objectif de vente en unité N1]]/1000</f>
        <v/>
      </c>
      <c r="O63" s="949">
        <f>TableauProduit[[#This Row],[Objectif de vente en unité N1]]*TableauProduit[[#This Row],[Packaging / unité]]</f>
        <v/>
      </c>
      <c r="P63" s="905">
        <f>TableauProduit[[#This Row],[Prix achat plantes / kg]]*TableauProduit[[#This Row],[Total (kg) N1]]</f>
        <v/>
      </c>
      <c r="Q63" s="905">
        <f>TableauProduit[[#This Row],[Prix de vente/kg]]*TableauProduit[[#This Row],[Total (kg) N1]]</f>
        <v/>
      </c>
      <c r="R63" s="921">
        <f>TableauProduit[[#This Row],[Revenu brut N1]]-TableauProduit[[#This Row],[Achat plantes N1]]-TableauProduit[[#This Row],[Conditionnement N1]]</f>
        <v/>
      </c>
      <c r="S63" s="961" t="n">
        <v>0</v>
      </c>
      <c r="T63" s="930">
        <f>TableauProduit[[#This Row],[Poids (g) / unité]]*TableauProduit[[#This Row],[Objectif de vente en unité N2]]/1000</f>
        <v/>
      </c>
      <c r="U63" s="931">
        <f>TableauProduit[[#This Row],[Objectif de vente en unité N2]]*TableauProduit[[#This Row],[Packaging / unité]]</f>
        <v/>
      </c>
      <c r="V63" s="909">
        <f>TableauProduit[[#This Row],[Prix achat plantes / kg]]*TableauProduit[[#This Row],[Total (kg) N2]]</f>
        <v/>
      </c>
      <c r="W63" s="932">
        <f>TableauProduit[[#This Row],[Prix de vente/kg]]*TableauProduit[[#This Row],[Total (kg) N2]]</f>
        <v/>
      </c>
      <c r="X63" s="961">
        <f>TableauProduit[[#This Row],[Revenu brut N2]]-TableauProduit[[#This Row],[Achat plantes N2]]-TableauProduit[[#This Row],[Conditionnement N2]]</f>
        <v/>
      </c>
      <c r="Y63" s="963" t="n">
        <v>0</v>
      </c>
      <c r="Z63" s="933">
        <f>TableauProduit[[#This Row],[Poids (g) / unité]]*TableauProduit[[#This Row],[Objectif de vente en unité N3]]/1000</f>
        <v/>
      </c>
      <c r="AA63" s="934">
        <f>TableauProduit[[#This Row],[Objectif de vente en unité N3]]*TableauProduit[[#This Row],[Packaging / unité]]</f>
        <v/>
      </c>
      <c r="AB63" s="913">
        <f>TableauProduit[[#This Row],[Prix achat plantes / kg]]*TableauProduit[[#This Row],[Total (kg) N3]]</f>
        <v/>
      </c>
      <c r="AC63" s="935">
        <f>TableauProduit[[#This Row],[Prix de vente/kg]]*TableauProduit[[#This Row],[Total (kg) N3]]</f>
        <v/>
      </c>
      <c r="AD63" s="963">
        <f>TableauProduit[[#This Row],[Revenu brut N3]]-TableauProduit[[#This Row],[Achat plantes N3]]-TableauProduit[[#This Row],[Conditionnement N3]]</f>
        <v/>
      </c>
      <c r="AE63" s="964" t="n">
        <v>50</v>
      </c>
      <c r="AF63" s="936">
        <f>TableauProduit[[#This Row],[Poids (g) / unité]]*TableauProduit[[#This Row],[Objectif de vente en unité N4]]/1000</f>
        <v/>
      </c>
      <c r="AG63" s="937">
        <f>TableauProduit[[#This Row],[Objectif de vente en unité N4]]*TableauProduit[[#This Row],[Packaging / unité]]</f>
        <v/>
      </c>
      <c r="AH63" s="916">
        <f>TableauProduit[[#This Row],[Prix achat plantes / kg]]*TableauProduit[[#This Row],[Total (kg) N4]]</f>
        <v/>
      </c>
      <c r="AI63" s="938">
        <f>TableauProduit[[#This Row],[Prix de vente/kg]]*TableauProduit[[#This Row],[Total (kg) N4]]</f>
        <v/>
      </c>
      <c r="AJ63" s="939">
        <f>TableauProduit[[#This Row],[Revenu brut N4]]-TableauProduit[[#This Row],[Achat plantes N4]]-TableauProduit[[#This Row],[Conditionnement N4]]</f>
        <v/>
      </c>
      <c r="AK63" s="965" t="n">
        <v>60</v>
      </c>
      <c r="AL63" s="940">
        <f>TableauProduit[[#This Row],[Poids (g) / unité]]*TableauProduit[[#This Row],[Objectif de vente en unité N5]]/1000</f>
        <v/>
      </c>
      <c r="AM63" s="941">
        <f>TableauProduit[[#This Row],[Objectif de vente en unité N5]]*TableauProduit[[#This Row],[Packaging / unité]]</f>
        <v/>
      </c>
      <c r="AN63" s="918">
        <f>TableauProduit[[#This Row],[Prix achat plantes / kg]]*TableauProduit[[#This Row],[Total (kg) N5]]</f>
        <v/>
      </c>
      <c r="AO63" s="942">
        <f>TableauProduit[[#This Row],[Prix de vente/kg]]*TableauProduit[[#This Row],[Total (kg) N5]]</f>
        <v/>
      </c>
      <c r="AP63" s="943">
        <f>TableauProduit[[#This Row],[Revenu brut N5]]-TableauProduit[[#This Row],[Achat plantes N5]]-TableauProduit[[#This Row],[Conditionnement N5]]</f>
        <v/>
      </c>
      <c r="AQ63" s="966" t="n">
        <v>65</v>
      </c>
      <c r="AR63" s="944">
        <f>TableauProduit[[#This Row],[Poids (g) / unité]]*TableauProduit[[#This Row],[Objectif de vente en unité N6]]/1000</f>
        <v/>
      </c>
      <c r="AS63" s="945">
        <f>TableauProduit[[#This Row],[Objectif de vente en unité N6]]*TableauProduit[[#This Row],[Packaging / unité]]</f>
        <v/>
      </c>
      <c r="AT63" s="920">
        <f>TableauProduit[[#This Row],[Prix achat plantes / kg]]*TableauProduit[[#This Row],[Total (kg) N6]]</f>
        <v/>
      </c>
      <c r="AU63" s="946">
        <f>TableauProduit[[#This Row],[Prix de vente/kg]]*TableauProduit[[#This Row],[Total (kg) N6]]</f>
        <v/>
      </c>
      <c r="AV63" s="947">
        <f>TableauProduit[[#This Row],[Revenu brut N6]]-TableauProduit[[#This Row],[Achat plantes N6]]-TableauProduit[[#This Row],[Conditionnement N6]]</f>
        <v/>
      </c>
      <c r="AW63" s="960" t="n">
        <v>68</v>
      </c>
      <c r="AX63" s="948">
        <f>TableauProduit[[#This Row],[Poids (g) / unité]]*TableauProduit[[#This Row],[Objectif de vente en unité N7]]/1000</f>
        <v/>
      </c>
      <c r="AY63" s="949">
        <f>TableauProduit[[#This Row],[Objectif de vente en unité N7]]*TableauProduit[[#This Row],[Packaging / unité]]</f>
        <v/>
      </c>
      <c r="AZ63" s="905">
        <f>TableauProduit[[#This Row],[Prix achat plantes / kg]]*TableauProduit[[#This Row],[Total (kg) N7]]</f>
        <v/>
      </c>
      <c r="BA63" s="950">
        <f>TableauProduit[[#This Row],[Prix de vente/kg]]*TableauProduit[[#This Row],[Total (kg) N7]]</f>
        <v/>
      </c>
      <c r="BB63" s="972">
        <f>TableauProduit[[#This Row],[Revenu brut N7]]-TableauProduit[[#This Row],[Achat plantes N7]]-TableauProduit[[#This Row],[Conditionnement N7]]</f>
        <v/>
      </c>
      <c r="BC63" s="973" t="n">
        <v>68</v>
      </c>
      <c r="BD63" s="951">
        <f>TableauProduit[[#This Row],[Poids (g) / unité]]*TableauProduit[[#This Row],[Objectif de vente en unité N8]]/1000</f>
        <v/>
      </c>
      <c r="BE63" s="952">
        <f>TableauProduit[[#This Row],[Objectif de vente en unité N8]]*TableauProduit[[#This Row],[Packaging / unité]]</f>
        <v/>
      </c>
      <c r="BF63" s="924">
        <f>TableauProduit[[#This Row],[Prix achat plantes / kg]]*TableauProduit[[#This Row],[Total (kg) N8]]</f>
        <v/>
      </c>
      <c r="BG63" s="953">
        <f>TableauProduit[[#This Row],[Prix de vente/kg]]*TableauProduit[[#This Row],[Total (kg) N8]]</f>
        <v/>
      </c>
      <c r="BH63" s="954">
        <f>TableauProduit[[#This Row],[Revenu brut N8]]-TableauProduit[[#This Row],[Achat plantes N8]]-TableauProduit[[#This Row],[Conditionnement N8]]</f>
        <v/>
      </c>
      <c r="BI63" s="968" t="n">
        <v>68</v>
      </c>
      <c r="BJ63" s="926">
        <f>TableauProduit[[#This Row],[Poids (g) / unité]]*TableauProduit[[#This Row],[Objectif de vente en unité N9]]/1000</f>
        <v/>
      </c>
      <c r="BK63" s="955">
        <f>TableauProduit[[#This Row],[Objectif de vente en unité N9]]*TableauProduit[[#This Row],[Packaging / unité]]</f>
        <v/>
      </c>
      <c r="BL63" s="928">
        <f>TableauProduit[[#This Row],[Prix achat plantes / kg]]*TableauProduit[[#This Row],[Total (kg) N9]]</f>
        <v/>
      </c>
      <c r="BM63" s="956">
        <f>TableauProduit[[#This Row],[Prix de vente/kg]]*TableauProduit[[#This Row],[Total (kg) N9]]</f>
        <v/>
      </c>
      <c r="BN63" s="927">
        <f>TableauProduit[[#This Row],[Revenu brut N9]]-TableauProduit[[#This Row],[Achat plantes N9]]-TableauProduit[[#This Row],[Conditionnement N9]]</f>
        <v/>
      </c>
      <c r="BO63" t="inlineStr">
        <is>
          <t>Mélange</t>
        </is>
      </c>
    </row>
    <row r="64">
      <c r="A64" s="625" t="inlineStr">
        <is>
          <t>Garam masala birman</t>
        </is>
      </c>
      <c r="B64" s="54">
        <f>TableauProduit[[#This Row],[Recette]]&amp;TableauProduit[[#This Row],[Conditionnement]]</f>
        <v/>
      </c>
      <c r="C64" s="11" t="n">
        <v>1</v>
      </c>
      <c r="D64" s="11" t="n">
        <v>50</v>
      </c>
      <c r="E64" s="6" t="inlineStr">
        <is>
          <t>Epice 100ml</t>
        </is>
      </c>
      <c r="F64" s="7">
        <f>IFERROR(VLOOKUP(TableauProduit[[#This Row],[Conditionnement]],TableauConditionnement[[Nom]:[Contenance]],4,FALSE),"")</f>
        <v/>
      </c>
      <c r="G64" s="969">
        <f>IFERROR(SUMIFS(TableauRecette[Prix d''achat / kg],TableauRecette[Recette],TableauProduit[[#This Row],[Recette]],TableauRecette[Conditionnement],TableauProduit[[#This Row],[Conditionnement]]),0)</f>
        <v/>
      </c>
      <c r="H64" s="929" t="n">
        <v>5</v>
      </c>
      <c r="I64" s="899">
        <f>1000*TableauProduit[[#This Row],[Prix de vente/U]]/TableauProduit[[#This Row],[Poids (g) / unité]]</f>
        <v/>
      </c>
      <c r="J64" s="900">
        <f>SUMIFS(TableauConcurence[PRIX_KG],TableauConcurence[PRODUIT],TableauProduit[[#This Row],[Recette]],TableauConcurence[DISTRIBUTION],"magasin NON BIO")</f>
        <v/>
      </c>
      <c r="K64" s="970">
        <f>SUMIFS(TableauConcurence[PRIX_KG],TableauConcurence[PRODUIT],TableauProduit[[#This Row],[Recette]],TableauConcurence[DISTRIBUTION],"magasin BIO")</f>
        <v/>
      </c>
      <c r="L64" s="971">
        <f>SUMIFS(TableauConcurence[PRIX_KG],TableauConcurence[PRODUIT],TableauProduit[[#This Row],[Recette]],TableauConcurence[DISTRIBUTION],"artisanale BIO")</f>
        <v/>
      </c>
      <c r="M64" s="960" t="n">
        <v>0</v>
      </c>
      <c r="N64" s="960">
        <f>TableauProduit[[#This Row],[Poids (g) / unité]]*TableauProduit[[#This Row],[Objectif de vente en unité N1]]/1000</f>
        <v/>
      </c>
      <c r="O64" s="949">
        <f>TableauProduit[[#This Row],[Objectif de vente en unité N1]]*TableauProduit[[#This Row],[Packaging / unité]]</f>
        <v/>
      </c>
      <c r="P64" s="905">
        <f>TableauProduit[[#This Row],[Prix achat plantes / kg]]*TableauProduit[[#This Row],[Total (kg) N1]]</f>
        <v/>
      </c>
      <c r="Q64" s="950">
        <f>TableauProduit[[#This Row],[Prix de vente/kg]]*TableauProduit[[#This Row],[Total (kg) N1]]</f>
        <v/>
      </c>
      <c r="R64" s="921">
        <f>TableauProduit[[#This Row],[Revenu brut N1]]-TableauProduit[[#This Row],[Achat plantes N1]]-TableauProduit[[#This Row],[Conditionnement N1]]</f>
        <v/>
      </c>
      <c r="S64" s="961" t="n">
        <v>0</v>
      </c>
      <c r="T64" s="930">
        <f>TableauProduit[[#This Row],[Poids (g) / unité]]*TableauProduit[[#This Row],[Objectif de vente en unité N2]]/1000</f>
        <v/>
      </c>
      <c r="U64" s="931">
        <f>TableauProduit[[#This Row],[Objectif de vente en unité N2]]*TableauProduit[[#This Row],[Packaging / unité]]</f>
        <v/>
      </c>
      <c r="V64" s="909">
        <f>TableauProduit[[#This Row],[Prix achat plantes / kg]]*TableauProduit[[#This Row],[Total (kg) N2]]</f>
        <v/>
      </c>
      <c r="W64" s="932">
        <f>TableauProduit[[#This Row],[Prix de vente/kg]]*TableauProduit[[#This Row],[Total (kg) N2]]</f>
        <v/>
      </c>
      <c r="X64" s="961">
        <f>TableauProduit[[#This Row],[Revenu brut N2]]-TableauProduit[[#This Row],[Achat plantes N2]]-TableauProduit[[#This Row],[Conditionnement N2]]</f>
        <v/>
      </c>
      <c r="Y64" s="963" t="n">
        <v>0</v>
      </c>
      <c r="Z64" s="933">
        <f>TableauProduit[[#This Row],[Poids (g) / unité]]*TableauProduit[[#This Row],[Objectif de vente en unité N3]]/1000</f>
        <v/>
      </c>
      <c r="AA64" s="934">
        <f>TableauProduit[[#This Row],[Objectif de vente en unité N3]]*TableauProduit[[#This Row],[Packaging / unité]]</f>
        <v/>
      </c>
      <c r="AB64" s="913">
        <f>TableauProduit[[#This Row],[Prix achat plantes / kg]]*TableauProduit[[#This Row],[Total (kg) N3]]</f>
        <v/>
      </c>
      <c r="AC64" s="935">
        <f>TableauProduit[[#This Row],[Prix de vente/kg]]*TableauProduit[[#This Row],[Total (kg) N3]]</f>
        <v/>
      </c>
      <c r="AD64" s="963">
        <f>TableauProduit[[#This Row],[Revenu brut N3]]-TableauProduit[[#This Row],[Achat plantes N3]]-TableauProduit[[#This Row],[Conditionnement N3]]</f>
        <v/>
      </c>
      <c r="AE64" s="964" t="n">
        <v>50</v>
      </c>
      <c r="AF64" s="936">
        <f>TableauProduit[[#This Row],[Poids (g) / unité]]*TableauProduit[[#This Row],[Objectif de vente en unité N4]]/1000</f>
        <v/>
      </c>
      <c r="AG64" s="937">
        <f>TableauProduit[[#This Row],[Objectif de vente en unité N4]]*TableauProduit[[#This Row],[Packaging / unité]]</f>
        <v/>
      </c>
      <c r="AH64" s="916">
        <f>TableauProduit[[#This Row],[Prix achat plantes / kg]]*TableauProduit[[#This Row],[Total (kg) N4]]</f>
        <v/>
      </c>
      <c r="AI64" s="938">
        <f>TableauProduit[[#This Row],[Prix de vente/kg]]*TableauProduit[[#This Row],[Total (kg) N4]]</f>
        <v/>
      </c>
      <c r="AJ64" s="939">
        <f>TableauProduit[[#This Row],[Revenu brut N4]]-TableauProduit[[#This Row],[Achat plantes N4]]-TableauProduit[[#This Row],[Conditionnement N4]]</f>
        <v/>
      </c>
      <c r="AK64" s="965" t="n">
        <v>60</v>
      </c>
      <c r="AL64" s="940">
        <f>TableauProduit[[#This Row],[Poids (g) / unité]]*TableauProduit[[#This Row],[Objectif de vente en unité N5]]/1000</f>
        <v/>
      </c>
      <c r="AM64" s="941">
        <f>TableauProduit[[#This Row],[Objectif de vente en unité N5]]*TableauProduit[[#This Row],[Packaging / unité]]</f>
        <v/>
      </c>
      <c r="AN64" s="918">
        <f>TableauProduit[[#This Row],[Prix achat plantes / kg]]*TableauProduit[[#This Row],[Total (kg) N5]]</f>
        <v/>
      </c>
      <c r="AO64" s="942">
        <f>TableauProduit[[#This Row],[Prix de vente/kg]]*TableauProduit[[#This Row],[Total (kg) N5]]</f>
        <v/>
      </c>
      <c r="AP64" s="943">
        <f>TableauProduit[[#This Row],[Revenu brut N5]]-TableauProduit[[#This Row],[Achat plantes N5]]-TableauProduit[[#This Row],[Conditionnement N5]]</f>
        <v/>
      </c>
      <c r="AQ64" s="966" t="n">
        <v>65</v>
      </c>
      <c r="AR64" s="944">
        <f>TableauProduit[[#This Row],[Poids (g) / unité]]*TableauProduit[[#This Row],[Objectif de vente en unité N6]]/1000</f>
        <v/>
      </c>
      <c r="AS64" s="945">
        <f>TableauProduit[[#This Row],[Objectif de vente en unité N6]]*TableauProduit[[#This Row],[Packaging / unité]]</f>
        <v/>
      </c>
      <c r="AT64" s="920">
        <f>TableauProduit[[#This Row],[Prix achat plantes / kg]]*TableauProduit[[#This Row],[Total (kg) N6]]</f>
        <v/>
      </c>
      <c r="AU64" s="946">
        <f>TableauProduit[[#This Row],[Prix de vente/kg]]*TableauProduit[[#This Row],[Total (kg) N6]]</f>
        <v/>
      </c>
      <c r="AV64" s="947">
        <f>TableauProduit[[#This Row],[Revenu brut N6]]-TableauProduit[[#This Row],[Achat plantes N6]]-TableauProduit[[#This Row],[Conditionnement N6]]</f>
        <v/>
      </c>
      <c r="AW64" s="960" t="n">
        <v>68</v>
      </c>
      <c r="AX64" s="948">
        <f>TableauProduit[[#This Row],[Poids (g) / unité]]*TableauProduit[[#This Row],[Objectif de vente en unité N7]]/1000</f>
        <v/>
      </c>
      <c r="AY64" s="949">
        <f>TableauProduit[[#This Row],[Objectif de vente en unité N7]]*TableauProduit[[#This Row],[Packaging / unité]]</f>
        <v/>
      </c>
      <c r="AZ64" s="905">
        <f>TableauProduit[[#This Row],[Prix achat plantes / kg]]*TableauProduit[[#This Row],[Total (kg) N7]]</f>
        <v/>
      </c>
      <c r="BA64" s="950">
        <f>TableauProduit[[#This Row],[Prix de vente/kg]]*TableauProduit[[#This Row],[Total (kg) N7]]</f>
        <v/>
      </c>
      <c r="BB64" s="972">
        <f>TableauProduit[[#This Row],[Revenu brut N7]]-TableauProduit[[#This Row],[Achat plantes N7]]-TableauProduit[[#This Row],[Conditionnement N7]]</f>
        <v/>
      </c>
      <c r="BC64" s="973" t="n">
        <v>68</v>
      </c>
      <c r="BD64" s="951">
        <f>TableauProduit[[#This Row],[Poids (g) / unité]]*TableauProduit[[#This Row],[Objectif de vente en unité N8]]/1000</f>
        <v/>
      </c>
      <c r="BE64" s="952">
        <f>TableauProduit[[#This Row],[Objectif de vente en unité N8]]*TableauProduit[[#This Row],[Packaging / unité]]</f>
        <v/>
      </c>
      <c r="BF64" s="924">
        <f>TableauProduit[[#This Row],[Prix achat plantes / kg]]*TableauProduit[[#This Row],[Total (kg) N8]]</f>
        <v/>
      </c>
      <c r="BG64" s="953">
        <f>TableauProduit[[#This Row],[Prix de vente/kg]]*TableauProduit[[#This Row],[Total (kg) N8]]</f>
        <v/>
      </c>
      <c r="BH64" s="954">
        <f>TableauProduit[[#This Row],[Revenu brut N8]]-TableauProduit[[#This Row],[Achat plantes N8]]-TableauProduit[[#This Row],[Conditionnement N8]]</f>
        <v/>
      </c>
      <c r="BI64" s="968" t="n">
        <v>68</v>
      </c>
      <c r="BJ64" s="926">
        <f>TableauProduit[[#This Row],[Poids (g) / unité]]*TableauProduit[[#This Row],[Objectif de vente en unité N9]]/1000</f>
        <v/>
      </c>
      <c r="BK64" s="955">
        <f>TableauProduit[[#This Row],[Objectif de vente en unité N9]]*TableauProduit[[#This Row],[Packaging / unité]]</f>
        <v/>
      </c>
      <c r="BL64" s="928">
        <f>TableauProduit[[#This Row],[Prix achat plantes / kg]]*TableauProduit[[#This Row],[Total (kg) N9]]</f>
        <v/>
      </c>
      <c r="BM64" s="956">
        <f>TableauProduit[[#This Row],[Prix de vente/kg]]*TableauProduit[[#This Row],[Total (kg) N9]]</f>
        <v/>
      </c>
      <c r="BN64" s="927">
        <f>TableauProduit[[#This Row],[Revenu brut N9]]-TableauProduit[[#This Row],[Achat plantes N9]]-TableauProduit[[#This Row],[Conditionnement N9]]</f>
        <v/>
      </c>
      <c r="BO64" t="inlineStr">
        <is>
          <t>Mélange</t>
        </is>
      </c>
    </row>
    <row r="65">
      <c r="A65" s="625" t="inlineStr">
        <is>
          <t>Quatre épices</t>
        </is>
      </c>
      <c r="B65" s="54">
        <f>TableauProduit[[#This Row],[Recette]]&amp;TableauProduit[[#This Row],[Conditionnement]]</f>
        <v/>
      </c>
      <c r="C65" s="11" t="n">
        <v>1</v>
      </c>
      <c r="D65" s="11" t="n">
        <v>50</v>
      </c>
      <c r="E65" s="6" t="inlineStr">
        <is>
          <t>Epice 100ml</t>
        </is>
      </c>
      <c r="F65" s="7">
        <f>IFERROR(VLOOKUP(TableauProduit[[#This Row],[Conditionnement]],TableauConditionnement[[Nom]:[Contenance]],4,FALSE),"")</f>
        <v/>
      </c>
      <c r="G65" s="969">
        <f>IFERROR(SUMIFS(TableauRecette[Prix d''achat / kg],TableauRecette[Recette],TableauProduit[[#This Row],[Recette]],TableauRecette[Conditionnement],TableauProduit[[#This Row],[Conditionnement]]),0)</f>
        <v/>
      </c>
      <c r="H65" s="929" t="n">
        <v>5</v>
      </c>
      <c r="I65" s="899">
        <f>1000*TableauProduit[[#This Row],[Prix de vente/U]]/TableauProduit[[#This Row],[Poids (g) / unité]]</f>
        <v/>
      </c>
      <c r="J65" s="900">
        <f>SUMIFS(TableauConcurence[PRIX_KG],TableauConcurence[PRODUIT],TableauProduit[[#This Row],[Recette]],TableauConcurence[DISTRIBUTION],"magasin NON BIO")</f>
        <v/>
      </c>
      <c r="K65" s="970">
        <f>SUMIFS(TableauConcurence[PRIX_KG],TableauConcurence[PRODUIT],TableauProduit[[#This Row],[Recette]],TableauConcurence[DISTRIBUTION],"magasin BIO")</f>
        <v/>
      </c>
      <c r="L65" s="971">
        <f>SUMIFS(TableauConcurence[PRIX_KG],TableauConcurence[PRODUIT],TableauProduit[[#This Row],[Recette]],TableauConcurence[DISTRIBUTION],"artisanale BIO")</f>
        <v/>
      </c>
      <c r="M65" s="960" t="n">
        <v>220</v>
      </c>
      <c r="N65" s="960">
        <f>TableauProduit[[#This Row],[Poids (g) / unité]]*TableauProduit[[#This Row],[Objectif de vente en unité N1]]/1000</f>
        <v/>
      </c>
      <c r="O65" s="949">
        <f>TableauProduit[[#This Row],[Objectif de vente en unité N1]]*TableauProduit[[#This Row],[Packaging / unité]]</f>
        <v/>
      </c>
      <c r="P65" s="905">
        <f>TableauProduit[[#This Row],[Prix achat plantes / kg]]*TableauProduit[[#This Row],[Total (kg) N1]]</f>
        <v/>
      </c>
      <c r="Q65" s="950">
        <f>TableauProduit[[#This Row],[Prix de vente/kg]]*TableauProduit[[#This Row],[Total (kg) N1]]</f>
        <v/>
      </c>
      <c r="R65" s="921">
        <f>TableauProduit[[#This Row],[Revenu brut N1]]-TableauProduit[[#This Row],[Achat plantes N1]]-TableauProduit[[#This Row],[Conditionnement N1]]</f>
        <v/>
      </c>
      <c r="S65" s="961" t="n">
        <v>330</v>
      </c>
      <c r="T65" s="930">
        <f>TableauProduit[[#This Row],[Poids (g) / unité]]*TableauProduit[[#This Row],[Objectif de vente en unité N2]]/1000</f>
        <v/>
      </c>
      <c r="U65" s="931">
        <f>TableauProduit[[#This Row],[Objectif de vente en unité N2]]*TableauProduit[[#This Row],[Packaging / unité]]</f>
        <v/>
      </c>
      <c r="V65" s="909">
        <f>TableauProduit[[#This Row],[Prix achat plantes / kg]]*TableauProduit[[#This Row],[Total (kg) N2]]</f>
        <v/>
      </c>
      <c r="W65" s="932">
        <f>TableauProduit[[#This Row],[Prix de vente/kg]]*TableauProduit[[#This Row],[Total (kg) N2]]</f>
        <v/>
      </c>
      <c r="X65" s="961">
        <f>TableauProduit[[#This Row],[Revenu brut N2]]-TableauProduit[[#This Row],[Achat plantes N2]]-TableauProduit[[#This Row],[Conditionnement N2]]</f>
        <v/>
      </c>
      <c r="Y65" s="963" t="n">
        <v>385</v>
      </c>
      <c r="Z65" s="933">
        <f>TableauProduit[[#This Row],[Poids (g) / unité]]*TableauProduit[[#This Row],[Objectif de vente en unité N3]]/1000</f>
        <v/>
      </c>
      <c r="AA65" s="934">
        <f>TableauProduit[[#This Row],[Objectif de vente en unité N3]]*TableauProduit[[#This Row],[Packaging / unité]]</f>
        <v/>
      </c>
      <c r="AB65" s="913">
        <f>TableauProduit[[#This Row],[Prix achat plantes / kg]]*TableauProduit[[#This Row],[Total (kg) N3]]</f>
        <v/>
      </c>
      <c r="AC65" s="935">
        <f>TableauProduit[[#This Row],[Prix de vente/kg]]*TableauProduit[[#This Row],[Total (kg) N3]]</f>
        <v/>
      </c>
      <c r="AD65" s="963">
        <f>TableauProduit[[#This Row],[Revenu brut N3]]-TableauProduit[[#This Row],[Achat plantes N3]]-TableauProduit[[#This Row],[Conditionnement N3]]</f>
        <v/>
      </c>
      <c r="AE65" s="964" t="n">
        <v>418</v>
      </c>
      <c r="AF65" s="936">
        <f>TableauProduit[[#This Row],[Poids (g) / unité]]*TableauProduit[[#This Row],[Objectif de vente en unité N4]]/1000</f>
        <v/>
      </c>
      <c r="AG65" s="937">
        <f>TableauProduit[[#This Row],[Objectif de vente en unité N4]]*TableauProduit[[#This Row],[Packaging / unité]]</f>
        <v/>
      </c>
      <c r="AH65" s="916">
        <f>TableauProduit[[#This Row],[Prix achat plantes / kg]]*TableauProduit[[#This Row],[Total (kg) N4]]</f>
        <v/>
      </c>
      <c r="AI65" s="938">
        <f>TableauProduit[[#This Row],[Prix de vente/kg]]*TableauProduit[[#This Row],[Total (kg) N4]]</f>
        <v/>
      </c>
      <c r="AJ65" s="939">
        <f>TableauProduit[[#This Row],[Revenu brut N4]]-TableauProduit[[#This Row],[Achat plantes N4]]-TableauProduit[[#This Row],[Conditionnement N4]]</f>
        <v/>
      </c>
      <c r="AK65" s="965" t="n">
        <v>440</v>
      </c>
      <c r="AL65" s="940">
        <f>TableauProduit[[#This Row],[Poids (g) / unité]]*TableauProduit[[#This Row],[Objectif de vente en unité N5]]/1000</f>
        <v/>
      </c>
      <c r="AM65" s="941">
        <f>TableauProduit[[#This Row],[Objectif de vente en unité N5]]*TableauProduit[[#This Row],[Packaging / unité]]</f>
        <v/>
      </c>
      <c r="AN65" s="918">
        <f>TableauProduit[[#This Row],[Prix achat plantes / kg]]*TableauProduit[[#This Row],[Total (kg) N5]]</f>
        <v/>
      </c>
      <c r="AO65" s="942">
        <f>TableauProduit[[#This Row],[Prix de vente/kg]]*TableauProduit[[#This Row],[Total (kg) N5]]</f>
        <v/>
      </c>
      <c r="AP65" s="943">
        <f>TableauProduit[[#This Row],[Revenu brut N5]]-TableauProduit[[#This Row],[Achat plantes N5]]-TableauProduit[[#This Row],[Conditionnement N5]]</f>
        <v/>
      </c>
      <c r="AQ65" s="966" t="n">
        <v>440</v>
      </c>
      <c r="AR65" s="944">
        <f>TableauProduit[[#This Row],[Poids (g) / unité]]*TableauProduit[[#This Row],[Objectif de vente en unité N6]]/1000</f>
        <v/>
      </c>
      <c r="AS65" s="945">
        <f>TableauProduit[[#This Row],[Objectif de vente en unité N6]]*TableauProduit[[#This Row],[Packaging / unité]]</f>
        <v/>
      </c>
      <c r="AT65" s="920">
        <f>TableauProduit[[#This Row],[Prix achat plantes / kg]]*TableauProduit[[#This Row],[Total (kg) N6]]</f>
        <v/>
      </c>
      <c r="AU65" s="946">
        <f>TableauProduit[[#This Row],[Prix de vente/kg]]*TableauProduit[[#This Row],[Total (kg) N6]]</f>
        <v/>
      </c>
      <c r="AV65" s="947">
        <f>TableauProduit[[#This Row],[Revenu brut N6]]-TableauProduit[[#This Row],[Achat plantes N6]]-TableauProduit[[#This Row],[Conditionnement N6]]</f>
        <v/>
      </c>
      <c r="AW65" s="960" t="n">
        <v>440</v>
      </c>
      <c r="AX65" s="948">
        <f>TableauProduit[[#This Row],[Poids (g) / unité]]*TableauProduit[[#This Row],[Objectif de vente en unité N7]]/1000</f>
        <v/>
      </c>
      <c r="AY65" s="949">
        <f>TableauProduit[[#This Row],[Objectif de vente en unité N7]]*TableauProduit[[#This Row],[Packaging / unité]]</f>
        <v/>
      </c>
      <c r="AZ65" s="905">
        <f>TableauProduit[[#This Row],[Prix achat plantes / kg]]*TableauProduit[[#This Row],[Total (kg) N7]]</f>
        <v/>
      </c>
      <c r="BA65" s="950">
        <f>TableauProduit[[#This Row],[Prix de vente/kg]]*TableauProduit[[#This Row],[Total (kg) N7]]</f>
        <v/>
      </c>
      <c r="BB65" s="972">
        <f>TableauProduit[[#This Row],[Revenu brut N7]]-TableauProduit[[#This Row],[Achat plantes N7]]-TableauProduit[[#This Row],[Conditionnement N7]]</f>
        <v/>
      </c>
      <c r="BC65" s="973" t="n">
        <v>440</v>
      </c>
      <c r="BD65" s="951">
        <f>TableauProduit[[#This Row],[Poids (g) / unité]]*TableauProduit[[#This Row],[Objectif de vente en unité N8]]/1000</f>
        <v/>
      </c>
      <c r="BE65" s="952">
        <f>TableauProduit[[#This Row],[Objectif de vente en unité N8]]*TableauProduit[[#This Row],[Packaging / unité]]</f>
        <v/>
      </c>
      <c r="BF65" s="924">
        <f>TableauProduit[[#This Row],[Prix achat plantes / kg]]*TableauProduit[[#This Row],[Total (kg) N8]]</f>
        <v/>
      </c>
      <c r="BG65" s="953">
        <f>TableauProduit[[#This Row],[Prix de vente/kg]]*TableauProduit[[#This Row],[Total (kg) N8]]</f>
        <v/>
      </c>
      <c r="BH65" s="954">
        <f>TableauProduit[[#This Row],[Revenu brut N8]]-TableauProduit[[#This Row],[Achat plantes N8]]-TableauProduit[[#This Row],[Conditionnement N8]]</f>
        <v/>
      </c>
      <c r="BI65" s="968" t="n">
        <v>440</v>
      </c>
      <c r="BJ65" s="926">
        <f>TableauProduit[[#This Row],[Poids (g) / unité]]*TableauProduit[[#This Row],[Objectif de vente en unité N9]]/1000</f>
        <v/>
      </c>
      <c r="BK65" s="955">
        <f>TableauProduit[[#This Row],[Objectif de vente en unité N9]]*TableauProduit[[#This Row],[Packaging / unité]]</f>
        <v/>
      </c>
      <c r="BL65" s="928">
        <f>TableauProduit[[#This Row],[Prix achat plantes / kg]]*TableauProduit[[#This Row],[Total (kg) N9]]</f>
        <v/>
      </c>
      <c r="BM65" s="956">
        <f>TableauProduit[[#This Row],[Prix de vente/kg]]*TableauProduit[[#This Row],[Total (kg) N9]]</f>
        <v/>
      </c>
      <c r="BN65" s="927">
        <f>TableauProduit[[#This Row],[Revenu brut N9]]-TableauProduit[[#This Row],[Achat plantes N9]]-TableauProduit[[#This Row],[Conditionnement N9]]</f>
        <v/>
      </c>
      <c r="BO65" t="inlineStr">
        <is>
          <t>Mélange</t>
        </is>
      </c>
    </row>
    <row r="66">
      <c r="A66" s="13" t="inlineStr">
        <is>
          <t>Garam masala</t>
        </is>
      </c>
      <c r="B66" s="54">
        <f>TableauProduit[[#This Row],[Recette]]&amp;TableauProduit[[#This Row],[Conditionnement]]</f>
        <v/>
      </c>
      <c r="C66" s="11" t="n">
        <v>1</v>
      </c>
      <c r="D66" s="11" t="n">
        <v>50</v>
      </c>
      <c r="E66" s="6" t="inlineStr">
        <is>
          <t>Epice 100ml</t>
        </is>
      </c>
      <c r="F66" s="673">
        <f>IFERROR(VLOOKUP(TableauProduit[[#This Row],[Conditionnement]],TableauConditionnement[[Nom]:[Contenance]],4,FALSE),"")</f>
        <v/>
      </c>
      <c r="G66" s="969">
        <f>IFERROR(SUMIFS(TableauRecette[Prix d''achat / kg],TableauRecette[Recette],TableauProduit[[#This Row],[Recette]],TableauRecette[Conditionnement],TableauProduit[[#This Row],[Conditionnement]]),0)</f>
        <v/>
      </c>
      <c r="H66" s="929" t="n">
        <v>5</v>
      </c>
      <c r="I66" s="899">
        <f>1000*TableauProduit[[#This Row],[Prix de vente/U]]/TableauProduit[[#This Row],[Poids (g) / unité]]</f>
        <v/>
      </c>
      <c r="J66" s="900">
        <f>SUMIFS(TableauConcurence[PRIX_KG],TableauConcurence[PRODUIT],TableauProduit[[#This Row],[Recette]],TableauConcurence[DISTRIBUTION],"magasin NON BIO")</f>
        <v/>
      </c>
      <c r="K66" s="970">
        <f>SUMIFS(TableauConcurence[PRIX_KG],TableauConcurence[PRODUIT],TableauProduit[[#This Row],[Recette]],TableauConcurence[DISTRIBUTION],"magasin BIO")</f>
        <v/>
      </c>
      <c r="L66" s="971">
        <f>SUMIFS(TableauConcurence[PRIX_KG],TableauConcurence[PRODUIT],TableauProduit[[#This Row],[Recette]],TableauConcurence[DISTRIBUTION],"artisanale BIO")</f>
        <v/>
      </c>
      <c r="M66" s="960" t="n">
        <v>0</v>
      </c>
      <c r="N66" s="960">
        <f>TableauProduit[[#This Row],[Poids (g) / unité]]*TableauProduit[[#This Row],[Objectif de vente en unité N1]]/1000</f>
        <v/>
      </c>
      <c r="O66" s="949">
        <f>TableauProduit[[#This Row],[Objectif de vente en unité N1]]*TableauProduit[[#This Row],[Packaging / unité]]</f>
        <v/>
      </c>
      <c r="P66" s="905">
        <f>TableauProduit[[#This Row],[Prix achat plantes / kg]]*TableauProduit[[#This Row],[Total (kg) N1]]</f>
        <v/>
      </c>
      <c r="Q66" s="950">
        <f>TableauProduit[[#This Row],[Prix de vente/kg]]*TableauProduit[[#This Row],[Total (kg) N1]]</f>
        <v/>
      </c>
      <c r="R66" s="921">
        <f>TableauProduit[[#This Row],[Revenu brut N1]]-TableauProduit[[#This Row],[Achat plantes N1]]-TableauProduit[[#This Row],[Conditionnement N1]]</f>
        <v/>
      </c>
      <c r="S66" s="961" t="n">
        <v>150</v>
      </c>
      <c r="T66" s="930">
        <f>TableauProduit[[#This Row],[Poids (g) / unité]]*TableauProduit[[#This Row],[Objectif de vente en unité N2]]/1000</f>
        <v/>
      </c>
      <c r="U66" s="931">
        <f>TableauProduit[[#This Row],[Objectif de vente en unité N2]]*TableauProduit[[#This Row],[Packaging / unité]]</f>
        <v/>
      </c>
      <c r="V66" s="909">
        <f>TableauProduit[[#This Row],[Prix achat plantes / kg]]*TableauProduit[[#This Row],[Total (kg) N2]]</f>
        <v/>
      </c>
      <c r="W66" s="932">
        <f>TableauProduit[[#This Row],[Prix de vente/kg]]*TableauProduit[[#This Row],[Total (kg) N2]]</f>
        <v/>
      </c>
      <c r="X66" s="961">
        <f>TableauProduit[[#This Row],[Revenu brut N2]]-TableauProduit[[#This Row],[Achat plantes N2]]-TableauProduit[[#This Row],[Conditionnement N2]]</f>
        <v/>
      </c>
      <c r="Y66" s="963" t="n">
        <v>210</v>
      </c>
      <c r="Z66" s="933">
        <f>TableauProduit[[#This Row],[Poids (g) / unité]]*TableauProduit[[#This Row],[Objectif de vente en unité N3]]/1000</f>
        <v/>
      </c>
      <c r="AA66" s="934">
        <f>TableauProduit[[#This Row],[Objectif de vente en unité N3]]*TableauProduit[[#This Row],[Packaging / unité]]</f>
        <v/>
      </c>
      <c r="AB66" s="913">
        <f>TableauProduit[[#This Row],[Prix achat plantes / kg]]*TableauProduit[[#This Row],[Total (kg) N3]]</f>
        <v/>
      </c>
      <c r="AC66" s="935">
        <f>TableauProduit[[#This Row],[Prix de vente/kg]]*TableauProduit[[#This Row],[Total (kg) N3]]</f>
        <v/>
      </c>
      <c r="AD66" s="963">
        <f>TableauProduit[[#This Row],[Revenu brut N3]]-TableauProduit[[#This Row],[Achat plantes N3]]-TableauProduit[[#This Row],[Conditionnement N3]]</f>
        <v/>
      </c>
      <c r="AE66" s="964" t="n">
        <v>240</v>
      </c>
      <c r="AF66" s="936">
        <f>TableauProduit[[#This Row],[Poids (g) / unité]]*TableauProduit[[#This Row],[Objectif de vente en unité N4]]/1000</f>
        <v/>
      </c>
      <c r="AG66" s="937">
        <f>TableauProduit[[#This Row],[Objectif de vente en unité N4]]*TableauProduit[[#This Row],[Packaging / unité]]</f>
        <v/>
      </c>
      <c r="AH66" s="916">
        <f>TableauProduit[[#This Row],[Prix achat plantes / kg]]*TableauProduit[[#This Row],[Total (kg) N4]]</f>
        <v/>
      </c>
      <c r="AI66" s="938">
        <f>TableauProduit[[#This Row],[Prix de vente/kg]]*TableauProduit[[#This Row],[Total (kg) N4]]</f>
        <v/>
      </c>
      <c r="AJ66" s="939">
        <f>TableauProduit[[#This Row],[Revenu brut N4]]-TableauProduit[[#This Row],[Achat plantes N4]]-TableauProduit[[#This Row],[Conditionnement N4]]</f>
        <v/>
      </c>
      <c r="AK66" s="965" t="n">
        <v>255</v>
      </c>
      <c r="AL66" s="940">
        <f>TableauProduit[[#This Row],[Poids (g) / unité]]*TableauProduit[[#This Row],[Objectif de vente en unité N5]]/1000</f>
        <v/>
      </c>
      <c r="AM66" s="941">
        <f>TableauProduit[[#This Row],[Objectif de vente en unité N5]]*TableauProduit[[#This Row],[Packaging / unité]]</f>
        <v/>
      </c>
      <c r="AN66" s="918">
        <f>TableauProduit[[#This Row],[Prix achat plantes / kg]]*TableauProduit[[#This Row],[Total (kg) N5]]</f>
        <v/>
      </c>
      <c r="AO66" s="942">
        <f>TableauProduit[[#This Row],[Prix de vente/kg]]*TableauProduit[[#This Row],[Total (kg) N5]]</f>
        <v/>
      </c>
      <c r="AP66" s="943">
        <f>TableauProduit[[#This Row],[Revenu brut N5]]-TableauProduit[[#This Row],[Achat plantes N5]]-TableauProduit[[#This Row],[Conditionnement N5]]</f>
        <v/>
      </c>
      <c r="AQ66" s="966" t="n">
        <v>255</v>
      </c>
      <c r="AR66" s="944">
        <f>TableauProduit[[#This Row],[Poids (g) / unité]]*TableauProduit[[#This Row],[Objectif de vente en unité N6]]/1000</f>
        <v/>
      </c>
      <c r="AS66" s="945">
        <f>TableauProduit[[#This Row],[Objectif de vente en unité N6]]*TableauProduit[[#This Row],[Packaging / unité]]</f>
        <v/>
      </c>
      <c r="AT66" s="920">
        <f>TableauProduit[[#This Row],[Prix achat plantes / kg]]*TableauProduit[[#This Row],[Total (kg) N6]]</f>
        <v/>
      </c>
      <c r="AU66" s="946">
        <f>TableauProduit[[#This Row],[Prix de vente/kg]]*TableauProduit[[#This Row],[Total (kg) N6]]</f>
        <v/>
      </c>
      <c r="AV66" s="947">
        <f>TableauProduit[[#This Row],[Revenu brut N6]]-TableauProduit[[#This Row],[Achat plantes N6]]-TableauProduit[[#This Row],[Conditionnement N6]]</f>
        <v/>
      </c>
      <c r="AW66" s="960" t="n">
        <v>255</v>
      </c>
      <c r="AX66" s="948">
        <f>TableauProduit[[#This Row],[Poids (g) / unité]]*TableauProduit[[#This Row],[Objectif de vente en unité N7]]/1000</f>
        <v/>
      </c>
      <c r="AY66" s="949">
        <f>TableauProduit[[#This Row],[Objectif de vente en unité N7]]*TableauProduit[[#This Row],[Packaging / unité]]</f>
        <v/>
      </c>
      <c r="AZ66" s="905">
        <f>TableauProduit[[#This Row],[Prix achat plantes / kg]]*TableauProduit[[#This Row],[Total (kg) N7]]</f>
        <v/>
      </c>
      <c r="BA66" s="950">
        <f>TableauProduit[[#This Row],[Prix de vente/kg]]*TableauProduit[[#This Row],[Total (kg) N7]]</f>
        <v/>
      </c>
      <c r="BB66" s="972">
        <f>TableauProduit[[#This Row],[Revenu brut N7]]-TableauProduit[[#This Row],[Achat plantes N7]]-TableauProduit[[#This Row],[Conditionnement N7]]</f>
        <v/>
      </c>
      <c r="BC66" s="973" t="n">
        <v>255</v>
      </c>
      <c r="BD66" s="951">
        <f>TableauProduit[[#This Row],[Poids (g) / unité]]*TableauProduit[[#This Row],[Objectif de vente en unité N8]]/1000</f>
        <v/>
      </c>
      <c r="BE66" s="952">
        <f>TableauProduit[[#This Row],[Objectif de vente en unité N8]]*TableauProduit[[#This Row],[Packaging / unité]]</f>
        <v/>
      </c>
      <c r="BF66" s="924">
        <f>TableauProduit[[#This Row],[Prix achat plantes / kg]]*TableauProduit[[#This Row],[Total (kg) N8]]</f>
        <v/>
      </c>
      <c r="BG66" s="953">
        <f>TableauProduit[[#This Row],[Prix de vente/kg]]*TableauProduit[[#This Row],[Total (kg) N8]]</f>
        <v/>
      </c>
      <c r="BH66" s="954">
        <f>TableauProduit[[#This Row],[Revenu brut N8]]-TableauProduit[[#This Row],[Achat plantes N8]]-TableauProduit[[#This Row],[Conditionnement N8]]</f>
        <v/>
      </c>
      <c r="BI66" s="968" t="n">
        <v>255</v>
      </c>
      <c r="BJ66" s="926">
        <f>TableauProduit[[#This Row],[Poids (g) / unité]]*TableauProduit[[#This Row],[Objectif de vente en unité N9]]/1000</f>
        <v/>
      </c>
      <c r="BK66" s="955">
        <f>TableauProduit[[#This Row],[Objectif de vente en unité N9]]*TableauProduit[[#This Row],[Packaging / unité]]</f>
        <v/>
      </c>
      <c r="BL66" s="928">
        <f>TableauProduit[[#This Row],[Prix achat plantes / kg]]*TableauProduit[[#This Row],[Total (kg) N9]]</f>
        <v/>
      </c>
      <c r="BM66" s="956">
        <f>TableauProduit[[#This Row],[Prix de vente/kg]]*TableauProduit[[#This Row],[Total (kg) N9]]</f>
        <v/>
      </c>
      <c r="BN66" s="927">
        <f>TableauProduit[[#This Row],[Revenu brut N9]]-TableauProduit[[#This Row],[Achat plantes N9]]-TableauProduit[[#This Row],[Conditionnement N9]]</f>
        <v/>
      </c>
      <c r="BO66" t="inlineStr">
        <is>
          <t>Mélange</t>
        </is>
      </c>
    </row>
    <row r="67">
      <c r="A67" s="13" t="inlineStr">
        <is>
          <t>Garam masala entier</t>
        </is>
      </c>
      <c r="B67" s="54">
        <f>TableauProduit[[#This Row],[Recette]]&amp;TableauProduit[[#This Row],[Conditionnement]]</f>
        <v/>
      </c>
      <c r="C67" s="11" t="n">
        <v>1</v>
      </c>
      <c r="D67" s="11" t="n">
        <v>50</v>
      </c>
      <c r="E67" s="6" t="inlineStr">
        <is>
          <t>Epice 100ml</t>
        </is>
      </c>
      <c r="F67" s="673">
        <f>IFERROR(VLOOKUP(TableauProduit[[#This Row],[Conditionnement]],TableauConditionnement[[Nom]:[Contenance]],4,FALSE),"")</f>
        <v/>
      </c>
      <c r="G67" s="969">
        <f>IFERROR(SUMIFS(TableauRecette[Prix d''achat / kg],TableauRecette[Recette],TableauProduit[[#This Row],[Recette]],TableauRecette[Conditionnement],TableauProduit[[#This Row],[Conditionnement]]),0)</f>
        <v/>
      </c>
      <c r="H67" s="929" t="n">
        <v>5</v>
      </c>
      <c r="I67" s="899">
        <f>1000*TableauProduit[[#This Row],[Prix de vente/U]]/TableauProduit[[#This Row],[Poids (g) / unité]]</f>
        <v/>
      </c>
      <c r="J67" s="900">
        <f>SUMIFS(TableauConcurence[PRIX_KG],TableauConcurence[PRODUIT],TableauProduit[[#This Row],[Recette]],TableauConcurence[DISTRIBUTION],"magasin NON BIO")</f>
        <v/>
      </c>
      <c r="K67" s="970">
        <f>SUMIFS(TableauConcurence[PRIX_KG],TableauConcurence[PRODUIT],TableauProduit[[#This Row],[Recette]],TableauConcurence[DISTRIBUTION],"magasin BIO")</f>
        <v/>
      </c>
      <c r="L67" s="971">
        <f>SUMIFS(TableauConcurence[PRIX_KG],TableauConcurence[PRODUIT],TableauProduit[[#This Row],[Recette]],TableauConcurence[DISTRIBUTION],"artisanale BIO")</f>
        <v/>
      </c>
      <c r="M67" s="960" t="n">
        <v>0</v>
      </c>
      <c r="N67" s="960">
        <f>TableauProduit[[#This Row],[Poids (g) / unité]]*TableauProduit[[#This Row],[Objectif de vente en unité N1]]/1000</f>
        <v/>
      </c>
      <c r="O67" s="949">
        <f>TableauProduit[[#This Row],[Objectif de vente en unité N1]]*TableauProduit[[#This Row],[Packaging / unité]]</f>
        <v/>
      </c>
      <c r="P67" s="905">
        <f>TableauProduit[[#This Row],[Prix achat plantes / kg]]*TableauProduit[[#This Row],[Total (kg) N1]]</f>
        <v/>
      </c>
      <c r="Q67" s="950">
        <f>TableauProduit[[#This Row],[Prix de vente/kg]]*TableauProduit[[#This Row],[Total (kg) N1]]</f>
        <v/>
      </c>
      <c r="R67" s="921">
        <f>TableauProduit[[#This Row],[Revenu brut N1]]-TableauProduit[[#This Row],[Achat plantes N1]]-TableauProduit[[#This Row],[Conditionnement N1]]</f>
        <v/>
      </c>
      <c r="S67" s="961" t="n">
        <v>0</v>
      </c>
      <c r="T67" s="930">
        <f>TableauProduit[[#This Row],[Poids (g) / unité]]*TableauProduit[[#This Row],[Objectif de vente en unité N2]]/1000</f>
        <v/>
      </c>
      <c r="U67" s="931">
        <f>TableauProduit[[#This Row],[Objectif de vente en unité N2]]*TableauProduit[[#This Row],[Packaging / unité]]</f>
        <v/>
      </c>
      <c r="V67" s="909">
        <f>TableauProduit[[#This Row],[Prix achat plantes / kg]]*TableauProduit[[#This Row],[Total (kg) N2]]</f>
        <v/>
      </c>
      <c r="W67" s="932">
        <f>TableauProduit[[#This Row],[Prix de vente/kg]]*TableauProduit[[#This Row],[Total (kg) N2]]</f>
        <v/>
      </c>
      <c r="X67" s="961">
        <f>TableauProduit[[#This Row],[Revenu brut N2]]-TableauProduit[[#This Row],[Achat plantes N2]]-TableauProduit[[#This Row],[Conditionnement N2]]</f>
        <v/>
      </c>
      <c r="Y67" s="963" t="n">
        <v>0</v>
      </c>
      <c r="Z67" s="933">
        <f>TableauProduit[[#This Row],[Poids (g) / unité]]*TableauProduit[[#This Row],[Objectif de vente en unité N3]]/1000</f>
        <v/>
      </c>
      <c r="AA67" s="934">
        <f>TableauProduit[[#This Row],[Objectif de vente en unité N3]]*TableauProduit[[#This Row],[Packaging / unité]]</f>
        <v/>
      </c>
      <c r="AB67" s="913">
        <f>TableauProduit[[#This Row],[Prix achat plantes / kg]]*TableauProduit[[#This Row],[Total (kg) N3]]</f>
        <v/>
      </c>
      <c r="AC67" s="935">
        <f>TableauProduit[[#This Row],[Prix de vente/kg]]*TableauProduit[[#This Row],[Total (kg) N3]]</f>
        <v/>
      </c>
      <c r="AD67" s="963">
        <f>TableauProduit[[#This Row],[Revenu brut N3]]-TableauProduit[[#This Row],[Achat plantes N3]]-TableauProduit[[#This Row],[Conditionnement N3]]</f>
        <v/>
      </c>
      <c r="AE67" s="964" t="n">
        <v>50</v>
      </c>
      <c r="AF67" s="936">
        <f>TableauProduit[[#This Row],[Poids (g) / unité]]*TableauProduit[[#This Row],[Objectif de vente en unité N4]]/1000</f>
        <v/>
      </c>
      <c r="AG67" s="937">
        <f>TableauProduit[[#This Row],[Objectif de vente en unité N4]]*TableauProduit[[#This Row],[Packaging / unité]]</f>
        <v/>
      </c>
      <c r="AH67" s="916">
        <f>TableauProduit[[#This Row],[Prix achat plantes / kg]]*TableauProduit[[#This Row],[Total (kg) N4]]</f>
        <v/>
      </c>
      <c r="AI67" s="938">
        <f>TableauProduit[[#This Row],[Prix de vente/kg]]*TableauProduit[[#This Row],[Total (kg) N4]]</f>
        <v/>
      </c>
      <c r="AJ67" s="939">
        <f>TableauProduit[[#This Row],[Revenu brut N4]]-TableauProduit[[#This Row],[Achat plantes N4]]-TableauProduit[[#This Row],[Conditionnement N4]]</f>
        <v/>
      </c>
      <c r="AK67" s="965" t="n">
        <v>60</v>
      </c>
      <c r="AL67" s="940">
        <f>TableauProduit[[#This Row],[Poids (g) / unité]]*TableauProduit[[#This Row],[Objectif de vente en unité N5]]/1000</f>
        <v/>
      </c>
      <c r="AM67" s="941">
        <f>TableauProduit[[#This Row],[Objectif de vente en unité N5]]*TableauProduit[[#This Row],[Packaging / unité]]</f>
        <v/>
      </c>
      <c r="AN67" s="918">
        <f>TableauProduit[[#This Row],[Prix achat plantes / kg]]*TableauProduit[[#This Row],[Total (kg) N5]]</f>
        <v/>
      </c>
      <c r="AO67" s="942">
        <f>TableauProduit[[#This Row],[Prix de vente/kg]]*TableauProduit[[#This Row],[Total (kg) N5]]</f>
        <v/>
      </c>
      <c r="AP67" s="943">
        <f>TableauProduit[[#This Row],[Revenu brut N5]]-TableauProduit[[#This Row],[Achat plantes N5]]-TableauProduit[[#This Row],[Conditionnement N5]]</f>
        <v/>
      </c>
      <c r="AQ67" s="966" t="n">
        <v>65</v>
      </c>
      <c r="AR67" s="944">
        <f>TableauProduit[[#This Row],[Poids (g) / unité]]*TableauProduit[[#This Row],[Objectif de vente en unité N6]]/1000</f>
        <v/>
      </c>
      <c r="AS67" s="945">
        <f>TableauProduit[[#This Row],[Objectif de vente en unité N6]]*TableauProduit[[#This Row],[Packaging / unité]]</f>
        <v/>
      </c>
      <c r="AT67" s="920">
        <f>TableauProduit[[#This Row],[Prix achat plantes / kg]]*TableauProduit[[#This Row],[Total (kg) N6]]</f>
        <v/>
      </c>
      <c r="AU67" s="946">
        <f>TableauProduit[[#This Row],[Prix de vente/kg]]*TableauProduit[[#This Row],[Total (kg) N6]]</f>
        <v/>
      </c>
      <c r="AV67" s="947">
        <f>TableauProduit[[#This Row],[Revenu brut N6]]-TableauProduit[[#This Row],[Achat plantes N6]]-TableauProduit[[#This Row],[Conditionnement N6]]</f>
        <v/>
      </c>
      <c r="AW67" s="960" t="n">
        <v>68</v>
      </c>
      <c r="AX67" s="948">
        <f>TableauProduit[[#This Row],[Poids (g) / unité]]*TableauProduit[[#This Row],[Objectif de vente en unité N7]]/1000</f>
        <v/>
      </c>
      <c r="AY67" s="949">
        <f>TableauProduit[[#This Row],[Objectif de vente en unité N7]]*TableauProduit[[#This Row],[Packaging / unité]]</f>
        <v/>
      </c>
      <c r="AZ67" s="905">
        <f>TableauProduit[[#This Row],[Prix achat plantes / kg]]*TableauProduit[[#This Row],[Total (kg) N7]]</f>
        <v/>
      </c>
      <c r="BA67" s="950">
        <f>TableauProduit[[#This Row],[Prix de vente/kg]]*TableauProduit[[#This Row],[Total (kg) N7]]</f>
        <v/>
      </c>
      <c r="BB67" s="972">
        <f>TableauProduit[[#This Row],[Revenu brut N7]]-TableauProduit[[#This Row],[Achat plantes N7]]-TableauProduit[[#This Row],[Conditionnement N7]]</f>
        <v/>
      </c>
      <c r="BC67" s="973" t="n">
        <v>68</v>
      </c>
      <c r="BD67" s="951">
        <f>TableauProduit[[#This Row],[Poids (g) / unité]]*TableauProduit[[#This Row],[Objectif de vente en unité N8]]/1000</f>
        <v/>
      </c>
      <c r="BE67" s="952">
        <f>TableauProduit[[#This Row],[Objectif de vente en unité N8]]*TableauProduit[[#This Row],[Packaging / unité]]</f>
        <v/>
      </c>
      <c r="BF67" s="924">
        <f>TableauProduit[[#This Row],[Prix achat plantes / kg]]*TableauProduit[[#This Row],[Total (kg) N8]]</f>
        <v/>
      </c>
      <c r="BG67" s="953">
        <f>TableauProduit[[#This Row],[Prix de vente/kg]]*TableauProduit[[#This Row],[Total (kg) N8]]</f>
        <v/>
      </c>
      <c r="BH67" s="954">
        <f>TableauProduit[[#This Row],[Revenu brut N8]]-TableauProduit[[#This Row],[Achat plantes N8]]-TableauProduit[[#This Row],[Conditionnement N8]]</f>
        <v/>
      </c>
      <c r="BI67" s="968" t="n">
        <v>68</v>
      </c>
      <c r="BJ67" s="926">
        <f>TableauProduit[[#This Row],[Poids (g) / unité]]*TableauProduit[[#This Row],[Objectif de vente en unité N9]]/1000</f>
        <v/>
      </c>
      <c r="BK67" s="955">
        <f>TableauProduit[[#This Row],[Objectif de vente en unité N9]]*TableauProduit[[#This Row],[Packaging / unité]]</f>
        <v/>
      </c>
      <c r="BL67" s="928">
        <f>TableauProduit[[#This Row],[Prix achat plantes / kg]]*TableauProduit[[#This Row],[Total (kg) N9]]</f>
        <v/>
      </c>
      <c r="BM67" s="956">
        <f>TableauProduit[[#This Row],[Prix de vente/kg]]*TableauProduit[[#This Row],[Total (kg) N9]]</f>
        <v/>
      </c>
      <c r="BN67" s="927">
        <f>TableauProduit[[#This Row],[Revenu brut N9]]-TableauProduit[[#This Row],[Achat plantes N9]]-TableauProduit[[#This Row],[Conditionnement N9]]</f>
        <v/>
      </c>
      <c r="BO67" t="inlineStr">
        <is>
          <t>Mélange</t>
        </is>
      </c>
    </row>
    <row r="68">
      <c r="A68" t="inlineStr">
        <is>
          <t>Sucre de rose</t>
        </is>
      </c>
      <c r="B68">
        <f>TableauProduit[[#This Row],[Recette]]&amp;TableauProduit[[#This Row],[Conditionnement]]</f>
        <v/>
      </c>
      <c r="C68" t="n">
        <v>1</v>
      </c>
      <c r="D68" t="n">
        <v>75</v>
      </c>
      <c r="E68" t="inlineStr">
        <is>
          <t>Epice 100ml</t>
        </is>
      </c>
      <c r="F68">
        <f>IFERROR(VLOOKUP(TableauProduit[[#This Row],[Conditionnement]],TableauConditionnement[[Nom]:[Contenance]],4,FALSE),"")</f>
        <v/>
      </c>
      <c r="G68">
        <f>IFERROR(SUMIFS(TableauRecette[Prix d''achat / kg],TableauRecette[Recette],TableauProduit[[#This Row],[Recette]],TableauRecette[Conditionnement],TableauProduit[[#This Row],[Conditionnement]]),0)</f>
        <v/>
      </c>
      <c r="H68" t="n">
        <v>5</v>
      </c>
      <c r="I68">
        <f>1000*TableauProduit[[#This Row],[Prix de vente/U]]/TableauProduit[[#This Row],[Poids (g) / unité]]</f>
        <v/>
      </c>
      <c r="J68">
        <f>SUMIFS(TableauConcurence[PRIX_KG],TableauConcurence[PRODUIT],TableauProduit[[#This Row],[Recette]],TableauConcurence[DISTRIBUTION],"magasin NON BIO")</f>
        <v/>
      </c>
      <c r="K68">
        <f>SUMIFS(TableauConcurence[PRIX_KG],TableauConcurence[PRODUIT],TableauProduit[[#This Row],[Recette]],TableauConcurence[DISTRIBUTION],"magasin BIO")</f>
        <v/>
      </c>
      <c r="L68">
        <f>SUMIFS(TableauConcurence[PRIX_KG],TableauConcurence[PRODUIT],TableauProduit[[#This Row],[Recette]],TableauConcurence[DISTRIBUTION],"artisanale BIO")</f>
        <v/>
      </c>
      <c r="M68" t="n">
        <v>0</v>
      </c>
      <c r="N68">
        <f>TableauProduit[[#This Row],[Poids (g) / unité]]*TableauProduit[[#This Row],[Objectif de vente en unité N1]]/1000</f>
        <v/>
      </c>
      <c r="O68">
        <f>TableauProduit[[#This Row],[Objectif de vente en unité N1]]*TableauProduit[[#This Row],[Packaging / unité]]</f>
        <v/>
      </c>
      <c r="P68">
        <f>TableauProduit[[#This Row],[Prix achat plantes / kg]]*TableauProduit[[#This Row],[Total (kg) N1]]</f>
        <v/>
      </c>
      <c r="Q68">
        <f>TableauProduit[[#This Row],[Prix de vente/kg]]*TableauProduit[[#This Row],[Total (kg) N1]]</f>
        <v/>
      </c>
      <c r="R68">
        <f>TableauProduit[[#This Row],[Revenu brut N1]]-TableauProduit[[#This Row],[Achat plantes N1]]-TableauProduit[[#This Row],[Conditionnement N1]]</f>
        <v/>
      </c>
      <c r="S68" t="n">
        <v>0</v>
      </c>
      <c r="T68">
        <f>TableauProduit[[#This Row],[Poids (g) / unité]]*TableauProduit[[#This Row],[Objectif de vente en unité N2]]/1000</f>
        <v/>
      </c>
      <c r="U68">
        <f>TableauProduit[[#This Row],[Objectif de vente en unité N2]]*TableauProduit[[#This Row],[Packaging / unité]]</f>
        <v/>
      </c>
      <c r="V68">
        <f>TableauProduit[[#This Row],[Prix achat plantes / kg]]*TableauProduit[[#This Row],[Total (kg) N2]]</f>
        <v/>
      </c>
      <c r="W68">
        <f>TableauProduit[[#This Row],[Prix de vente/kg]]*TableauProduit[[#This Row],[Total (kg) N2]]</f>
        <v/>
      </c>
      <c r="X68">
        <f>TableauProduit[[#This Row],[Revenu brut N2]]-TableauProduit[[#This Row],[Achat plantes N2]]-TableauProduit[[#This Row],[Conditionnement N2]]</f>
        <v/>
      </c>
      <c r="Y68" t="n">
        <v>100</v>
      </c>
      <c r="Z68">
        <f>TableauProduit[[#This Row],[Poids (g) / unité]]*TableauProduit[[#This Row],[Objectif de vente en unité N3]]/1000</f>
        <v/>
      </c>
      <c r="AA68">
        <f>TableauProduit[[#This Row],[Objectif de vente en unité N3]]*TableauProduit[[#This Row],[Packaging / unité]]</f>
        <v/>
      </c>
      <c r="AB68">
        <f>TableauProduit[[#This Row],[Prix achat plantes / kg]]*TableauProduit[[#This Row],[Total (kg) N3]]</f>
        <v/>
      </c>
      <c r="AC68">
        <f>TableauProduit[[#This Row],[Prix de vente/kg]]*TableauProduit[[#This Row],[Total (kg) N3]]</f>
        <v/>
      </c>
      <c r="AD68">
        <f>TableauProduit[[#This Row],[Revenu brut N3]]-TableauProduit[[#This Row],[Achat plantes N3]]-TableauProduit[[#This Row],[Conditionnement N3]]</f>
        <v/>
      </c>
      <c r="AE68" t="n">
        <v>130</v>
      </c>
      <c r="AF68">
        <f>TableauProduit[[#This Row],[Poids (g) / unité]]*TableauProduit[[#This Row],[Objectif de vente en unité N4]]/1000</f>
        <v/>
      </c>
      <c r="AG68">
        <f>TableauProduit[[#This Row],[Objectif de vente en unité N4]]*TableauProduit[[#This Row],[Packaging / unité]]</f>
        <v/>
      </c>
      <c r="AH68">
        <f>TableauProduit[[#This Row],[Prix achat plantes / kg]]*TableauProduit[[#This Row],[Total (kg) N4]]</f>
        <v/>
      </c>
      <c r="AI68">
        <f>TableauProduit[[#This Row],[Prix de vente/kg]]*TableauProduit[[#This Row],[Total (kg) N4]]</f>
        <v/>
      </c>
      <c r="AJ68">
        <f>TableauProduit[[#This Row],[Revenu brut N4]]-TableauProduit[[#This Row],[Achat plantes N4]]-TableauProduit[[#This Row],[Conditionnement N4]]</f>
        <v/>
      </c>
      <c r="AK68" t="n">
        <v>145</v>
      </c>
      <c r="AL68">
        <f>TableauProduit[[#This Row],[Poids (g) / unité]]*TableauProduit[[#This Row],[Objectif de vente en unité N5]]/1000</f>
        <v/>
      </c>
      <c r="AM68">
        <f>TableauProduit[[#This Row],[Objectif de vente en unité N5]]*TableauProduit[[#This Row],[Packaging / unité]]</f>
        <v/>
      </c>
      <c r="AN68">
        <f>TableauProduit[[#This Row],[Prix achat plantes / kg]]*TableauProduit[[#This Row],[Total (kg) N5]]</f>
        <v/>
      </c>
      <c r="AO68">
        <f>TableauProduit[[#This Row],[Prix de vente/kg]]*TableauProduit[[#This Row],[Total (kg) N5]]</f>
        <v/>
      </c>
      <c r="AP68">
        <f>TableauProduit[[#This Row],[Revenu brut N5]]-TableauProduit[[#This Row],[Achat plantes N5]]-TableauProduit[[#This Row],[Conditionnement N5]]</f>
        <v/>
      </c>
      <c r="AQ68" t="n">
        <v>150</v>
      </c>
      <c r="AR68">
        <f>TableauProduit[[#This Row],[Poids (g) / unité]]*TableauProduit[[#This Row],[Objectif de vente en unité N6]]/1000</f>
        <v/>
      </c>
      <c r="AS68">
        <f>TableauProduit[[#This Row],[Objectif de vente en unité N6]]*TableauProduit[[#This Row],[Packaging / unité]]</f>
        <v/>
      </c>
      <c r="AT68">
        <f>TableauProduit[[#This Row],[Prix achat plantes / kg]]*TableauProduit[[#This Row],[Total (kg) N6]]</f>
        <v/>
      </c>
      <c r="AU68">
        <f>TableauProduit[[#This Row],[Prix de vente/kg]]*TableauProduit[[#This Row],[Total (kg) N6]]</f>
        <v/>
      </c>
      <c r="AV68">
        <f>TableauProduit[[#This Row],[Revenu brut N6]]-TableauProduit[[#This Row],[Achat plantes N6]]-TableauProduit[[#This Row],[Conditionnement N6]]</f>
        <v/>
      </c>
      <c r="AW68" t="n">
        <v>150</v>
      </c>
      <c r="AX68">
        <f>TableauProduit[[#This Row],[Poids (g) / unité]]*TableauProduit[[#This Row],[Objectif de vente en unité N7]]/1000</f>
        <v/>
      </c>
      <c r="AY68">
        <f>TableauProduit[[#This Row],[Objectif de vente en unité N7]]*TableauProduit[[#This Row],[Packaging / unité]]</f>
        <v/>
      </c>
      <c r="AZ68">
        <f>TableauProduit[[#This Row],[Prix achat plantes / kg]]*TableauProduit[[#This Row],[Total (kg) N7]]</f>
        <v/>
      </c>
      <c r="BA68">
        <f>TableauProduit[[#This Row],[Prix de vente/kg]]*TableauProduit[[#This Row],[Total (kg) N7]]</f>
        <v/>
      </c>
      <c r="BB68">
        <f>TableauProduit[[#This Row],[Revenu brut N7]]-TableauProduit[[#This Row],[Achat plantes N7]]-TableauProduit[[#This Row],[Conditionnement N7]]</f>
        <v/>
      </c>
      <c r="BC68" t="n">
        <v>150</v>
      </c>
      <c r="BD68">
        <f>TableauProduit[[#This Row],[Poids (g) / unité]]*TableauProduit[[#This Row],[Objectif de vente en unité N8]]/1000</f>
        <v/>
      </c>
      <c r="BE68">
        <f>TableauProduit[[#This Row],[Objectif de vente en unité N8]]*TableauProduit[[#This Row],[Packaging / unité]]</f>
        <v/>
      </c>
      <c r="BF68">
        <f>TableauProduit[[#This Row],[Prix achat plantes / kg]]*TableauProduit[[#This Row],[Total (kg) N8]]</f>
        <v/>
      </c>
      <c r="BG68">
        <f>TableauProduit[[#This Row],[Prix de vente/kg]]*TableauProduit[[#This Row],[Total (kg) N8]]</f>
        <v/>
      </c>
      <c r="BH68">
        <f>TableauProduit[[#This Row],[Revenu brut N8]]-TableauProduit[[#This Row],[Achat plantes N8]]-TableauProduit[[#This Row],[Conditionnement N8]]</f>
        <v/>
      </c>
      <c r="BI68" t="n">
        <v>150</v>
      </c>
      <c r="BJ68">
        <f>TableauProduit[[#This Row],[Poids (g) / unité]]*TableauProduit[[#This Row],[Objectif de vente en unité N9]]/1000</f>
        <v/>
      </c>
      <c r="BK68">
        <f>TableauProduit[[#This Row],[Objectif de vente en unité N9]]*TableauProduit[[#This Row],[Packaging / unité]]</f>
        <v/>
      </c>
      <c r="BL68">
        <f>TableauProduit[[#This Row],[Prix achat plantes / kg]]*TableauProduit[[#This Row],[Total (kg) N9]]</f>
        <v/>
      </c>
      <c r="BM68">
        <f>TableauProduit[[#This Row],[Prix de vente/kg]]*TableauProduit[[#This Row],[Total (kg) N9]]</f>
        <v/>
      </c>
      <c r="BN68">
        <f>TableauProduit[[#This Row],[Revenu brut N9]]-TableauProduit[[#This Row],[Achat plantes N9]]-TableauProduit[[#This Row],[Conditionnement N9]]</f>
        <v/>
      </c>
      <c r="BO68" t="inlineStr">
        <is>
          <t>Transformé</t>
        </is>
      </c>
    </row>
    <row r="69">
      <c r="A69" t="inlineStr">
        <is>
          <t>Huile massage musculaire</t>
        </is>
      </c>
      <c r="B69">
        <f>TableauProduit[[#This Row],[Recette]]&amp;TableauProduit[[#This Row],[Conditionnement]]</f>
        <v/>
      </c>
      <c r="C69" t="n">
        <v>1</v>
      </c>
      <c r="D69" t="n">
        <v>250</v>
      </c>
      <c r="E69" t="inlineStr">
        <is>
          <t>Huile 1L</t>
        </is>
      </c>
      <c r="F69">
        <f>IFERROR(VLOOKUP(TableauProduit[[#This Row],[Conditionnement]],TableauConditionnement[[Nom]:[Contenance]],4,FALSE),"")</f>
        <v/>
      </c>
      <c r="G69">
        <f>IFERROR(SUMIFS(TableauRecette[Prix d''achat / kg],TableauRecette[Recette],TableauProduit[[#This Row],[Recette]],TableauRecette[Conditionnement],TableauProduit[[#This Row],[Conditionnement]]),0)</f>
        <v/>
      </c>
      <c r="H69" t="n">
        <v>15</v>
      </c>
      <c r="I69">
        <f>1000*TableauProduit[[#This Row],[Prix de vente/U]]/TableauProduit[[#This Row],[Poids (g) / unité]]</f>
        <v/>
      </c>
      <c r="J69">
        <f>SUMIFS(TableauConcurence[PRIX_KG],TableauConcurence[PRODUIT],TableauProduit[[#This Row],[Recette]],TableauConcurence[DISTRIBUTION],"magasin NON BIO")</f>
        <v/>
      </c>
      <c r="K69">
        <f>SUMIFS(TableauConcurence[PRIX_KG],TableauConcurence[PRODUIT],TableauProduit[[#This Row],[Recette]],TableauConcurence[DISTRIBUTION],"magasin BIO")</f>
        <v/>
      </c>
      <c r="L69">
        <f>SUMIFS(TableauConcurence[PRIX_KG],TableauConcurence[PRODUIT],TableauProduit[[#This Row],[Recette]],TableauConcurence[DISTRIBUTION],"artisanale BIO")</f>
        <v/>
      </c>
      <c r="M69" t="n">
        <v>0</v>
      </c>
      <c r="N69">
        <f>TableauProduit[[#This Row],[Poids (g) / unité]]*TableauProduit[[#This Row],[Objectif de vente en unité N1]]/1000</f>
        <v/>
      </c>
      <c r="O69">
        <f>TableauProduit[[#This Row],[Objectif de vente en unité N1]]*TableauProduit[[#This Row],[Packaging / unité]]</f>
        <v/>
      </c>
      <c r="P69">
        <f>TableauProduit[[#This Row],[Prix achat plantes / kg]]*TableauProduit[[#This Row],[Total (kg) N1]]</f>
        <v/>
      </c>
      <c r="Q69">
        <f>TableauProduit[[#This Row],[Prix de vente/kg]]*TableauProduit[[#This Row],[Total (kg) N1]]</f>
        <v/>
      </c>
      <c r="R69">
        <f>TableauProduit[[#This Row],[Revenu brut N1]]-TableauProduit[[#This Row],[Achat plantes N1]]-TableauProduit[[#This Row],[Conditionnement N1]]</f>
        <v/>
      </c>
      <c r="S69" t="n">
        <v>0</v>
      </c>
      <c r="T69">
        <f>TableauProduit[[#This Row],[Poids (g) / unité]]*TableauProduit[[#This Row],[Objectif de vente en unité N2]]/1000</f>
        <v/>
      </c>
      <c r="U69">
        <f>TableauProduit[[#This Row],[Objectif de vente en unité N2]]*TableauProduit[[#This Row],[Packaging / unité]]</f>
        <v/>
      </c>
      <c r="V69">
        <f>TableauProduit[[#This Row],[Prix achat plantes / kg]]*TableauProduit[[#This Row],[Total (kg) N2]]</f>
        <v/>
      </c>
      <c r="W69">
        <f>TableauProduit[[#This Row],[Prix de vente/kg]]*TableauProduit[[#This Row],[Total (kg) N2]]</f>
        <v/>
      </c>
      <c r="X69">
        <f>TableauProduit[[#This Row],[Revenu brut N2]]-TableauProduit[[#This Row],[Achat plantes N2]]-TableauProduit[[#This Row],[Conditionnement N2]]</f>
        <v/>
      </c>
      <c r="Y69" t="n">
        <v>0</v>
      </c>
      <c r="Z69">
        <f>TableauProduit[[#This Row],[Poids (g) / unité]]*TableauProduit[[#This Row],[Objectif de vente en unité N3]]/1000</f>
        <v/>
      </c>
      <c r="AA69">
        <f>TableauProduit[[#This Row],[Objectif de vente en unité N3]]*TableauProduit[[#This Row],[Packaging / unité]]</f>
        <v/>
      </c>
      <c r="AB69">
        <f>TableauProduit[[#This Row],[Prix achat plantes / kg]]*TableauProduit[[#This Row],[Total (kg) N3]]</f>
        <v/>
      </c>
      <c r="AC69">
        <f>TableauProduit[[#This Row],[Prix de vente/kg]]*TableauProduit[[#This Row],[Total (kg) N3]]</f>
        <v/>
      </c>
      <c r="AD69">
        <f>TableauProduit[[#This Row],[Revenu brut N3]]-TableauProduit[[#This Row],[Achat plantes N3]]-TableauProduit[[#This Row],[Conditionnement N3]]</f>
        <v/>
      </c>
      <c r="AE69" t="n">
        <v>0</v>
      </c>
      <c r="AF69">
        <f>TableauProduit[[#This Row],[Poids (g) / unité]]*TableauProduit[[#This Row],[Objectif de vente en unité N4]]/1000</f>
        <v/>
      </c>
      <c r="AG69">
        <f>TableauProduit[[#This Row],[Objectif de vente en unité N4]]*TableauProduit[[#This Row],[Packaging / unité]]</f>
        <v/>
      </c>
      <c r="AH69">
        <f>TableauProduit[[#This Row],[Prix achat plantes / kg]]*TableauProduit[[#This Row],[Total (kg) N4]]</f>
        <v/>
      </c>
      <c r="AI69">
        <f>TableauProduit[[#This Row],[Prix de vente/kg]]*TableauProduit[[#This Row],[Total (kg) N4]]</f>
        <v/>
      </c>
      <c r="AJ69">
        <f>TableauProduit[[#This Row],[Revenu brut N4]]-TableauProduit[[#This Row],[Achat plantes N4]]-TableauProduit[[#This Row],[Conditionnement N4]]</f>
        <v/>
      </c>
      <c r="AK69" t="n">
        <v>0</v>
      </c>
      <c r="AL69">
        <f>TableauProduit[[#This Row],[Poids (g) / unité]]*TableauProduit[[#This Row],[Objectif de vente en unité N5]]/1000</f>
        <v/>
      </c>
      <c r="AM69">
        <f>TableauProduit[[#This Row],[Objectif de vente en unité N5]]*TableauProduit[[#This Row],[Packaging / unité]]</f>
        <v/>
      </c>
      <c r="AN69">
        <f>TableauProduit[[#This Row],[Prix achat plantes / kg]]*TableauProduit[[#This Row],[Total (kg) N5]]</f>
        <v/>
      </c>
      <c r="AO69">
        <f>TableauProduit[[#This Row],[Prix de vente/kg]]*TableauProduit[[#This Row],[Total (kg) N5]]</f>
        <v/>
      </c>
      <c r="AP69">
        <f>TableauProduit[[#This Row],[Revenu brut N5]]-TableauProduit[[#This Row],[Achat plantes N5]]-TableauProduit[[#This Row],[Conditionnement N5]]</f>
        <v/>
      </c>
      <c r="AQ69" t="n">
        <v>0</v>
      </c>
      <c r="AR69">
        <f>TableauProduit[[#This Row],[Poids (g) / unité]]*TableauProduit[[#This Row],[Objectif de vente en unité N6]]/1000</f>
        <v/>
      </c>
      <c r="AS69">
        <f>TableauProduit[[#This Row],[Objectif de vente en unité N6]]*TableauProduit[[#This Row],[Packaging / unité]]</f>
        <v/>
      </c>
      <c r="AT69">
        <f>TableauProduit[[#This Row],[Prix achat plantes / kg]]*TableauProduit[[#This Row],[Total (kg) N6]]</f>
        <v/>
      </c>
      <c r="AU69">
        <f>TableauProduit[[#This Row],[Prix de vente/kg]]*TableauProduit[[#This Row],[Total (kg) N6]]</f>
        <v/>
      </c>
      <c r="AV69">
        <f>TableauProduit[[#This Row],[Revenu brut N6]]-TableauProduit[[#This Row],[Achat plantes N6]]-TableauProduit[[#This Row],[Conditionnement N6]]</f>
        <v/>
      </c>
      <c r="AW69" t="n">
        <v>0</v>
      </c>
      <c r="AX69">
        <f>TableauProduit[[#This Row],[Poids (g) / unité]]*TableauProduit[[#This Row],[Objectif de vente en unité N7]]/1000</f>
        <v/>
      </c>
      <c r="AY69">
        <f>TableauProduit[[#This Row],[Objectif de vente en unité N7]]*TableauProduit[[#This Row],[Packaging / unité]]</f>
        <v/>
      </c>
      <c r="AZ69">
        <f>TableauProduit[[#This Row],[Prix achat plantes / kg]]*TableauProduit[[#This Row],[Total (kg) N7]]</f>
        <v/>
      </c>
      <c r="BA69">
        <f>TableauProduit[[#This Row],[Prix de vente/kg]]*TableauProduit[[#This Row],[Total (kg) N7]]</f>
        <v/>
      </c>
      <c r="BB69">
        <f>TableauProduit[[#This Row],[Revenu brut N7]]-TableauProduit[[#This Row],[Achat plantes N7]]-TableauProduit[[#This Row],[Conditionnement N7]]</f>
        <v/>
      </c>
      <c r="BC69" t="n">
        <v>0</v>
      </c>
      <c r="BD69">
        <f>TableauProduit[[#This Row],[Poids (g) / unité]]*TableauProduit[[#This Row],[Objectif de vente en unité N8]]/1000</f>
        <v/>
      </c>
      <c r="BE69">
        <f>TableauProduit[[#This Row],[Objectif de vente en unité N8]]*TableauProduit[[#This Row],[Packaging / unité]]</f>
        <v/>
      </c>
      <c r="BF69">
        <f>TableauProduit[[#This Row],[Prix achat plantes / kg]]*TableauProduit[[#This Row],[Total (kg) N8]]</f>
        <v/>
      </c>
      <c r="BG69">
        <f>TableauProduit[[#This Row],[Prix de vente/kg]]*TableauProduit[[#This Row],[Total (kg) N8]]</f>
        <v/>
      </c>
      <c r="BH69">
        <f>TableauProduit[[#This Row],[Revenu brut N8]]-TableauProduit[[#This Row],[Achat plantes N8]]-TableauProduit[[#This Row],[Conditionnement N8]]</f>
        <v/>
      </c>
      <c r="BI69" t="n">
        <v>0</v>
      </c>
      <c r="BJ69">
        <f>TableauProduit[[#This Row],[Poids (g) / unité]]*TableauProduit[[#This Row],[Objectif de vente en unité N9]]/1000</f>
        <v/>
      </c>
      <c r="BK69">
        <f>TableauProduit[[#This Row],[Objectif de vente en unité N9]]*TableauProduit[[#This Row],[Packaging / unité]]</f>
        <v/>
      </c>
      <c r="BL69">
        <f>TableauProduit[[#This Row],[Prix achat plantes / kg]]*TableauProduit[[#This Row],[Total (kg) N9]]</f>
        <v/>
      </c>
      <c r="BM69">
        <f>TableauProduit[[#This Row],[Prix de vente/kg]]*TableauProduit[[#This Row],[Total (kg) N9]]</f>
        <v/>
      </c>
      <c r="BN69">
        <f>TableauProduit[[#This Row],[Revenu brut N9]]-TableauProduit[[#This Row],[Achat plantes N9]]-TableauProduit[[#This Row],[Conditionnement N9]]</f>
        <v/>
      </c>
      <c r="BO69" t="inlineStr">
        <is>
          <t>Sauce / autre</t>
        </is>
      </c>
    </row>
    <row r="70">
      <c r="A70" t="inlineStr">
        <is>
          <t>Sel de garrigue</t>
        </is>
      </c>
      <c r="B70">
        <f>TableauProduit[[#This Row],[Recette]]&amp;TableauProduit[[#This Row],[Conditionnement]]</f>
        <v/>
      </c>
      <c r="C70" t="n">
        <v>1</v>
      </c>
      <c r="D70" t="n">
        <v>80</v>
      </c>
      <c r="E70" t="inlineStr">
        <is>
          <t>Epice 100ml</t>
        </is>
      </c>
      <c r="F70">
        <f>IFERROR(VLOOKUP(TableauProduit[[#This Row],[Conditionnement]],TableauConditionnement[[Nom]:[Contenance]],4,FALSE),"")</f>
        <v/>
      </c>
      <c r="G70">
        <f>IFERROR(SUMIFS(TableauRecette[Prix d''achat / kg],TableauRecette[Recette],TableauProduit[[#This Row],[Recette]],TableauRecette[Conditionnement],TableauProduit[[#This Row],[Conditionnement]]),0)</f>
        <v/>
      </c>
      <c r="H70" t="n">
        <v>4.5</v>
      </c>
      <c r="I70">
        <f>1000*TableauProduit[[#This Row],[Prix de vente/U]]/TableauProduit[[#This Row],[Poids (g) / unité]]</f>
        <v/>
      </c>
      <c r="J70">
        <f>SUMIFS(TableauConcurence[PRIX_KG],TableauConcurence[PRODUIT],TableauProduit[[#This Row],[Recette]],TableauConcurence[DISTRIBUTION],"magasin NON BIO")</f>
        <v/>
      </c>
      <c r="K70">
        <f>SUMIFS(TableauConcurence[PRIX_KG],TableauConcurence[PRODUIT],TableauProduit[[#This Row],[Recette]],TableauConcurence[DISTRIBUTION],"magasin BIO")</f>
        <v/>
      </c>
      <c r="L70">
        <f>SUMIFS(TableauConcurence[PRIX_KG],TableauConcurence[PRODUIT],TableauProduit[[#This Row],[Recette]],TableauConcurence[DISTRIBUTION],"artisanale BIO")</f>
        <v/>
      </c>
      <c r="M70" t="n">
        <v>350</v>
      </c>
      <c r="N70">
        <f>TableauProduit[[#This Row],[Poids (g) / unité]]*TableauProduit[[#This Row],[Objectif de vente en unité N1]]/1000</f>
        <v/>
      </c>
      <c r="O70">
        <f>TableauProduit[[#This Row],[Objectif de vente en unité N1]]*TableauProduit[[#This Row],[Packaging / unité]]</f>
        <v/>
      </c>
      <c r="P70">
        <f>TableauProduit[[#This Row],[Prix achat plantes / kg]]*TableauProduit[[#This Row],[Total (kg) N1]]</f>
        <v/>
      </c>
      <c r="Q70">
        <f>TableauProduit[[#This Row],[Prix de vente/kg]]*TableauProduit[[#This Row],[Total (kg) N1]]</f>
        <v/>
      </c>
      <c r="R70">
        <f>TableauProduit[[#This Row],[Revenu brut N1]]-TableauProduit[[#This Row],[Achat plantes N1]]-TableauProduit[[#This Row],[Conditionnement N1]]</f>
        <v/>
      </c>
      <c r="S70" t="n">
        <v>525</v>
      </c>
      <c r="T70">
        <f>TableauProduit[[#This Row],[Poids (g) / unité]]*TableauProduit[[#This Row],[Objectif de vente en unité N2]]/1000</f>
        <v/>
      </c>
      <c r="U70">
        <f>TableauProduit[[#This Row],[Objectif de vente en unité N2]]*TableauProduit[[#This Row],[Packaging / unité]]</f>
        <v/>
      </c>
      <c r="V70">
        <f>TableauProduit[[#This Row],[Prix achat plantes / kg]]*TableauProduit[[#This Row],[Total (kg) N2]]</f>
        <v/>
      </c>
      <c r="W70">
        <f>TableauProduit[[#This Row],[Prix de vente/kg]]*TableauProduit[[#This Row],[Total (kg) N2]]</f>
        <v/>
      </c>
      <c r="X70">
        <f>TableauProduit[[#This Row],[Revenu brut N2]]-TableauProduit[[#This Row],[Achat plantes N2]]-TableauProduit[[#This Row],[Conditionnement N2]]</f>
        <v/>
      </c>
      <c r="Y70" t="n">
        <v>612</v>
      </c>
      <c r="Z70">
        <f>TableauProduit[[#This Row],[Poids (g) / unité]]*TableauProduit[[#This Row],[Objectif de vente en unité N3]]/1000</f>
        <v/>
      </c>
      <c r="AA70">
        <f>TableauProduit[[#This Row],[Objectif de vente en unité N3]]*TableauProduit[[#This Row],[Packaging / unité]]</f>
        <v/>
      </c>
      <c r="AB70">
        <f>TableauProduit[[#This Row],[Prix achat plantes / kg]]*TableauProduit[[#This Row],[Total (kg) N3]]</f>
        <v/>
      </c>
      <c r="AC70">
        <f>TableauProduit[[#This Row],[Prix de vente/kg]]*TableauProduit[[#This Row],[Total (kg) N3]]</f>
        <v/>
      </c>
      <c r="AD70">
        <f>TableauProduit[[#This Row],[Revenu brut N3]]-TableauProduit[[#This Row],[Achat plantes N3]]-TableauProduit[[#This Row],[Conditionnement N3]]</f>
        <v/>
      </c>
      <c r="AE70" t="n">
        <v>665</v>
      </c>
      <c r="AF70">
        <f>TableauProduit[[#This Row],[Poids (g) / unité]]*TableauProduit[[#This Row],[Objectif de vente en unité N4]]/1000</f>
        <v/>
      </c>
      <c r="AG70">
        <f>TableauProduit[[#This Row],[Objectif de vente en unité N4]]*TableauProduit[[#This Row],[Packaging / unité]]</f>
        <v/>
      </c>
      <c r="AH70">
        <f>TableauProduit[[#This Row],[Prix achat plantes / kg]]*TableauProduit[[#This Row],[Total (kg) N4]]</f>
        <v/>
      </c>
      <c r="AI70">
        <f>TableauProduit[[#This Row],[Prix de vente/kg]]*TableauProduit[[#This Row],[Total (kg) N4]]</f>
        <v/>
      </c>
      <c r="AJ70">
        <f>TableauProduit[[#This Row],[Revenu brut N4]]-TableauProduit[[#This Row],[Achat plantes N4]]-TableauProduit[[#This Row],[Conditionnement N4]]</f>
        <v/>
      </c>
      <c r="AK70" t="n">
        <v>700</v>
      </c>
      <c r="AL70">
        <f>TableauProduit[[#This Row],[Poids (g) / unité]]*TableauProduit[[#This Row],[Objectif de vente en unité N5]]/1000</f>
        <v/>
      </c>
      <c r="AM70">
        <f>TableauProduit[[#This Row],[Objectif de vente en unité N5]]*TableauProduit[[#This Row],[Packaging / unité]]</f>
        <v/>
      </c>
      <c r="AN70">
        <f>TableauProduit[[#This Row],[Prix achat plantes / kg]]*TableauProduit[[#This Row],[Total (kg) N5]]</f>
        <v/>
      </c>
      <c r="AO70">
        <f>TableauProduit[[#This Row],[Prix de vente/kg]]*TableauProduit[[#This Row],[Total (kg) N5]]</f>
        <v/>
      </c>
      <c r="AP70">
        <f>TableauProduit[[#This Row],[Revenu brut N5]]-TableauProduit[[#This Row],[Achat plantes N5]]-TableauProduit[[#This Row],[Conditionnement N5]]</f>
        <v/>
      </c>
      <c r="AQ70" t="n">
        <v>700</v>
      </c>
      <c r="AR70">
        <f>TableauProduit[[#This Row],[Poids (g) / unité]]*TableauProduit[[#This Row],[Objectif de vente en unité N6]]/1000</f>
        <v/>
      </c>
      <c r="AS70">
        <f>TableauProduit[[#This Row],[Objectif de vente en unité N6]]*TableauProduit[[#This Row],[Packaging / unité]]</f>
        <v/>
      </c>
      <c r="AT70">
        <f>TableauProduit[[#This Row],[Prix achat plantes / kg]]*TableauProduit[[#This Row],[Total (kg) N6]]</f>
        <v/>
      </c>
      <c r="AU70">
        <f>TableauProduit[[#This Row],[Prix de vente/kg]]*TableauProduit[[#This Row],[Total (kg) N6]]</f>
        <v/>
      </c>
      <c r="AV70">
        <f>TableauProduit[[#This Row],[Revenu brut N6]]-TableauProduit[[#This Row],[Achat plantes N6]]-TableauProduit[[#This Row],[Conditionnement N6]]</f>
        <v/>
      </c>
      <c r="AW70" t="n">
        <v>700</v>
      </c>
      <c r="AX70">
        <f>TableauProduit[[#This Row],[Poids (g) / unité]]*TableauProduit[[#This Row],[Objectif de vente en unité N7]]/1000</f>
        <v/>
      </c>
      <c r="AY70">
        <f>TableauProduit[[#This Row],[Objectif de vente en unité N7]]*TableauProduit[[#This Row],[Packaging / unité]]</f>
        <v/>
      </c>
      <c r="AZ70">
        <f>TableauProduit[[#This Row],[Prix achat plantes / kg]]*TableauProduit[[#This Row],[Total (kg) N7]]</f>
        <v/>
      </c>
      <c r="BA70">
        <f>TableauProduit[[#This Row],[Prix de vente/kg]]*TableauProduit[[#This Row],[Total (kg) N7]]</f>
        <v/>
      </c>
      <c r="BB70">
        <f>TableauProduit[[#This Row],[Revenu brut N7]]-TableauProduit[[#This Row],[Achat plantes N7]]-TableauProduit[[#This Row],[Conditionnement N7]]</f>
        <v/>
      </c>
      <c r="BC70" t="n">
        <v>700</v>
      </c>
      <c r="BD70">
        <f>TableauProduit[[#This Row],[Poids (g) / unité]]*TableauProduit[[#This Row],[Objectif de vente en unité N8]]/1000</f>
        <v/>
      </c>
      <c r="BE70">
        <f>TableauProduit[[#This Row],[Objectif de vente en unité N8]]*TableauProduit[[#This Row],[Packaging / unité]]</f>
        <v/>
      </c>
      <c r="BF70">
        <f>TableauProduit[[#This Row],[Prix achat plantes / kg]]*TableauProduit[[#This Row],[Total (kg) N8]]</f>
        <v/>
      </c>
      <c r="BG70">
        <f>TableauProduit[[#This Row],[Prix de vente/kg]]*TableauProduit[[#This Row],[Total (kg) N8]]</f>
        <v/>
      </c>
      <c r="BH70">
        <f>TableauProduit[[#This Row],[Revenu brut N8]]-TableauProduit[[#This Row],[Achat plantes N8]]-TableauProduit[[#This Row],[Conditionnement N8]]</f>
        <v/>
      </c>
      <c r="BI70" t="n">
        <v>700</v>
      </c>
      <c r="BJ70">
        <f>TableauProduit[[#This Row],[Poids (g) / unité]]*TableauProduit[[#This Row],[Objectif de vente en unité N9]]/1000</f>
        <v/>
      </c>
      <c r="BK70">
        <f>TableauProduit[[#This Row],[Objectif de vente en unité N9]]*TableauProduit[[#This Row],[Packaging / unité]]</f>
        <v/>
      </c>
      <c r="BL70">
        <f>TableauProduit[[#This Row],[Prix achat plantes / kg]]*TableauProduit[[#This Row],[Total (kg) N9]]</f>
        <v/>
      </c>
      <c r="BM70">
        <f>TableauProduit[[#This Row],[Prix de vente/kg]]*TableauProduit[[#This Row],[Total (kg) N9]]</f>
        <v/>
      </c>
      <c r="BN70">
        <f>TableauProduit[[#This Row],[Revenu brut N9]]-TableauProduit[[#This Row],[Achat plantes N9]]-TableauProduit[[#This Row],[Conditionnement N9]]</f>
        <v/>
      </c>
      <c r="BO70" t="inlineStr">
        <is>
          <t>Mélange</t>
        </is>
      </c>
    </row>
    <row r="71">
      <c r="A71" t="inlineStr">
        <is>
          <t>Tisane d'hiver</t>
        </is>
      </c>
      <c r="B71">
        <f>TableauProduit[[#This Row],[Recette]]&amp;TableauProduit[[#This Row],[Conditionnement]]</f>
        <v/>
      </c>
      <c r="C71" t="n">
        <v>1</v>
      </c>
      <c r="D71" t="n">
        <v>40</v>
      </c>
      <c r="E71" t="inlineStr">
        <is>
          <t>Recharge craft 100ml</t>
        </is>
      </c>
      <c r="F71">
        <f>IFERROR(VLOOKUP(TableauProduit[[#This Row],[Conditionnement]],TableauConditionnement[[Nom]:[Contenance]],4,FALSE),"")</f>
        <v/>
      </c>
      <c r="G71">
        <f>IFERROR(SUMIFS(TableauRecette[Prix d''achat / kg],TableauRecette[Recette],TableauProduit[[#This Row],[Recette]],TableauRecette[Conditionnement],TableauProduit[[#This Row],[Conditionnement]]),0)</f>
        <v/>
      </c>
      <c r="H71" t="n">
        <v>5.5</v>
      </c>
      <c r="I71">
        <f>1000*TableauProduit[[#This Row],[Prix de vente/U]]/TableauProduit[[#This Row],[Poids (g) / unité]]</f>
        <v/>
      </c>
      <c r="J71">
        <f>SUMIFS(TableauConcurence[PRIX_KG],TableauConcurence[PRODUIT],TableauProduit[[#This Row],[Recette]],TableauConcurence[DISTRIBUTION],"magasin NON BIO")</f>
        <v/>
      </c>
      <c r="K71">
        <f>SUMIFS(TableauConcurence[PRIX_KG],TableauConcurence[PRODUIT],TableauProduit[[#This Row],[Recette]],TableauConcurence[DISTRIBUTION],"magasin BIO")</f>
        <v/>
      </c>
      <c r="L71">
        <f>SUMIFS(TableauConcurence[PRIX_KG],TableauConcurence[PRODUIT],TableauProduit[[#This Row],[Recette]],TableauConcurence[DISTRIBUTION],"artisanale BIO")</f>
        <v/>
      </c>
      <c r="M71" t="n">
        <v>0</v>
      </c>
      <c r="N71">
        <f>TableauProduit[[#This Row],[Poids (g) / unité]]*TableauProduit[[#This Row],[Objectif de vente en unité N1]]/1000</f>
        <v/>
      </c>
      <c r="O71">
        <f>TableauProduit[[#This Row],[Objectif de vente en unité N1]]*TableauProduit[[#This Row],[Packaging / unité]]</f>
        <v/>
      </c>
      <c r="P71">
        <f>TableauProduit[[#This Row],[Prix achat plantes / kg]]*TableauProduit[[#This Row],[Total (kg) N1]]</f>
        <v/>
      </c>
      <c r="Q71">
        <f>TableauProduit[[#This Row],[Prix de vente/kg]]*TableauProduit[[#This Row],[Total (kg) N1]]</f>
        <v/>
      </c>
      <c r="R71">
        <f>TableauProduit[[#This Row],[Revenu brut N1]]-TableauProduit[[#This Row],[Achat plantes N1]]-TableauProduit[[#This Row],[Conditionnement N1]]</f>
        <v/>
      </c>
      <c r="S71" t="n">
        <v>160</v>
      </c>
      <c r="T71">
        <f>TableauProduit[[#This Row],[Poids (g) / unité]]*TableauProduit[[#This Row],[Objectif de vente en unité N2]]/1000</f>
        <v/>
      </c>
      <c r="U71">
        <f>TableauProduit[[#This Row],[Objectif de vente en unité N2]]*TableauProduit[[#This Row],[Packaging / unité]]</f>
        <v/>
      </c>
      <c r="V71">
        <f>TableauProduit[[#This Row],[Prix achat plantes / kg]]*TableauProduit[[#This Row],[Total (kg) N2]]</f>
        <v/>
      </c>
      <c r="W71">
        <f>TableauProduit[[#This Row],[Prix de vente/kg]]*TableauProduit[[#This Row],[Total (kg) N2]]</f>
        <v/>
      </c>
      <c r="X71">
        <f>TableauProduit[[#This Row],[Revenu brut N2]]-TableauProduit[[#This Row],[Achat plantes N2]]-TableauProduit[[#This Row],[Conditionnement N2]]</f>
        <v/>
      </c>
      <c r="Y71" t="n">
        <v>216</v>
      </c>
      <c r="Z71">
        <f>TableauProduit[[#This Row],[Poids (g) / unité]]*TableauProduit[[#This Row],[Objectif de vente en unité N3]]/1000</f>
        <v/>
      </c>
      <c r="AA71">
        <f>TableauProduit[[#This Row],[Objectif de vente en unité N3]]*TableauProduit[[#This Row],[Packaging / unité]]</f>
        <v/>
      </c>
      <c r="AB71">
        <f>TableauProduit[[#This Row],[Prix achat plantes / kg]]*TableauProduit[[#This Row],[Total (kg) N3]]</f>
        <v/>
      </c>
      <c r="AC71">
        <f>TableauProduit[[#This Row],[Prix de vente/kg]]*TableauProduit[[#This Row],[Total (kg) N3]]</f>
        <v/>
      </c>
      <c r="AD71">
        <f>TableauProduit[[#This Row],[Revenu brut N3]]-TableauProduit[[#This Row],[Achat plantes N3]]-TableauProduit[[#This Row],[Conditionnement N3]]</f>
        <v/>
      </c>
      <c r="AE71" t="n">
        <v>248</v>
      </c>
      <c r="AF71">
        <f>TableauProduit[[#This Row],[Poids (g) / unité]]*TableauProduit[[#This Row],[Objectif de vente en unité N4]]/1000</f>
        <v/>
      </c>
      <c r="AG71">
        <f>TableauProduit[[#This Row],[Objectif de vente en unité N4]]*TableauProduit[[#This Row],[Packaging / unité]]</f>
        <v/>
      </c>
      <c r="AH71">
        <f>TableauProduit[[#This Row],[Prix achat plantes / kg]]*TableauProduit[[#This Row],[Total (kg) N4]]</f>
        <v/>
      </c>
      <c r="AI71">
        <f>TableauProduit[[#This Row],[Prix de vente/kg]]*TableauProduit[[#This Row],[Total (kg) N4]]</f>
        <v/>
      </c>
      <c r="AJ71">
        <f>TableauProduit[[#This Row],[Revenu brut N4]]-TableauProduit[[#This Row],[Achat plantes N4]]-TableauProduit[[#This Row],[Conditionnement N4]]</f>
        <v/>
      </c>
      <c r="AK71" t="n">
        <v>264</v>
      </c>
      <c r="AL71">
        <f>TableauProduit[[#This Row],[Poids (g) / unité]]*TableauProduit[[#This Row],[Objectif de vente en unité N5]]/1000</f>
        <v/>
      </c>
      <c r="AM71">
        <f>TableauProduit[[#This Row],[Objectif de vente en unité N5]]*TableauProduit[[#This Row],[Packaging / unité]]</f>
        <v/>
      </c>
      <c r="AN71">
        <f>TableauProduit[[#This Row],[Prix achat plantes / kg]]*TableauProduit[[#This Row],[Total (kg) N5]]</f>
        <v/>
      </c>
      <c r="AO71">
        <f>TableauProduit[[#This Row],[Prix de vente/kg]]*TableauProduit[[#This Row],[Total (kg) N5]]</f>
        <v/>
      </c>
      <c r="AP71">
        <f>TableauProduit[[#This Row],[Revenu brut N5]]-TableauProduit[[#This Row],[Achat plantes N5]]-TableauProduit[[#This Row],[Conditionnement N5]]</f>
        <v/>
      </c>
      <c r="AQ71" t="n">
        <v>264</v>
      </c>
      <c r="AR71">
        <f>TableauProduit[[#This Row],[Poids (g) / unité]]*TableauProduit[[#This Row],[Objectif de vente en unité N6]]/1000</f>
        <v/>
      </c>
      <c r="AS71">
        <f>TableauProduit[[#This Row],[Objectif de vente en unité N6]]*TableauProduit[[#This Row],[Packaging / unité]]</f>
        <v/>
      </c>
      <c r="AT71">
        <f>TableauProduit[[#This Row],[Prix achat plantes / kg]]*TableauProduit[[#This Row],[Total (kg) N6]]</f>
        <v/>
      </c>
      <c r="AU71">
        <f>TableauProduit[[#This Row],[Prix de vente/kg]]*TableauProduit[[#This Row],[Total (kg) N6]]</f>
        <v/>
      </c>
      <c r="AV71">
        <f>TableauProduit[[#This Row],[Revenu brut N6]]-TableauProduit[[#This Row],[Achat plantes N6]]-TableauProduit[[#This Row],[Conditionnement N6]]</f>
        <v/>
      </c>
      <c r="AW71" t="n">
        <v>264</v>
      </c>
      <c r="AX71">
        <f>TableauProduit[[#This Row],[Poids (g) / unité]]*TableauProduit[[#This Row],[Objectif de vente en unité N7]]/1000</f>
        <v/>
      </c>
      <c r="AY71">
        <f>TableauProduit[[#This Row],[Objectif de vente en unité N7]]*TableauProduit[[#This Row],[Packaging / unité]]</f>
        <v/>
      </c>
      <c r="AZ71">
        <f>TableauProduit[[#This Row],[Prix achat plantes / kg]]*TableauProduit[[#This Row],[Total (kg) N7]]</f>
        <v/>
      </c>
      <c r="BA71">
        <f>TableauProduit[[#This Row],[Prix de vente/kg]]*TableauProduit[[#This Row],[Total (kg) N7]]</f>
        <v/>
      </c>
      <c r="BB71">
        <f>TableauProduit[[#This Row],[Revenu brut N7]]-TableauProduit[[#This Row],[Achat plantes N7]]-TableauProduit[[#This Row],[Conditionnement N7]]</f>
        <v/>
      </c>
      <c r="BC71" t="n">
        <v>264</v>
      </c>
      <c r="BD71">
        <f>TableauProduit[[#This Row],[Poids (g) / unité]]*TableauProduit[[#This Row],[Objectif de vente en unité N8]]/1000</f>
        <v/>
      </c>
      <c r="BE71">
        <f>TableauProduit[[#This Row],[Objectif de vente en unité N8]]*TableauProduit[[#This Row],[Packaging / unité]]</f>
        <v/>
      </c>
      <c r="BF71">
        <f>TableauProduit[[#This Row],[Prix achat plantes / kg]]*TableauProduit[[#This Row],[Total (kg) N8]]</f>
        <v/>
      </c>
      <c r="BG71">
        <f>TableauProduit[[#This Row],[Prix de vente/kg]]*TableauProduit[[#This Row],[Total (kg) N8]]</f>
        <v/>
      </c>
      <c r="BH71">
        <f>TableauProduit[[#This Row],[Revenu brut N8]]-TableauProduit[[#This Row],[Achat plantes N8]]-TableauProduit[[#This Row],[Conditionnement N8]]</f>
        <v/>
      </c>
      <c r="BI71" t="n">
        <v>264</v>
      </c>
      <c r="BJ71">
        <f>TableauProduit[[#This Row],[Poids (g) / unité]]*TableauProduit[[#This Row],[Objectif de vente en unité N9]]/1000</f>
        <v/>
      </c>
      <c r="BK71">
        <f>TableauProduit[[#This Row],[Objectif de vente en unité N9]]*TableauProduit[[#This Row],[Packaging / unité]]</f>
        <v/>
      </c>
      <c r="BL71">
        <f>TableauProduit[[#This Row],[Prix achat plantes / kg]]*TableauProduit[[#This Row],[Total (kg) N9]]</f>
        <v/>
      </c>
      <c r="BM71">
        <f>TableauProduit[[#This Row],[Prix de vente/kg]]*TableauProduit[[#This Row],[Total (kg) N9]]</f>
        <v/>
      </c>
      <c r="BN71">
        <f>TableauProduit[[#This Row],[Revenu brut N9]]-TableauProduit[[#This Row],[Achat plantes N9]]-TableauProduit[[#This Row],[Conditionnement N9]]</f>
        <v/>
      </c>
      <c r="BO71" t="inlineStr">
        <is>
          <t>Transformé</t>
        </is>
      </c>
    </row>
    <row r="72">
      <c r="A72" t="inlineStr">
        <is>
          <t>Tisane digestive</t>
        </is>
      </c>
      <c r="B72">
        <f>TableauProduit[[#This Row],[Recette]]&amp;TableauProduit[[#This Row],[Conditionnement]]</f>
        <v/>
      </c>
      <c r="C72" t="n">
        <v>1</v>
      </c>
      <c r="D72" t="n">
        <v>40</v>
      </c>
      <c r="E72" t="inlineStr">
        <is>
          <t>Recharge craft 100ml</t>
        </is>
      </c>
      <c r="F72">
        <f>IFERROR(VLOOKUP(TableauProduit[[#This Row],[Conditionnement]],TableauConditionnement[[Nom]:[Contenance]],4,FALSE),"")</f>
        <v/>
      </c>
      <c r="G72">
        <f>IFERROR(SUMIFS(TableauRecette[Prix d''achat / kg],TableauRecette[Recette],TableauProduit[[#This Row],[Recette]],TableauRecette[Conditionnement],TableauProduit[[#This Row],[Conditionnement]]),0)</f>
        <v/>
      </c>
      <c r="H72" t="n">
        <v>5.5</v>
      </c>
      <c r="I72">
        <f>1000*TableauProduit[[#This Row],[Prix de vente/U]]/TableauProduit[[#This Row],[Poids (g) / unité]]</f>
        <v/>
      </c>
      <c r="J72">
        <f>SUMIFS(TableauConcurence[PRIX_KG],TableauConcurence[PRODUIT],TableauProduit[[#This Row],[Recette]],TableauConcurence[DISTRIBUTION],"magasin NON BIO")</f>
        <v/>
      </c>
      <c r="K72">
        <f>SUMIFS(TableauConcurence[PRIX_KG],TableauConcurence[PRODUIT],TableauProduit[[#This Row],[Recette]],TableauConcurence[DISTRIBUTION],"magasin BIO")</f>
        <v/>
      </c>
      <c r="L72">
        <f>SUMIFS(TableauConcurence[PRIX_KG],TableauConcurence[PRODUIT],TableauProduit[[#This Row],[Recette]],TableauConcurence[DISTRIBUTION],"artisanale BIO")</f>
        <v/>
      </c>
      <c r="M72" t="n">
        <v>0</v>
      </c>
      <c r="N72">
        <f>TableauProduit[[#This Row],[Poids (g) / unité]]*TableauProduit[[#This Row],[Objectif de vente en unité N1]]/1000</f>
        <v/>
      </c>
      <c r="O72">
        <f>TableauProduit[[#This Row],[Objectif de vente en unité N1]]*TableauProduit[[#This Row],[Packaging / unité]]</f>
        <v/>
      </c>
      <c r="P72">
        <f>TableauProduit[[#This Row],[Prix achat plantes / kg]]*TableauProduit[[#This Row],[Total (kg) N1]]</f>
        <v/>
      </c>
      <c r="Q72">
        <f>TableauProduit[[#This Row],[Prix de vente/kg]]*TableauProduit[[#This Row],[Total (kg) N1]]</f>
        <v/>
      </c>
      <c r="R72">
        <f>TableauProduit[[#This Row],[Revenu brut N1]]-TableauProduit[[#This Row],[Achat plantes N1]]-TableauProduit[[#This Row],[Conditionnement N1]]</f>
        <v/>
      </c>
      <c r="S72" t="n">
        <v>0</v>
      </c>
      <c r="T72">
        <f>TableauProduit[[#This Row],[Poids (g) / unité]]*TableauProduit[[#This Row],[Objectif de vente en unité N2]]/1000</f>
        <v/>
      </c>
      <c r="U72">
        <f>TableauProduit[[#This Row],[Objectif de vente en unité N2]]*TableauProduit[[#This Row],[Packaging / unité]]</f>
        <v/>
      </c>
      <c r="V72">
        <f>TableauProduit[[#This Row],[Prix achat plantes / kg]]*TableauProduit[[#This Row],[Total (kg) N2]]</f>
        <v/>
      </c>
      <c r="W72">
        <f>TableauProduit[[#This Row],[Prix de vente/kg]]*TableauProduit[[#This Row],[Total (kg) N2]]</f>
        <v/>
      </c>
      <c r="X72">
        <f>TableauProduit[[#This Row],[Revenu brut N2]]-TableauProduit[[#This Row],[Achat plantes N2]]-TableauProduit[[#This Row],[Conditionnement N2]]</f>
        <v/>
      </c>
      <c r="Y72" t="n">
        <v>120</v>
      </c>
      <c r="Z72">
        <f>TableauProduit[[#This Row],[Poids (g) / unité]]*TableauProduit[[#This Row],[Objectif de vente en unité N3]]/1000</f>
        <v/>
      </c>
      <c r="AA72">
        <f>TableauProduit[[#This Row],[Objectif de vente en unité N3]]*TableauProduit[[#This Row],[Packaging / unité]]</f>
        <v/>
      </c>
      <c r="AB72">
        <f>TableauProduit[[#This Row],[Prix achat plantes / kg]]*TableauProduit[[#This Row],[Total (kg) N3]]</f>
        <v/>
      </c>
      <c r="AC72">
        <f>TableauProduit[[#This Row],[Prix de vente/kg]]*TableauProduit[[#This Row],[Total (kg) N3]]</f>
        <v/>
      </c>
      <c r="AD72">
        <f>TableauProduit[[#This Row],[Revenu brut N3]]-TableauProduit[[#This Row],[Achat plantes N3]]-TableauProduit[[#This Row],[Conditionnement N3]]</f>
        <v/>
      </c>
      <c r="AE72" t="n">
        <v>156</v>
      </c>
      <c r="AF72">
        <f>TableauProduit[[#This Row],[Poids (g) / unité]]*TableauProduit[[#This Row],[Objectif de vente en unité N4]]/1000</f>
        <v/>
      </c>
      <c r="AG72">
        <f>TableauProduit[[#This Row],[Objectif de vente en unité N4]]*TableauProduit[[#This Row],[Packaging / unité]]</f>
        <v/>
      </c>
      <c r="AH72">
        <f>TableauProduit[[#This Row],[Prix achat plantes / kg]]*TableauProduit[[#This Row],[Total (kg) N4]]</f>
        <v/>
      </c>
      <c r="AI72">
        <f>TableauProduit[[#This Row],[Prix de vente/kg]]*TableauProduit[[#This Row],[Total (kg) N4]]</f>
        <v/>
      </c>
      <c r="AJ72">
        <f>TableauProduit[[#This Row],[Revenu brut N4]]-TableauProduit[[#This Row],[Achat plantes N4]]-TableauProduit[[#This Row],[Conditionnement N4]]</f>
        <v/>
      </c>
      <c r="AK72" t="n">
        <v>180</v>
      </c>
      <c r="AL72">
        <f>TableauProduit[[#This Row],[Poids (g) / unité]]*TableauProduit[[#This Row],[Objectif de vente en unité N5]]/1000</f>
        <v/>
      </c>
      <c r="AM72">
        <f>TableauProduit[[#This Row],[Objectif de vente en unité N5]]*TableauProduit[[#This Row],[Packaging / unité]]</f>
        <v/>
      </c>
      <c r="AN72">
        <f>TableauProduit[[#This Row],[Prix achat plantes / kg]]*TableauProduit[[#This Row],[Total (kg) N5]]</f>
        <v/>
      </c>
      <c r="AO72">
        <f>TableauProduit[[#This Row],[Prix de vente/kg]]*TableauProduit[[#This Row],[Total (kg) N5]]</f>
        <v/>
      </c>
      <c r="AP72">
        <f>TableauProduit[[#This Row],[Revenu brut N5]]-TableauProduit[[#This Row],[Achat plantes N5]]-TableauProduit[[#This Row],[Conditionnement N5]]</f>
        <v/>
      </c>
      <c r="AQ72" t="n">
        <v>180</v>
      </c>
      <c r="AR72">
        <f>TableauProduit[[#This Row],[Poids (g) / unité]]*TableauProduit[[#This Row],[Objectif de vente en unité N6]]/1000</f>
        <v/>
      </c>
      <c r="AS72">
        <f>TableauProduit[[#This Row],[Objectif de vente en unité N6]]*TableauProduit[[#This Row],[Packaging / unité]]</f>
        <v/>
      </c>
      <c r="AT72">
        <f>TableauProduit[[#This Row],[Prix achat plantes / kg]]*TableauProduit[[#This Row],[Total (kg) N6]]</f>
        <v/>
      </c>
      <c r="AU72">
        <f>TableauProduit[[#This Row],[Prix de vente/kg]]*TableauProduit[[#This Row],[Total (kg) N6]]</f>
        <v/>
      </c>
      <c r="AV72">
        <f>TableauProduit[[#This Row],[Revenu brut N6]]-TableauProduit[[#This Row],[Achat plantes N6]]-TableauProduit[[#This Row],[Conditionnement N6]]</f>
        <v/>
      </c>
      <c r="AW72" t="n">
        <v>180</v>
      </c>
      <c r="AX72">
        <f>TableauProduit[[#This Row],[Poids (g) / unité]]*TableauProduit[[#This Row],[Objectif de vente en unité N7]]/1000</f>
        <v/>
      </c>
      <c r="AY72">
        <f>TableauProduit[[#This Row],[Objectif de vente en unité N7]]*TableauProduit[[#This Row],[Packaging / unité]]</f>
        <v/>
      </c>
      <c r="AZ72">
        <f>TableauProduit[[#This Row],[Prix achat plantes / kg]]*TableauProduit[[#This Row],[Total (kg) N7]]</f>
        <v/>
      </c>
      <c r="BA72">
        <f>TableauProduit[[#This Row],[Prix de vente/kg]]*TableauProduit[[#This Row],[Total (kg) N7]]</f>
        <v/>
      </c>
      <c r="BB72">
        <f>TableauProduit[[#This Row],[Revenu brut N7]]-TableauProduit[[#This Row],[Achat plantes N7]]-TableauProduit[[#This Row],[Conditionnement N7]]</f>
        <v/>
      </c>
      <c r="BC72" t="n">
        <v>180</v>
      </c>
      <c r="BD72">
        <f>TableauProduit[[#This Row],[Poids (g) / unité]]*TableauProduit[[#This Row],[Objectif de vente en unité N8]]/1000</f>
        <v/>
      </c>
      <c r="BE72">
        <f>TableauProduit[[#This Row],[Objectif de vente en unité N8]]*TableauProduit[[#This Row],[Packaging / unité]]</f>
        <v/>
      </c>
      <c r="BF72">
        <f>TableauProduit[[#This Row],[Prix achat plantes / kg]]*TableauProduit[[#This Row],[Total (kg) N8]]</f>
        <v/>
      </c>
      <c r="BG72">
        <f>TableauProduit[[#This Row],[Prix de vente/kg]]*TableauProduit[[#This Row],[Total (kg) N8]]</f>
        <v/>
      </c>
      <c r="BH72">
        <f>TableauProduit[[#This Row],[Revenu brut N8]]-TableauProduit[[#This Row],[Achat plantes N8]]-TableauProduit[[#This Row],[Conditionnement N8]]</f>
        <v/>
      </c>
      <c r="BI72" t="n">
        <v>180</v>
      </c>
      <c r="BJ72">
        <f>TableauProduit[[#This Row],[Poids (g) / unité]]*TableauProduit[[#This Row],[Objectif de vente en unité N9]]/1000</f>
        <v/>
      </c>
      <c r="BK72">
        <f>TableauProduit[[#This Row],[Objectif de vente en unité N9]]*TableauProduit[[#This Row],[Packaging / unité]]</f>
        <v/>
      </c>
      <c r="BL72">
        <f>TableauProduit[[#This Row],[Prix achat plantes / kg]]*TableauProduit[[#This Row],[Total (kg) N9]]</f>
        <v/>
      </c>
      <c r="BM72">
        <f>TableauProduit[[#This Row],[Prix de vente/kg]]*TableauProduit[[#This Row],[Total (kg) N9]]</f>
        <v/>
      </c>
      <c r="BN72">
        <f>TableauProduit[[#This Row],[Revenu brut N9]]-TableauProduit[[#This Row],[Achat plantes N9]]-TableauProduit[[#This Row],[Conditionnement N9]]</f>
        <v/>
      </c>
      <c r="BO72" t="inlineStr">
        <is>
          <t>Transformé</t>
        </is>
      </c>
    </row>
    <row r="73">
      <c r="A73" t="inlineStr">
        <is>
          <t>Cornichons lactofermentés</t>
        </is>
      </c>
      <c r="B73">
        <f>TableauProduit[[#This Row],[Recette]]&amp;TableauProduit[[#This Row],[Conditionnement]]</f>
        <v/>
      </c>
      <c r="C73" t="n">
        <v>2</v>
      </c>
      <c r="D73" t="n">
        <v>350</v>
      </c>
      <c r="E73" t="inlineStr">
        <is>
          <t>Cornichon fin</t>
        </is>
      </c>
      <c r="F73">
        <f>IFERROR(VLOOKUP(TableauProduit[[#This Row],[Conditionnement]],TableauConditionnement[[Nom]:[Contenance]],4,FALSE),"")</f>
        <v/>
      </c>
      <c r="G73">
        <f>IFERROR(SUMIFS(TableauRecette[Prix d''achat / kg],TableauRecette[Recette],TableauProduit[[#This Row],[Recette]],TableauRecette[Conditionnement],TableauProduit[[#This Row],[Conditionnement]]),0)</f>
        <v/>
      </c>
      <c r="H73" t="n">
        <v>5</v>
      </c>
      <c r="I73">
        <f>1000*TableauProduit[[#This Row],[Prix de vente/U]]/TableauProduit[[#This Row],[Poids (g) / unité]]</f>
        <v/>
      </c>
      <c r="J73">
        <f>SUMIFS(TableauConcurence[PRIX_KG],TableauConcurence[PRODUIT],TableauProduit[[#This Row],[Recette]],TableauConcurence[DISTRIBUTION],"magasin NON BIO")</f>
        <v/>
      </c>
      <c r="K73">
        <f>SUMIFS(TableauConcurence[PRIX_KG],TableauConcurence[PRODUIT],TableauProduit[[#This Row],[Recette]],TableauConcurence[DISTRIBUTION],"magasin BIO")</f>
        <v/>
      </c>
      <c r="L73">
        <f>SUMIFS(TableauConcurence[PRIX_KG],TableauConcurence[PRODUIT],TableauProduit[[#This Row],[Recette]],TableauConcurence[DISTRIBUTION],"artisanale BIO")</f>
        <v/>
      </c>
      <c r="M73" t="n">
        <v>0</v>
      </c>
      <c r="N73">
        <f>TableauProduit[[#This Row],[Poids (g) / unité]]*TableauProduit[[#This Row],[Objectif de vente en unité N1]]/1000</f>
        <v/>
      </c>
      <c r="O73">
        <f>TableauProduit[[#This Row],[Objectif de vente en unité N1]]*TableauProduit[[#This Row],[Packaging / unité]]</f>
        <v/>
      </c>
      <c r="P73">
        <f>TableauProduit[[#This Row],[Prix achat plantes / kg]]*TableauProduit[[#This Row],[Total (kg) N1]]</f>
        <v/>
      </c>
      <c r="Q73">
        <f>TableauProduit[[#This Row],[Prix de vente/kg]]*TableauProduit[[#This Row],[Total (kg) N1]]</f>
        <v/>
      </c>
      <c r="R73">
        <f>TableauProduit[[#This Row],[Revenu brut N1]]-TableauProduit[[#This Row],[Achat plantes N1]]-TableauProduit[[#This Row],[Conditionnement N1]]</f>
        <v/>
      </c>
      <c r="S73" t="n">
        <v>0</v>
      </c>
      <c r="T73">
        <f>TableauProduit[[#This Row],[Poids (g) / unité]]*TableauProduit[[#This Row],[Objectif de vente en unité N2]]/1000</f>
        <v/>
      </c>
      <c r="U73">
        <f>TableauProduit[[#This Row],[Objectif de vente en unité N2]]*TableauProduit[[#This Row],[Packaging / unité]]</f>
        <v/>
      </c>
      <c r="V73">
        <f>TableauProduit[[#This Row],[Prix achat plantes / kg]]*TableauProduit[[#This Row],[Total (kg) N2]]</f>
        <v/>
      </c>
      <c r="W73">
        <f>TableauProduit[[#This Row],[Prix de vente/kg]]*TableauProduit[[#This Row],[Total (kg) N2]]</f>
        <v/>
      </c>
      <c r="X73">
        <f>TableauProduit[[#This Row],[Revenu brut N2]]-TableauProduit[[#This Row],[Achat plantes N2]]-TableauProduit[[#This Row],[Conditionnement N2]]</f>
        <v/>
      </c>
      <c r="Y73" t="n">
        <v>0</v>
      </c>
      <c r="Z73">
        <f>TableauProduit[[#This Row],[Poids (g) / unité]]*TableauProduit[[#This Row],[Objectif de vente en unité N3]]/1000</f>
        <v/>
      </c>
      <c r="AA73">
        <f>TableauProduit[[#This Row],[Objectif de vente en unité N3]]*TableauProduit[[#This Row],[Packaging / unité]]</f>
        <v/>
      </c>
      <c r="AB73">
        <f>TableauProduit[[#This Row],[Prix achat plantes / kg]]*TableauProduit[[#This Row],[Total (kg) N3]]</f>
        <v/>
      </c>
      <c r="AC73">
        <f>TableauProduit[[#This Row],[Prix de vente/kg]]*TableauProduit[[#This Row],[Total (kg) N3]]</f>
        <v/>
      </c>
      <c r="AD73">
        <f>TableauProduit[[#This Row],[Revenu brut N3]]-TableauProduit[[#This Row],[Achat plantes N3]]-TableauProduit[[#This Row],[Conditionnement N3]]</f>
        <v/>
      </c>
      <c r="AE73" t="n">
        <v>0</v>
      </c>
      <c r="AF73">
        <f>TableauProduit[[#This Row],[Poids (g) / unité]]*TableauProduit[[#This Row],[Objectif de vente en unité N4]]/1000</f>
        <v/>
      </c>
      <c r="AG73">
        <f>TableauProduit[[#This Row],[Objectif de vente en unité N4]]*TableauProduit[[#This Row],[Packaging / unité]]</f>
        <v/>
      </c>
      <c r="AH73">
        <f>TableauProduit[[#This Row],[Prix achat plantes / kg]]*TableauProduit[[#This Row],[Total (kg) N4]]</f>
        <v/>
      </c>
      <c r="AI73">
        <f>TableauProduit[[#This Row],[Prix de vente/kg]]*TableauProduit[[#This Row],[Total (kg) N4]]</f>
        <v/>
      </c>
      <c r="AJ73">
        <f>TableauProduit[[#This Row],[Revenu brut N4]]-TableauProduit[[#This Row],[Achat plantes N4]]-TableauProduit[[#This Row],[Conditionnement N4]]</f>
        <v/>
      </c>
      <c r="AK73" t="n">
        <v>0</v>
      </c>
      <c r="AL73">
        <f>TableauProduit[[#This Row],[Poids (g) / unité]]*TableauProduit[[#This Row],[Objectif de vente en unité N5]]/1000</f>
        <v/>
      </c>
      <c r="AM73">
        <f>TableauProduit[[#This Row],[Objectif de vente en unité N5]]*TableauProduit[[#This Row],[Packaging / unité]]</f>
        <v/>
      </c>
      <c r="AN73">
        <f>TableauProduit[[#This Row],[Prix achat plantes / kg]]*TableauProduit[[#This Row],[Total (kg) N5]]</f>
        <v/>
      </c>
      <c r="AO73">
        <f>TableauProduit[[#This Row],[Prix de vente/kg]]*TableauProduit[[#This Row],[Total (kg) N5]]</f>
        <v/>
      </c>
      <c r="AP73">
        <f>TableauProduit[[#This Row],[Revenu brut N5]]-TableauProduit[[#This Row],[Achat plantes N5]]-TableauProduit[[#This Row],[Conditionnement N5]]</f>
        <v/>
      </c>
      <c r="AQ73" t="n">
        <v>0</v>
      </c>
      <c r="AR73">
        <f>TableauProduit[[#This Row],[Poids (g) / unité]]*TableauProduit[[#This Row],[Objectif de vente en unité N6]]/1000</f>
        <v/>
      </c>
      <c r="AS73">
        <f>TableauProduit[[#This Row],[Objectif de vente en unité N6]]*TableauProduit[[#This Row],[Packaging / unité]]</f>
        <v/>
      </c>
      <c r="AT73">
        <f>TableauProduit[[#This Row],[Prix achat plantes / kg]]*TableauProduit[[#This Row],[Total (kg) N6]]</f>
        <v/>
      </c>
      <c r="AU73">
        <f>TableauProduit[[#This Row],[Prix de vente/kg]]*TableauProduit[[#This Row],[Total (kg) N6]]</f>
        <v/>
      </c>
      <c r="AV73">
        <f>TableauProduit[[#This Row],[Revenu brut N6]]-TableauProduit[[#This Row],[Achat plantes N6]]-TableauProduit[[#This Row],[Conditionnement N6]]</f>
        <v/>
      </c>
      <c r="AW73" t="n">
        <v>0</v>
      </c>
      <c r="AX73">
        <f>TableauProduit[[#This Row],[Poids (g) / unité]]*TableauProduit[[#This Row],[Objectif de vente en unité N7]]/1000</f>
        <v/>
      </c>
      <c r="AY73">
        <f>TableauProduit[[#This Row],[Objectif de vente en unité N7]]*TableauProduit[[#This Row],[Packaging / unité]]</f>
        <v/>
      </c>
      <c r="AZ73">
        <f>TableauProduit[[#This Row],[Prix achat plantes / kg]]*TableauProduit[[#This Row],[Total (kg) N7]]</f>
        <v/>
      </c>
      <c r="BA73">
        <f>TableauProduit[[#This Row],[Prix de vente/kg]]*TableauProduit[[#This Row],[Total (kg) N7]]</f>
        <v/>
      </c>
      <c r="BB73">
        <f>TableauProduit[[#This Row],[Revenu brut N7]]-TableauProduit[[#This Row],[Achat plantes N7]]-TableauProduit[[#This Row],[Conditionnement N7]]</f>
        <v/>
      </c>
      <c r="BC73" t="n">
        <v>0</v>
      </c>
      <c r="BD73">
        <f>TableauProduit[[#This Row],[Poids (g) / unité]]*TableauProduit[[#This Row],[Objectif de vente en unité N8]]/1000</f>
        <v/>
      </c>
      <c r="BE73">
        <f>TableauProduit[[#This Row],[Objectif de vente en unité N8]]*TableauProduit[[#This Row],[Packaging / unité]]</f>
        <v/>
      </c>
      <c r="BF73">
        <f>TableauProduit[[#This Row],[Prix achat plantes / kg]]*TableauProduit[[#This Row],[Total (kg) N8]]</f>
        <v/>
      </c>
      <c r="BG73">
        <f>TableauProduit[[#This Row],[Prix de vente/kg]]*TableauProduit[[#This Row],[Total (kg) N8]]</f>
        <v/>
      </c>
      <c r="BH73">
        <f>TableauProduit[[#This Row],[Revenu brut N8]]-TableauProduit[[#This Row],[Achat plantes N8]]-TableauProduit[[#This Row],[Conditionnement N8]]</f>
        <v/>
      </c>
      <c r="BI73" t="n">
        <v>0</v>
      </c>
      <c r="BJ73">
        <f>TableauProduit[[#This Row],[Poids (g) / unité]]*TableauProduit[[#This Row],[Objectif de vente en unité N9]]/1000</f>
        <v/>
      </c>
      <c r="BK73">
        <f>TableauProduit[[#This Row],[Objectif de vente en unité N9]]*TableauProduit[[#This Row],[Packaging / unité]]</f>
        <v/>
      </c>
      <c r="BL73">
        <f>TableauProduit[[#This Row],[Prix achat plantes / kg]]*TableauProduit[[#This Row],[Total (kg) N9]]</f>
        <v/>
      </c>
      <c r="BM73">
        <f>TableauProduit[[#This Row],[Prix de vente/kg]]*TableauProduit[[#This Row],[Total (kg) N9]]</f>
        <v/>
      </c>
      <c r="BN73">
        <f>TableauProduit[[#This Row],[Revenu brut N9]]-TableauProduit[[#This Row],[Achat plantes N9]]-TableauProduit[[#This Row],[Conditionnement N9]]</f>
        <v/>
      </c>
      <c r="BO73" t="inlineStr">
        <is>
          <t>Sauce / autre</t>
        </is>
      </c>
    </row>
    <row r="74">
      <c r="A74" t="inlineStr">
        <is>
          <t>Faux-poivre de garrigue</t>
        </is>
      </c>
      <c r="B74">
        <f>TableauProduit[[#This Row],[Recette]]&amp;TableauProduit[[#This Row],[Conditionnement]]</f>
        <v/>
      </c>
      <c r="C74" t="n">
        <v>1</v>
      </c>
      <c r="D74" t="n">
        <v>40</v>
      </c>
      <c r="E74" t="inlineStr">
        <is>
          <t>Epice 100ml</t>
        </is>
      </c>
      <c r="F74">
        <f>IFERROR(VLOOKUP(TableauProduit[[#This Row],[Conditionnement]],TableauConditionnement[[Nom]:[Contenance]],4,FALSE),"")</f>
        <v/>
      </c>
      <c r="G74">
        <f>IFERROR(SUMIFS(TableauRecette[Prix d''achat / kg],TableauRecette[Recette],TableauProduit[[#This Row],[Recette]],TableauRecette[Conditionnement],TableauProduit[[#This Row],[Conditionnement]]),0)</f>
        <v/>
      </c>
      <c r="H74" t="n">
        <v>8.5</v>
      </c>
      <c r="I74">
        <f>1000*TableauProduit[[#This Row],[Prix de vente/U]]/TableauProduit[[#This Row],[Poids (g) / unité]]</f>
        <v/>
      </c>
      <c r="J74">
        <f>SUMIFS(TableauConcurence[PRIX_KG],TableauConcurence[PRODUIT],TableauProduit[[#This Row],[Recette]],TableauConcurence[DISTRIBUTION],"magasin NON BIO")</f>
        <v/>
      </c>
      <c r="K74">
        <f>SUMIFS(TableauConcurence[PRIX_KG],TableauConcurence[PRODUIT],TableauProduit[[#This Row],[Recette]],TableauConcurence[DISTRIBUTION],"magasin BIO")</f>
        <v/>
      </c>
      <c r="L74">
        <f>SUMIFS(TableauConcurence[PRIX_KG],TableauConcurence[PRODUIT],TableauProduit[[#This Row],[Recette]],TableauConcurence[DISTRIBUTION],"artisanale BIO")</f>
        <v/>
      </c>
      <c r="M74" t="n">
        <v>0</v>
      </c>
      <c r="N74">
        <f>TableauProduit[[#This Row],[Poids (g) / unité]]*TableauProduit[[#This Row],[Objectif de vente en unité N1]]/1000</f>
        <v/>
      </c>
      <c r="O74">
        <f>TableauProduit[[#This Row],[Objectif de vente en unité N1]]*TableauProduit[[#This Row],[Packaging / unité]]</f>
        <v/>
      </c>
      <c r="P74">
        <f>TableauProduit[[#This Row],[Prix achat plantes / kg]]*TableauProduit[[#This Row],[Total (kg) N1]]</f>
        <v/>
      </c>
      <c r="Q74">
        <f>TableauProduit[[#This Row],[Prix de vente/kg]]*TableauProduit[[#This Row],[Total (kg) N1]]</f>
        <v/>
      </c>
      <c r="R74">
        <f>TableauProduit[[#This Row],[Revenu brut N1]]-TableauProduit[[#This Row],[Achat plantes N1]]-TableauProduit[[#This Row],[Conditionnement N1]]</f>
        <v/>
      </c>
      <c r="S74" t="n">
        <v>0</v>
      </c>
      <c r="T74">
        <f>TableauProduit[[#This Row],[Poids (g) / unité]]*TableauProduit[[#This Row],[Objectif de vente en unité N2]]/1000</f>
        <v/>
      </c>
      <c r="U74">
        <f>TableauProduit[[#This Row],[Objectif de vente en unité N2]]*TableauProduit[[#This Row],[Packaging / unité]]</f>
        <v/>
      </c>
      <c r="V74">
        <f>TableauProduit[[#This Row],[Prix achat plantes / kg]]*TableauProduit[[#This Row],[Total (kg) N2]]</f>
        <v/>
      </c>
      <c r="W74">
        <f>TableauProduit[[#This Row],[Prix de vente/kg]]*TableauProduit[[#This Row],[Total (kg) N2]]</f>
        <v/>
      </c>
      <c r="X74">
        <f>TableauProduit[[#This Row],[Revenu brut N2]]-TableauProduit[[#This Row],[Achat plantes N2]]-TableauProduit[[#This Row],[Conditionnement N2]]</f>
        <v/>
      </c>
      <c r="Y74" t="n">
        <v>100</v>
      </c>
      <c r="Z74">
        <f>TableauProduit[[#This Row],[Poids (g) / unité]]*TableauProduit[[#This Row],[Objectif de vente en unité N3]]/1000</f>
        <v/>
      </c>
      <c r="AA74">
        <f>TableauProduit[[#This Row],[Objectif de vente en unité N3]]*TableauProduit[[#This Row],[Packaging / unité]]</f>
        <v/>
      </c>
      <c r="AB74">
        <f>TableauProduit[[#This Row],[Prix achat plantes / kg]]*TableauProduit[[#This Row],[Total (kg) N3]]</f>
        <v/>
      </c>
      <c r="AC74">
        <f>TableauProduit[[#This Row],[Prix de vente/kg]]*TableauProduit[[#This Row],[Total (kg) N3]]</f>
        <v/>
      </c>
      <c r="AD74">
        <f>TableauProduit[[#This Row],[Revenu brut N3]]-TableauProduit[[#This Row],[Achat plantes N3]]-TableauProduit[[#This Row],[Conditionnement N3]]</f>
        <v/>
      </c>
      <c r="AE74" t="n">
        <v>130</v>
      </c>
      <c r="AF74">
        <f>TableauProduit[[#This Row],[Poids (g) / unité]]*TableauProduit[[#This Row],[Objectif de vente en unité N4]]/1000</f>
        <v/>
      </c>
      <c r="AG74">
        <f>TableauProduit[[#This Row],[Objectif de vente en unité N4]]*TableauProduit[[#This Row],[Packaging / unité]]</f>
        <v/>
      </c>
      <c r="AH74">
        <f>TableauProduit[[#This Row],[Prix achat plantes / kg]]*TableauProduit[[#This Row],[Total (kg) N4]]</f>
        <v/>
      </c>
      <c r="AI74">
        <f>TableauProduit[[#This Row],[Prix de vente/kg]]*TableauProduit[[#This Row],[Total (kg) N4]]</f>
        <v/>
      </c>
      <c r="AJ74">
        <f>TableauProduit[[#This Row],[Revenu brut N4]]-TableauProduit[[#This Row],[Achat plantes N4]]-TableauProduit[[#This Row],[Conditionnement N4]]</f>
        <v/>
      </c>
      <c r="AK74" t="n">
        <v>150</v>
      </c>
      <c r="AL74">
        <f>TableauProduit[[#This Row],[Poids (g) / unité]]*TableauProduit[[#This Row],[Objectif de vente en unité N5]]/1000</f>
        <v/>
      </c>
      <c r="AM74">
        <f>TableauProduit[[#This Row],[Objectif de vente en unité N5]]*TableauProduit[[#This Row],[Packaging / unité]]</f>
        <v/>
      </c>
      <c r="AN74">
        <f>TableauProduit[[#This Row],[Prix achat plantes / kg]]*TableauProduit[[#This Row],[Total (kg) N5]]</f>
        <v/>
      </c>
      <c r="AO74">
        <f>TableauProduit[[#This Row],[Prix de vente/kg]]*TableauProduit[[#This Row],[Total (kg) N5]]</f>
        <v/>
      </c>
      <c r="AP74">
        <f>TableauProduit[[#This Row],[Revenu brut N5]]-TableauProduit[[#This Row],[Achat plantes N5]]-TableauProduit[[#This Row],[Conditionnement N5]]</f>
        <v/>
      </c>
      <c r="AQ74" t="n">
        <v>160</v>
      </c>
      <c r="AR74">
        <f>TableauProduit[[#This Row],[Poids (g) / unité]]*TableauProduit[[#This Row],[Objectif de vente en unité N6]]/1000</f>
        <v/>
      </c>
      <c r="AS74">
        <f>TableauProduit[[#This Row],[Objectif de vente en unité N6]]*TableauProduit[[#This Row],[Packaging / unité]]</f>
        <v/>
      </c>
      <c r="AT74">
        <f>TableauProduit[[#This Row],[Prix achat plantes / kg]]*TableauProduit[[#This Row],[Total (kg) N6]]</f>
        <v/>
      </c>
      <c r="AU74">
        <f>TableauProduit[[#This Row],[Prix de vente/kg]]*TableauProduit[[#This Row],[Total (kg) N6]]</f>
        <v/>
      </c>
      <c r="AV74">
        <f>TableauProduit[[#This Row],[Revenu brut N6]]-TableauProduit[[#This Row],[Achat plantes N6]]-TableauProduit[[#This Row],[Conditionnement N6]]</f>
        <v/>
      </c>
      <c r="AW74" t="n">
        <v>160</v>
      </c>
      <c r="AX74">
        <f>TableauProduit[[#This Row],[Poids (g) / unité]]*TableauProduit[[#This Row],[Objectif de vente en unité N7]]/1000</f>
        <v/>
      </c>
      <c r="AY74">
        <f>TableauProduit[[#This Row],[Objectif de vente en unité N7]]*TableauProduit[[#This Row],[Packaging / unité]]</f>
        <v/>
      </c>
      <c r="AZ74">
        <f>TableauProduit[[#This Row],[Prix achat plantes / kg]]*TableauProduit[[#This Row],[Total (kg) N7]]</f>
        <v/>
      </c>
      <c r="BA74">
        <f>TableauProduit[[#This Row],[Prix de vente/kg]]*TableauProduit[[#This Row],[Total (kg) N7]]</f>
        <v/>
      </c>
      <c r="BB74">
        <f>TableauProduit[[#This Row],[Revenu brut N7]]-TableauProduit[[#This Row],[Achat plantes N7]]-TableauProduit[[#This Row],[Conditionnement N7]]</f>
        <v/>
      </c>
      <c r="BC74" t="n">
        <v>160</v>
      </c>
      <c r="BD74">
        <f>TableauProduit[[#This Row],[Poids (g) / unité]]*TableauProduit[[#This Row],[Objectif de vente en unité N8]]/1000</f>
        <v/>
      </c>
      <c r="BE74">
        <f>TableauProduit[[#This Row],[Objectif de vente en unité N8]]*TableauProduit[[#This Row],[Packaging / unité]]</f>
        <v/>
      </c>
      <c r="BF74">
        <f>TableauProduit[[#This Row],[Prix achat plantes / kg]]*TableauProduit[[#This Row],[Total (kg) N8]]</f>
        <v/>
      </c>
      <c r="BG74">
        <f>TableauProduit[[#This Row],[Prix de vente/kg]]*TableauProduit[[#This Row],[Total (kg) N8]]</f>
        <v/>
      </c>
      <c r="BH74">
        <f>TableauProduit[[#This Row],[Revenu brut N8]]-TableauProduit[[#This Row],[Achat plantes N8]]-TableauProduit[[#This Row],[Conditionnement N8]]</f>
        <v/>
      </c>
      <c r="BI74" t="n">
        <v>160</v>
      </c>
      <c r="BJ74">
        <f>TableauProduit[[#This Row],[Poids (g) / unité]]*TableauProduit[[#This Row],[Objectif de vente en unité N9]]/1000</f>
        <v/>
      </c>
      <c r="BK74">
        <f>TableauProduit[[#This Row],[Objectif de vente en unité N9]]*TableauProduit[[#This Row],[Packaging / unité]]</f>
        <v/>
      </c>
      <c r="BL74">
        <f>TableauProduit[[#This Row],[Prix achat plantes / kg]]*TableauProduit[[#This Row],[Total (kg) N9]]</f>
        <v/>
      </c>
      <c r="BM74">
        <f>TableauProduit[[#This Row],[Prix de vente/kg]]*TableauProduit[[#This Row],[Total (kg) N9]]</f>
        <v/>
      </c>
      <c r="BN74">
        <f>TableauProduit[[#This Row],[Revenu brut N9]]-TableauProduit[[#This Row],[Achat plantes N9]]-TableauProduit[[#This Row],[Conditionnement N9]]</f>
        <v/>
      </c>
      <c r="BO74" t="inlineStr">
        <is>
          <t>Mélange</t>
        </is>
      </c>
    </row>
    <row r="75">
      <c r="A75" t="inlineStr">
        <is>
          <t>Mélange à poissons anisé</t>
        </is>
      </c>
      <c r="B75">
        <f>TableauProduit[[#This Row],[Recette]]&amp;TableauProduit[[#This Row],[Conditionnement]]</f>
        <v/>
      </c>
      <c r="C75" t="n">
        <v>1</v>
      </c>
      <c r="D75" t="n">
        <v>40</v>
      </c>
      <c r="E75" t="inlineStr">
        <is>
          <t>Epice 100ml</t>
        </is>
      </c>
      <c r="F75">
        <f>IFERROR(VLOOKUP(TableauProduit[[#This Row],[Conditionnement]],TableauConditionnement[[Nom]:[Contenance]],4,FALSE),"")</f>
        <v/>
      </c>
      <c r="G75">
        <f>IFERROR(SUMIFS(TableauRecette[Prix d''achat / kg],TableauRecette[Recette],TableauProduit[[#This Row],[Recette]],TableauRecette[Conditionnement],TableauProduit[[#This Row],[Conditionnement]]),0)</f>
        <v/>
      </c>
      <c r="H75" t="n">
        <v>5.5</v>
      </c>
      <c r="I75">
        <f>1000*TableauProduit[[#This Row],[Prix de vente/U]]/TableauProduit[[#This Row],[Poids (g) / unité]]</f>
        <v/>
      </c>
      <c r="J75">
        <f>SUMIFS(TableauConcurence[PRIX_KG],TableauConcurence[PRODUIT],TableauProduit[[#This Row],[Recette]],TableauConcurence[DISTRIBUTION],"magasin NON BIO")</f>
        <v/>
      </c>
      <c r="K75">
        <f>SUMIFS(TableauConcurence[PRIX_KG],TableauConcurence[PRODUIT],TableauProduit[[#This Row],[Recette]],TableauConcurence[DISTRIBUTION],"magasin BIO")</f>
        <v/>
      </c>
      <c r="L75">
        <f>SUMIFS(TableauConcurence[PRIX_KG],TableauConcurence[PRODUIT],TableauProduit[[#This Row],[Recette]],TableauConcurence[DISTRIBUTION],"artisanale BIO")</f>
        <v/>
      </c>
      <c r="M75" t="n">
        <v>280</v>
      </c>
      <c r="N75">
        <f>TableauProduit[[#This Row],[Poids (g) / unité]]*TableauProduit[[#This Row],[Objectif de vente en unité N1]]/1000</f>
        <v/>
      </c>
      <c r="O75">
        <f>TableauProduit[[#This Row],[Objectif de vente en unité N1]]*TableauProduit[[#This Row],[Packaging / unité]]</f>
        <v/>
      </c>
      <c r="P75">
        <f>TableauProduit[[#This Row],[Prix achat plantes / kg]]*TableauProduit[[#This Row],[Total (kg) N1]]</f>
        <v/>
      </c>
      <c r="Q75">
        <f>TableauProduit[[#This Row],[Prix de vente/kg]]*TableauProduit[[#This Row],[Total (kg) N1]]</f>
        <v/>
      </c>
      <c r="R75">
        <f>TableauProduit[[#This Row],[Revenu brut N1]]-TableauProduit[[#This Row],[Achat plantes N1]]-TableauProduit[[#This Row],[Conditionnement N1]]</f>
        <v/>
      </c>
      <c r="S75" t="n">
        <v>420</v>
      </c>
      <c r="T75">
        <f>TableauProduit[[#This Row],[Poids (g) / unité]]*TableauProduit[[#This Row],[Objectif de vente en unité N2]]/1000</f>
        <v/>
      </c>
      <c r="U75">
        <f>TableauProduit[[#This Row],[Objectif de vente en unité N2]]*TableauProduit[[#This Row],[Packaging / unité]]</f>
        <v/>
      </c>
      <c r="V75">
        <f>TableauProduit[[#This Row],[Prix achat plantes / kg]]*TableauProduit[[#This Row],[Total (kg) N2]]</f>
        <v/>
      </c>
      <c r="W75">
        <f>TableauProduit[[#This Row],[Prix de vente/kg]]*TableauProduit[[#This Row],[Total (kg) N2]]</f>
        <v/>
      </c>
      <c r="X75">
        <f>TableauProduit[[#This Row],[Revenu brut N2]]-TableauProduit[[#This Row],[Achat plantes N2]]-TableauProduit[[#This Row],[Conditionnement N2]]</f>
        <v/>
      </c>
      <c r="Y75" t="n">
        <v>490</v>
      </c>
      <c r="Z75">
        <f>TableauProduit[[#This Row],[Poids (g) / unité]]*TableauProduit[[#This Row],[Objectif de vente en unité N3]]/1000</f>
        <v/>
      </c>
      <c r="AA75">
        <f>TableauProduit[[#This Row],[Objectif de vente en unité N3]]*TableauProduit[[#This Row],[Packaging / unité]]</f>
        <v/>
      </c>
      <c r="AB75">
        <f>TableauProduit[[#This Row],[Prix achat plantes / kg]]*TableauProduit[[#This Row],[Total (kg) N3]]</f>
        <v/>
      </c>
      <c r="AC75">
        <f>TableauProduit[[#This Row],[Prix de vente/kg]]*TableauProduit[[#This Row],[Total (kg) N3]]</f>
        <v/>
      </c>
      <c r="AD75">
        <f>TableauProduit[[#This Row],[Revenu brut N3]]-TableauProduit[[#This Row],[Achat plantes N3]]-TableauProduit[[#This Row],[Conditionnement N3]]</f>
        <v/>
      </c>
      <c r="AE75" t="n">
        <v>532</v>
      </c>
      <c r="AF75">
        <f>TableauProduit[[#This Row],[Poids (g) / unité]]*TableauProduit[[#This Row],[Objectif de vente en unité N4]]/1000</f>
        <v/>
      </c>
      <c r="AG75">
        <f>TableauProduit[[#This Row],[Objectif de vente en unité N4]]*TableauProduit[[#This Row],[Packaging / unité]]</f>
        <v/>
      </c>
      <c r="AH75">
        <f>TableauProduit[[#This Row],[Prix achat plantes / kg]]*TableauProduit[[#This Row],[Total (kg) N4]]</f>
        <v/>
      </c>
      <c r="AI75">
        <f>TableauProduit[[#This Row],[Prix de vente/kg]]*TableauProduit[[#This Row],[Total (kg) N4]]</f>
        <v/>
      </c>
      <c r="AJ75">
        <f>TableauProduit[[#This Row],[Revenu brut N4]]-TableauProduit[[#This Row],[Achat plantes N4]]-TableauProduit[[#This Row],[Conditionnement N4]]</f>
        <v/>
      </c>
      <c r="AK75" t="n">
        <v>560</v>
      </c>
      <c r="AL75">
        <f>TableauProduit[[#This Row],[Poids (g) / unité]]*TableauProduit[[#This Row],[Objectif de vente en unité N5]]/1000</f>
        <v/>
      </c>
      <c r="AM75">
        <f>TableauProduit[[#This Row],[Objectif de vente en unité N5]]*TableauProduit[[#This Row],[Packaging / unité]]</f>
        <v/>
      </c>
      <c r="AN75">
        <f>TableauProduit[[#This Row],[Prix achat plantes / kg]]*TableauProduit[[#This Row],[Total (kg) N5]]</f>
        <v/>
      </c>
      <c r="AO75">
        <f>TableauProduit[[#This Row],[Prix de vente/kg]]*TableauProduit[[#This Row],[Total (kg) N5]]</f>
        <v/>
      </c>
      <c r="AP75">
        <f>TableauProduit[[#This Row],[Revenu brut N5]]-TableauProduit[[#This Row],[Achat plantes N5]]-TableauProduit[[#This Row],[Conditionnement N5]]</f>
        <v/>
      </c>
      <c r="AQ75" t="n">
        <v>560</v>
      </c>
      <c r="AR75">
        <f>TableauProduit[[#This Row],[Poids (g) / unité]]*TableauProduit[[#This Row],[Objectif de vente en unité N6]]/1000</f>
        <v/>
      </c>
      <c r="AS75">
        <f>TableauProduit[[#This Row],[Objectif de vente en unité N6]]*TableauProduit[[#This Row],[Packaging / unité]]</f>
        <v/>
      </c>
      <c r="AT75">
        <f>TableauProduit[[#This Row],[Prix achat plantes / kg]]*TableauProduit[[#This Row],[Total (kg) N6]]</f>
        <v/>
      </c>
      <c r="AU75">
        <f>TableauProduit[[#This Row],[Prix de vente/kg]]*TableauProduit[[#This Row],[Total (kg) N6]]</f>
        <v/>
      </c>
      <c r="AV75">
        <f>TableauProduit[[#This Row],[Revenu brut N6]]-TableauProduit[[#This Row],[Achat plantes N6]]-TableauProduit[[#This Row],[Conditionnement N6]]</f>
        <v/>
      </c>
      <c r="AW75" t="n">
        <v>560</v>
      </c>
      <c r="AX75">
        <f>TableauProduit[[#This Row],[Poids (g) / unité]]*TableauProduit[[#This Row],[Objectif de vente en unité N7]]/1000</f>
        <v/>
      </c>
      <c r="AY75">
        <f>TableauProduit[[#This Row],[Objectif de vente en unité N7]]*TableauProduit[[#This Row],[Packaging / unité]]</f>
        <v/>
      </c>
      <c r="AZ75">
        <f>TableauProduit[[#This Row],[Prix achat plantes / kg]]*TableauProduit[[#This Row],[Total (kg) N7]]</f>
        <v/>
      </c>
      <c r="BA75">
        <f>TableauProduit[[#This Row],[Prix de vente/kg]]*TableauProduit[[#This Row],[Total (kg) N7]]</f>
        <v/>
      </c>
      <c r="BB75">
        <f>TableauProduit[[#This Row],[Revenu brut N7]]-TableauProduit[[#This Row],[Achat plantes N7]]-TableauProduit[[#This Row],[Conditionnement N7]]</f>
        <v/>
      </c>
      <c r="BC75" t="n">
        <v>560</v>
      </c>
      <c r="BD75">
        <f>TableauProduit[[#This Row],[Poids (g) / unité]]*TableauProduit[[#This Row],[Objectif de vente en unité N8]]/1000</f>
        <v/>
      </c>
      <c r="BE75">
        <f>TableauProduit[[#This Row],[Objectif de vente en unité N8]]*TableauProduit[[#This Row],[Packaging / unité]]</f>
        <v/>
      </c>
      <c r="BF75">
        <f>TableauProduit[[#This Row],[Prix achat plantes / kg]]*TableauProduit[[#This Row],[Total (kg) N8]]</f>
        <v/>
      </c>
      <c r="BG75">
        <f>TableauProduit[[#This Row],[Prix de vente/kg]]*TableauProduit[[#This Row],[Total (kg) N8]]</f>
        <v/>
      </c>
      <c r="BH75">
        <f>TableauProduit[[#This Row],[Revenu brut N8]]-TableauProduit[[#This Row],[Achat plantes N8]]-TableauProduit[[#This Row],[Conditionnement N8]]</f>
        <v/>
      </c>
      <c r="BI75" t="n">
        <v>560</v>
      </c>
      <c r="BJ75">
        <f>TableauProduit[[#This Row],[Poids (g) / unité]]*TableauProduit[[#This Row],[Objectif de vente en unité N9]]/1000</f>
        <v/>
      </c>
      <c r="BK75">
        <f>TableauProduit[[#This Row],[Objectif de vente en unité N9]]*TableauProduit[[#This Row],[Packaging / unité]]</f>
        <v/>
      </c>
      <c r="BL75">
        <f>TableauProduit[[#This Row],[Prix achat plantes / kg]]*TableauProduit[[#This Row],[Total (kg) N9]]</f>
        <v/>
      </c>
      <c r="BM75">
        <f>TableauProduit[[#This Row],[Prix de vente/kg]]*TableauProduit[[#This Row],[Total (kg) N9]]</f>
        <v/>
      </c>
      <c r="BN75">
        <f>TableauProduit[[#This Row],[Revenu brut N9]]-TableauProduit[[#This Row],[Achat plantes N9]]-TableauProduit[[#This Row],[Conditionnement N9]]</f>
        <v/>
      </c>
      <c r="BO75" t="inlineStr">
        <is>
          <t>Mélange</t>
        </is>
      </c>
    </row>
    <row r="76">
      <c r="A76" t="inlineStr">
        <is>
          <t>Sel fumé</t>
        </is>
      </c>
      <c r="B76">
        <f>TableauProduit[[#This Row],[Recette]]&amp;TableauProduit[[#This Row],[Conditionnement]]</f>
        <v/>
      </c>
      <c r="C76" t="n">
        <v>1</v>
      </c>
      <c r="D76" t="n">
        <v>80</v>
      </c>
      <c r="E76" t="inlineStr">
        <is>
          <t>Epice 100ml</t>
        </is>
      </c>
      <c r="F76">
        <f>IFERROR(VLOOKUP(TableauProduit[[#This Row],[Conditionnement]],TableauConditionnement[[Nom]:[Contenance]],4,FALSE),"")</f>
        <v/>
      </c>
      <c r="G76">
        <f>IFERROR(SUMIFS(TableauRecette[Prix d''achat / kg],TableauRecette[Recette],TableauProduit[[#This Row],[Recette]],TableauRecette[Conditionnement],TableauProduit[[#This Row],[Conditionnement]]),0)</f>
        <v/>
      </c>
      <c r="H76" t="n">
        <v>4.5</v>
      </c>
      <c r="I76">
        <f>1000*TableauProduit[[#This Row],[Prix de vente/U]]/TableauProduit[[#This Row],[Poids (g) / unité]]</f>
        <v/>
      </c>
      <c r="J76">
        <f>SUMIFS(TableauConcurence[PRIX_KG],TableauConcurence[PRODUIT],TableauProduit[[#This Row],[Recette]],TableauConcurence[DISTRIBUTION],"magasin NON BIO")</f>
        <v/>
      </c>
      <c r="K76">
        <f>SUMIFS(TableauConcurence[PRIX_KG],TableauConcurence[PRODUIT],TableauProduit[[#This Row],[Recette]],TableauConcurence[DISTRIBUTION],"magasin BIO")</f>
        <v/>
      </c>
      <c r="L76">
        <f>SUMIFS(TableauConcurence[PRIX_KG],TableauConcurence[PRODUIT],TableauProduit[[#This Row],[Recette]],TableauConcurence[DISTRIBUTION],"artisanale BIO")</f>
        <v/>
      </c>
      <c r="M76" t="n">
        <v>200</v>
      </c>
      <c r="N76">
        <f>TableauProduit[[#This Row],[Poids (g) / unité]]*TableauProduit[[#This Row],[Objectif de vente en unité N1]]/1000</f>
        <v/>
      </c>
      <c r="O76">
        <f>TableauProduit[[#This Row],[Objectif de vente en unité N1]]*TableauProduit[[#This Row],[Packaging / unité]]</f>
        <v/>
      </c>
      <c r="P76">
        <f>TableauProduit[[#This Row],[Prix achat plantes / kg]]*TableauProduit[[#This Row],[Total (kg) N1]]</f>
        <v/>
      </c>
      <c r="Q76">
        <f>TableauProduit[[#This Row],[Prix de vente/kg]]*TableauProduit[[#This Row],[Total (kg) N1]]</f>
        <v/>
      </c>
      <c r="R76">
        <f>TableauProduit[[#This Row],[Revenu brut N1]]-TableauProduit[[#This Row],[Achat plantes N1]]-TableauProduit[[#This Row],[Conditionnement N1]]</f>
        <v/>
      </c>
      <c r="S76" t="n">
        <v>300</v>
      </c>
      <c r="T76">
        <f>TableauProduit[[#This Row],[Poids (g) / unité]]*TableauProduit[[#This Row],[Objectif de vente en unité N2]]/1000</f>
        <v/>
      </c>
      <c r="U76">
        <f>TableauProduit[[#This Row],[Objectif de vente en unité N2]]*TableauProduit[[#This Row],[Packaging / unité]]</f>
        <v/>
      </c>
      <c r="V76">
        <f>TableauProduit[[#This Row],[Prix achat plantes / kg]]*TableauProduit[[#This Row],[Total (kg) N2]]</f>
        <v/>
      </c>
      <c r="W76">
        <f>TableauProduit[[#This Row],[Prix de vente/kg]]*TableauProduit[[#This Row],[Total (kg) N2]]</f>
        <v/>
      </c>
      <c r="X76">
        <f>TableauProduit[[#This Row],[Revenu brut N2]]-TableauProduit[[#This Row],[Achat plantes N2]]-TableauProduit[[#This Row],[Conditionnement N2]]</f>
        <v/>
      </c>
      <c r="Y76" t="n">
        <v>350</v>
      </c>
      <c r="Z76">
        <f>TableauProduit[[#This Row],[Poids (g) / unité]]*TableauProduit[[#This Row],[Objectif de vente en unité N3]]/1000</f>
        <v/>
      </c>
      <c r="AA76">
        <f>TableauProduit[[#This Row],[Objectif de vente en unité N3]]*TableauProduit[[#This Row],[Packaging / unité]]</f>
        <v/>
      </c>
      <c r="AB76">
        <f>TableauProduit[[#This Row],[Prix achat plantes / kg]]*TableauProduit[[#This Row],[Total (kg) N3]]</f>
        <v/>
      </c>
      <c r="AC76">
        <f>TableauProduit[[#This Row],[Prix de vente/kg]]*TableauProduit[[#This Row],[Total (kg) N3]]</f>
        <v/>
      </c>
      <c r="AD76">
        <f>TableauProduit[[#This Row],[Revenu brut N3]]-TableauProduit[[#This Row],[Achat plantes N3]]-TableauProduit[[#This Row],[Conditionnement N3]]</f>
        <v/>
      </c>
      <c r="AE76" t="n">
        <v>380</v>
      </c>
      <c r="AF76">
        <f>TableauProduit[[#This Row],[Poids (g) / unité]]*TableauProduit[[#This Row],[Objectif de vente en unité N4]]/1000</f>
        <v/>
      </c>
      <c r="AG76">
        <f>TableauProduit[[#This Row],[Objectif de vente en unité N4]]*TableauProduit[[#This Row],[Packaging / unité]]</f>
        <v/>
      </c>
      <c r="AH76">
        <f>TableauProduit[[#This Row],[Prix achat plantes / kg]]*TableauProduit[[#This Row],[Total (kg) N4]]</f>
        <v/>
      </c>
      <c r="AI76">
        <f>TableauProduit[[#This Row],[Prix de vente/kg]]*TableauProduit[[#This Row],[Total (kg) N4]]</f>
        <v/>
      </c>
      <c r="AJ76">
        <f>TableauProduit[[#This Row],[Revenu brut N4]]-TableauProduit[[#This Row],[Achat plantes N4]]-TableauProduit[[#This Row],[Conditionnement N4]]</f>
        <v/>
      </c>
      <c r="AK76" t="n">
        <v>400</v>
      </c>
      <c r="AL76">
        <f>TableauProduit[[#This Row],[Poids (g) / unité]]*TableauProduit[[#This Row],[Objectif de vente en unité N5]]/1000</f>
        <v/>
      </c>
      <c r="AM76">
        <f>TableauProduit[[#This Row],[Objectif de vente en unité N5]]*TableauProduit[[#This Row],[Packaging / unité]]</f>
        <v/>
      </c>
      <c r="AN76">
        <f>TableauProduit[[#This Row],[Prix achat plantes / kg]]*TableauProduit[[#This Row],[Total (kg) N5]]</f>
        <v/>
      </c>
      <c r="AO76">
        <f>TableauProduit[[#This Row],[Prix de vente/kg]]*TableauProduit[[#This Row],[Total (kg) N5]]</f>
        <v/>
      </c>
      <c r="AP76">
        <f>TableauProduit[[#This Row],[Revenu brut N5]]-TableauProduit[[#This Row],[Achat plantes N5]]-TableauProduit[[#This Row],[Conditionnement N5]]</f>
        <v/>
      </c>
      <c r="AQ76" t="n">
        <v>400</v>
      </c>
      <c r="AR76">
        <f>TableauProduit[[#This Row],[Poids (g) / unité]]*TableauProduit[[#This Row],[Objectif de vente en unité N6]]/1000</f>
        <v/>
      </c>
      <c r="AS76">
        <f>TableauProduit[[#This Row],[Objectif de vente en unité N6]]*TableauProduit[[#This Row],[Packaging / unité]]</f>
        <v/>
      </c>
      <c r="AT76">
        <f>TableauProduit[[#This Row],[Prix achat plantes / kg]]*TableauProduit[[#This Row],[Total (kg) N6]]</f>
        <v/>
      </c>
      <c r="AU76">
        <f>TableauProduit[[#This Row],[Prix de vente/kg]]*TableauProduit[[#This Row],[Total (kg) N6]]</f>
        <v/>
      </c>
      <c r="AV76">
        <f>TableauProduit[[#This Row],[Revenu brut N6]]-TableauProduit[[#This Row],[Achat plantes N6]]-TableauProduit[[#This Row],[Conditionnement N6]]</f>
        <v/>
      </c>
      <c r="AW76" t="n">
        <v>400</v>
      </c>
      <c r="AX76">
        <f>TableauProduit[[#This Row],[Poids (g) / unité]]*TableauProduit[[#This Row],[Objectif de vente en unité N7]]/1000</f>
        <v/>
      </c>
      <c r="AY76">
        <f>TableauProduit[[#This Row],[Objectif de vente en unité N7]]*TableauProduit[[#This Row],[Packaging / unité]]</f>
        <v/>
      </c>
      <c r="AZ76">
        <f>TableauProduit[[#This Row],[Prix achat plantes / kg]]*TableauProduit[[#This Row],[Total (kg) N7]]</f>
        <v/>
      </c>
      <c r="BA76">
        <f>TableauProduit[[#This Row],[Prix de vente/kg]]*TableauProduit[[#This Row],[Total (kg) N7]]</f>
        <v/>
      </c>
      <c r="BB76">
        <f>TableauProduit[[#This Row],[Revenu brut N7]]-TableauProduit[[#This Row],[Achat plantes N7]]-TableauProduit[[#This Row],[Conditionnement N7]]</f>
        <v/>
      </c>
      <c r="BC76" t="n">
        <v>400</v>
      </c>
      <c r="BD76">
        <f>TableauProduit[[#This Row],[Poids (g) / unité]]*TableauProduit[[#This Row],[Objectif de vente en unité N8]]/1000</f>
        <v/>
      </c>
      <c r="BE76">
        <f>TableauProduit[[#This Row],[Objectif de vente en unité N8]]*TableauProduit[[#This Row],[Packaging / unité]]</f>
        <v/>
      </c>
      <c r="BF76">
        <f>TableauProduit[[#This Row],[Prix achat plantes / kg]]*TableauProduit[[#This Row],[Total (kg) N8]]</f>
        <v/>
      </c>
      <c r="BG76">
        <f>TableauProduit[[#This Row],[Prix de vente/kg]]*TableauProduit[[#This Row],[Total (kg) N8]]</f>
        <v/>
      </c>
      <c r="BH76">
        <f>TableauProduit[[#This Row],[Revenu brut N8]]-TableauProduit[[#This Row],[Achat plantes N8]]-TableauProduit[[#This Row],[Conditionnement N8]]</f>
        <v/>
      </c>
      <c r="BI76" t="n">
        <v>400</v>
      </c>
      <c r="BJ76">
        <f>TableauProduit[[#This Row],[Poids (g) / unité]]*TableauProduit[[#This Row],[Objectif de vente en unité N9]]/1000</f>
        <v/>
      </c>
      <c r="BK76">
        <f>TableauProduit[[#This Row],[Objectif de vente en unité N9]]*TableauProduit[[#This Row],[Packaging / unité]]</f>
        <v/>
      </c>
      <c r="BL76">
        <f>TableauProduit[[#This Row],[Prix achat plantes / kg]]*TableauProduit[[#This Row],[Total (kg) N9]]</f>
        <v/>
      </c>
      <c r="BM76">
        <f>TableauProduit[[#This Row],[Prix de vente/kg]]*TableauProduit[[#This Row],[Total (kg) N9]]</f>
        <v/>
      </c>
      <c r="BN76">
        <f>TableauProduit[[#This Row],[Revenu brut N9]]-TableauProduit[[#This Row],[Achat plantes N9]]-TableauProduit[[#This Row],[Conditionnement N9]]</f>
        <v/>
      </c>
      <c r="BO76" t="inlineStr">
        <is>
          <t>Mélange</t>
        </is>
      </c>
    </row>
    <row r="77">
      <c r="A77" t="inlineStr">
        <is>
          <t>Sirop de sureau</t>
        </is>
      </c>
      <c r="B77">
        <f>TableauProduit[[#This Row],[Recette]]&amp;TableauProduit[[#This Row],[Conditionnement]]</f>
        <v/>
      </c>
      <c r="C77" t="n">
        <v>1</v>
      </c>
      <c r="D77" t="n">
        <v>500</v>
      </c>
      <c r="E77" t="inlineStr">
        <is>
          <t>Sirop 500 ml</t>
        </is>
      </c>
      <c r="F77">
        <f>IFERROR(VLOOKUP(TableauProduit[[#This Row],[Conditionnement]],TableauConditionnement[[Nom]:[Contenance]],4,FALSE),"")</f>
        <v/>
      </c>
      <c r="G77">
        <f>IFERROR(SUMIFS(TableauRecette[Prix d''achat / kg],TableauRecette[Recette],TableauProduit[[#This Row],[Recette]],TableauRecette[Conditionnement],TableauProduit[[#This Row],[Conditionnement]]),0)</f>
        <v/>
      </c>
      <c r="H77" t="n">
        <v>8</v>
      </c>
      <c r="I77">
        <f>1000*TableauProduit[[#This Row],[Prix de vente/U]]/TableauProduit[[#This Row],[Poids (g) / unité]]</f>
        <v/>
      </c>
      <c r="J77">
        <f>SUMIFS(TableauConcurence[PRIX_KG],TableauConcurence[PRODUIT],TableauProduit[[#This Row],[Recette]],TableauConcurence[DISTRIBUTION],"magasin NON BIO")</f>
        <v/>
      </c>
      <c r="K77">
        <f>SUMIFS(TableauConcurence[PRIX_KG],TableauConcurence[PRODUIT],TableauProduit[[#This Row],[Recette]],TableauConcurence[DISTRIBUTION],"magasin BIO")</f>
        <v/>
      </c>
      <c r="L77">
        <f>SUMIFS(TableauConcurence[PRIX_KG],TableauConcurence[PRODUIT],TableauProduit[[#This Row],[Recette]],TableauConcurence[DISTRIBUTION],"artisanale BIO")</f>
        <v/>
      </c>
      <c r="M77" t="n">
        <v>320</v>
      </c>
      <c r="N77">
        <f>TableauProduit[[#This Row],[Poids (g) / unité]]*TableauProduit[[#This Row],[Objectif de vente en unité N1]]/1000</f>
        <v/>
      </c>
      <c r="O77">
        <f>TableauProduit[[#This Row],[Objectif de vente en unité N1]]*TableauProduit[[#This Row],[Packaging / unité]]</f>
        <v/>
      </c>
      <c r="P77">
        <f>TableauProduit[[#This Row],[Prix achat plantes / kg]]*TableauProduit[[#This Row],[Total (kg) N1]]</f>
        <v/>
      </c>
      <c r="Q77">
        <f>TableauProduit[[#This Row],[Prix de vente/kg]]*TableauProduit[[#This Row],[Total (kg) N1]]</f>
        <v/>
      </c>
      <c r="R77">
        <f>TableauProduit[[#This Row],[Revenu brut N1]]-TableauProduit[[#This Row],[Achat plantes N1]]-TableauProduit[[#This Row],[Conditionnement N1]]</f>
        <v/>
      </c>
      <c r="S77" t="n">
        <v>480</v>
      </c>
      <c r="T77">
        <f>TableauProduit[[#This Row],[Poids (g) / unité]]*TableauProduit[[#This Row],[Objectif de vente en unité N2]]/1000</f>
        <v/>
      </c>
      <c r="U77">
        <f>TableauProduit[[#This Row],[Objectif de vente en unité N2]]*TableauProduit[[#This Row],[Packaging / unité]]</f>
        <v/>
      </c>
      <c r="V77">
        <f>TableauProduit[[#This Row],[Prix achat plantes / kg]]*TableauProduit[[#This Row],[Total (kg) N2]]</f>
        <v/>
      </c>
      <c r="W77">
        <f>TableauProduit[[#This Row],[Prix de vente/kg]]*TableauProduit[[#This Row],[Total (kg) N2]]</f>
        <v/>
      </c>
      <c r="X77">
        <f>TableauProduit[[#This Row],[Revenu brut N2]]-TableauProduit[[#This Row],[Achat plantes N2]]-TableauProduit[[#This Row],[Conditionnement N2]]</f>
        <v/>
      </c>
      <c r="Y77" t="n">
        <v>560</v>
      </c>
      <c r="Z77">
        <f>TableauProduit[[#This Row],[Poids (g) / unité]]*TableauProduit[[#This Row],[Objectif de vente en unité N3]]/1000</f>
        <v/>
      </c>
      <c r="AA77">
        <f>TableauProduit[[#This Row],[Objectif de vente en unité N3]]*TableauProduit[[#This Row],[Packaging / unité]]</f>
        <v/>
      </c>
      <c r="AB77">
        <f>TableauProduit[[#This Row],[Prix achat plantes / kg]]*TableauProduit[[#This Row],[Total (kg) N3]]</f>
        <v/>
      </c>
      <c r="AC77">
        <f>TableauProduit[[#This Row],[Prix de vente/kg]]*TableauProduit[[#This Row],[Total (kg) N3]]</f>
        <v/>
      </c>
      <c r="AD77">
        <f>TableauProduit[[#This Row],[Revenu brut N3]]-TableauProduit[[#This Row],[Achat plantes N3]]-TableauProduit[[#This Row],[Conditionnement N3]]</f>
        <v/>
      </c>
      <c r="AE77" t="n">
        <v>608</v>
      </c>
      <c r="AF77">
        <f>TableauProduit[[#This Row],[Poids (g) / unité]]*TableauProduit[[#This Row],[Objectif de vente en unité N4]]/1000</f>
        <v/>
      </c>
      <c r="AG77">
        <f>TableauProduit[[#This Row],[Objectif de vente en unité N4]]*TableauProduit[[#This Row],[Packaging / unité]]</f>
        <v/>
      </c>
      <c r="AH77">
        <f>TableauProduit[[#This Row],[Prix achat plantes / kg]]*TableauProduit[[#This Row],[Total (kg) N4]]</f>
        <v/>
      </c>
      <c r="AI77">
        <f>TableauProduit[[#This Row],[Prix de vente/kg]]*TableauProduit[[#This Row],[Total (kg) N4]]</f>
        <v/>
      </c>
      <c r="AJ77">
        <f>TableauProduit[[#This Row],[Revenu brut N4]]-TableauProduit[[#This Row],[Achat plantes N4]]-TableauProduit[[#This Row],[Conditionnement N4]]</f>
        <v/>
      </c>
      <c r="AK77" t="n">
        <v>640</v>
      </c>
      <c r="AL77">
        <f>TableauProduit[[#This Row],[Poids (g) / unité]]*TableauProduit[[#This Row],[Objectif de vente en unité N5]]/1000</f>
        <v/>
      </c>
      <c r="AM77">
        <f>TableauProduit[[#This Row],[Objectif de vente en unité N5]]*TableauProduit[[#This Row],[Packaging / unité]]</f>
        <v/>
      </c>
      <c r="AN77">
        <f>TableauProduit[[#This Row],[Prix achat plantes / kg]]*TableauProduit[[#This Row],[Total (kg) N5]]</f>
        <v/>
      </c>
      <c r="AO77">
        <f>TableauProduit[[#This Row],[Prix de vente/kg]]*TableauProduit[[#This Row],[Total (kg) N5]]</f>
        <v/>
      </c>
      <c r="AP77">
        <f>TableauProduit[[#This Row],[Revenu brut N5]]-TableauProduit[[#This Row],[Achat plantes N5]]-TableauProduit[[#This Row],[Conditionnement N5]]</f>
        <v/>
      </c>
      <c r="AQ77" t="n">
        <v>640</v>
      </c>
      <c r="AR77">
        <f>TableauProduit[[#This Row],[Poids (g) / unité]]*TableauProduit[[#This Row],[Objectif de vente en unité N6]]/1000</f>
        <v/>
      </c>
      <c r="AS77">
        <f>TableauProduit[[#This Row],[Objectif de vente en unité N6]]*TableauProduit[[#This Row],[Packaging / unité]]</f>
        <v/>
      </c>
      <c r="AT77">
        <f>TableauProduit[[#This Row],[Prix achat plantes / kg]]*TableauProduit[[#This Row],[Total (kg) N6]]</f>
        <v/>
      </c>
      <c r="AU77">
        <f>TableauProduit[[#This Row],[Prix de vente/kg]]*TableauProduit[[#This Row],[Total (kg) N6]]</f>
        <v/>
      </c>
      <c r="AV77">
        <f>TableauProduit[[#This Row],[Revenu brut N6]]-TableauProduit[[#This Row],[Achat plantes N6]]-TableauProduit[[#This Row],[Conditionnement N6]]</f>
        <v/>
      </c>
      <c r="AW77" t="n">
        <v>640</v>
      </c>
      <c r="AX77">
        <f>TableauProduit[[#This Row],[Poids (g) / unité]]*TableauProduit[[#This Row],[Objectif de vente en unité N7]]/1000</f>
        <v/>
      </c>
      <c r="AY77">
        <f>TableauProduit[[#This Row],[Objectif de vente en unité N7]]*TableauProduit[[#This Row],[Packaging / unité]]</f>
        <v/>
      </c>
      <c r="AZ77">
        <f>TableauProduit[[#This Row],[Prix achat plantes / kg]]*TableauProduit[[#This Row],[Total (kg) N7]]</f>
        <v/>
      </c>
      <c r="BA77">
        <f>TableauProduit[[#This Row],[Prix de vente/kg]]*TableauProduit[[#This Row],[Total (kg) N7]]</f>
        <v/>
      </c>
      <c r="BB77">
        <f>TableauProduit[[#This Row],[Revenu brut N7]]-TableauProduit[[#This Row],[Achat plantes N7]]-TableauProduit[[#This Row],[Conditionnement N7]]</f>
        <v/>
      </c>
      <c r="BC77" t="n">
        <v>640</v>
      </c>
      <c r="BD77">
        <f>TableauProduit[[#This Row],[Poids (g) / unité]]*TableauProduit[[#This Row],[Objectif de vente en unité N8]]/1000</f>
        <v/>
      </c>
      <c r="BE77">
        <f>TableauProduit[[#This Row],[Objectif de vente en unité N8]]*TableauProduit[[#This Row],[Packaging / unité]]</f>
        <v/>
      </c>
      <c r="BF77">
        <f>TableauProduit[[#This Row],[Prix achat plantes / kg]]*TableauProduit[[#This Row],[Total (kg) N8]]</f>
        <v/>
      </c>
      <c r="BG77">
        <f>TableauProduit[[#This Row],[Prix de vente/kg]]*TableauProduit[[#This Row],[Total (kg) N8]]</f>
        <v/>
      </c>
      <c r="BH77">
        <f>TableauProduit[[#This Row],[Revenu brut N8]]-TableauProduit[[#This Row],[Achat plantes N8]]-TableauProduit[[#This Row],[Conditionnement N8]]</f>
        <v/>
      </c>
      <c r="BI77" t="n">
        <v>640</v>
      </c>
      <c r="BJ77">
        <f>TableauProduit[[#This Row],[Poids (g) / unité]]*TableauProduit[[#This Row],[Objectif de vente en unité N9]]/1000</f>
        <v/>
      </c>
      <c r="BK77">
        <f>TableauProduit[[#This Row],[Objectif de vente en unité N9]]*TableauProduit[[#This Row],[Packaging / unité]]</f>
        <v/>
      </c>
      <c r="BL77">
        <f>TableauProduit[[#This Row],[Prix achat plantes / kg]]*TableauProduit[[#This Row],[Total (kg) N9]]</f>
        <v/>
      </c>
      <c r="BM77">
        <f>TableauProduit[[#This Row],[Prix de vente/kg]]*TableauProduit[[#This Row],[Total (kg) N9]]</f>
        <v/>
      </c>
      <c r="BN77">
        <f>TableauProduit[[#This Row],[Revenu brut N9]]-TableauProduit[[#This Row],[Achat plantes N9]]-TableauProduit[[#This Row],[Conditionnement N9]]</f>
        <v/>
      </c>
      <c r="BO77" t="inlineStr">
        <is>
          <t>Transformé</t>
        </is>
      </c>
    </row>
    <row r="78">
      <c r="A78" t="inlineStr">
        <is>
          <t>Tisane du soir</t>
        </is>
      </c>
      <c r="B78">
        <f>TableauProduit[[#This Row],[Recette]]&amp;TableauProduit[[#This Row],[Conditionnement]]</f>
        <v/>
      </c>
      <c r="C78" t="n">
        <v>1</v>
      </c>
      <c r="D78" t="n">
        <v>40</v>
      </c>
      <c r="E78" t="inlineStr">
        <is>
          <t>Recharge craft 100ml</t>
        </is>
      </c>
      <c r="F78">
        <f>IFERROR(VLOOKUP(TableauProduit[[#This Row],[Conditionnement]],TableauConditionnement[[Nom]:[Contenance]],4,FALSE),"")</f>
        <v/>
      </c>
      <c r="G78">
        <f>IFERROR(SUMIFS(TableauRecette[Prix d''achat / kg],TableauRecette[Recette],TableauProduit[[#This Row],[Recette]],TableauRecette[Conditionnement],TableauProduit[[#This Row],[Conditionnement]]),0)</f>
        <v/>
      </c>
      <c r="H78" t="n">
        <v>5.5</v>
      </c>
      <c r="I78">
        <f>1000*TableauProduit[[#This Row],[Prix de vente/U]]/TableauProduit[[#This Row],[Poids (g) / unité]]</f>
        <v/>
      </c>
      <c r="J78">
        <f>SUMIFS(TableauConcurence[PRIX_KG],TableauConcurence[PRODUIT],TableauProduit[[#This Row],[Recette]],TableauConcurence[DISTRIBUTION],"magasin NON BIO")</f>
        <v/>
      </c>
      <c r="K78">
        <f>SUMIFS(TableauConcurence[PRIX_KG],TableauConcurence[PRODUIT],TableauProduit[[#This Row],[Recette]],TableauConcurence[DISTRIBUTION],"magasin BIO")</f>
        <v/>
      </c>
      <c r="L78">
        <f>SUMIFS(TableauConcurence[PRIX_KG],TableauConcurence[PRODUIT],TableauProduit[[#This Row],[Recette]],TableauConcurence[DISTRIBUTION],"artisanale BIO")</f>
        <v/>
      </c>
      <c r="M78" t="n">
        <v>180</v>
      </c>
      <c r="N78">
        <f>TableauProduit[[#This Row],[Poids (g) / unité]]*TableauProduit[[#This Row],[Objectif de vente en unité N1]]/1000</f>
        <v/>
      </c>
      <c r="O78">
        <f>TableauProduit[[#This Row],[Objectif de vente en unité N1]]*TableauProduit[[#This Row],[Packaging / unité]]</f>
        <v/>
      </c>
      <c r="P78">
        <f>TableauProduit[[#This Row],[Prix achat plantes / kg]]*TableauProduit[[#This Row],[Total (kg) N1]]</f>
        <v/>
      </c>
      <c r="Q78">
        <f>TableauProduit[[#This Row],[Prix de vente/kg]]*TableauProduit[[#This Row],[Total (kg) N1]]</f>
        <v/>
      </c>
      <c r="R78">
        <f>TableauProduit[[#This Row],[Revenu brut N1]]-TableauProduit[[#This Row],[Achat plantes N1]]-TableauProduit[[#This Row],[Conditionnement N1]]</f>
        <v/>
      </c>
      <c r="S78" t="n">
        <v>270</v>
      </c>
      <c r="T78">
        <f>TableauProduit[[#This Row],[Poids (g) / unité]]*TableauProduit[[#This Row],[Objectif de vente en unité N2]]/1000</f>
        <v/>
      </c>
      <c r="U78">
        <f>TableauProduit[[#This Row],[Objectif de vente en unité N2]]*TableauProduit[[#This Row],[Packaging / unité]]</f>
        <v/>
      </c>
      <c r="V78">
        <f>TableauProduit[[#This Row],[Prix achat plantes / kg]]*TableauProduit[[#This Row],[Total (kg) N2]]</f>
        <v/>
      </c>
      <c r="W78">
        <f>TableauProduit[[#This Row],[Prix de vente/kg]]*TableauProduit[[#This Row],[Total (kg) N2]]</f>
        <v/>
      </c>
      <c r="X78">
        <f>TableauProduit[[#This Row],[Revenu brut N2]]-TableauProduit[[#This Row],[Achat plantes N2]]-TableauProduit[[#This Row],[Conditionnement N2]]</f>
        <v/>
      </c>
      <c r="Y78" t="n">
        <v>315</v>
      </c>
      <c r="Z78">
        <f>TableauProduit[[#This Row],[Poids (g) / unité]]*TableauProduit[[#This Row],[Objectif de vente en unité N3]]/1000</f>
        <v/>
      </c>
      <c r="AA78">
        <f>TableauProduit[[#This Row],[Objectif de vente en unité N3]]*TableauProduit[[#This Row],[Packaging / unité]]</f>
        <v/>
      </c>
      <c r="AB78">
        <f>TableauProduit[[#This Row],[Prix achat plantes / kg]]*TableauProduit[[#This Row],[Total (kg) N3]]</f>
        <v/>
      </c>
      <c r="AC78">
        <f>TableauProduit[[#This Row],[Prix de vente/kg]]*TableauProduit[[#This Row],[Total (kg) N3]]</f>
        <v/>
      </c>
      <c r="AD78">
        <f>TableauProduit[[#This Row],[Revenu brut N3]]-TableauProduit[[#This Row],[Achat plantes N3]]-TableauProduit[[#This Row],[Conditionnement N3]]</f>
        <v/>
      </c>
      <c r="AE78" t="n">
        <v>342</v>
      </c>
      <c r="AF78">
        <f>TableauProduit[[#This Row],[Poids (g) / unité]]*TableauProduit[[#This Row],[Objectif de vente en unité N4]]/1000</f>
        <v/>
      </c>
      <c r="AG78">
        <f>TableauProduit[[#This Row],[Objectif de vente en unité N4]]*TableauProduit[[#This Row],[Packaging / unité]]</f>
        <v/>
      </c>
      <c r="AH78">
        <f>TableauProduit[[#This Row],[Prix achat plantes / kg]]*TableauProduit[[#This Row],[Total (kg) N4]]</f>
        <v/>
      </c>
      <c r="AI78">
        <f>TableauProduit[[#This Row],[Prix de vente/kg]]*TableauProduit[[#This Row],[Total (kg) N4]]</f>
        <v/>
      </c>
      <c r="AJ78">
        <f>TableauProduit[[#This Row],[Revenu brut N4]]-TableauProduit[[#This Row],[Achat plantes N4]]-TableauProduit[[#This Row],[Conditionnement N4]]</f>
        <v/>
      </c>
      <c r="AK78" t="n">
        <v>360</v>
      </c>
      <c r="AL78">
        <f>TableauProduit[[#This Row],[Poids (g) / unité]]*TableauProduit[[#This Row],[Objectif de vente en unité N5]]/1000</f>
        <v/>
      </c>
      <c r="AM78">
        <f>TableauProduit[[#This Row],[Objectif de vente en unité N5]]*TableauProduit[[#This Row],[Packaging / unité]]</f>
        <v/>
      </c>
      <c r="AN78">
        <f>TableauProduit[[#This Row],[Prix achat plantes / kg]]*TableauProduit[[#This Row],[Total (kg) N5]]</f>
        <v/>
      </c>
      <c r="AO78">
        <f>TableauProduit[[#This Row],[Prix de vente/kg]]*TableauProduit[[#This Row],[Total (kg) N5]]</f>
        <v/>
      </c>
      <c r="AP78">
        <f>TableauProduit[[#This Row],[Revenu brut N5]]-TableauProduit[[#This Row],[Achat plantes N5]]-TableauProduit[[#This Row],[Conditionnement N5]]</f>
        <v/>
      </c>
      <c r="AQ78" t="n">
        <v>360</v>
      </c>
      <c r="AR78">
        <f>TableauProduit[[#This Row],[Poids (g) / unité]]*TableauProduit[[#This Row],[Objectif de vente en unité N6]]/1000</f>
        <v/>
      </c>
      <c r="AS78">
        <f>TableauProduit[[#This Row],[Objectif de vente en unité N6]]*TableauProduit[[#This Row],[Packaging / unité]]</f>
        <v/>
      </c>
      <c r="AT78">
        <f>TableauProduit[[#This Row],[Prix achat plantes / kg]]*TableauProduit[[#This Row],[Total (kg) N6]]</f>
        <v/>
      </c>
      <c r="AU78">
        <f>TableauProduit[[#This Row],[Prix de vente/kg]]*TableauProduit[[#This Row],[Total (kg) N6]]</f>
        <v/>
      </c>
      <c r="AV78">
        <f>TableauProduit[[#This Row],[Revenu brut N6]]-TableauProduit[[#This Row],[Achat plantes N6]]-TableauProduit[[#This Row],[Conditionnement N6]]</f>
        <v/>
      </c>
      <c r="AW78" t="n">
        <v>360</v>
      </c>
      <c r="AX78">
        <f>TableauProduit[[#This Row],[Poids (g) / unité]]*TableauProduit[[#This Row],[Objectif de vente en unité N7]]/1000</f>
        <v/>
      </c>
      <c r="AY78">
        <f>TableauProduit[[#This Row],[Objectif de vente en unité N7]]*TableauProduit[[#This Row],[Packaging / unité]]</f>
        <v/>
      </c>
      <c r="AZ78">
        <f>TableauProduit[[#This Row],[Prix achat plantes / kg]]*TableauProduit[[#This Row],[Total (kg) N7]]</f>
        <v/>
      </c>
      <c r="BA78">
        <f>TableauProduit[[#This Row],[Prix de vente/kg]]*TableauProduit[[#This Row],[Total (kg) N7]]</f>
        <v/>
      </c>
      <c r="BB78">
        <f>TableauProduit[[#This Row],[Revenu brut N7]]-TableauProduit[[#This Row],[Achat plantes N7]]-TableauProduit[[#This Row],[Conditionnement N7]]</f>
        <v/>
      </c>
      <c r="BC78" t="n">
        <v>360</v>
      </c>
      <c r="BD78">
        <f>TableauProduit[[#This Row],[Poids (g) / unité]]*TableauProduit[[#This Row],[Objectif de vente en unité N8]]/1000</f>
        <v/>
      </c>
      <c r="BE78">
        <f>TableauProduit[[#This Row],[Objectif de vente en unité N8]]*TableauProduit[[#This Row],[Packaging / unité]]</f>
        <v/>
      </c>
      <c r="BF78">
        <f>TableauProduit[[#This Row],[Prix achat plantes / kg]]*TableauProduit[[#This Row],[Total (kg) N8]]</f>
        <v/>
      </c>
      <c r="BG78">
        <f>TableauProduit[[#This Row],[Prix de vente/kg]]*TableauProduit[[#This Row],[Total (kg) N8]]</f>
        <v/>
      </c>
      <c r="BH78">
        <f>TableauProduit[[#This Row],[Revenu brut N8]]-TableauProduit[[#This Row],[Achat plantes N8]]-TableauProduit[[#This Row],[Conditionnement N8]]</f>
        <v/>
      </c>
      <c r="BI78" t="n">
        <v>360</v>
      </c>
      <c r="BJ78">
        <f>TableauProduit[[#This Row],[Poids (g) / unité]]*TableauProduit[[#This Row],[Objectif de vente en unité N9]]/1000</f>
        <v/>
      </c>
      <c r="BK78">
        <f>TableauProduit[[#This Row],[Objectif de vente en unité N9]]*TableauProduit[[#This Row],[Packaging / unité]]</f>
        <v/>
      </c>
      <c r="BL78">
        <f>TableauProduit[[#This Row],[Prix achat plantes / kg]]*TableauProduit[[#This Row],[Total (kg) N9]]</f>
        <v/>
      </c>
      <c r="BM78">
        <f>TableauProduit[[#This Row],[Prix de vente/kg]]*TableauProduit[[#This Row],[Total (kg) N9]]</f>
        <v/>
      </c>
      <c r="BN78">
        <f>TableauProduit[[#This Row],[Revenu brut N9]]-TableauProduit[[#This Row],[Achat plantes N9]]-TableauProduit[[#This Row],[Conditionnement N9]]</f>
        <v/>
      </c>
      <c r="BO78" t="inlineStr">
        <is>
          <t>Transformé</t>
        </is>
      </c>
    </row>
    <row r="79">
      <c r="A79" t="inlineStr">
        <is>
          <t>Tisane rafraîchissante</t>
        </is>
      </c>
      <c r="B79">
        <f>TableauProduit[[#This Row],[Recette]]&amp;TableauProduit[[#This Row],[Conditionnement]]</f>
        <v/>
      </c>
      <c r="C79" t="n">
        <v>1</v>
      </c>
      <c r="D79" t="n">
        <v>40</v>
      </c>
      <c r="E79" t="inlineStr">
        <is>
          <t>Recharge craft 100ml</t>
        </is>
      </c>
      <c r="F79">
        <f>IFERROR(VLOOKUP(TableauProduit[[#This Row],[Conditionnement]],TableauConditionnement[[Nom]:[Contenance]],4,FALSE),"")</f>
        <v/>
      </c>
      <c r="G79">
        <f>IFERROR(SUMIFS(TableauRecette[Prix d''achat / kg],TableauRecette[Recette],TableauProduit[[#This Row],[Recette]],TableauRecette[Conditionnement],TableauProduit[[#This Row],[Conditionnement]]),0)</f>
        <v/>
      </c>
      <c r="H79" t="n">
        <v>5.5</v>
      </c>
      <c r="I79">
        <f>1000*TableauProduit[[#This Row],[Prix de vente/U]]/TableauProduit[[#This Row],[Poids (g) / unité]]</f>
        <v/>
      </c>
      <c r="J79">
        <f>SUMIFS(TableauConcurence[PRIX_KG],TableauConcurence[PRODUIT],TableauProduit[[#This Row],[Recette]],TableauConcurence[DISTRIBUTION],"magasin NON BIO")</f>
        <v/>
      </c>
      <c r="K79">
        <f>SUMIFS(TableauConcurence[PRIX_KG],TableauConcurence[PRODUIT],TableauProduit[[#This Row],[Recette]],TableauConcurence[DISTRIBUTION],"magasin BIO")</f>
        <v/>
      </c>
      <c r="L79">
        <f>SUMIFS(TableauConcurence[PRIX_KG],TableauConcurence[PRODUIT],TableauProduit[[#This Row],[Recette]],TableauConcurence[DISTRIBUTION],"artisanale BIO")</f>
        <v/>
      </c>
      <c r="M79" t="n">
        <v>0</v>
      </c>
      <c r="N79">
        <f>TableauProduit[[#This Row],[Poids (g) / unité]]*TableauProduit[[#This Row],[Objectif de vente en unité N1]]/1000</f>
        <v/>
      </c>
      <c r="O79">
        <f>TableauProduit[[#This Row],[Objectif de vente en unité N1]]*TableauProduit[[#This Row],[Packaging / unité]]</f>
        <v/>
      </c>
      <c r="P79">
        <f>TableauProduit[[#This Row],[Prix achat plantes / kg]]*TableauProduit[[#This Row],[Total (kg) N1]]</f>
        <v/>
      </c>
      <c r="Q79">
        <f>TableauProduit[[#This Row],[Prix de vente/kg]]*TableauProduit[[#This Row],[Total (kg) N1]]</f>
        <v/>
      </c>
      <c r="R79">
        <f>TableauProduit[[#This Row],[Revenu brut N1]]-TableauProduit[[#This Row],[Achat plantes N1]]-TableauProduit[[#This Row],[Conditionnement N1]]</f>
        <v/>
      </c>
      <c r="S79" t="n">
        <v>0</v>
      </c>
      <c r="T79">
        <f>TableauProduit[[#This Row],[Poids (g) / unité]]*TableauProduit[[#This Row],[Objectif de vente en unité N2]]/1000</f>
        <v/>
      </c>
      <c r="U79">
        <f>TableauProduit[[#This Row],[Objectif de vente en unité N2]]*TableauProduit[[#This Row],[Packaging / unité]]</f>
        <v/>
      </c>
      <c r="V79">
        <f>TableauProduit[[#This Row],[Prix achat plantes / kg]]*TableauProduit[[#This Row],[Total (kg) N2]]</f>
        <v/>
      </c>
      <c r="W79">
        <f>TableauProduit[[#This Row],[Prix de vente/kg]]*TableauProduit[[#This Row],[Total (kg) N2]]</f>
        <v/>
      </c>
      <c r="X79">
        <f>TableauProduit[[#This Row],[Revenu brut N2]]-TableauProduit[[#This Row],[Achat plantes N2]]-TableauProduit[[#This Row],[Conditionnement N2]]</f>
        <v/>
      </c>
      <c r="Y79" t="n">
        <v>100</v>
      </c>
      <c r="Z79">
        <f>TableauProduit[[#This Row],[Poids (g) / unité]]*TableauProduit[[#This Row],[Objectif de vente en unité N3]]/1000</f>
        <v/>
      </c>
      <c r="AA79">
        <f>TableauProduit[[#This Row],[Objectif de vente en unité N3]]*TableauProduit[[#This Row],[Packaging / unité]]</f>
        <v/>
      </c>
      <c r="AB79">
        <f>TableauProduit[[#This Row],[Prix achat plantes / kg]]*TableauProduit[[#This Row],[Total (kg) N3]]</f>
        <v/>
      </c>
      <c r="AC79">
        <f>TableauProduit[[#This Row],[Prix de vente/kg]]*TableauProduit[[#This Row],[Total (kg) N3]]</f>
        <v/>
      </c>
      <c r="AD79">
        <f>TableauProduit[[#This Row],[Revenu brut N3]]-TableauProduit[[#This Row],[Achat plantes N3]]-TableauProduit[[#This Row],[Conditionnement N3]]</f>
        <v/>
      </c>
      <c r="AE79" t="n">
        <v>130</v>
      </c>
      <c r="AF79">
        <f>TableauProduit[[#This Row],[Poids (g) / unité]]*TableauProduit[[#This Row],[Objectif de vente en unité N4]]/1000</f>
        <v/>
      </c>
      <c r="AG79">
        <f>TableauProduit[[#This Row],[Objectif de vente en unité N4]]*TableauProduit[[#This Row],[Packaging / unité]]</f>
        <v/>
      </c>
      <c r="AH79">
        <f>TableauProduit[[#This Row],[Prix achat plantes / kg]]*TableauProduit[[#This Row],[Total (kg) N4]]</f>
        <v/>
      </c>
      <c r="AI79">
        <f>TableauProduit[[#This Row],[Prix de vente/kg]]*TableauProduit[[#This Row],[Total (kg) N4]]</f>
        <v/>
      </c>
      <c r="AJ79">
        <f>TableauProduit[[#This Row],[Revenu brut N4]]-TableauProduit[[#This Row],[Achat plantes N4]]-TableauProduit[[#This Row],[Conditionnement N4]]</f>
        <v/>
      </c>
      <c r="AK79" t="n">
        <v>150</v>
      </c>
      <c r="AL79">
        <f>TableauProduit[[#This Row],[Poids (g) / unité]]*TableauProduit[[#This Row],[Objectif de vente en unité N5]]/1000</f>
        <v/>
      </c>
      <c r="AM79">
        <f>TableauProduit[[#This Row],[Objectif de vente en unité N5]]*TableauProduit[[#This Row],[Packaging / unité]]</f>
        <v/>
      </c>
      <c r="AN79">
        <f>TableauProduit[[#This Row],[Prix achat plantes / kg]]*TableauProduit[[#This Row],[Total (kg) N5]]</f>
        <v/>
      </c>
      <c r="AO79">
        <f>TableauProduit[[#This Row],[Prix de vente/kg]]*TableauProduit[[#This Row],[Total (kg) N5]]</f>
        <v/>
      </c>
      <c r="AP79">
        <f>TableauProduit[[#This Row],[Revenu brut N5]]-TableauProduit[[#This Row],[Achat plantes N5]]-TableauProduit[[#This Row],[Conditionnement N5]]</f>
        <v/>
      </c>
      <c r="AQ79" t="n">
        <v>150</v>
      </c>
      <c r="AR79">
        <f>TableauProduit[[#This Row],[Poids (g) / unité]]*TableauProduit[[#This Row],[Objectif de vente en unité N6]]/1000</f>
        <v/>
      </c>
      <c r="AS79">
        <f>TableauProduit[[#This Row],[Objectif de vente en unité N6]]*TableauProduit[[#This Row],[Packaging / unité]]</f>
        <v/>
      </c>
      <c r="AT79">
        <f>TableauProduit[[#This Row],[Prix achat plantes / kg]]*TableauProduit[[#This Row],[Total (kg) N6]]</f>
        <v/>
      </c>
      <c r="AU79">
        <f>TableauProduit[[#This Row],[Prix de vente/kg]]*TableauProduit[[#This Row],[Total (kg) N6]]</f>
        <v/>
      </c>
      <c r="AV79">
        <f>TableauProduit[[#This Row],[Revenu brut N6]]-TableauProduit[[#This Row],[Achat plantes N6]]-TableauProduit[[#This Row],[Conditionnement N6]]</f>
        <v/>
      </c>
      <c r="AW79" t="n">
        <v>150</v>
      </c>
      <c r="AX79">
        <f>TableauProduit[[#This Row],[Poids (g) / unité]]*TableauProduit[[#This Row],[Objectif de vente en unité N7]]/1000</f>
        <v/>
      </c>
      <c r="AY79">
        <f>TableauProduit[[#This Row],[Objectif de vente en unité N7]]*TableauProduit[[#This Row],[Packaging / unité]]</f>
        <v/>
      </c>
      <c r="AZ79">
        <f>TableauProduit[[#This Row],[Prix achat plantes / kg]]*TableauProduit[[#This Row],[Total (kg) N7]]</f>
        <v/>
      </c>
      <c r="BA79">
        <f>TableauProduit[[#This Row],[Prix de vente/kg]]*TableauProduit[[#This Row],[Total (kg) N7]]</f>
        <v/>
      </c>
      <c r="BB79">
        <f>TableauProduit[[#This Row],[Revenu brut N7]]-TableauProduit[[#This Row],[Achat plantes N7]]-TableauProduit[[#This Row],[Conditionnement N7]]</f>
        <v/>
      </c>
      <c r="BC79" t="n">
        <v>150</v>
      </c>
      <c r="BD79">
        <f>TableauProduit[[#This Row],[Poids (g) / unité]]*TableauProduit[[#This Row],[Objectif de vente en unité N8]]/1000</f>
        <v/>
      </c>
      <c r="BE79">
        <f>TableauProduit[[#This Row],[Objectif de vente en unité N8]]*TableauProduit[[#This Row],[Packaging / unité]]</f>
        <v/>
      </c>
      <c r="BF79">
        <f>TableauProduit[[#This Row],[Prix achat plantes / kg]]*TableauProduit[[#This Row],[Total (kg) N8]]</f>
        <v/>
      </c>
      <c r="BG79">
        <f>TableauProduit[[#This Row],[Prix de vente/kg]]*TableauProduit[[#This Row],[Total (kg) N8]]</f>
        <v/>
      </c>
      <c r="BH79">
        <f>TableauProduit[[#This Row],[Revenu brut N8]]-TableauProduit[[#This Row],[Achat plantes N8]]-TableauProduit[[#This Row],[Conditionnement N8]]</f>
        <v/>
      </c>
      <c r="BI79" t="n">
        <v>150</v>
      </c>
      <c r="BJ79">
        <f>TableauProduit[[#This Row],[Poids (g) / unité]]*TableauProduit[[#This Row],[Objectif de vente en unité N9]]/1000</f>
        <v/>
      </c>
      <c r="BK79">
        <f>TableauProduit[[#This Row],[Objectif de vente en unité N9]]*TableauProduit[[#This Row],[Packaging / unité]]</f>
        <v/>
      </c>
      <c r="BL79">
        <f>TableauProduit[[#This Row],[Prix achat plantes / kg]]*TableauProduit[[#This Row],[Total (kg) N9]]</f>
        <v/>
      </c>
      <c r="BM79">
        <f>TableauProduit[[#This Row],[Prix de vente/kg]]*TableauProduit[[#This Row],[Total (kg) N9]]</f>
        <v/>
      </c>
      <c r="BN79">
        <f>TableauProduit[[#This Row],[Revenu brut N9]]-TableauProduit[[#This Row],[Achat plantes N9]]-TableauProduit[[#This Row],[Conditionnement N9]]</f>
        <v/>
      </c>
      <c r="BO79" t="inlineStr">
        <is>
          <t>Transformé</t>
        </is>
      </c>
    </row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>
      <c r="A248" t="inlineStr">
        <is>
          <t>Sirop de menthe chocolat</t>
        </is>
      </c>
      <c r="B248">
        <f>TableauProduit[[#This Row],[Recette]]&amp;TableauProduit[[#This Row],[Conditionnement]]</f>
        <v/>
      </c>
      <c r="C248" t="n">
        <v>1</v>
      </c>
      <c r="D248" t="n">
        <v>500</v>
      </c>
      <c r="E248" t="inlineStr">
        <is>
          <t>Sirop 500 ml</t>
        </is>
      </c>
      <c r="F248">
        <f>IFERROR(VLOOKUP(TableauProduit[[#This Row],[Conditionnement]],TableauConditionnement[[Nom]:[Contenance]],4,FALSE),"")</f>
        <v/>
      </c>
      <c r="G248">
        <f>IFERROR(SUMIFS(TableauRecette[Prix d''achat / kg],TableauRecette[Recette],TableauProduit[[#This Row],[Recette]],TableauRecette[Conditionnement],TableauProduit[[#This Row],[Conditionnement]]),0)</f>
        <v/>
      </c>
      <c r="H248" t="n">
        <v>7.5</v>
      </c>
      <c r="I248">
        <f>1000*TableauProduit[[#This Row],[Prix de vente/U]]/TableauProduit[[#This Row],[Poids (g) / unité]]</f>
        <v/>
      </c>
      <c r="J248">
        <f>SUMIFS(TableauConcurence[PRIX_KG],TableauConcurence[PRODUIT],TableauProduit[[#This Row],[Recette]],TableauConcurence[DISTRIBUTION],"magasin NON BIO")</f>
        <v/>
      </c>
      <c r="K248">
        <f>SUMIFS(TableauConcurence[PRIX_KG],TableauConcurence[PRODUIT],TableauProduit[[#This Row],[Recette]],TableauConcurence[DISTRIBUTION],"magasin BIO")</f>
        <v/>
      </c>
      <c r="L248">
        <f>SUMIFS(TableauConcurence[PRIX_KG],TableauConcurence[PRODUIT],TableauProduit[[#This Row],[Recette]],TableauConcurence[DISTRIBUTION],"artisanale BIO")</f>
        <v/>
      </c>
      <c r="M248" t="n">
        <v>220</v>
      </c>
      <c r="N248">
        <f>TableauProduit[[#This Row],[Poids (g) / unité]]*TableauProduit[[#This Row],[Objectif de vente en unité N1]]/1000</f>
        <v/>
      </c>
      <c r="O248">
        <f>TableauProduit[[#This Row],[Objectif de vente en unité N1]]*TableauProduit[[#This Row],[Packaging / unité]]</f>
        <v/>
      </c>
      <c r="P248">
        <f>TableauProduit[[#This Row],[Prix achat plantes / kg]]*TableauProduit[[#This Row],[Total (kg) N1]]</f>
        <v/>
      </c>
      <c r="Q248">
        <f>TableauProduit[[#This Row],[Prix de vente/kg]]*TableauProduit[[#This Row],[Total (kg) N1]]</f>
        <v/>
      </c>
      <c r="R248">
        <f>TableauProduit[[#This Row],[Revenu brut N1]]-TableauProduit[[#This Row],[Achat plantes N1]]-TableauProduit[[#This Row],[Conditionnement N1]]</f>
        <v/>
      </c>
      <c r="S248" t="n">
        <v>330</v>
      </c>
      <c r="T248">
        <f>TableauProduit[[#This Row],[Poids (g) / unité]]*TableauProduit[[#This Row],[Objectif de vente en unité N2]]/1000</f>
        <v/>
      </c>
      <c r="U248">
        <f>TableauProduit[[#This Row],[Objectif de vente en unité N2]]*TableauProduit[[#This Row],[Packaging / unité]]</f>
        <v/>
      </c>
      <c r="V248">
        <f>TableauProduit[[#This Row],[Prix achat plantes / kg]]*TableauProduit[[#This Row],[Total (kg) N2]]</f>
        <v/>
      </c>
      <c r="W248">
        <f>TableauProduit[[#This Row],[Prix de vente/kg]]*TableauProduit[[#This Row],[Total (kg) N2]]</f>
        <v/>
      </c>
      <c r="X248">
        <f>TableauProduit[[#This Row],[Revenu brut N2]]-TableauProduit[[#This Row],[Achat plantes N2]]-TableauProduit[[#This Row],[Conditionnement N2]]</f>
        <v/>
      </c>
      <c r="Y248" t="n">
        <v>385</v>
      </c>
      <c r="Z248">
        <f>TableauProduit[[#This Row],[Poids (g) / unité]]*TableauProduit[[#This Row],[Objectif de vente en unité N3]]/1000</f>
        <v/>
      </c>
      <c r="AA248">
        <f>TableauProduit[[#This Row],[Objectif de vente en unité N3]]*TableauProduit[[#This Row],[Packaging / unité]]</f>
        <v/>
      </c>
      <c r="AB248">
        <f>TableauProduit[[#This Row],[Prix achat plantes / kg]]*TableauProduit[[#This Row],[Total (kg) N3]]</f>
        <v/>
      </c>
      <c r="AC248">
        <f>TableauProduit[[#This Row],[Prix de vente/kg]]*TableauProduit[[#This Row],[Total (kg) N3]]</f>
        <v/>
      </c>
      <c r="AD248">
        <f>TableauProduit[[#This Row],[Revenu brut N3]]-TableauProduit[[#This Row],[Achat plantes N3]]-TableauProduit[[#This Row],[Conditionnement N3]]</f>
        <v/>
      </c>
      <c r="AE248" t="n">
        <v>418</v>
      </c>
      <c r="AF248">
        <f>TableauProduit[[#This Row],[Poids (g) / unité]]*TableauProduit[[#This Row],[Objectif de vente en unité N4]]/1000</f>
        <v/>
      </c>
      <c r="AG248">
        <f>TableauProduit[[#This Row],[Objectif de vente en unité N4]]*TableauProduit[[#This Row],[Packaging / unité]]</f>
        <v/>
      </c>
      <c r="AH248">
        <f>TableauProduit[[#This Row],[Prix achat plantes / kg]]*TableauProduit[[#This Row],[Total (kg) N4]]</f>
        <v/>
      </c>
      <c r="AI248">
        <f>TableauProduit[[#This Row],[Prix de vente/kg]]*TableauProduit[[#This Row],[Total (kg) N4]]</f>
        <v/>
      </c>
      <c r="AJ248">
        <f>TableauProduit[[#This Row],[Revenu brut N4]]-TableauProduit[[#This Row],[Achat plantes N4]]-TableauProduit[[#This Row],[Conditionnement N4]]</f>
        <v/>
      </c>
      <c r="AK248" t="n">
        <v>440</v>
      </c>
      <c r="AL248">
        <f>TableauProduit[[#This Row],[Poids (g) / unité]]*TableauProduit[[#This Row],[Objectif de vente en unité N5]]/1000</f>
        <v/>
      </c>
      <c r="AM248">
        <f>TableauProduit[[#This Row],[Objectif de vente en unité N5]]*TableauProduit[[#This Row],[Packaging / unité]]</f>
        <v/>
      </c>
      <c r="AN248">
        <f>TableauProduit[[#This Row],[Prix achat plantes / kg]]*TableauProduit[[#This Row],[Total (kg) N5]]</f>
        <v/>
      </c>
      <c r="AO248">
        <f>TableauProduit[[#This Row],[Prix de vente/kg]]*TableauProduit[[#This Row],[Total (kg) N5]]</f>
        <v/>
      </c>
      <c r="AP248">
        <f>TableauProduit[[#This Row],[Revenu brut N5]]-TableauProduit[[#This Row],[Achat plantes N5]]-TableauProduit[[#This Row],[Conditionnement N5]]</f>
        <v/>
      </c>
      <c r="AQ248" t="n">
        <v>440</v>
      </c>
      <c r="AR248">
        <f>TableauProduit[[#This Row],[Poids (g) / unité]]*TableauProduit[[#This Row],[Objectif de vente en unité N6]]/1000</f>
        <v/>
      </c>
      <c r="AS248">
        <f>TableauProduit[[#This Row],[Objectif de vente en unité N6]]*TableauProduit[[#This Row],[Packaging / unité]]</f>
        <v/>
      </c>
      <c r="AT248">
        <f>TableauProduit[[#This Row],[Prix achat plantes / kg]]*TableauProduit[[#This Row],[Total (kg) N6]]</f>
        <v/>
      </c>
      <c r="AU248">
        <f>TableauProduit[[#This Row],[Prix de vente/kg]]*TableauProduit[[#This Row],[Total (kg) N6]]</f>
        <v/>
      </c>
      <c r="AV248">
        <f>TableauProduit[[#This Row],[Revenu brut N6]]-TableauProduit[[#This Row],[Achat plantes N6]]-TableauProduit[[#This Row],[Conditionnement N6]]</f>
        <v/>
      </c>
      <c r="AW248" t="n">
        <v>440</v>
      </c>
      <c r="AX248">
        <f>TableauProduit[[#This Row],[Poids (g) / unité]]*TableauProduit[[#This Row],[Objectif de vente en unité N7]]/1000</f>
        <v/>
      </c>
      <c r="AY248">
        <f>TableauProduit[[#This Row],[Objectif de vente en unité N7]]*TableauProduit[[#This Row],[Packaging / unité]]</f>
        <v/>
      </c>
      <c r="AZ248">
        <f>TableauProduit[[#This Row],[Prix achat plantes / kg]]*TableauProduit[[#This Row],[Total (kg) N7]]</f>
        <v/>
      </c>
      <c r="BA248">
        <f>TableauProduit[[#This Row],[Prix de vente/kg]]*TableauProduit[[#This Row],[Total (kg) N7]]</f>
        <v/>
      </c>
      <c r="BB248">
        <f>TableauProduit[[#This Row],[Revenu brut N7]]-TableauProduit[[#This Row],[Achat plantes N7]]-TableauProduit[[#This Row],[Conditionnement N7]]</f>
        <v/>
      </c>
      <c r="BC248" t="n">
        <v>440</v>
      </c>
      <c r="BD248">
        <f>TableauProduit[[#This Row],[Poids (g) / unité]]*TableauProduit[[#This Row],[Objectif de vente en unité N8]]/1000</f>
        <v/>
      </c>
      <c r="BE248">
        <f>TableauProduit[[#This Row],[Objectif de vente en unité N8]]*TableauProduit[[#This Row],[Packaging / unité]]</f>
        <v/>
      </c>
      <c r="BF248">
        <f>TableauProduit[[#This Row],[Prix achat plantes / kg]]*TableauProduit[[#This Row],[Total (kg) N8]]</f>
        <v/>
      </c>
      <c r="BG248">
        <f>TableauProduit[[#This Row],[Prix de vente/kg]]*TableauProduit[[#This Row],[Total (kg) N8]]</f>
        <v/>
      </c>
      <c r="BH248">
        <f>TableauProduit[[#This Row],[Revenu brut N8]]-TableauProduit[[#This Row],[Achat plantes N8]]-TableauProduit[[#This Row],[Conditionnement N8]]</f>
        <v/>
      </c>
      <c r="BI248" t="n">
        <v>440</v>
      </c>
      <c r="BJ248">
        <f>TableauProduit[[#This Row],[Poids (g) / unité]]*TableauProduit[[#This Row],[Objectif de vente en unité N9]]/1000</f>
        <v/>
      </c>
      <c r="BK248">
        <f>TableauProduit[[#This Row],[Objectif de vente en unité N9]]*TableauProduit[[#This Row],[Packaging / unité]]</f>
        <v/>
      </c>
      <c r="BL248">
        <f>TableauProduit[[#This Row],[Prix achat plantes / kg]]*TableauProduit[[#This Row],[Total (kg) N9]]</f>
        <v/>
      </c>
      <c r="BM248">
        <f>TableauProduit[[#This Row],[Prix de vente/kg]]*TableauProduit[[#This Row],[Total (kg) N9]]</f>
        <v/>
      </c>
      <c r="BN248">
        <f>TableauProduit[[#This Row],[Revenu brut N9]]-TableauProduit[[#This Row],[Achat plantes N9]]-TableauProduit[[#This Row],[Conditionnement N9]]</f>
        <v/>
      </c>
      <c r="BO248" t="inlineStr">
        <is>
          <t>Transformé</t>
        </is>
      </c>
    </row>
    <row r="249">
      <c r="A249" t="inlineStr">
        <is>
          <t>Sirop de verveine</t>
        </is>
      </c>
      <c r="B249">
        <f>TableauProduit[[#This Row],[Recette]]&amp;TableauProduit[[#This Row],[Conditionnement]]</f>
        <v/>
      </c>
      <c r="C249" t="n">
        <v>1</v>
      </c>
      <c r="D249" t="n">
        <v>500</v>
      </c>
      <c r="E249" t="inlineStr">
        <is>
          <t>Sirop 500 ml</t>
        </is>
      </c>
      <c r="F249">
        <f>IFERROR(VLOOKUP(TableauProduit[[#This Row],[Conditionnement]],TableauConditionnement[[Nom]:[Contenance]],4,FALSE),"")</f>
        <v/>
      </c>
      <c r="G249">
        <f>IFERROR(SUMIFS(TableauRecette[Prix d''achat / kg],TableauRecette[Recette],TableauProduit[[#This Row],[Recette]],TableauRecette[Conditionnement],TableauProduit[[#This Row],[Conditionnement]]),0)</f>
        <v/>
      </c>
      <c r="H249" t="n">
        <v>7</v>
      </c>
      <c r="I249">
        <f>1000*TableauProduit[[#This Row],[Prix de vente/U]]/TableauProduit[[#This Row],[Poids (g) / unité]]</f>
        <v/>
      </c>
      <c r="J249">
        <f>SUMIFS(TableauConcurence[PRIX_KG],TableauConcurence[PRODUIT],TableauProduit[[#This Row],[Recette]],TableauConcurence[DISTRIBUTION],"magasin NON BIO")</f>
        <v/>
      </c>
      <c r="K249">
        <f>SUMIFS(TableauConcurence[PRIX_KG],TableauConcurence[PRODUIT],TableauProduit[[#This Row],[Recette]],TableauConcurence[DISTRIBUTION],"magasin BIO")</f>
        <v/>
      </c>
      <c r="L249">
        <f>SUMIFS(TableauConcurence[PRIX_KG],TableauConcurence[PRODUIT],TableauProduit[[#This Row],[Recette]],TableauConcurence[DISTRIBUTION],"artisanale BIO")</f>
        <v/>
      </c>
      <c r="M249" t="n">
        <v>250</v>
      </c>
      <c r="N249">
        <f>TableauProduit[[#This Row],[Poids (g) / unité]]*TableauProduit[[#This Row],[Objectif de vente en unité N1]]/1000</f>
        <v/>
      </c>
      <c r="O249">
        <f>TableauProduit[[#This Row],[Objectif de vente en unité N1]]*TableauProduit[[#This Row],[Packaging / unité]]</f>
        <v/>
      </c>
      <c r="P249">
        <f>TableauProduit[[#This Row],[Prix achat plantes / kg]]*TableauProduit[[#This Row],[Total (kg) N1]]</f>
        <v/>
      </c>
      <c r="Q249">
        <f>TableauProduit[[#This Row],[Prix de vente/kg]]*TableauProduit[[#This Row],[Total (kg) N1]]</f>
        <v/>
      </c>
      <c r="R249">
        <f>TableauProduit[[#This Row],[Revenu brut N1]]-TableauProduit[[#This Row],[Achat plantes N1]]-TableauProduit[[#This Row],[Conditionnement N1]]</f>
        <v/>
      </c>
      <c r="S249" t="n">
        <v>375</v>
      </c>
      <c r="T249">
        <f>TableauProduit[[#This Row],[Poids (g) / unité]]*TableauProduit[[#This Row],[Objectif de vente en unité N2]]/1000</f>
        <v/>
      </c>
      <c r="U249">
        <f>TableauProduit[[#This Row],[Objectif de vente en unité N2]]*TableauProduit[[#This Row],[Packaging / unité]]</f>
        <v/>
      </c>
      <c r="V249">
        <f>TableauProduit[[#This Row],[Prix achat plantes / kg]]*TableauProduit[[#This Row],[Total (kg) N2]]</f>
        <v/>
      </c>
      <c r="W249">
        <f>TableauProduit[[#This Row],[Prix de vente/kg]]*TableauProduit[[#This Row],[Total (kg) N2]]</f>
        <v/>
      </c>
      <c r="X249">
        <f>TableauProduit[[#This Row],[Revenu brut N2]]-TableauProduit[[#This Row],[Achat plantes N2]]-TableauProduit[[#This Row],[Conditionnement N2]]</f>
        <v/>
      </c>
      <c r="Y249" t="n">
        <v>438</v>
      </c>
      <c r="Z249">
        <f>TableauProduit[[#This Row],[Poids (g) / unité]]*TableauProduit[[#This Row],[Objectif de vente en unité N3]]/1000</f>
        <v/>
      </c>
      <c r="AA249">
        <f>TableauProduit[[#This Row],[Objectif de vente en unité N3]]*TableauProduit[[#This Row],[Packaging / unité]]</f>
        <v/>
      </c>
      <c r="AB249">
        <f>TableauProduit[[#This Row],[Prix achat plantes / kg]]*TableauProduit[[#This Row],[Total (kg) N3]]</f>
        <v/>
      </c>
      <c r="AC249">
        <f>TableauProduit[[#This Row],[Prix de vente/kg]]*TableauProduit[[#This Row],[Total (kg) N3]]</f>
        <v/>
      </c>
      <c r="AD249">
        <f>TableauProduit[[#This Row],[Revenu brut N3]]-TableauProduit[[#This Row],[Achat plantes N3]]-TableauProduit[[#This Row],[Conditionnement N3]]</f>
        <v/>
      </c>
      <c r="AE249" t="n">
        <v>475</v>
      </c>
      <c r="AF249">
        <f>TableauProduit[[#This Row],[Poids (g) / unité]]*TableauProduit[[#This Row],[Objectif de vente en unité N4]]/1000</f>
        <v/>
      </c>
      <c r="AG249">
        <f>TableauProduit[[#This Row],[Objectif de vente en unité N4]]*TableauProduit[[#This Row],[Packaging / unité]]</f>
        <v/>
      </c>
      <c r="AH249">
        <f>TableauProduit[[#This Row],[Prix achat plantes / kg]]*TableauProduit[[#This Row],[Total (kg) N4]]</f>
        <v/>
      </c>
      <c r="AI249">
        <f>TableauProduit[[#This Row],[Prix de vente/kg]]*TableauProduit[[#This Row],[Total (kg) N4]]</f>
        <v/>
      </c>
      <c r="AJ249">
        <f>TableauProduit[[#This Row],[Revenu brut N4]]-TableauProduit[[#This Row],[Achat plantes N4]]-TableauProduit[[#This Row],[Conditionnement N4]]</f>
        <v/>
      </c>
      <c r="AK249" t="n">
        <v>500</v>
      </c>
      <c r="AL249">
        <f>TableauProduit[[#This Row],[Poids (g) / unité]]*TableauProduit[[#This Row],[Objectif de vente en unité N5]]/1000</f>
        <v/>
      </c>
      <c r="AM249">
        <f>TableauProduit[[#This Row],[Objectif de vente en unité N5]]*TableauProduit[[#This Row],[Packaging / unité]]</f>
        <v/>
      </c>
      <c r="AN249">
        <f>TableauProduit[[#This Row],[Prix achat plantes / kg]]*TableauProduit[[#This Row],[Total (kg) N5]]</f>
        <v/>
      </c>
      <c r="AO249">
        <f>TableauProduit[[#This Row],[Prix de vente/kg]]*TableauProduit[[#This Row],[Total (kg) N5]]</f>
        <v/>
      </c>
      <c r="AP249">
        <f>TableauProduit[[#This Row],[Revenu brut N5]]-TableauProduit[[#This Row],[Achat plantes N5]]-TableauProduit[[#This Row],[Conditionnement N5]]</f>
        <v/>
      </c>
      <c r="AQ249" t="n">
        <v>500</v>
      </c>
      <c r="AR249">
        <f>TableauProduit[[#This Row],[Poids (g) / unité]]*TableauProduit[[#This Row],[Objectif de vente en unité N6]]/1000</f>
        <v/>
      </c>
      <c r="AS249">
        <f>TableauProduit[[#This Row],[Objectif de vente en unité N6]]*TableauProduit[[#This Row],[Packaging / unité]]</f>
        <v/>
      </c>
      <c r="AT249">
        <f>TableauProduit[[#This Row],[Prix achat plantes / kg]]*TableauProduit[[#This Row],[Total (kg) N6]]</f>
        <v/>
      </c>
      <c r="AU249">
        <f>TableauProduit[[#This Row],[Prix de vente/kg]]*TableauProduit[[#This Row],[Total (kg) N6]]</f>
        <v/>
      </c>
      <c r="AV249">
        <f>TableauProduit[[#This Row],[Revenu brut N6]]-TableauProduit[[#This Row],[Achat plantes N6]]-TableauProduit[[#This Row],[Conditionnement N6]]</f>
        <v/>
      </c>
      <c r="AW249" t="n">
        <v>500</v>
      </c>
      <c r="AX249">
        <f>TableauProduit[[#This Row],[Poids (g) / unité]]*TableauProduit[[#This Row],[Objectif de vente en unité N7]]/1000</f>
        <v/>
      </c>
      <c r="AY249">
        <f>TableauProduit[[#This Row],[Objectif de vente en unité N7]]*TableauProduit[[#This Row],[Packaging / unité]]</f>
        <v/>
      </c>
      <c r="AZ249">
        <f>TableauProduit[[#This Row],[Prix achat plantes / kg]]*TableauProduit[[#This Row],[Total (kg) N7]]</f>
        <v/>
      </c>
      <c r="BA249">
        <f>TableauProduit[[#This Row],[Prix de vente/kg]]*TableauProduit[[#This Row],[Total (kg) N7]]</f>
        <v/>
      </c>
      <c r="BB249">
        <f>TableauProduit[[#This Row],[Revenu brut N7]]-TableauProduit[[#This Row],[Achat plantes N7]]-TableauProduit[[#This Row],[Conditionnement N7]]</f>
        <v/>
      </c>
      <c r="BC249" t="n">
        <v>500</v>
      </c>
      <c r="BD249">
        <f>TableauProduit[[#This Row],[Poids (g) / unité]]*TableauProduit[[#This Row],[Objectif de vente en unité N8]]/1000</f>
        <v/>
      </c>
      <c r="BE249">
        <f>TableauProduit[[#This Row],[Objectif de vente en unité N8]]*TableauProduit[[#This Row],[Packaging / unité]]</f>
        <v/>
      </c>
      <c r="BF249">
        <f>TableauProduit[[#This Row],[Prix achat plantes / kg]]*TableauProduit[[#This Row],[Total (kg) N8]]</f>
        <v/>
      </c>
      <c r="BG249">
        <f>TableauProduit[[#This Row],[Prix de vente/kg]]*TableauProduit[[#This Row],[Total (kg) N8]]</f>
        <v/>
      </c>
      <c r="BH249">
        <f>TableauProduit[[#This Row],[Revenu brut N8]]-TableauProduit[[#This Row],[Achat plantes N8]]-TableauProduit[[#This Row],[Conditionnement N8]]</f>
        <v/>
      </c>
      <c r="BI249" t="n">
        <v>500</v>
      </c>
      <c r="BJ249">
        <f>TableauProduit[[#This Row],[Poids (g) / unité]]*TableauProduit[[#This Row],[Objectif de vente en unité N9]]/1000</f>
        <v/>
      </c>
      <c r="BK249">
        <f>TableauProduit[[#This Row],[Objectif de vente en unité N9]]*TableauProduit[[#This Row],[Packaging / unité]]</f>
        <v/>
      </c>
      <c r="BL249">
        <f>TableauProduit[[#This Row],[Prix achat plantes / kg]]*TableauProduit[[#This Row],[Total (kg) N9]]</f>
        <v/>
      </c>
      <c r="BM249">
        <f>TableauProduit[[#This Row],[Prix de vente/kg]]*TableauProduit[[#This Row],[Total (kg) N9]]</f>
        <v/>
      </c>
      <c r="BN249">
        <f>TableauProduit[[#This Row],[Revenu brut N9]]-TableauProduit[[#This Row],[Achat plantes N9]]-TableauProduit[[#This Row],[Conditionnement N9]]</f>
        <v/>
      </c>
      <c r="BO249" t="inlineStr">
        <is>
          <t>Transformé</t>
        </is>
      </c>
    </row>
  </sheetData>
  <conditionalFormatting sqref="G1:G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71">
    <cfRule type="expression" priority="2" dxfId="9">
      <formula>I2 &gt;L2</formula>
    </cfRule>
    <cfRule type="expression" priority="3" dxfId="8">
      <formula>I2 &lt; L2</formula>
    </cfRule>
    <cfRule type="expression" priority="4" dxfId="7">
      <formula>I2 &lt; K2</formula>
    </cfRule>
    <cfRule type="expression" priority="5" dxfId="6">
      <formula>I2 &gt; K2</formula>
    </cfRule>
  </conditionalFormatting>
  <conditionalFormatting sqref="J2:L71">
    <cfRule type="cellIs" priority="1" operator="equal" dxfId="5">
      <formula>0</formula>
    </cfRule>
  </conditionalFormatting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Feuil3">
    <outlinePr summaryBelow="1" summaryRight="1"/>
    <pageSetUpPr/>
  </sheetPr>
  <dimension ref="A1:J249"/>
  <sheetViews>
    <sheetView workbookViewId="0">
      <pane ySplit="1" topLeftCell="A107" activePane="bottomLeft" state="frozen"/>
      <selection pane="bottomLeft" activeCell="A1" sqref="A1:G166"/>
    </sheetView>
  </sheetViews>
  <sheetFormatPr baseColWidth="10" defaultColWidth="11" defaultRowHeight="16"/>
  <cols>
    <col width="30.1640625" customWidth="1" min="1" max="1"/>
    <col width="8.83203125" customWidth="1" style="538" min="2" max="2"/>
    <col width="7.33203125" customWidth="1" min="3" max="3"/>
    <col width="18.33203125" customWidth="1" min="4" max="4"/>
    <col width="8.33203125" customWidth="1" min="5" max="5"/>
    <col width="14.6640625" customWidth="1" style="974" min="7" max="7"/>
  </cols>
  <sheetData>
    <row r="1" ht="83" customHeight="1">
      <c r="A1" s="14" t="inlineStr">
        <is>
          <t>Ingredients</t>
        </is>
      </c>
      <c r="B1" s="537" t="inlineStr">
        <is>
          <t>Ratio séchage</t>
        </is>
      </c>
      <c r="C1" s="15" t="inlineStr">
        <is>
          <t>% eau</t>
        </is>
      </c>
      <c r="D1" s="15" t="inlineStr">
        <is>
          <t>Nom de la Production</t>
        </is>
      </c>
      <c r="E1" s="15" t="inlineStr">
        <is>
          <t>Prix de vente / kg</t>
        </is>
      </c>
      <c r="F1" s="14" t="inlineStr">
        <is>
          <t>Prix d'achat / kg</t>
        </is>
      </c>
      <c r="G1" s="14" t="inlineStr">
        <is>
          <t>Lien</t>
        </is>
      </c>
      <c r="H1" t="inlineStr">
        <is>
          <t>Besoin en eau</t>
        </is>
      </c>
      <c r="I1" t="inlineStr">
        <is>
          <t>Latin</t>
        </is>
      </c>
      <c r="J1" t="inlineStr">
        <is>
          <t>Source</t>
        </is>
      </c>
    </row>
    <row r="2">
      <c r="A2">
        <f>IFERROR(PROPER(TableauIngredients[[#This Row],[Nom de la Production]]), "")</f>
        <v/>
      </c>
      <c r="B2" s="538">
        <f>IF(IFERROR((100-TableauIngredients[[#This Row],[% eau]])/100, 1) &lt; 0.2,0.2,IFERROR((100-TableauIngredients[[#This Row],[% eau]])/100, 1))</f>
        <v/>
      </c>
      <c r="C2" t="n">
        <v>0</v>
      </c>
      <c r="D2" t="inlineStr">
        <is>
          <t>ail</t>
        </is>
      </c>
      <c r="E2" t="n">
        <v>14</v>
      </c>
      <c r="F2" s="641" t="n"/>
      <c r="H2" t="inlineStr">
        <is>
          <t>élevé</t>
        </is>
      </c>
      <c r="I2" t="inlineStr">
        <is>
          <t>*Allium ursinum*</t>
        </is>
      </c>
    </row>
    <row r="3">
      <c r="A3">
        <f>IFERROR(PROPER(TableauIngredients[[#This Row],[Nom de la Production]]), "")</f>
        <v/>
      </c>
      <c r="B3" s="538">
        <f>IF(IFERROR((100-TableauIngredients[[#This Row],[% eau]])/100, 1) &lt; 0.2,0.2,IFERROR((100-TableauIngredients[[#This Row],[% eau]])/100, 1))</f>
        <v/>
      </c>
      <c r="C3" t="n">
        <v>60</v>
      </c>
      <c r="D3" t="inlineStr">
        <is>
          <t>ail</t>
        </is>
      </c>
      <c r="F3" s="641" t="n"/>
      <c r="H3" t="inlineStr">
        <is>
          <t>élevé</t>
        </is>
      </c>
      <c r="I3" t="inlineStr">
        <is>
          <t>*Allium ursinum*</t>
        </is>
      </c>
    </row>
    <row r="4">
      <c r="A4">
        <f>IFERROR(PROPER(TableauIngredients[[#This Row],[Nom de la Production]]), "")</f>
        <v/>
      </c>
      <c r="B4" s="538">
        <f>IF(IFERROR((100-TableauIngredients[[#This Row],[% eau]])/100, 1) &lt; 0.2,0.2,IFERROR((100-TableauIngredients[[#This Row],[% eau]])/100, 1))</f>
        <v/>
      </c>
      <c r="C4" t="n">
        <v>20</v>
      </c>
      <c r="D4" t="inlineStr">
        <is>
          <t>amande douce</t>
        </is>
      </c>
      <c r="F4" s="641" t="n">
        <v>22.16</v>
      </c>
      <c r="G4" s="2" t="inlineStr">
        <is>
          <t>https://parisbelleville01.lecodrive.com/boutique/amande-douce-decortiquee-bio-espagne/</t>
        </is>
      </c>
    </row>
    <row r="5">
      <c r="A5">
        <f>IFERROR(PROPER(TableauIngredients[[#This Row],[Nom de la Production]]), "")</f>
        <v/>
      </c>
      <c r="B5" s="538">
        <f>IF(IFERROR((100-TableauIngredients[[#This Row],[% eau]])/100, 1) &lt; 0.2,0.2,IFERROR((100-TableauIngredients[[#This Row],[% eau]])/100, 1))</f>
        <v/>
      </c>
      <c r="C5" t="n">
        <v>97</v>
      </c>
      <c r="D5" t="inlineStr">
        <is>
          <t>amchur</t>
        </is>
      </c>
      <c r="F5" s="641" t="n">
        <v>5.26</v>
      </c>
      <c r="G5" s="2" t="inlineStr">
        <is>
          <t>https://www.etsy.com/fr/listing/538432371/poudre-de-mangue-biologique-poudre?gpla=1&amp;gao=1&amp;</t>
        </is>
      </c>
    </row>
    <row r="6">
      <c r="A6">
        <f>IFERROR(PROPER(TableauIngredients[[#This Row],[Nom de la Production]]), "")</f>
        <v/>
      </c>
      <c r="B6" s="538">
        <f>IF(IFERROR((100-TableauIngredients[[#This Row],[% eau]])/100, 1) &lt; 0.2,0.2,IFERROR((100-TableauIngredients[[#This Row],[% eau]])/100, 1))</f>
        <v/>
      </c>
      <c r="C6" t="n">
        <v>90</v>
      </c>
      <c r="D6" t="inlineStr">
        <is>
          <t>aneth</t>
        </is>
      </c>
      <c r="F6" s="641" t="n"/>
      <c r="H6" t="inlineStr">
        <is>
          <t>modéré</t>
        </is>
      </c>
      <c r="I6" t="inlineStr">
        <is>
          <t>*Anethum graveolens*</t>
        </is>
      </c>
    </row>
    <row r="7">
      <c r="A7">
        <f>IFERROR(PROPER(TableauIngredients[[#This Row],[Nom de la Production]]), "")</f>
        <v/>
      </c>
      <c r="B7" s="538">
        <f>IF(IFERROR((100-TableauIngredients[[#This Row],[% eau]])/100, 1) &lt; 0.2,0.2,IFERROR((100-TableauIngredients[[#This Row],[% eau]])/100, 1))</f>
        <v/>
      </c>
      <c r="C7" t="n">
        <v>10</v>
      </c>
      <c r="D7" t="inlineStr">
        <is>
          <t>anis etoile</t>
        </is>
      </c>
      <c r="F7" s="641" t="n">
        <v>32</v>
      </c>
      <c r="G7" s="2" t="inlineStr">
        <is>
          <t>https://vracbio.com/products/anis etoile-anis-etoile-bio-en-vrac?variant=31584511361139&amp;currency=EUR&amp;utm_medium=product_sync&amp;utm_source=google&amp;utm_content=sag_organic&amp;utm_campaign=sag_organic&amp;utm_campaign=gs-2020-05-12&amp;utm_source=google&amp;utm_medium=smart_campaign&amp;gad_source=1&amp;gclid=Cj0KCQjwwMqvBhCtARIsAIXsZpbzhzDINtZH-k_NigcEf1sWrPuGZLuWxNXCpnF2Jb13CK9238FySTMaAgwfEALw_wcB</t>
        </is>
      </c>
    </row>
    <row r="8">
      <c r="A8">
        <f>IFERROR(PROPER(TableauIngredients[[#This Row],[Nom de la Production]]), "")</f>
        <v/>
      </c>
      <c r="B8" s="538">
        <f>IF(IFERROR((100-TableauIngredients[[#This Row],[% eau]])/100, 1) &lt; 0.2,0.2,IFERROR((100-TableauIngredients[[#This Row],[% eau]])/100, 1))</f>
        <v/>
      </c>
      <c r="C8" t="n">
        <v>97</v>
      </c>
      <c r="D8" t="inlineStr">
        <is>
          <t>asafoetida</t>
        </is>
      </c>
      <c r="F8" s="641" t="n">
        <v>100</v>
      </c>
      <c r="G8" s="1" t="n"/>
      <c r="H8" t="inlineStr">
        <is>
          <t>faible</t>
        </is>
      </c>
      <c r="I8" t="inlineStr">
        <is>
          <t>*Ferula assa-foetida*</t>
        </is>
      </c>
      <c r="J8" t="inlineStr">
        <is>
          <t>Obsidian</t>
        </is>
      </c>
    </row>
    <row r="9">
      <c r="A9">
        <f>IFERROR(PROPER(TableauIngredients[[#This Row],[Nom de la Production]]), "")</f>
        <v/>
      </c>
      <c r="B9" s="538">
        <f>IF(IFERROR((100-TableauIngredients[[#This Row],[% eau]])/100, 1) &lt; 0.2,0.2,IFERROR((100-TableauIngredients[[#This Row],[% eau]])/100, 1))</f>
        <v/>
      </c>
      <c r="C9" t="n">
        <v>0</v>
      </c>
      <c r="D9" t="inlineStr">
        <is>
          <t>basilic</t>
        </is>
      </c>
      <c r="E9" t="n">
        <v>12</v>
      </c>
      <c r="F9" s="641" t="n"/>
      <c r="H9" t="inlineStr">
        <is>
          <t>élevé</t>
        </is>
      </c>
      <c r="I9" t="inlineStr">
        <is>
          <t>*Ocimum basilicum*</t>
        </is>
      </c>
    </row>
    <row r="10">
      <c r="A10">
        <f>IFERROR(PROPER(TableauIngredients[[#This Row],[Nom de la Production]]), "")</f>
        <v/>
      </c>
      <c r="B10" s="538">
        <f>IF(IFERROR((100-TableauIngredients[[#This Row],[% eau]])/100, 1) &lt; 0.2,0.2,IFERROR((100-TableauIngredients[[#This Row],[% eau]])/100, 1))</f>
        <v/>
      </c>
      <c r="C10" t="n">
        <v>92</v>
      </c>
      <c r="D10" t="inlineStr">
        <is>
          <t>basilic</t>
        </is>
      </c>
      <c r="E10" t="n">
        <v>12</v>
      </c>
      <c r="F10" s="641" t="n"/>
      <c r="G10" s="1" t="n"/>
      <c r="H10" t="inlineStr">
        <is>
          <t>élevé</t>
        </is>
      </c>
      <c r="I10" t="inlineStr">
        <is>
          <t>*Ocimum basilicum*</t>
        </is>
      </c>
      <c r="J10" t="inlineStr">
        <is>
          <t>Obsidian</t>
        </is>
      </c>
    </row>
    <row r="11">
      <c r="A11">
        <f>IFERROR(PROPER(TableauIngredients[[#This Row],[Nom de la Production]]), "")</f>
        <v/>
      </c>
      <c r="B11" s="538">
        <f>IF(IFERROR((100-TableauIngredients[[#This Row],[% eau]])/100, 1) &lt; 0.2,0.2,IFERROR((100-TableauIngredients[[#This Row],[% eau]])/100, 1))</f>
        <v/>
      </c>
      <c r="C11" t="n">
        <v>0</v>
      </c>
      <c r="D11" t="inlineStr">
        <is>
          <t>basilic thaï</t>
        </is>
      </c>
      <c r="E11" t="n">
        <v>12</v>
      </c>
      <c r="F11" s="641" t="n"/>
      <c r="H11" t="inlineStr">
        <is>
          <t>élevé</t>
        </is>
      </c>
      <c r="I11" t="inlineStr">
        <is>
          <t>*Ocimum basilicum*</t>
        </is>
      </c>
    </row>
    <row r="12">
      <c r="A12">
        <f>IFERROR(PROPER(TableauIngredients[[#This Row],[Nom de la Production]]), "")</f>
        <v/>
      </c>
      <c r="B12" s="538">
        <f>IF(IFERROR((100-TableauIngredients[[#This Row],[% eau]])/100, 1) &lt; 0.2,0.2,IFERROR((100-TableauIngredients[[#This Row],[% eau]])/100, 1))</f>
        <v/>
      </c>
      <c r="C12" t="n">
        <v>97</v>
      </c>
      <c r="D12" t="inlineStr">
        <is>
          <t>basilic thaï</t>
        </is>
      </c>
      <c r="E12" t="n">
        <v>12</v>
      </c>
      <c r="F12" s="641" t="n"/>
      <c r="H12" t="inlineStr">
        <is>
          <t>élevé</t>
        </is>
      </c>
      <c r="I12" t="inlineStr">
        <is>
          <t>*Ocimum basilicum*</t>
        </is>
      </c>
    </row>
    <row r="13">
      <c r="A13">
        <f>IFERROR(PROPER(TableauIngredients[[#This Row],[Nom de la Production]]), "")</f>
        <v/>
      </c>
      <c r="B13" s="538">
        <f>IF(IFERROR((100-TableauIngredients[[#This Row],[% eau]])/100, 1) &lt; 0.2,0.2,IFERROR((100-TableauIngredients[[#This Row],[% eau]])/100, 1))</f>
        <v/>
      </c>
      <c r="C13" t="n">
        <v>97</v>
      </c>
      <c r="D13" t="inlineStr">
        <is>
          <t>cannelle</t>
        </is>
      </c>
      <c r="F13" s="641" t="n">
        <v>22</v>
      </c>
      <c r="G13" s="1" t="n"/>
    </row>
    <row r="14">
      <c r="A14">
        <f>IFERROR(PROPER(TableauIngredients[[#This Row],[Nom de la Production]]), "")</f>
        <v/>
      </c>
      <c r="B14" s="538">
        <f>IF(IFERROR((100-TableauIngredients[[#This Row],[% eau]])/100, 1) &lt; 0.2,0.2,IFERROR((100-TableauIngredients[[#This Row],[% eau]])/100, 1))</f>
        <v/>
      </c>
      <c r="C14" t="n">
        <v>0</v>
      </c>
      <c r="D14" t="inlineStr">
        <is>
          <t>bleuet</t>
        </is>
      </c>
      <c r="F14" s="641" t="n"/>
      <c r="H14" t="inlineStr">
        <is>
          <t>faible</t>
        </is>
      </c>
      <c r="I14" t="inlineStr">
        <is>
          <t>*Centaurea cyanus*</t>
        </is>
      </c>
    </row>
    <row r="15">
      <c r="A15">
        <f>IFERROR(PROPER(TableauIngredients[[#This Row],[Nom de la Production]]), "")</f>
        <v/>
      </c>
      <c r="B15" s="538">
        <f>IF(IFERROR((100-TableauIngredients[[#This Row],[% eau]])/100, 1) &lt; 0.2,0.2,IFERROR((100-TableauIngredients[[#This Row],[% eau]])/100, 1))</f>
        <v/>
      </c>
      <c r="C15" t="n">
        <v>97</v>
      </c>
      <c r="D15" t="inlineStr">
        <is>
          <t>bleuet</t>
        </is>
      </c>
      <c r="F15" s="641" t="n"/>
      <c r="H15" t="inlineStr">
        <is>
          <t>faible</t>
        </is>
      </c>
      <c r="I15" t="inlineStr">
        <is>
          <t>*Centaurea cyanus*</t>
        </is>
      </c>
      <c r="J15" t="inlineStr">
        <is>
          <t>Obsidian</t>
        </is>
      </c>
    </row>
    <row r="16">
      <c r="A16">
        <f>IFERROR(PROPER(TableauIngredients[[#This Row],[Nom de la Production]]), "")</f>
        <v/>
      </c>
      <c r="B16" s="538">
        <f>IF(IFERROR((100-TableauIngredients[[#This Row],[% eau]])/100, 1) &lt; 0.2,0.2,IFERROR((100-TableauIngredients[[#This Row],[% eau]])/100, 1))</f>
        <v/>
      </c>
      <c r="F16" s="641" t="n">
        <v>28</v>
      </c>
      <c r="G16" s="974" t="inlineStr">
        <is>
          <t>https://boutique.epicerie-durable.fr/bouillons/bouillon-de-poule-bio-2890kg-1150</t>
        </is>
      </c>
      <c r="H16" t="inlineStr">
        <is>
          <t>faible</t>
        </is>
      </c>
      <c r="I16" t="inlineStr">
        <is>
          <t>*Artemisia absinthium*</t>
        </is>
      </c>
    </row>
    <row r="17">
      <c r="A17">
        <f>IFERROR(PROPER(TableauIngredients[[#This Row],[Nom de la Production]]), "")</f>
        <v/>
      </c>
      <c r="B17" s="538">
        <f>IF(IFERROR((100-TableauIngredients[[#This Row],[% eau]])/100, 1) &lt; 0.2,0.2,IFERROR((100-TableauIngredients[[#This Row],[% eau]])/100, 1))</f>
        <v/>
      </c>
      <c r="D17" t="inlineStr">
        <is>
          <t>cacahuètes grillees</t>
        </is>
      </c>
      <c r="F17" s="641" t="n">
        <v>7.9</v>
      </c>
      <c r="G17" s="975" t="inlineStr">
        <is>
          <t>https://www.googleadservices.com/pagead/aclk?sa=L&amp;ai=DChcSEwi8_L7IkfSEAxWWtWgJHdrGBpYYABAFGgJ3Zg&amp;ase=2&amp;gclid=Cj0KCQjwwMqvBhCtARIsAIXsZpYLT1VmI5Kq1BaXTkjkzxCxD3tRu3FW4QihyZ5AVHNacB5EEIP-EacaAtVBEALw_wcB&amp;ohost=www.google.com&amp;cid=CAESV-D25s4w_xgCt61JSCPtz_-6MB53MwZOqMSR3C53fMpAlGsUxYYNIVZyeD-U7TQmjoP8BSO5N0eb6P53Wc_pyXFm3Td7A7f5dhB2yVtf84Fpc8W6xGvNkg&amp;sig=AOD64_1j_v1y63lx74Qe3EwzAJMUknrPPQ&amp;ctype=5&amp;q=&amp;nis=4&amp;ved=2ahUKEwii3bjIkfSEAxUTUKQEHfKUBKUQ9aACKAB6BAgBECM&amp;adurl=</t>
        </is>
      </c>
    </row>
    <row r="18">
      <c r="A18">
        <f>IFERROR(PROPER(TableauIngredients[[#This Row],[Nom de la Production]]), "")</f>
        <v/>
      </c>
      <c r="B18" s="538">
        <f>IF(IFERROR((100-TableauIngredients[[#This Row],[% eau]])/100, 1) &lt; 0.2,0.2,IFERROR((100-TableauIngredients[[#This Row],[% eau]])/100, 1))</f>
        <v/>
      </c>
      <c r="C18" t="n">
        <v>0</v>
      </c>
      <c r="D18" t="inlineStr">
        <is>
          <t>camomille romaine</t>
        </is>
      </c>
      <c r="F18" s="641" t="n"/>
      <c r="H18" t="inlineStr">
        <is>
          <t>élevé</t>
        </is>
      </c>
      <c r="I18" t="inlineStr">
        <is>
          <t>*Chamaemelum nobile*</t>
        </is>
      </c>
    </row>
    <row r="19">
      <c r="A19">
        <f>IFERROR(PROPER(TableauIngredients[[#This Row],[Nom de la Production]]), "")</f>
        <v/>
      </c>
      <c r="B19" s="538">
        <f>IF(IFERROR((100-TableauIngredients[[#This Row],[% eau]])/100, 1) &lt; 0.2,0.2,IFERROR((100-TableauIngredients[[#This Row],[% eau]])/100, 1))</f>
        <v/>
      </c>
      <c r="C19" t="n">
        <v>97</v>
      </c>
      <c r="D19" t="inlineStr">
        <is>
          <t>camomille romaine</t>
        </is>
      </c>
      <c r="F19" s="641" t="n"/>
      <c r="H19" t="inlineStr">
        <is>
          <t>élevé</t>
        </is>
      </c>
      <c r="I19" t="inlineStr">
        <is>
          <t>*Chamaemelum nobile*</t>
        </is>
      </c>
      <c r="J19" t="inlineStr">
        <is>
          <t>Obsidian</t>
        </is>
      </c>
    </row>
    <row r="20">
      <c r="A20">
        <f>IFERROR(PROPER(TableauIngredients[[#This Row],[Nom de la Production]]), "")</f>
        <v/>
      </c>
      <c r="B20" s="538">
        <f>IF(IFERROR((100-TableauIngredients[[#This Row],[% eau]])/100, 1) &lt; 0.2,0.2,IFERROR((100-TableauIngredients[[#This Row],[% eau]])/100, 1))</f>
        <v/>
      </c>
      <c r="C20" t="n">
        <v>97</v>
      </c>
      <c r="D20" t="inlineStr">
        <is>
          <t>cannelle</t>
        </is>
      </c>
      <c r="F20" s="641" t="n">
        <v>22</v>
      </c>
      <c r="G20" s="2" t="inlineStr">
        <is>
          <t>https://www.googleadservices.com/pagead/aclk?sa=L&amp;ai=DChcSEwichuSekfSEAxVyQUECHat2BNwYABAMGgJ3cw&amp;ase=2&amp;gclid=Cj0KCQjwwMqvBhCtARIsAIXsZpZmpmc8fHRm_JGzy1Gmr0JI0grkfyuAV2XraPO2cYJ_I7mDJZoaepwaAlFBEALw_wcB&amp;ohost=www.google.com&amp;cid=CAESV-D2fcXVl2hyBhRmKKHyR9Mar6Ywa7Gxq7dChedDWqueLOlHIrSO08ZTbW6I8tjACgEP8JedobbYSxK8ul5eMEPhhJEPba-FfAwg293CrvZFTOWQMeyZvg&amp;sig=AOD64_00twfFYjSyymtiLPJAcag4fPwi1w&amp;ctype=5&amp;q=&amp;nis=4&amp;ved=2ahUKEwjQud6ekfSEAxVXU6QEHZs-CdUQ9aACKAB6BAgEEBM&amp;adurl=</t>
        </is>
      </c>
    </row>
    <row r="21">
      <c r="A21">
        <f>IFERROR(PROPER(TableauIngredients[[#This Row],[Nom de la Production]]), "")</f>
        <v/>
      </c>
      <c r="B21" s="538">
        <f>IF(IFERROR((100-TableauIngredients[[#This Row],[% eau]])/100, 1) &lt; 0.2,0.2,IFERROR((100-TableauIngredients[[#This Row],[% eau]])/100, 1))</f>
        <v/>
      </c>
      <c r="C21" t="n">
        <v>97</v>
      </c>
      <c r="D21" t="inlineStr">
        <is>
          <t>cannelle</t>
        </is>
      </c>
      <c r="F21" s="641" t="n">
        <v>22</v>
      </c>
    </row>
    <row r="22">
      <c r="A22">
        <f>IFERROR(PROPER(TableauIngredients[[#This Row],[Nom de la Production]]), "")</f>
        <v/>
      </c>
      <c r="B22" s="538">
        <f>IF(IFERROR((100-TableauIngredients[[#This Row],[% eau]])/100, 1) &lt; 0.2,0.2,IFERROR((100-TableauIngredients[[#This Row],[% eau]])/100, 1))</f>
        <v/>
      </c>
      <c r="C22" t="n">
        <v>10</v>
      </c>
      <c r="D22" t="inlineStr">
        <is>
          <t>graine de carvi</t>
        </is>
      </c>
      <c r="F22" s="641" t="n">
        <v>20.75</v>
      </c>
      <c r="G22" s="2" t="inlineStr">
        <is>
          <t>https://thesdirect.com/products/carvi-graine-entiere-bio?variant=46717109207382</t>
        </is>
      </c>
      <c r="H22" t="inlineStr">
        <is>
          <t>faible</t>
        </is>
      </c>
      <c r="I22" t="inlineStr">
        <is>
          <t>*Carum carvi*</t>
        </is>
      </c>
    </row>
    <row r="23">
      <c r="A23">
        <f>IFERROR(PROPER(TableauIngredients[[#This Row],[Nom de la Production]]), "")</f>
        <v/>
      </c>
      <c r="B23" s="538">
        <f>IF(IFERROR((100-TableauIngredients[[#This Row],[% eau]])/100, 1) &lt; 0.2,0.2,IFERROR((100-TableauIngredients[[#This Row],[% eau]])/100, 1))</f>
        <v/>
      </c>
      <c r="C23" t="n">
        <v>97</v>
      </c>
      <c r="D23" t="inlineStr">
        <is>
          <t>casse</t>
        </is>
      </c>
      <c r="F23" s="641" t="n">
        <v>59</v>
      </c>
      <c r="G23" s="1" t="n"/>
    </row>
    <row r="24">
      <c r="A24">
        <f>IFERROR(PROPER(TableauIngredients[[#This Row],[Nom de la Production]]), "")</f>
        <v/>
      </c>
      <c r="B24" s="538">
        <f>IF(IFERROR((100-TableauIngredients[[#This Row],[% eau]])/100, 1) &lt; 0.2,0.2,IFERROR((100-TableauIngredients[[#This Row],[% eau]])/100, 1))</f>
        <v/>
      </c>
      <c r="D24" s="1" t="inlineStr">
        <is>
          <t>cassonade</t>
        </is>
      </c>
      <c r="E24" s="1" t="n"/>
      <c r="F24" s="641" t="n"/>
    </row>
    <row r="25">
      <c r="A25">
        <f>IFERROR(PROPER(TableauIngredients[[#This Row],[Nom de la Production]]), "")</f>
        <v/>
      </c>
      <c r="B25" s="538">
        <f>IF(IFERROR((100-TableauIngredients[[#This Row],[% eau]])/100, 1) &lt; 0.2,0.2,IFERROR((100-TableauIngredients[[#This Row],[% eau]])/100, 1))</f>
        <v/>
      </c>
      <c r="C25" t="n">
        <v>97</v>
      </c>
      <c r="D25" s="1" t="inlineStr">
        <is>
          <t>celeri</t>
        </is>
      </c>
      <c r="E25" s="1" t="n"/>
      <c r="F25" s="641" t="n"/>
    </row>
    <row r="26">
      <c r="A26">
        <f>IFERROR(PROPER(TableauIngredients[[#This Row],[Nom de la Production]]), "")</f>
        <v/>
      </c>
      <c r="B26" s="538">
        <f>IF(IFERROR((100-TableauIngredients[[#This Row],[% eau]])/100, 1) &lt; 0.2,0.2,IFERROR((100-TableauIngredients[[#This Row],[% eau]])/100, 1))</f>
        <v/>
      </c>
      <c r="C26" t="n">
        <v>70</v>
      </c>
      <c r="D26" s="1" t="inlineStr">
        <is>
          <t>celeri en poudre</t>
        </is>
      </c>
      <c r="E26" s="1" t="n"/>
      <c r="F26" s="641" t="n"/>
    </row>
    <row r="27">
      <c r="A27">
        <f>IFERROR(PROPER(TableauIngredients[[#This Row],[Nom de la Production]]), "")</f>
        <v/>
      </c>
      <c r="B27" s="538">
        <f>IF(IFERROR((100-TableauIngredients[[#This Row],[% eau]])/100, 1) &lt; 0.2,0.2,IFERROR((100-TableauIngredients[[#This Row],[% eau]])/100, 1))</f>
        <v/>
      </c>
      <c r="D27" t="inlineStr">
        <is>
          <t>chenpi (peau de mandarine sechee)</t>
        </is>
      </c>
      <c r="F27" s="641" t="n">
        <v>76.73</v>
      </c>
      <c r="G27" s="2" t="inlineStr">
        <is>
          <t>https://www.etsy.com/fr/listing/1671728644/zeste-de-mandarine-SEChee-biologique?gpla=1&amp;gao=1&amp;</t>
        </is>
      </c>
    </row>
    <row r="28">
      <c r="A28">
        <f>IFERROR(PROPER(TableauIngredients[[#This Row],[Nom de la Production]]), "")</f>
        <v/>
      </c>
      <c r="B28" s="538">
        <f>IF(IFERROR((100-TableauIngredients[[#This Row],[% eau]])/100, 1) &lt; 0.2,0.2,IFERROR((100-TableauIngredients[[#This Row],[% eau]])/100, 1))</f>
        <v/>
      </c>
      <c r="C28" t="n">
        <v>90</v>
      </c>
      <c r="D28" t="inlineStr">
        <is>
          <t>citron jaune</t>
        </is>
      </c>
      <c r="F28" s="641" t="n">
        <v>12</v>
      </c>
      <c r="G28" s="2" t="inlineStr">
        <is>
          <t>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</t>
        </is>
      </c>
    </row>
    <row r="29">
      <c r="A29">
        <f>IFERROR(PROPER(TableauIngredients[[#This Row],[Nom de la Production]]), "")</f>
        <v/>
      </c>
      <c r="B29" s="538">
        <f>IF(IFERROR((100-TableauIngredients[[#This Row],[% eau]])/100, 1) &lt; 0.2,0.2,IFERROR((100-TableauIngredients[[#This Row],[% eau]])/100, 1))</f>
        <v/>
      </c>
      <c r="C29" t="n">
        <v>90</v>
      </c>
      <c r="D29" t="inlineStr">
        <is>
          <t>citron vert</t>
        </is>
      </c>
      <c r="F29" s="641" t="n">
        <v>7</v>
      </c>
      <c r="G29" s="2" t="inlineStr">
        <is>
          <t>https://lecababio.fr/fruits-legumes-fruits-frais/2466-citron-vert-bio-la-piece-2017000000594.html</t>
        </is>
      </c>
    </row>
    <row r="30">
      <c r="A30">
        <f>IFERROR(PROPER(TableauIngredients[[#This Row],[Nom de la Production]]), "")</f>
        <v/>
      </c>
      <c r="B30" s="538">
        <f>IF(IFERROR((100-TableauIngredients[[#This Row],[% eau]])/100, 1) &lt; 0.2,0.2,IFERROR((100-TableauIngredients[[#This Row],[% eau]])/100, 1))</f>
        <v/>
      </c>
      <c r="C30" t="n">
        <v>97</v>
      </c>
      <c r="D30" t="inlineStr">
        <is>
          <t>clous de girofle</t>
        </is>
      </c>
      <c r="F30" s="641" t="n">
        <v>36</v>
      </c>
      <c r="G30" s="2" t="inlineStr">
        <is>
          <t>https://thesdirect.com/products/girofle-clou-entier-bio?variant=42278504759535&amp;utm_medium=paidsearch&amp;utm_source=google&amp;utm_campaign=FR-PMC-Global&amp;utm_term=&amp;utm_content=&amp;gad_source=1&amp;gclid=Cj0KCQjwwMqvBhCtARIsAIXsZpYMcYHxWw4LzdPFYu1RLdfNCwEEgQ89WYbpA_kBagvr-9lOLjM_5DwaAt_uEALw_wcB</t>
        </is>
      </c>
    </row>
    <row r="31">
      <c r="A31">
        <f>IFERROR(PROPER(TableauIngredients[[#This Row],[Nom de la Production]]), "")</f>
        <v/>
      </c>
      <c r="B31" s="538">
        <f>IF(IFERROR((100-TableauIngredients[[#This Row],[% eau]])/100, 1) &lt; 0.2,0.2,IFERROR((100-TableauIngredients[[#This Row],[% eau]])/100, 1))</f>
        <v/>
      </c>
      <c r="C31" t="n">
        <v>90</v>
      </c>
      <c r="D31" t="inlineStr">
        <is>
          <t>tomate rouge</t>
        </is>
      </c>
      <c r="E31" t="n">
        <v>5</v>
      </c>
      <c r="F31" s="641" t="n"/>
    </row>
    <row r="32">
      <c r="A32">
        <f>IFERROR(PROPER(TableauIngredients[[#This Row],[Nom de la Production]]), "")</f>
        <v/>
      </c>
      <c r="B32" s="538">
        <f>IF(IFERROR((100-TableauIngredients[[#This Row],[% eau]])/100, 1) &lt; 0.2,0.2,IFERROR((100-TableauIngredients[[#This Row],[% eau]])/100, 1))</f>
        <v/>
      </c>
      <c r="C32" t="n">
        <v>0</v>
      </c>
      <c r="D32" t="inlineStr">
        <is>
          <t>coriandre feuille</t>
        </is>
      </c>
      <c r="F32" s="641" t="n"/>
      <c r="H32" t="inlineStr">
        <is>
          <t>faible</t>
        </is>
      </c>
      <c r="I32" t="inlineStr">
        <is>
          <t>*Coriandrum sativum*</t>
        </is>
      </c>
    </row>
    <row r="33">
      <c r="A33">
        <f>IFERROR(PROPER(TableauIngredients[[#This Row],[Nom de la Production]]), "")</f>
        <v/>
      </c>
      <c r="B33" s="538">
        <f>IF(IFERROR((100-TableauIngredients[[#This Row],[% eau]])/100, 1) &lt; 0.2,0.2,IFERROR((100-TableauIngredients[[#This Row],[% eau]])/100, 1))</f>
        <v/>
      </c>
      <c r="C33" t="n">
        <v>92</v>
      </c>
      <c r="D33" t="inlineStr">
        <is>
          <t>coriandre feuille</t>
        </is>
      </c>
      <c r="E33" t="n">
        <v>12</v>
      </c>
      <c r="F33" s="641" t="n"/>
      <c r="G33" s="1" t="n"/>
      <c r="H33" t="inlineStr">
        <is>
          <t>faible</t>
        </is>
      </c>
      <c r="I33" t="inlineStr">
        <is>
          <t>*Coriandrum sativum*</t>
        </is>
      </c>
    </row>
    <row r="34">
      <c r="A34">
        <f>IFERROR(PROPER(TableauIngredients[[#This Row],[Nom de la Production]]), "")</f>
        <v/>
      </c>
      <c r="B34" s="538">
        <f>IF(IFERROR((100-TableauIngredients[[#This Row],[% eau]])/100, 1) &lt; 0.2,0.2,IFERROR((100-TableauIngredients[[#This Row],[% eau]])/100, 1))</f>
        <v/>
      </c>
      <c r="C34" t="n">
        <v>30</v>
      </c>
      <c r="D34" t="inlineStr">
        <is>
          <t>coriandre graine</t>
        </is>
      </c>
      <c r="E34">
        <f>12.05*1.055</f>
        <v/>
      </c>
      <c r="F34" s="641" t="n"/>
      <c r="G34" s="2" t="inlineStr">
        <is>
          <t>https://thesdirect.com/products/coriandre-graine-entiere-bio-origine-france?variant=46717581754710</t>
        </is>
      </c>
      <c r="H34" t="inlineStr">
        <is>
          <t>faible</t>
        </is>
      </c>
      <c r="I34" t="inlineStr">
        <is>
          <t>*Coriandrum sativum*</t>
        </is>
      </c>
    </row>
    <row r="35">
      <c r="A35">
        <f>IFERROR(PROPER(TableauIngredients[[#This Row],[Nom de la Production]]), "")</f>
        <v/>
      </c>
      <c r="B35" s="538">
        <f>IF(IFERROR((100-TableauIngredients[[#This Row],[% eau]])/100, 1) &lt; 0.2,0.2,IFERROR((100-TableauIngredients[[#This Row],[% eau]])/100, 1))</f>
        <v/>
      </c>
      <c r="D35" t="inlineStr">
        <is>
          <t>coriandre graine</t>
        </is>
      </c>
      <c r="E35">
        <f>12.05*1.055</f>
        <v/>
      </c>
      <c r="F35" s="641" t="n"/>
      <c r="H35" t="inlineStr">
        <is>
          <t>faible</t>
        </is>
      </c>
      <c r="I35" t="inlineStr">
        <is>
          <t>*Coriandrum sativum*</t>
        </is>
      </c>
    </row>
    <row r="36">
      <c r="A36">
        <f>IFERROR(PROPER(TableauIngredients[[#This Row],[Nom de la Production]]), "")</f>
        <v/>
      </c>
      <c r="B36" s="538">
        <f>IF(IFERROR((100-TableauIngredients[[#This Row],[% eau]])/100, 1) &lt; 0.2,0.2,IFERROR((100-TableauIngredients[[#This Row],[% eau]])/100, 1))</f>
        <v/>
      </c>
      <c r="C36" t="n">
        <v>30</v>
      </c>
      <c r="D36" t="inlineStr">
        <is>
          <t>graine cumin</t>
        </is>
      </c>
      <c r="E36">
        <f>42.9*1.055</f>
        <v/>
      </c>
      <c r="F36" s="641" t="n"/>
      <c r="G36" s="2" t="inlineStr">
        <is>
          <t>https://thesdirect.com/products/grosssite-cumin-graine-poudre-bio-vente-en-gros?_pos=2&amp;_sid=3c51b5f81&amp;_ss=r</t>
        </is>
      </c>
      <c r="H36" t="inlineStr">
        <is>
          <t>faible</t>
        </is>
      </c>
      <c r="I36" t="inlineStr">
        <is>
          <t>*Cuminum cyminum*</t>
        </is>
      </c>
    </row>
    <row r="37">
      <c r="A37">
        <f>IFERROR(PROPER(TableauIngredients[[#This Row],[Nom de la Production]]), "")</f>
        <v/>
      </c>
      <c r="B37" s="538">
        <f>IF(IFERROR((100-TableauIngredients[[#This Row],[% eau]])/100, 1) &lt; 0.2,0.2,IFERROR((100-TableauIngredients[[#This Row],[% eau]])/100, 1))</f>
        <v/>
      </c>
      <c r="C37" t="n">
        <v>10</v>
      </c>
      <c r="D37" t="inlineStr">
        <is>
          <t>graine cumin noir</t>
        </is>
      </c>
      <c r="E37" t="n">
        <v>21.95</v>
      </c>
      <c r="F37" s="641" t="n"/>
      <c r="G37" s="2" t="inlineStr">
        <is>
          <t>https://thesdirect.com/products/cumin-noir-nigelle-graine-entiere-bio?_pos=1&amp;_sid=3c51b5f81&amp;_ss=r</t>
        </is>
      </c>
      <c r="H37" t="inlineStr">
        <is>
          <t>faible</t>
        </is>
      </c>
      <c r="I37" t="inlineStr">
        <is>
          <t>*Cuminum cyminum*</t>
        </is>
      </c>
    </row>
    <row r="38">
      <c r="A38">
        <f>IFERROR(PROPER(TableauIngredients[[#This Row],[Nom de la Production]]), "")</f>
        <v/>
      </c>
      <c r="B38" s="538">
        <f>IF(IFERROR((100-TableauIngredients[[#This Row],[% eau]])/100, 1) &lt; 0.2,0.2,IFERROR((100-TableauIngredients[[#This Row],[% eau]])/100, 1))</f>
        <v/>
      </c>
      <c r="C38" t="n">
        <v>15</v>
      </c>
      <c r="D38" t="inlineStr">
        <is>
          <t>curcuma</t>
        </is>
      </c>
      <c r="F38" s="641" t="n"/>
      <c r="G38" s="2" t="inlineStr">
        <is>
          <t>production du curcuma bio en inde et son utilisation ...</t>
        </is>
      </c>
      <c r="H38" t="inlineStr">
        <is>
          <t>élevé</t>
        </is>
      </c>
      <c r="I38" t="inlineStr">
        <is>
          <t>*Curcuma longa*</t>
        </is>
      </c>
      <c r="J38" t="inlineStr">
        <is>
          <t>Obsidian</t>
        </is>
      </c>
    </row>
    <row r="39">
      <c r="A39">
        <f>IFERROR(PROPER(TableauIngredients[[#This Row],[Nom de la Production]]), "")</f>
        <v/>
      </c>
      <c r="B39" s="538" t="n">
        <v>1</v>
      </c>
      <c r="C39" t="n">
        <v>100</v>
      </c>
      <c r="D39" t="inlineStr">
        <is>
          <t>eau</t>
        </is>
      </c>
      <c r="E39" t="n">
        <v>0.001</v>
      </c>
      <c r="F39" s="641" t="n"/>
      <c r="G39" s="2" t="inlineStr">
        <is>
          <t>https://www.pharma5avenue.com/blog/mode-de-production-du-curcuma-longa-n63</t>
        </is>
      </c>
      <c r="H39" t="inlineStr">
        <is>
          <t>élevé</t>
        </is>
      </c>
      <c r="I39" t="inlineStr">
        <is>
          <t>*Sambucus nigra*</t>
        </is>
      </c>
    </row>
    <row r="40">
      <c r="A40">
        <f>IFERROR(PROPER(TableauIngredients[[#This Row],[Nom de la Production]]), "")</f>
        <v/>
      </c>
      <c r="B40" s="538">
        <f>IF(IFERROR((100-TableauIngredients[[#This Row],[% eau]])/100, 1) &lt; 0.2,0.2,IFERROR((100-TableauIngredients[[#This Row],[% eau]])/100, 1))</f>
        <v/>
      </c>
      <c r="C40" t="n">
        <v>10</v>
      </c>
      <c r="D40" t="inlineStr">
        <is>
          <t>graine de fenugrec</t>
        </is>
      </c>
      <c r="E40" t="n">
        <v>12.55</v>
      </c>
      <c r="F40" s="641" t="n"/>
      <c r="G40" s="2" t="inlineStr">
        <is>
          <t>Pharma 5 Avenue</t>
        </is>
      </c>
      <c r="H40" t="inlineStr">
        <is>
          <t>faible</t>
        </is>
      </c>
      <c r="I40" t="inlineStr">
        <is>
          <t>*Trigonella foenum-graecum*</t>
        </is>
      </c>
    </row>
    <row r="41">
      <c r="A41">
        <f>IFERROR(PROPER(TableauIngredients[[#This Row],[Nom de la Production]]), "")</f>
        <v/>
      </c>
      <c r="B41" s="538">
        <f>IF(IFERROR((100-TableauIngredients[[#This Row],[% eau]])/100, 1) &lt; 0.2,0.2,IFERROR((100-TableauIngredients[[#This Row],[% eau]])/100, 1))</f>
        <v/>
      </c>
      <c r="C41" t="n">
        <v>97</v>
      </c>
      <c r="D41" t="inlineStr">
        <is>
          <t>feuille de 4 epices</t>
        </is>
      </c>
      <c r="F41" s="641" t="n">
        <v>19.17</v>
      </c>
      <c r="G41" s="2" t="inlineStr">
        <is>
          <t>https://www.pharma5avenue.com › blog › mode-de-pro...</t>
        </is>
      </c>
    </row>
    <row r="42">
      <c r="A42">
        <f>IFERROR(PROPER(TableauIngredients[[#This Row],[Nom de la Production]]), "")</f>
        <v/>
      </c>
      <c r="B42" s="538">
        <f>IF(IFERROR((100-TableauIngredients[[#This Row],[% eau]])/100, 1) &lt; 0.2,0.2,IFERROR((100-TableauIngredients[[#This Row],[% eau]])/100, 1))</f>
        <v/>
      </c>
      <c r="C42" t="n">
        <v>97</v>
      </c>
      <c r="D42" s="1" t="inlineStr">
        <is>
          <t>Feuilles de cannelier</t>
        </is>
      </c>
      <c r="E42" s="1" t="n"/>
      <c r="F42" s="641" t="n"/>
      <c r="H42" t="inlineStr">
        <is>
          <t>élevé</t>
        </is>
      </c>
      <c r="I42" t="inlineStr">
        <is>
          <t>*Cinnamomum verum*</t>
        </is>
      </c>
    </row>
    <row r="43">
      <c r="A43">
        <f>IFERROR(PROPER(TableauIngredients[[#This Row],[Nom de la Production]]), "")</f>
        <v/>
      </c>
      <c r="B43" s="538">
        <f>IF(IFERROR((100-TableauIngredients[[#This Row],[% eau]])/100, 1) &lt; 0.2,0.2,IFERROR((100-TableauIngredients[[#This Row],[% eau]])/100, 1))</f>
        <v/>
      </c>
      <c r="C43" t="n">
        <v>97</v>
      </c>
      <c r="D43" s="1" t="inlineStr">
        <is>
          <t>feuilles de curry</t>
        </is>
      </c>
      <c r="E43" s="1" t="n"/>
      <c r="F43" s="641" t="n"/>
    </row>
    <row r="44">
      <c r="A44">
        <f>IFERROR(PROPER(TableauIngredients[[#This Row],[Nom de la Production]]), "")</f>
        <v/>
      </c>
      <c r="B44" s="538">
        <f>IF(IFERROR((100-TableauIngredients[[#This Row],[% eau]])/100, 1) &lt; 0.2,0.2,IFERROR((100-TableauIngredients[[#This Row],[% eau]])/100, 1))</f>
        <v/>
      </c>
      <c r="C44" t="n">
        <v>0</v>
      </c>
      <c r="D44" t="inlineStr">
        <is>
          <t>feuilles de laurier</t>
        </is>
      </c>
      <c r="E44" s="1" t="n"/>
      <c r="F44" s="641" t="n"/>
    </row>
    <row r="45">
      <c r="A45">
        <f>IFERROR(PROPER(TableauIngredients[[#This Row],[Nom de la Production]]), "")</f>
        <v/>
      </c>
      <c r="B45" s="538">
        <f>IF(IFERROR((100-TableauIngredients[[#This Row],[% eau]])/100, 1) &lt; 0.2,0.2,IFERROR((100-TableauIngredients[[#This Row],[% eau]])/100, 1))</f>
        <v/>
      </c>
      <c r="C45" t="n">
        <v>65</v>
      </c>
      <c r="D45" t="inlineStr">
        <is>
          <t>feuilles de laurier</t>
        </is>
      </c>
      <c r="E45">
        <f>47.4*1.055</f>
        <v/>
      </c>
      <c r="F45" s="641" t="n"/>
      <c r="G45" s="2" t="inlineStr">
        <is>
          <t>https://thesdirect.com/products/laurier-feuille-coupee-bio?_pos=1&amp;_sid=01cd0a848&amp;_ss=r</t>
        </is>
      </c>
    </row>
    <row r="46">
      <c r="A46">
        <f>IFERROR(PROPER(TableauIngredients[[#This Row],[Nom de la Production]]), "")</f>
        <v/>
      </c>
      <c r="B46" s="538">
        <f>IF(IFERROR((100-TableauIngredients[[#This Row],[% eau]])/100, 1) &lt; 0.2,0.2,IFERROR((100-TableauIngredients[[#This Row],[% eau]])/100, 1))</f>
        <v/>
      </c>
      <c r="C46" t="n">
        <v>0</v>
      </c>
      <c r="D46" t="inlineStr">
        <is>
          <t>figue</t>
        </is>
      </c>
      <c r="F46" s="641" t="n"/>
      <c r="G46" s="2" t="n"/>
    </row>
    <row r="47">
      <c r="A47">
        <f>IFERROR(PROPER(TableauIngredients[[#This Row],[Nom de la Production]]), "")</f>
        <v/>
      </c>
      <c r="B47" s="538">
        <f>IF(IFERROR((100-TableauIngredients[[#This Row],[% eau]])/100, 1) &lt; 0.2,0.2,IFERROR((100-TableauIngredients[[#This Row],[% eau]])/100, 1))</f>
        <v/>
      </c>
      <c r="C47" t="n">
        <v>80</v>
      </c>
      <c r="D47" t="inlineStr">
        <is>
          <t>figue</t>
        </is>
      </c>
      <c r="F47" s="641" t="n"/>
    </row>
    <row r="48">
      <c r="A48">
        <f>IFERROR(PROPER(TableauIngredients[[#This Row],[Nom de la Production]]), "")</f>
        <v/>
      </c>
      <c r="B48" s="538">
        <f>IF(IFERROR((100-TableauIngredients[[#This Row],[% eau]])/100, 1) &lt; 0.2,0.2,IFERROR((100-TableauIngredients[[#This Row],[% eau]])/100, 1))</f>
        <v/>
      </c>
      <c r="C48" t="n">
        <v>0</v>
      </c>
      <c r="D48" t="inlineStr">
        <is>
          <t>fleur helichrysum</t>
        </is>
      </c>
      <c r="F48" s="641" t="n"/>
    </row>
    <row r="49">
      <c r="A49">
        <f>IFERROR(PROPER(TableauIngredients[[#This Row],[Nom de la Production]]), "")</f>
        <v/>
      </c>
      <c r="B49" s="538">
        <f>IF(IFERROR((100-TableauIngredients[[#This Row],[% eau]])/100, 1) &lt; 0.2,0.2,IFERROR((100-TableauIngredients[[#This Row],[% eau]])/100, 1))</f>
        <v/>
      </c>
      <c r="C49" t="n">
        <v>90</v>
      </c>
      <c r="D49" t="inlineStr">
        <is>
          <t>fleur helichrysum</t>
        </is>
      </c>
      <c r="F49" s="641" t="n"/>
    </row>
    <row r="50">
      <c r="A50">
        <f>IFERROR(PROPER(TableauIngredients[[#This Row],[Nom de la Production]]), "")</f>
        <v/>
      </c>
      <c r="B50" s="538">
        <f>IF(IFERROR((100-TableauIngredients[[#This Row],[% eau]])/100, 1) &lt; 0.2,0.2,IFERROR((100-TableauIngredients[[#This Row],[% eau]])/100, 1))</f>
        <v/>
      </c>
      <c r="C50" t="n">
        <v>99</v>
      </c>
      <c r="D50" t="inlineStr">
        <is>
          <t>gaultheria Procumbens Leaf Oil</t>
        </is>
      </c>
      <c r="F50" s="641" t="n"/>
      <c r="H50" t="inlineStr">
        <is>
          <t>élevé</t>
        </is>
      </c>
      <c r="I50" t="inlineStr">
        <is>
          <t>*Gaultheria procumbens*</t>
        </is>
      </c>
    </row>
    <row r="51">
      <c r="A51">
        <f>IFERROR(PROPER(TableauIngredients[[#This Row],[Nom de la Production]]), "")</f>
        <v/>
      </c>
      <c r="B51" s="538">
        <f>IF(IFERROR((100-TableauIngredients[[#This Row],[% eau]])/100, 1) &lt; 0.2,0.2,IFERROR((100-TableauIngredients[[#This Row],[% eau]])/100, 1))</f>
        <v/>
      </c>
      <c r="C51" t="n">
        <v>0</v>
      </c>
      <c r="D51" t="inlineStr">
        <is>
          <t>gingembre</t>
        </is>
      </c>
      <c r="F51" s="641" t="n"/>
      <c r="H51" t="inlineStr">
        <is>
          <t>élevé</t>
        </is>
      </c>
      <c r="I51" t="inlineStr">
        <is>
          <t>*Zingiber officinale*</t>
        </is>
      </c>
    </row>
    <row r="52">
      <c r="A52">
        <f>IFERROR(PROPER(TableauIngredients[[#This Row],[Nom de la Production]]), "")</f>
        <v/>
      </c>
      <c r="B52" s="538">
        <f>IF(IFERROR((100-TableauIngredients[[#This Row],[% eau]])/100, 1) &lt; 0.2,0.2,IFERROR((100-TableauIngredients[[#This Row],[% eau]])/100, 1))</f>
        <v/>
      </c>
      <c r="C52" t="n">
        <v>15</v>
      </c>
      <c r="D52" t="inlineStr">
        <is>
          <t>gingembre</t>
        </is>
      </c>
      <c r="E52" t="n">
        <v>27.6</v>
      </c>
      <c r="F52" s="641" t="n"/>
      <c r="G52" s="2" t="inlineStr">
        <is>
          <t>https://thesdirect.com/products/gingembre-rhizome-poudre-bio?_pos=7&amp;_sid=90d482203&amp;_ss=r</t>
        </is>
      </c>
      <c r="H52" t="inlineStr">
        <is>
          <t>élevé</t>
        </is>
      </c>
      <c r="I52" t="inlineStr">
        <is>
          <t>*Zingiber officinale*</t>
        </is>
      </c>
      <c r="J52" t="inlineStr">
        <is>
          <t>Obsidian</t>
        </is>
      </c>
    </row>
    <row r="53">
      <c r="A53">
        <f>IFERROR(PROPER(TableauIngredients[[#This Row],[Nom de la Production]]), "")</f>
        <v/>
      </c>
      <c r="B53" s="538">
        <f>IF(IFERROR((100-TableauIngredients[[#This Row],[% eau]])/100, 1) &lt; 0.2,0.2,IFERROR((100-TableauIngredients[[#This Row],[% eau]])/100, 1))</f>
        <v/>
      </c>
      <c r="C53" t="n">
        <v>0</v>
      </c>
      <c r="D53" t="inlineStr">
        <is>
          <t>ail</t>
        </is>
      </c>
      <c r="F53" s="641" t="n"/>
      <c r="H53" t="inlineStr">
        <is>
          <t>modéré</t>
        </is>
      </c>
      <c r="I53" t="inlineStr">
        <is>
          <t>*Allium sativum*</t>
        </is>
      </c>
      <c r="J53" t="inlineStr">
        <is>
          <t>Obsidian</t>
        </is>
      </c>
    </row>
    <row r="54">
      <c r="A54">
        <f>IFERROR(PROPER(TableauIngredients[[#This Row],[Nom de la Production]]), "")</f>
        <v/>
      </c>
      <c r="B54" s="538">
        <f>IF(IFERROR((100-TableauIngredients[[#This Row],[% eau]])/100, 1) &lt; 0.2,0.2,IFERROR((100-TableauIngredients[[#This Row],[% eau]])/100, 1))</f>
        <v/>
      </c>
      <c r="C54" t="n">
        <v>80</v>
      </c>
      <c r="D54" t="inlineStr">
        <is>
          <t>aneth</t>
        </is>
      </c>
      <c r="F54" s="641" t="n"/>
      <c r="H54" t="inlineStr">
        <is>
          <t>modéré</t>
        </is>
      </c>
      <c r="I54" t="inlineStr">
        <is>
          <t>*Anethum graveolens*</t>
        </is>
      </c>
      <c r="J54" t="inlineStr">
        <is>
          <t>Obsidian</t>
        </is>
      </c>
    </row>
    <row r="55">
      <c r="A55">
        <f>IFERROR(PROPER(TableauIngredients[[#This Row],[Nom de la Production]]), "")</f>
        <v/>
      </c>
      <c r="B55" s="538">
        <f>IF(IFERROR((100-TableauIngredients[[#This Row],[% eau]])/100, 1) &lt; 0.2,0.2,IFERROR((100-TableauIngredients[[#This Row],[% eau]])/100, 1))</f>
        <v/>
      </c>
      <c r="C55" t="n">
        <v>97</v>
      </c>
      <c r="D55" t="inlineStr">
        <is>
          <t>graine de cardamone</t>
        </is>
      </c>
      <c r="F55" s="641">
        <f>108.1*1.055</f>
        <v/>
      </c>
      <c r="G55" s="2" t="inlineStr">
        <is>
          <t>https://thesdirect.com/products/cardamome-fruit-entier-bio?_pos=1&amp;_sid=0d54a836c&amp;_ss=r</t>
        </is>
      </c>
    </row>
    <row r="56">
      <c r="A56">
        <f>IFERROR(PROPER(TableauIngredients[[#This Row],[Nom de la Production]]), "")</f>
        <v/>
      </c>
      <c r="B56" s="538">
        <f>IF(IFERROR((100-TableauIngredients[[#This Row],[% eau]])/100, 1) &lt; 0.2,0.2,IFERROR((100-TableauIngredients[[#This Row],[% eau]])/100, 1))</f>
        <v/>
      </c>
      <c r="C56" t="n">
        <v>30</v>
      </c>
      <c r="D56" t="inlineStr">
        <is>
          <t>graine de carvi</t>
        </is>
      </c>
      <c r="E56">
        <f>20.75*1.055</f>
        <v/>
      </c>
      <c r="F56" s="641" t="n"/>
      <c r="G56" s="2" t="inlineStr">
        <is>
          <t>https://thesdirect.com/products/carvi-graine-entiere-bio?_pos=1&amp;_sid=0340e6674&amp;_ss=r</t>
        </is>
      </c>
      <c r="H56" t="inlineStr">
        <is>
          <t>faible</t>
        </is>
      </c>
      <c r="I56" t="inlineStr">
        <is>
          <t>*Carum carvi*</t>
        </is>
      </c>
    </row>
    <row r="57">
      <c r="A57">
        <f>IFERROR(PROPER(TableauIngredients[[#This Row],[Nom de la Production]]), "")</f>
        <v/>
      </c>
      <c r="B57" s="538">
        <f>IF(IFERROR((100-TableauIngredients[[#This Row],[% eau]])/100, 1) &lt; 0.2,0.2,IFERROR((100-TableauIngredients[[#This Row],[% eau]])/100, 1))</f>
        <v/>
      </c>
      <c r="C57" t="n">
        <v>30</v>
      </c>
      <c r="D57" t="inlineStr">
        <is>
          <t>graine cumin</t>
        </is>
      </c>
      <c r="E57">
        <f>42.9*1.055</f>
        <v/>
      </c>
      <c r="F57" s="641" t="n"/>
      <c r="G57" s="2" t="inlineStr">
        <is>
          <t>https://thesdirect.com/products/grosssite-cumin-graine-poudre-bio-vente-en-gros?_pos=2&amp;_sid=3c51b5f81&amp;_ss=r</t>
        </is>
      </c>
      <c r="H57" t="inlineStr">
        <is>
          <t>faible</t>
        </is>
      </c>
      <c r="I57" t="inlineStr">
        <is>
          <t>*Cuminum cyminum*</t>
        </is>
      </c>
    </row>
    <row r="58">
      <c r="A58">
        <f>IFERROR(PROPER(TableauIngredients[[#This Row],[Nom de la Production]]), "")</f>
        <v/>
      </c>
      <c r="B58" s="538">
        <f>IF(IFERROR((100-TableauIngredients[[#This Row],[% eau]])/100, 1) &lt; 0.2,0.2,IFERROR((100-TableauIngredients[[#This Row],[% eau]])/100, 1))</f>
        <v/>
      </c>
      <c r="C58" t="n">
        <v>30</v>
      </c>
      <c r="D58" t="inlineStr">
        <is>
          <t>graine de fenouil</t>
        </is>
      </c>
      <c r="E58" t="n">
        <v>17.5</v>
      </c>
      <c r="F58" s="641" t="n"/>
      <c r="G58" s="2" t="inlineStr">
        <is>
          <t>https://thesdirect.com/products/fenouil-bio-en-vrac-1-kg?_pos=1&amp;_sid=0712c237c&amp;_ss=r</t>
        </is>
      </c>
      <c r="H58" t="inlineStr">
        <is>
          <t>faible</t>
        </is>
      </c>
      <c r="I58" t="inlineStr">
        <is>
          <t>*Foeniculum vulgare*</t>
        </is>
      </c>
    </row>
    <row r="59">
      <c r="A59">
        <f>IFERROR(PROPER(TableauIngredients[[#This Row],[Nom de la Production]]), "")</f>
        <v/>
      </c>
      <c r="B59" s="538">
        <f>IF(IFERROR((100-TableauIngredients[[#This Row],[% eau]])/100, 1) &lt; 0.2,0.2,IFERROR((100-TableauIngredients[[#This Row],[% eau]])/100, 1))</f>
        <v/>
      </c>
      <c r="C59" t="n">
        <v>30</v>
      </c>
      <c r="D59" t="inlineStr">
        <is>
          <t>graine de fenugrec</t>
        </is>
      </c>
      <c r="E59" t="n">
        <v>12.55</v>
      </c>
      <c r="F59" s="641" t="n"/>
      <c r="G59" s="2" t="inlineStr">
        <is>
          <t>https://thesdirect.com/products/graine-de-fenugrec-bio-en-vrac?_pos=1&amp;_sid=e3b571ae1&amp;_ss=r</t>
        </is>
      </c>
      <c r="H59" t="inlineStr">
        <is>
          <t>faible</t>
        </is>
      </c>
      <c r="I59" t="inlineStr">
        <is>
          <t>*Trigonella foenum-graecum*</t>
        </is>
      </c>
    </row>
    <row r="60">
      <c r="A60">
        <f>IFERROR(PROPER(TableauIngredients[[#This Row],[Nom de la Production]]), "")</f>
        <v/>
      </c>
      <c r="B60" s="538">
        <f>IF(IFERROR((100-TableauIngredients[[#This Row],[% eau]])/100, 1) &lt; 0.2,0.2,IFERROR((100-TableauIngredients[[#This Row],[% eau]])/100, 1))</f>
        <v/>
      </c>
      <c r="C60" t="n">
        <v>30</v>
      </c>
      <c r="D60" t="inlineStr">
        <is>
          <t>graine de moutarde</t>
        </is>
      </c>
      <c r="E60" t="n">
        <v>10.85</v>
      </c>
      <c r="F60" s="641" t="n"/>
      <c r="G60" s="2" t="inlineStr">
        <is>
          <t>https://thesdirect.com/products/graine-de-moutarde-jaune-bio-en-vrac?_pos=2&amp;_sid=ed731c47b&amp;_ss=r</t>
        </is>
      </c>
      <c r="H60" t="inlineStr">
        <is>
          <t>faible</t>
        </is>
      </c>
      <c r="I60" t="inlineStr">
        <is>
          <t>*Sinapis alba* / *Brassica nigra* / *Brassica juncea*</t>
        </is>
      </c>
    </row>
    <row r="61">
      <c r="A61">
        <f>IFERROR(PROPER(TableauIngredients[[#This Row],[Nom de la Production]]), "")</f>
        <v/>
      </c>
      <c r="B61" s="538">
        <f>IF(IFERROR((100-TableauIngredients[[#This Row],[% eau]])/100, 1) &lt; 0.2,0.2,IFERROR((100-TableauIngredients[[#This Row],[% eau]])/100, 1))</f>
        <v/>
      </c>
      <c r="C61" t="n">
        <v>30</v>
      </c>
      <c r="D61" t="inlineStr">
        <is>
          <t>graine de moutarde noire</t>
        </is>
      </c>
      <c r="E61" t="n">
        <v>12.9</v>
      </c>
      <c r="F61" s="641" t="n"/>
      <c r="G61" s="2" t="inlineStr">
        <is>
          <t>https://thesdirect.com/products/graine-de-moutarde-noir-bio-en-vrac?_pos=1&amp;_sid=ed731c47b&amp;_ss=r</t>
        </is>
      </c>
      <c r="H61" t="inlineStr">
        <is>
          <t>faible</t>
        </is>
      </c>
      <c r="I61" t="inlineStr">
        <is>
          <t>*Sinapis alba* / *Brassica nigra* / *Brassica juncea*</t>
        </is>
      </c>
    </row>
    <row r="62">
      <c r="A62">
        <f>IFERROR(PROPER(TableauIngredients[[#This Row],[Nom de la Production]]), "")</f>
        <v/>
      </c>
      <c r="B62" s="538">
        <f>IF(IFERROR((100-TableauIngredients[[#This Row],[% eau]])/100, 1) &lt; 0.2,0.2,IFERROR((100-TableauIngredients[[#This Row],[% eau]])/100, 1))</f>
        <v/>
      </c>
      <c r="C62" t="n">
        <v>30</v>
      </c>
      <c r="D62" t="inlineStr">
        <is>
          <t>graine de nigelle</t>
        </is>
      </c>
      <c r="E62" t="n">
        <v>21.95</v>
      </c>
      <c r="F62" s="641" t="n"/>
      <c r="G62" s="2" t="inlineStr">
        <is>
          <t>https://thesdirect.com/products/cumin-noir-nigelle-graine-entiere-bio?_pos=1&amp;_sid=952bb7c98&amp;_ss=r</t>
        </is>
      </c>
      <c r="H62" t="inlineStr">
        <is>
          <t>faible</t>
        </is>
      </c>
      <c r="I62" t="inlineStr">
        <is>
          <t>*Nigella sativa*</t>
        </is>
      </c>
    </row>
    <row r="63">
      <c r="A63">
        <f>IFERROR(PROPER(TableauIngredients[[#This Row],[Nom de la Production]]), "")</f>
        <v/>
      </c>
      <c r="B63" s="538">
        <f>IF(IFERROR((100-TableauIngredients[[#This Row],[% eau]])/100, 1) &lt; 0.2,0.2,IFERROR((100-TableauIngredients[[#This Row],[% eau]])/100, 1))</f>
        <v/>
      </c>
      <c r="C63" t="n">
        <v>40</v>
      </c>
      <c r="D63" s="1" t="inlineStr">
        <is>
          <t>graines de pavot</t>
        </is>
      </c>
      <c r="E63" s="1" t="n"/>
      <c r="F63" s="641" t="n"/>
      <c r="H63" t="inlineStr">
        <is>
          <t>faible</t>
        </is>
      </c>
      <c r="I63" t="inlineStr">
        <is>
          <t>*Papaver somniferum*</t>
        </is>
      </c>
    </row>
    <row r="64">
      <c r="A64">
        <f>IFERROR(PROPER(TableauIngredients[[#This Row],[Nom de la Production]]), "")</f>
        <v/>
      </c>
      <c r="B64" s="538">
        <f>IF(IFERROR((100-TableauIngredients[[#This Row],[% eau]])/100, 1) &lt; 0.2,0.2,IFERROR((100-TableauIngredients[[#This Row],[% eau]])/100, 1))</f>
        <v/>
      </c>
      <c r="C64" t="n">
        <v>30</v>
      </c>
      <c r="D64" t="inlineStr">
        <is>
          <t>graine de sesame</t>
        </is>
      </c>
      <c r="F64" s="641" t="n"/>
    </row>
    <row r="65">
      <c r="A65">
        <f>IFERROR(PROPER(TableauIngredients[[#This Row],[Nom de la Production]]), "")</f>
        <v/>
      </c>
      <c r="B65" s="538">
        <f>IF(IFERROR((100-TableauIngredients[[#This Row],[% eau]])/100, 1) &lt; 0.2,0.2,IFERROR((100-TableauIngredients[[#This Row],[% eau]])/100, 1))</f>
        <v/>
      </c>
      <c r="C65" t="n">
        <v>95</v>
      </c>
      <c r="D65" t="inlineStr">
        <is>
          <t>grande ortie</t>
        </is>
      </c>
      <c r="E65" t="n">
        <v>28.55</v>
      </c>
      <c r="F65" s="641" t="n"/>
      <c r="G65" s="2" t="inlineStr">
        <is>
          <t>https://thesdirect.com/products/ortie-piquante-partie-aerienne-poudre-bio-origine-france?_pos=3&amp;_sid=da77c7ad6&amp;_ss=r</t>
        </is>
      </c>
      <c r="H65" t="inlineStr">
        <is>
          <t>élevé</t>
        </is>
      </c>
      <c r="I65" t="inlineStr">
        <is>
          <t>*Urtica dioica*</t>
        </is>
      </c>
      <c r="J65" t="inlineStr">
        <is>
          <t>Obsidian</t>
        </is>
      </c>
    </row>
    <row r="66">
      <c r="A66">
        <f>IFERROR(PROPER(TableauIngredients[[#This Row],[Nom de la Production]]), "")</f>
        <v/>
      </c>
      <c r="B66" s="538">
        <f>IF(IFERROR((100-TableauIngredients[[#This Row],[% eau]])/100, 1) &lt; 0.2,0.2,IFERROR((100-TableauIngredients[[#This Row],[% eau]])/100, 1))</f>
        <v/>
      </c>
      <c r="C66" t="n">
        <v>0</v>
      </c>
      <c r="D66" s="1" t="inlineStr">
        <is>
          <t>guimauve feuille</t>
        </is>
      </c>
      <c r="F66" s="641" t="n"/>
      <c r="H66" t="inlineStr">
        <is>
          <t>élevé</t>
        </is>
      </c>
      <c r="I66" t="inlineStr">
        <is>
          <t>*Althaea officinalis*</t>
        </is>
      </c>
    </row>
    <row r="67">
      <c r="A67">
        <f>IFERROR(PROPER(TableauIngredients[[#This Row],[Nom de la Production]]), "")</f>
        <v/>
      </c>
      <c r="B67" s="538">
        <f>IF(IFERROR((100-TableauIngredients[[#This Row],[% eau]])/100, 1) &lt; 0.2,0.2,IFERROR((100-TableauIngredients[[#This Row],[% eau]])/100, 1))</f>
        <v/>
      </c>
      <c r="C67" t="n">
        <v>95</v>
      </c>
      <c r="D67" s="1" t="inlineStr">
        <is>
          <t>guimauve feuille</t>
        </is>
      </c>
      <c r="F67" s="641" t="n"/>
      <c r="H67" t="inlineStr">
        <is>
          <t>élevé</t>
        </is>
      </c>
      <c r="I67" t="inlineStr">
        <is>
          <t>*Althaea officinalis*</t>
        </is>
      </c>
    </row>
    <row r="68">
      <c r="A68">
        <f>IFERROR(PROPER(TableauIngredients[[#This Row],[Nom de la Production]]), "")</f>
        <v/>
      </c>
      <c r="B68" s="538">
        <f>IF(IFERROR((100-TableauIngredients[[#This Row],[% eau]])/100, 1) &lt; 0.2,0.2,IFERROR((100-TableauIngredients[[#This Row],[% eau]])/100, 1))</f>
        <v/>
      </c>
      <c r="C68" t="n">
        <v>0</v>
      </c>
      <c r="D68" s="1" t="inlineStr">
        <is>
          <t>guimauve fleur</t>
        </is>
      </c>
      <c r="F68" s="641" t="n"/>
      <c r="H68" t="inlineStr">
        <is>
          <t>élevé</t>
        </is>
      </c>
      <c r="I68" t="inlineStr">
        <is>
          <t>*Althaea officinalis*</t>
        </is>
      </c>
    </row>
    <row r="69">
      <c r="A69">
        <f>IFERROR(PROPER(TableauIngredients[[#This Row],[Nom de la Production]]), "")</f>
        <v/>
      </c>
      <c r="B69" s="538">
        <f>IF(IFERROR((100-TableauIngredients[[#This Row],[% eau]])/100, 1) &lt; 0.2,0.2,IFERROR((100-TableauIngredients[[#This Row],[% eau]])/100, 1))</f>
        <v/>
      </c>
      <c r="C69" t="n">
        <v>97</v>
      </c>
      <c r="D69" s="1" t="inlineStr">
        <is>
          <t>guimauve fleur</t>
        </is>
      </c>
      <c r="F69" s="641" t="n"/>
      <c r="H69" t="inlineStr">
        <is>
          <t>élevé</t>
        </is>
      </c>
      <c r="I69" t="inlineStr">
        <is>
          <t>*Althaea officinalis*</t>
        </is>
      </c>
    </row>
    <row r="70">
      <c r="A70">
        <f>IFERROR(PROPER(TableauIngredients[[#This Row],[Nom de la Production]]), "")</f>
        <v/>
      </c>
      <c r="B70" s="538">
        <f>IF(IFERROR((100-TableauIngredients[[#This Row],[% eau]])/100, 1) &lt; 0.2,0.2,IFERROR((100-TableauIngredients[[#This Row],[% eau]])/100, 1))</f>
        <v/>
      </c>
      <c r="C70" t="n">
        <v>0</v>
      </c>
      <c r="D70" s="1" t="inlineStr">
        <is>
          <t>guimauve racine</t>
        </is>
      </c>
      <c r="F70" s="641" t="n"/>
      <c r="H70" t="inlineStr">
        <is>
          <t>élevé</t>
        </is>
      </c>
      <c r="I70" t="inlineStr">
        <is>
          <t>*Althaea officinalis*</t>
        </is>
      </c>
    </row>
    <row r="71">
      <c r="A71">
        <f>IFERROR(PROPER(TableauIngredients[[#This Row],[Nom de la Production]]), "")</f>
        <v/>
      </c>
      <c r="B71" s="538">
        <f>IF(IFERROR((100-TableauIngredients[[#This Row],[% eau]])/100, 1) &lt; 0.2,0.2,IFERROR((100-TableauIngredients[[#This Row],[% eau]])/100, 1))</f>
        <v/>
      </c>
      <c r="C71" t="n">
        <v>65</v>
      </c>
      <c r="D71" s="1" t="inlineStr">
        <is>
          <t>guimauve racine</t>
        </is>
      </c>
      <c r="F71" s="641" t="n"/>
      <c r="H71" t="inlineStr">
        <is>
          <t>élevé</t>
        </is>
      </c>
      <c r="I71" t="inlineStr">
        <is>
          <t>*Althaea officinalis*</t>
        </is>
      </c>
    </row>
    <row r="72">
      <c r="A72">
        <f>IFERROR(PROPER(TableauIngredients[[#This Row],[Nom de la Production]]), "")</f>
        <v/>
      </c>
      <c r="B72" s="538">
        <f>IF(IFERROR((100-TableauIngredients[[#This Row],[% eau]])/100, 1) &lt; 0.2,0.2,IFERROR((100-TableauIngredients[[#This Row],[% eau]])/100, 1))</f>
        <v/>
      </c>
      <c r="C72" t="n">
        <v>97</v>
      </c>
      <c r="D72" t="inlineStr">
        <is>
          <t>harpagophytum procumbens</t>
        </is>
      </c>
      <c r="F72" s="641" t="n">
        <v>37.15</v>
      </c>
      <c r="G72" s="2" t="inlineStr">
        <is>
          <t>https://thesdirect.com/products/harpagophytum-racine-coupee-bio?variant=46723154116950&amp;utm_medium=paidsearch&amp;utm_source=google&amp;utm_campaign=FR-PMC-Global&amp;utm_term=&amp;utm_content=&amp;gad_source=1</t>
        </is>
      </c>
    </row>
    <row r="73">
      <c r="A73">
        <f>IFERROR(PROPER(TableauIngredients[[#This Row],[Nom de la Production]]), "")</f>
        <v/>
      </c>
      <c r="B73" s="538">
        <f>IF(IFERROR((100-TableauIngredients[[#This Row],[% eau]])/100, 1) &lt; 0.2,0.2,IFERROR((100-TableauIngredients[[#This Row],[% eau]])/100, 1))</f>
        <v/>
      </c>
      <c r="C73" t="n">
        <v>98</v>
      </c>
      <c r="D73" t="inlineStr">
        <is>
          <t>helichryse</t>
        </is>
      </c>
      <c r="E73">
        <f>214.5/4.9</f>
        <v/>
      </c>
      <c r="F73" s="641" t="n"/>
      <c r="G73" s="2" t="inlineStr">
        <is>
          <t>https://www.etsy.com/fr/listing/897347569/tisane-en-vrac-helichrysum-immortelle</t>
        </is>
      </c>
    </row>
    <row r="74">
      <c r="A74">
        <f>IFERROR(PROPER(TableauIngredients[[#This Row],[Nom de la Production]]), "")</f>
        <v/>
      </c>
      <c r="B74" s="538">
        <f>IF(IFERROR((100-TableauIngredients[[#This Row],[% eau]])/100, 1) &lt; 0.2,0.2,IFERROR((100-TableauIngredients[[#This Row],[% eau]])/100, 1))</f>
        <v/>
      </c>
      <c r="C74" t="n">
        <v>0</v>
      </c>
      <c r="D74" t="inlineStr">
        <is>
          <t>hemerocalle</t>
        </is>
      </c>
      <c r="F74" s="641" t="n"/>
    </row>
    <row r="75">
      <c r="A75">
        <f>IFERROR(PROPER(TableauIngredients[[#This Row],[Nom de la Production]]), "")</f>
        <v/>
      </c>
      <c r="B75" s="538">
        <f>IF(IFERROR((100-TableauIngredients[[#This Row],[% eau]])/100, 1) &lt; 0.2,0.2,IFERROR((100-TableauIngredients[[#This Row],[% eau]])/100, 1))</f>
        <v/>
      </c>
      <c r="C75" t="n">
        <v>95</v>
      </c>
      <c r="D75" t="inlineStr">
        <is>
          <t>hemerocalle</t>
        </is>
      </c>
      <c r="F75" s="641" t="n"/>
    </row>
    <row r="76">
      <c r="A76">
        <f>IFERROR(PROPER(TableauIngredients[[#This Row],[Nom de la Production]]), "")</f>
        <v/>
      </c>
      <c r="B76" s="538">
        <f>IF(IFERROR((100-TableauIngredients[[#This Row],[% eau]])/100, 1) &lt; 0.2,0.2,IFERROR((100-TableauIngredients[[#This Row],[% eau]])/100, 1))</f>
        <v/>
      </c>
      <c r="C76" t="n">
        <v>0</v>
      </c>
      <c r="D76" t="inlineStr">
        <is>
          <t>hibiscus</t>
        </is>
      </c>
      <c r="F76" s="641" t="n"/>
      <c r="H76" t="inlineStr">
        <is>
          <t>élevé</t>
        </is>
      </c>
      <c r="I76" t="inlineStr">
        <is>
          <t>*Hibiscus sabdariffa*</t>
        </is>
      </c>
    </row>
    <row r="77">
      <c r="A77">
        <f>IFERROR(PROPER(TableauIngredients[[#This Row],[Nom de la Production]]), "")</f>
        <v/>
      </c>
      <c r="B77" s="538">
        <f>IF(IFERROR((100-TableauIngredients[[#This Row],[% eau]])/100, 1) &lt; 0.2,0.2,IFERROR((100-TableauIngredients[[#This Row],[% eau]])/100, 1))</f>
        <v/>
      </c>
      <c r="C77" t="n">
        <v>95</v>
      </c>
      <c r="D77" t="inlineStr">
        <is>
          <t>hibiscus</t>
        </is>
      </c>
      <c r="F77" s="641" t="n"/>
      <c r="H77" t="inlineStr">
        <is>
          <t>élevé</t>
        </is>
      </c>
      <c r="I77" t="inlineStr">
        <is>
          <t>*Hibiscus sabdariffa*</t>
        </is>
      </c>
      <c r="J77" t="inlineStr">
        <is>
          <t>Obsidian</t>
        </is>
      </c>
    </row>
    <row r="78">
      <c r="A78">
        <f>IFERROR(PROPER(TableauIngredients[[#This Row],[Nom de la Production]]), "")</f>
        <v/>
      </c>
      <c r="B78" s="538">
        <f>IF(IFERROR((100-TableauIngredients[[#This Row],[% eau]])/100, 1) &lt; 0.2,0.2,IFERROR((100-TableauIngredients[[#This Row],[% eau]])/100, 1))</f>
        <v/>
      </c>
      <c r="C78" t="n">
        <v>97</v>
      </c>
      <c r="D78" s="1" t="inlineStr">
        <is>
          <t>huile d'olive</t>
        </is>
      </c>
      <c r="E78" s="1" t="n"/>
      <c r="F78" s="641" t="n">
        <v>8</v>
      </c>
    </row>
    <row r="79">
      <c r="A79">
        <f>IFERROR(PROPER(TableauIngredients[[#This Row],[Nom de la Production]]), "")</f>
        <v/>
      </c>
      <c r="B79" s="538">
        <f>IF(IFERROR((100-TableauIngredients[[#This Row],[% eau]])/100, 1) &lt; 0.2,0.2,IFERROR((100-TableauIngredients[[#This Row],[% eau]])/100, 1))</f>
        <v/>
      </c>
      <c r="C79" t="n">
        <v>0</v>
      </c>
      <c r="D79" t="inlineStr">
        <is>
          <t>huile de sesame grille</t>
        </is>
      </c>
      <c r="F79" s="641" t="n">
        <v>16</v>
      </c>
    </row>
    <row r="80">
      <c r="A80">
        <f>IFERROR(PROPER(TableauIngredients[[#This Row],[Nom de la Production]]), "")</f>
        <v/>
      </c>
      <c r="B80" s="538">
        <f>IF(IFERROR((100-TableauIngredients[[#This Row],[% eau]])/100, 1) &lt; 0.2,0.2,IFERROR((100-TableauIngredients[[#This Row],[% eau]])/100, 1))</f>
        <v/>
      </c>
      <c r="C80" t="n">
        <v>0</v>
      </c>
      <c r="D80" t="inlineStr">
        <is>
          <t>huile de tournesol</t>
        </is>
      </c>
      <c r="F80" s="641" t="n">
        <v>1.5</v>
      </c>
    </row>
    <row r="81">
      <c r="A81">
        <f>IFERROR(PROPER(TableauIngredients[[#This Row],[Nom de la Production]]), "")</f>
        <v/>
      </c>
      <c r="B81" s="538">
        <f>IF(IFERROR((100-TableauIngredients[[#This Row],[% eau]])/100, 1) &lt; 0.2,0.2,IFERROR((100-TableauIngredients[[#This Row],[% eau]])/100, 1))</f>
        <v/>
      </c>
      <c r="C81" t="n">
        <v>30</v>
      </c>
      <c r="D81" t="inlineStr">
        <is>
          <t>jaggery</t>
        </is>
      </c>
      <c r="F81" s="641" t="n"/>
    </row>
    <row r="82">
      <c r="A82">
        <f>IFERROR(PROPER(TableauIngredients[[#This Row],[Nom de la Production]]), "")</f>
        <v/>
      </c>
      <c r="B82" s="538">
        <f>IF(IFERROR((100-TableauIngredients[[#This Row],[% eau]])/100, 1) &lt; 0.2,0.2,IFERROR((100-TableauIngredients[[#This Row],[% eau]])/100, 1))</f>
        <v/>
      </c>
      <c r="C82" t="n">
        <v>65</v>
      </c>
      <c r="D82" t="inlineStr">
        <is>
          <t>citron jaune</t>
        </is>
      </c>
      <c r="F82" s="641" t="n">
        <v>12</v>
      </c>
      <c r="G82" s="2" t="inlineStr">
        <is>
          <t>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</t>
        </is>
      </c>
    </row>
    <row r="83">
      <c r="A83">
        <f>IFERROR(PROPER(TableauIngredients[[#This Row],[Nom de la Production]]), "")</f>
        <v/>
      </c>
      <c r="B83" s="538">
        <f>IF(IFERROR((100-TableauIngredients[[#This Row],[% eau]])/100, 1) &lt; 0.2,0.2,IFERROR((100-TableauIngredients[[#This Row],[% eau]])/100, 1))</f>
        <v/>
      </c>
      <c r="C83" t="n">
        <v>20</v>
      </c>
      <c r="D83" t="inlineStr">
        <is>
          <t>kala namak</t>
        </is>
      </c>
      <c r="F83" s="641" t="n">
        <v>97</v>
      </c>
      <c r="G83" t="inlineStr">
        <is>
          <t>https://www.etsy.com/fr/listing/1231751144/100-indien-pur-sel-de-roche-noir-kala?gpla=1&amp;gao=1&amp;variation0=2788066596</t>
        </is>
      </c>
    </row>
    <row r="84">
      <c r="A84">
        <f>IFERROR(PROPER(TableauIngredients[[#This Row],[Nom de la Production]]), "")</f>
        <v/>
      </c>
      <c r="B84" s="538">
        <f>IF(IFERROR((100-TableauIngredients[[#This Row],[% eau]])/100, 1) &lt; 0.2,0.2,IFERROR((100-TableauIngredients[[#This Row],[% eau]])/100, 1))</f>
        <v/>
      </c>
      <c r="C84" t="n">
        <v>0</v>
      </c>
      <c r="D84" t="inlineStr">
        <is>
          <t>agastache</t>
        </is>
      </c>
      <c r="F84" s="641" t="n"/>
      <c r="H84" t="inlineStr">
        <is>
          <t>modéré</t>
        </is>
      </c>
      <c r="I84" t="inlineStr">
        <is>
          <t>*Agastache foeniculum*</t>
        </is>
      </c>
    </row>
    <row r="85">
      <c r="A85">
        <f>IFERROR(PROPER(TableauIngredients[[#This Row],[Nom de la Production]]), "")</f>
        <v/>
      </c>
      <c r="B85" s="538">
        <f>IF(IFERROR((100-TableauIngredients[[#This Row],[% eau]])/100, 1) &lt; 0.2,0.2,IFERROR((100-TableauIngredients[[#This Row],[% eau]])/100, 1))</f>
        <v/>
      </c>
      <c r="C85" t="n">
        <v>95</v>
      </c>
      <c r="D85" t="inlineStr">
        <is>
          <t>agastache</t>
        </is>
      </c>
      <c r="F85" s="641" t="n"/>
      <c r="H85" t="inlineStr">
        <is>
          <t>modéré</t>
        </is>
      </c>
      <c r="I85" t="inlineStr">
        <is>
          <t>*Agastache foeniculum*</t>
        </is>
      </c>
      <c r="J85" t="inlineStr">
        <is>
          <t>Obsidian</t>
        </is>
      </c>
    </row>
    <row r="86">
      <c r="A86">
        <f>IFERROR(PROPER(TableauIngredients[[#This Row],[Nom de la Production]]), "")</f>
        <v/>
      </c>
      <c r="B86" s="538">
        <f>IF(IFERROR((100-TableauIngredients[[#This Row],[% eau]])/100, 1) &lt; 0.2,0.2,IFERROR((100-TableauIngredients[[#This Row],[% eau]])/100, 1))</f>
        <v/>
      </c>
      <c r="C86" t="n">
        <v>0</v>
      </c>
      <c r="D86" t="inlineStr">
        <is>
          <t>pensee</t>
        </is>
      </c>
      <c r="F86" s="641" t="n"/>
    </row>
    <row r="87">
      <c r="A87">
        <f>IFERROR(PROPER(TableauIngredients[[#This Row],[Nom de la Production]]), "")</f>
        <v/>
      </c>
      <c r="B87" s="538">
        <f>IF(IFERROR((100-TableauIngredients[[#This Row],[% eau]])/100, 1) &lt; 0.2,0.2,IFERROR((100-TableauIngredients[[#This Row],[% eau]])/100, 1))</f>
        <v/>
      </c>
      <c r="C87" t="n">
        <v>97</v>
      </c>
      <c r="D87" t="inlineStr">
        <is>
          <t>pensee</t>
        </is>
      </c>
      <c r="F87" s="641" t="n"/>
    </row>
    <row r="88">
      <c r="A88">
        <f>IFERROR(PROPER(TableauIngredients[[#This Row],[Nom de la Production]]), "")</f>
        <v/>
      </c>
      <c r="B88" s="538">
        <f>IF(IFERROR((100-TableauIngredients[[#This Row],[% eau]])/100, 1) &lt; 0.2,0.2,IFERROR((100-TableauIngredients[[#This Row],[% eau]])/100, 1))</f>
        <v/>
      </c>
      <c r="C88" t="n">
        <v>92</v>
      </c>
      <c r="D88" t="inlineStr">
        <is>
          <t>lavande</t>
        </is>
      </c>
      <c r="E88" t="n">
        <v>33.45</v>
      </c>
      <c r="F88" s="641" t="n"/>
      <c r="G88" s="2" t="inlineStr">
        <is>
          <t>https://thesdirect.com/products/lavandin-fleur-entiere-bio-origine-france?variant=46723154575702</t>
        </is>
      </c>
      <c r="H88" t="inlineStr">
        <is>
          <t>faible</t>
        </is>
      </c>
      <c r="I88" t="inlineStr">
        <is>
          <t>*Lavandula angustifolia*</t>
        </is>
      </c>
    </row>
    <row r="89">
      <c r="A89">
        <f>IFERROR(PROPER(TableauIngredients[[#This Row],[Nom de la Production]]), "")</f>
        <v/>
      </c>
      <c r="B89" s="538">
        <f>IF(IFERROR((100-TableauIngredients[[#This Row],[% eau]])/100, 1) &lt; 0.2,0.2,IFERROR((100-TableauIngredients[[#This Row],[% eau]])/100, 1))</f>
        <v/>
      </c>
      <c r="C89" t="n">
        <v>0</v>
      </c>
      <c r="D89" t="inlineStr">
        <is>
          <t>lavande</t>
        </is>
      </c>
      <c r="F89" s="641" t="n"/>
      <c r="H89" t="inlineStr">
        <is>
          <t>faible</t>
        </is>
      </c>
      <c r="I89" t="inlineStr">
        <is>
          <t>*Lavandula angustifolia*</t>
        </is>
      </c>
    </row>
    <row r="90">
      <c r="A90">
        <f>IFERROR(PROPER(TableauIngredients[[#This Row],[Nom de la Production]]), "")</f>
        <v/>
      </c>
      <c r="B90" s="538">
        <f>IF(IFERROR((100-TableauIngredients[[#This Row],[% eau]])/100, 1) &lt; 0.2,0.2,IFERROR((100-TableauIngredients[[#This Row],[% eau]])/100, 1))</f>
        <v/>
      </c>
      <c r="C90" t="n">
        <v>92</v>
      </c>
      <c r="D90" t="inlineStr">
        <is>
          <t>lavande</t>
        </is>
      </c>
      <c r="F90" s="641" t="n"/>
      <c r="H90" t="inlineStr">
        <is>
          <t>faible</t>
        </is>
      </c>
      <c r="I90" t="inlineStr">
        <is>
          <t>*Lavandula angustifolia*</t>
        </is>
      </c>
      <c r="J90" t="inlineStr">
        <is>
          <t>Obsidian</t>
        </is>
      </c>
    </row>
    <row r="91">
      <c r="A91">
        <f>IFERROR(PROPER(TableauIngredients[[#This Row],[Nom de la Production]]), "")</f>
        <v/>
      </c>
      <c r="B91" s="538">
        <f>IF(IFERROR((100-TableauIngredients[[#This Row],[% eau]])/100, 1) &lt; 0.2,0.2,IFERROR((100-TableauIngredients[[#This Row],[% eau]])/100, 1))</f>
        <v/>
      </c>
      <c r="C91" t="n">
        <v>0</v>
      </c>
      <c r="D91" t="inlineStr">
        <is>
          <t>lilas</t>
        </is>
      </c>
      <c r="F91" s="641" t="n"/>
      <c r="H91" t="inlineStr">
        <is>
          <t>faible</t>
        </is>
      </c>
      <c r="I91" t="inlineStr">
        <is>
          <t>*Syringa vulgaris*</t>
        </is>
      </c>
    </row>
    <row r="92">
      <c r="A92">
        <f>IFERROR(PROPER(TableauIngredients[[#This Row],[Nom de la Production]]), "")</f>
        <v/>
      </c>
      <c r="B92" s="538">
        <f>IF(IFERROR((100-TableauIngredients[[#This Row],[% eau]])/100, 1) &lt; 0.2,0.2,IFERROR((100-TableauIngredients[[#This Row],[% eau]])/100, 1))</f>
        <v/>
      </c>
      <c r="C92" t="n">
        <v>92</v>
      </c>
      <c r="D92" t="inlineStr">
        <is>
          <t>lilas</t>
        </is>
      </c>
      <c r="F92" s="641" t="n"/>
      <c r="H92" t="inlineStr">
        <is>
          <t>faible</t>
        </is>
      </c>
      <c r="I92" t="inlineStr">
        <is>
          <t>*Syringa vulgaris*</t>
        </is>
      </c>
      <c r="J92" t="inlineStr">
        <is>
          <t>Obsidian</t>
        </is>
      </c>
    </row>
    <row r="93">
      <c r="A93">
        <f>IFERROR(PROPER(TableauIngredients[[#This Row],[Nom de la Production]]), "")</f>
        <v/>
      </c>
      <c r="B93" s="538">
        <f>IF(IFERROR((100-TableauIngredients[[#This Row],[% eau]])/100, 1) &lt; 0.2,0.2,IFERROR((100-TableauIngredients[[#This Row],[% eau]])/100, 1))</f>
        <v/>
      </c>
      <c r="C93" t="n">
        <v>90</v>
      </c>
      <c r="D93" t="inlineStr">
        <is>
          <t>macie</t>
        </is>
      </c>
      <c r="F93" s="641" t="n">
        <v>500</v>
      </c>
    </row>
    <row r="94">
      <c r="A94">
        <f>IFERROR(PROPER(TableauIngredients[[#This Row],[Nom de la Production]]), "")</f>
        <v/>
      </c>
      <c r="B94" s="538">
        <f>IF(IFERROR((100-TableauIngredients[[#This Row],[% eau]])/100, 1) &lt; 0.2,0.2,IFERROR((100-TableauIngredients[[#This Row],[% eau]])/100, 1))</f>
        <v/>
      </c>
      <c r="C94" t="n">
        <v>90</v>
      </c>
      <c r="D94" t="inlineStr">
        <is>
          <t>marjolaine</t>
        </is>
      </c>
      <c r="F94" s="641" t="n"/>
      <c r="H94" t="inlineStr">
        <is>
          <t>faible</t>
        </is>
      </c>
      <c r="I94" t="inlineStr">
        <is>
          <t>*Origanum majorana*</t>
        </is>
      </c>
      <c r="J94" t="inlineStr">
        <is>
          <t>Obsidian</t>
        </is>
      </c>
    </row>
    <row r="95">
      <c r="A95">
        <f>IFERROR(PROPER(TableauIngredients[[#This Row],[Nom de la Production]]), "")</f>
        <v/>
      </c>
      <c r="B95" s="538">
        <f>IF(IFERROR((100-TableauIngredients[[#This Row],[% eau]])/100, 1) &lt; 0.2,0.2,IFERROR((100-TableauIngredients[[#This Row],[% eau]])/100, 1))</f>
        <v/>
      </c>
      <c r="C95" t="n">
        <v>97</v>
      </c>
      <c r="D95" t="inlineStr">
        <is>
          <t>piments rouge - THUNDER MOUNTAIN LONGHORN</t>
        </is>
      </c>
      <c r="F95" s="641">
        <f>9000/60</f>
        <v/>
      </c>
      <c r="H95" t="inlineStr">
        <is>
          <t>élevé</t>
        </is>
      </c>
      <c r="I95" t="inlineStr">
        <is>
          <t>*Capsicum annuum* et *Capsicum chinense*</t>
        </is>
      </c>
    </row>
    <row r="96">
      <c r="A96">
        <f>IFERROR(PROPER(TableauIngredients[[#This Row],[Nom de la Production]]), "")</f>
        <v/>
      </c>
      <c r="B96" s="538">
        <f>IF(IFERROR((100-TableauIngredients[[#This Row],[% eau]])/100, 1) &lt; 0.2,0.2,IFERROR((100-TableauIngredients[[#This Row],[% eau]])/100, 1))</f>
        <v/>
      </c>
      <c r="C96" t="n">
        <v>0</v>
      </c>
      <c r="D96" t="inlineStr">
        <is>
          <t>mauve</t>
        </is>
      </c>
      <c r="F96" s="641" t="n"/>
      <c r="H96" t="inlineStr">
        <is>
          <t>élevé</t>
        </is>
      </c>
      <c r="I96" t="inlineStr">
        <is>
          <t>*Althaea officinalis*</t>
        </is>
      </c>
    </row>
    <row r="97">
      <c r="A97">
        <f>IFERROR(PROPER(TableauIngredients[[#This Row],[Nom de la Production]]), "")</f>
        <v/>
      </c>
      <c r="B97" s="538">
        <f>IF(IFERROR((100-TableauIngredients[[#This Row],[% eau]])/100, 1) &lt; 0.2,0.2,IFERROR((100-TableauIngredients[[#This Row],[% eau]])/100, 1))</f>
        <v/>
      </c>
      <c r="C97" t="n">
        <v>97</v>
      </c>
      <c r="D97" t="inlineStr">
        <is>
          <t>mauve</t>
        </is>
      </c>
      <c r="F97" s="641" t="n"/>
      <c r="H97" t="inlineStr">
        <is>
          <t>faible</t>
        </is>
      </c>
      <c r="I97" t="inlineStr">
        <is>
          <t>*Malva sylvestris*</t>
        </is>
      </c>
      <c r="J97" t="inlineStr">
        <is>
          <t>Obsidian</t>
        </is>
      </c>
    </row>
    <row r="98">
      <c r="A98">
        <f>IFERROR(PROPER(TableauIngredients[[#This Row],[Nom de la Production]]), "")</f>
        <v/>
      </c>
      <c r="B98" s="538">
        <f>IF(IFERROR((100-TableauIngredients[[#This Row],[% eau]])/100, 1) &lt; 0.2,0.2,IFERROR((100-TableauIngredients[[#This Row],[% eau]])/100, 1))</f>
        <v/>
      </c>
      <c r="C98" t="n">
        <v>0</v>
      </c>
      <c r="D98" t="inlineStr">
        <is>
          <t>melilot</t>
        </is>
      </c>
      <c r="F98" s="641" t="n"/>
    </row>
    <row r="99">
      <c r="A99">
        <f>IFERROR(PROPER(TableauIngredients[[#This Row],[Nom de la Production]]), "")</f>
        <v/>
      </c>
      <c r="B99" s="538">
        <f>IF(IFERROR((100-TableauIngredients[[#This Row],[% eau]])/100, 1) &lt; 0.2,0.2,IFERROR((100-TableauIngredients[[#This Row],[% eau]])/100, 1))</f>
        <v/>
      </c>
      <c r="C99" t="n">
        <v>92</v>
      </c>
      <c r="D99" t="inlineStr">
        <is>
          <t>melilot</t>
        </is>
      </c>
      <c r="F99" s="641" t="n"/>
    </row>
    <row r="100">
      <c r="A100" s="542">
        <f>IFERROR(PROPER(TableauIngredients[[#This Row],[Nom de la Production]]), "")</f>
        <v/>
      </c>
      <c r="B100" s="538">
        <f>IF(IFERROR((100-TableauIngredients[[#This Row],[% eau]])/100, 1) &lt; 20,0.2)</f>
        <v/>
      </c>
      <c r="C100" t="n">
        <v>0</v>
      </c>
      <c r="D100" t="inlineStr">
        <is>
          <t>menthe verte</t>
        </is>
      </c>
      <c r="F100" s="641" t="n"/>
      <c r="H100" t="inlineStr">
        <is>
          <t>élevé</t>
        </is>
      </c>
      <c r="I100" t="inlineStr">
        <is>
          <t>*Mentha spicata*</t>
        </is>
      </c>
    </row>
    <row r="101">
      <c r="A101">
        <f>IFERROR(PROPER(TableauIngredients[[#This Row],[Nom de la Production]]), "")</f>
        <v/>
      </c>
      <c r="B101" s="538">
        <f>IF(IFERROR((100-TableauIngredients[[#This Row],[% eau]])/100, 1) &lt; 0.2,0.2,IFERROR((100-TableauIngredients[[#This Row],[% eau]])/100, 1))</f>
        <v/>
      </c>
      <c r="C101" t="n">
        <v>95</v>
      </c>
      <c r="D101" t="inlineStr">
        <is>
          <t>menthe verte</t>
        </is>
      </c>
      <c r="F101" s="641" t="n"/>
      <c r="H101" t="inlineStr">
        <is>
          <t>élevé</t>
        </is>
      </c>
      <c r="I101" t="inlineStr">
        <is>
          <t>*Mentha spicata*</t>
        </is>
      </c>
    </row>
    <row r="102">
      <c r="A102">
        <f>IFERROR(PROPER(TableauIngredients[[#This Row],[Nom de la Production]]), "")</f>
        <v/>
      </c>
      <c r="B102" s="538">
        <f>IF(IFERROR((100-TableauIngredients[[#This Row],[% eau]])/100, 1) &lt; 0.2,0.2,IFERROR((100-TableauIngredients[[#This Row],[% eau]])/100, 1))</f>
        <v/>
      </c>
      <c r="C102" t="n">
        <v>0</v>
      </c>
      <c r="D102" t="inlineStr">
        <is>
          <t>miel</t>
        </is>
      </c>
      <c r="F102" s="641" t="n">
        <v>20</v>
      </c>
      <c r="G102" t="inlineStr">
        <is>
          <t>https://www.lepanieraveyronnais.fr/produit/miel-de-aveyron-toutes-fleurs-bio-agriculuture-biologique-apiculteurs-sebastien-cahors-cecilia-quiles/</t>
        </is>
      </c>
    </row>
    <row r="103">
      <c r="A103">
        <f>IFERROR(PROPER(TableauIngredients[[#This Row],[Nom de la Production]]), "")</f>
        <v/>
      </c>
      <c r="B103" s="538">
        <f>IF(IFERROR((100-TableauIngredients[[#This Row],[% eau]])/100, 1) &lt; 0.2,0.2,IFERROR((100-TableauIngredients[[#This Row],[% eau]])/100, 1))</f>
        <v/>
      </c>
      <c r="C103" t="n">
        <v>0</v>
      </c>
      <c r="D103" t="inlineStr">
        <is>
          <t>monarde</t>
        </is>
      </c>
      <c r="F103" s="641" t="n"/>
      <c r="H103" t="inlineStr">
        <is>
          <t>élevé</t>
        </is>
      </c>
      <c r="I103" t="inlineStr">
        <is>
          <t>*Monarda didyma / Monarda fistulosa*</t>
        </is>
      </c>
    </row>
    <row r="104">
      <c r="A104">
        <f>IFERROR(PROPER(TableauIngredients[[#This Row],[Nom de la Production]]), "")</f>
        <v/>
      </c>
      <c r="B104" s="538">
        <f>IF(IFERROR((100-TableauIngredients[[#This Row],[% eau]])/100, 1) &lt; 0.2,0.2,IFERROR((100-TableauIngredients[[#This Row],[% eau]])/100, 1))</f>
        <v/>
      </c>
      <c r="C104" t="n">
        <v>97</v>
      </c>
      <c r="D104" t="inlineStr">
        <is>
          <t>monarde</t>
        </is>
      </c>
      <c r="F104" s="641" t="n"/>
      <c r="H104" t="inlineStr">
        <is>
          <t>élevé</t>
        </is>
      </c>
      <c r="I104" t="inlineStr">
        <is>
          <t>*Monarda didyma / Monarda fistulosa*</t>
        </is>
      </c>
      <c r="J104" t="inlineStr">
        <is>
          <t>Obsidian</t>
        </is>
      </c>
    </row>
    <row r="105">
      <c r="A105">
        <f>IFERROR(PROPER(TableauIngredients[[#This Row],[Nom de la Production]]), "")</f>
        <v/>
      </c>
      <c r="B105" s="538">
        <f>IF(IFERROR((100-TableauIngredients[[#This Row],[% eau]])/100, 1) &lt; 0.2,0.2,IFERROR((100-TableauIngredients[[#This Row],[% eau]])/100, 1))</f>
        <v/>
      </c>
      <c r="C105" t="n">
        <v>15</v>
      </c>
      <c r="D105" t="inlineStr">
        <is>
          <t>muscade</t>
        </is>
      </c>
      <c r="F105" s="641" t="n">
        <v>60</v>
      </c>
      <c r="G105" t="inlineStr">
        <is>
          <t>https://chabiothe.fr/epices/11-108-noix-de-muscade-bio?gad_source=1&amp;gclid=CjwKCAjw48-vBhBbEiwAzqrZVIDiHRyEYOLEv7zwECQJBrRz_RDYXdzUfmqQOWuHk72OVsZxTlXrGRoCBlIQAvD_BwE#/40-conditionnement-1_kg</t>
        </is>
      </c>
    </row>
    <row r="106">
      <c r="A106">
        <f>IFERROR(PROPER(TableauIngredients[[#This Row],[Nom de la Production]]), "")</f>
        <v/>
      </c>
      <c r="B106" s="538">
        <f>IF(IFERROR((100-TableauIngredients[[#This Row],[% eau]])/100, 1) &lt; 0.2,0.2,IFERROR((100-TableauIngredients[[#This Row],[% eau]])/100, 1))</f>
        <v/>
      </c>
      <c r="C106" t="n">
        <v>15</v>
      </c>
      <c r="D106" t="inlineStr">
        <is>
          <t>muscade</t>
        </is>
      </c>
      <c r="F106" s="641" t="n">
        <v>60</v>
      </c>
      <c r="G106" t="inlineStr">
        <is>
          <t>https://chabiothe.fr/epices/11-108-noix-de-muscade-bio?gad_source=1&amp;gclid=CjwKCAjw48-vBhBbEiwAzqrZVIDiHRyEYOLEv7zwECQJBrRz_RDYXdzUfmqQOWuHk72OVsZxTlXrGRoCBlIQAvD_BwE#/40-conditionnement-1_kg</t>
        </is>
      </c>
    </row>
    <row r="107">
      <c r="A107">
        <f>IFERROR(PROPER(TableauIngredients[[#This Row],[Nom de la Production]]), "")</f>
        <v/>
      </c>
      <c r="B107" s="538">
        <f>IF(IFERROR((100-TableauIngredients[[#This Row],[% eau]])/100, 1) &lt; 0.2,0.2,IFERROR((100-TableauIngredients[[#This Row],[% eau]])/100, 1))</f>
        <v/>
      </c>
      <c r="C107" t="n">
        <v>15</v>
      </c>
      <c r="D107" t="inlineStr">
        <is>
          <t>noisette</t>
        </is>
      </c>
      <c r="F107" s="641" t="n">
        <v>7</v>
      </c>
      <c r="G107" t="inlineStr">
        <is>
          <t>https://www.pourdebon.com/noisettes-bio-5kg-p58530?gad_source=1&amp;gclid=CjwKCAjw48-vBhBbEiwAzqrZVLBFRH2sEQGOgpk-ci3ll-Pbnny5nNHuYSSzms4cv1ZL5X6k27hb6xoCu-MQAvD_BwE</t>
        </is>
      </c>
    </row>
    <row r="108">
      <c r="A108">
        <f>IFERROR(PROPER(TableauIngredients[[#This Row],[Nom de la Production]]), "")</f>
        <v/>
      </c>
      <c r="B108" s="538">
        <f>IF(IFERROR((100-TableauIngredients[[#This Row],[% eau]])/100, 1) &lt; 0.2,0.2,IFERROR((100-TableauIngredients[[#This Row],[% eau]])/100, 1))</f>
        <v/>
      </c>
      <c r="C108" t="n">
        <v>97</v>
      </c>
      <c r="D108" s="1" t="inlineStr">
        <is>
          <t>nuoc-mâm</t>
        </is>
      </c>
      <c r="E108" s="1" t="n"/>
      <c r="F108" s="641" t="n">
        <v>20</v>
      </c>
      <c r="G108" s="2" t="inlineStr">
        <is>
          <t>https://www.autourduriz.com/sauces-asiatiques-bio/423-sauce-nuoc-mam-bio-veggie-3760275575203.html</t>
        </is>
      </c>
    </row>
    <row r="109">
      <c r="A109">
        <f>IFERROR(PROPER(TableauIngredients[[#This Row],[Nom de la Production]]), "")</f>
        <v/>
      </c>
      <c r="B109" s="538">
        <f>IF(IFERROR((100-TableauIngredients[[#This Row],[% eau]])/100, 1) &lt; 0.2,0.2,IFERROR((100-TableauIngredients[[#This Row],[% eau]])/100, 1))</f>
        <v/>
      </c>
      <c r="C109" t="n">
        <v>0</v>
      </c>
      <c r="D109" t="inlineStr">
        <is>
          <t>oeillet d’Inde</t>
        </is>
      </c>
      <c r="F109" s="641" t="n"/>
    </row>
    <row r="110">
      <c r="A110">
        <f>IFERROR(PROPER(TableauIngredients[[#This Row],[Nom de la Production]]), "")</f>
        <v/>
      </c>
      <c r="B110" s="538">
        <f>IF(IFERROR((100-TableauIngredients[[#This Row],[% eau]])/100, 1) &lt; 0.2,0.2,IFERROR((100-TableauIngredients[[#This Row],[% eau]])/100, 1))</f>
        <v/>
      </c>
      <c r="C110" t="n">
        <v>95</v>
      </c>
      <c r="D110" t="inlineStr">
        <is>
          <t>oeillet d’Inde</t>
        </is>
      </c>
      <c r="F110" s="641" t="n"/>
    </row>
    <row r="111">
      <c r="A111">
        <f>IFERROR(PROPER(TableauIngredients[[#This Row],[Nom de la Production]]), "")</f>
        <v/>
      </c>
      <c r="B111" s="538">
        <f>IF(IFERROR((100-TableauIngredients[[#This Row],[% eau]])/100, 1) &lt; 0.2,0.2,IFERROR((100-TableauIngredients[[#This Row],[% eau]])/100, 1))</f>
        <v/>
      </c>
      <c r="C111" t="n">
        <v>0</v>
      </c>
      <c r="D111" t="inlineStr">
        <is>
          <t>oignon</t>
        </is>
      </c>
      <c r="E111" t="n">
        <v>3.5</v>
      </c>
      <c r="F111" s="641" t="n"/>
      <c r="H111" t="inlineStr">
        <is>
          <t>modéré</t>
        </is>
      </c>
      <c r="I111" t="inlineStr">
        <is>
          <t>*Allium cepa*</t>
        </is>
      </c>
    </row>
    <row r="112">
      <c r="A112">
        <f>IFERROR(PROPER(TableauIngredients[[#This Row],[Nom de la Production]]), "")</f>
        <v/>
      </c>
      <c r="B112" s="538">
        <f>IF(IFERROR((100-TableauIngredients[[#This Row],[% eau]])/100, 1) &lt; 0.2,0.2,IFERROR((100-TableauIngredients[[#This Row],[% eau]])/100, 1))</f>
        <v/>
      </c>
      <c r="C112" t="n">
        <v>95</v>
      </c>
      <c r="D112" t="inlineStr">
        <is>
          <t>oignon</t>
        </is>
      </c>
      <c r="E112" t="n">
        <v>25</v>
      </c>
      <c r="F112" s="641" t="n"/>
      <c r="H112" t="inlineStr">
        <is>
          <t>modéré</t>
        </is>
      </c>
      <c r="I112" t="inlineStr">
        <is>
          <t>*Allium cepa*</t>
        </is>
      </c>
      <c r="J112" t="inlineStr">
        <is>
          <t>Obsidian</t>
        </is>
      </c>
    </row>
    <row r="113">
      <c r="A113">
        <f>IFERROR(PROPER(TableauIngredients[[#This Row],[Nom de la Production]]), "")</f>
        <v/>
      </c>
      <c r="B113" s="538">
        <f>IF(IFERROR((100-TableauIngredients[[#This Row],[% eau]])/100, 1) &lt; 0.2,0.2,IFERROR((100-TableauIngredients[[#This Row],[% eau]])/100, 1))</f>
        <v/>
      </c>
      <c r="C113" t="n">
        <v>95</v>
      </c>
      <c r="D113" t="inlineStr">
        <is>
          <t>origan</t>
        </is>
      </c>
      <c r="E113" t="n">
        <v>30.2</v>
      </c>
      <c r="F113" s="641" t="n"/>
      <c r="G113" s="2" t="inlineStr">
        <is>
          <t>https://thesdirect.com/products/origan-vert-feuille-entiere-bio-origine-france?_pos=1&amp;_sid=92a128b15&amp;_ss=r</t>
        </is>
      </c>
      <c r="H113" t="inlineStr">
        <is>
          <t>faible</t>
        </is>
      </c>
      <c r="I113" t="inlineStr">
        <is>
          <t>*Origanum vulgare*</t>
        </is>
      </c>
      <c r="J113" t="inlineStr">
        <is>
          <t>Obsidian</t>
        </is>
      </c>
    </row>
    <row r="114">
      <c r="A114">
        <f>IFERROR(PROPER(TableauIngredients[[#This Row],[Nom de la Production]]), "")</f>
        <v/>
      </c>
      <c r="B114" s="538">
        <f>IF(IFERROR((100-TableauIngredients[[#This Row],[% eau]])/100, 1) &lt; 0.2,0.2,IFERROR((100-TableauIngredients[[#This Row],[% eau]])/100, 1))</f>
        <v/>
      </c>
      <c r="C114" t="n">
        <v>92</v>
      </c>
      <c r="D114" t="inlineStr">
        <is>
          <t>piment doux rouge</t>
        </is>
      </c>
      <c r="F114" s="641" t="n"/>
      <c r="H114" t="inlineStr">
        <is>
          <t>élevé</t>
        </is>
      </c>
      <c r="I114" t="inlineStr">
        <is>
          <t>*Capsicum annuum* et *Capsicum chinense*</t>
        </is>
      </c>
    </row>
    <row r="115">
      <c r="A115">
        <f>IFERROR(PROPER(TableauIngredients[[#This Row],[Nom de la Production]]), "")</f>
        <v/>
      </c>
      <c r="B115" s="538">
        <f>IF(IFERROR((100-TableauIngredients[[#This Row],[% eau]])/100, 1) &lt; 0.2,0.2,IFERROR((100-TableauIngredients[[#This Row],[% eau]])/100, 1))</f>
        <v/>
      </c>
      <c r="C115" t="n">
        <v>92</v>
      </c>
      <c r="D115" t="inlineStr">
        <is>
          <t>piment doux rouge</t>
        </is>
      </c>
      <c r="F115" s="641" t="n"/>
      <c r="H115" t="inlineStr">
        <is>
          <t>élevé</t>
        </is>
      </c>
      <c r="I115" t="inlineStr">
        <is>
          <t>*Capsicum annuum* et *Capsicum chinense*</t>
        </is>
      </c>
    </row>
    <row r="116">
      <c r="A116">
        <f>IFERROR(PROPER(TableauIngredients[[#This Row],[Nom de la Production]]), "")</f>
        <v/>
      </c>
      <c r="B116" s="538">
        <f>IF(IFERROR((100-TableauIngredients[[#This Row],[% eau]])/100, 1) &lt; 0.2,0.2,IFERROR((100-TableauIngredients[[#This Row],[% eau]])/100, 1))</f>
        <v/>
      </c>
      <c r="C116" t="n">
        <v>0</v>
      </c>
      <c r="D116" t="inlineStr">
        <is>
          <t>pelargonium geranium</t>
        </is>
      </c>
      <c r="F116" s="641" t="n"/>
      <c r="H116" t="inlineStr">
        <is>
          <t>modéré</t>
        </is>
      </c>
      <c r="I116" t="inlineStr">
        <is>
          <t>*Pelargonium graveolens*</t>
        </is>
      </c>
    </row>
    <row r="117">
      <c r="A117">
        <f>IFERROR(PROPER(TableauIngredients[[#This Row],[Nom de la Production]]), "")</f>
        <v/>
      </c>
      <c r="B117" s="538">
        <f>IF(IFERROR((100-TableauIngredients[[#This Row],[% eau]])/100, 1) &lt; 0.2,0.2,IFERROR((100-TableauIngredients[[#This Row],[% eau]])/100, 1))</f>
        <v/>
      </c>
      <c r="C117" t="n">
        <v>95</v>
      </c>
      <c r="D117" t="inlineStr">
        <is>
          <t>pelargonium geranium</t>
        </is>
      </c>
      <c r="F117" s="641" t="n"/>
      <c r="H117" t="inlineStr">
        <is>
          <t>modéré</t>
        </is>
      </c>
      <c r="I117" t="inlineStr">
        <is>
          <t>*Pelargonium graveolens*</t>
        </is>
      </c>
    </row>
    <row r="118">
      <c r="A118">
        <f>IFERROR(PROPER(TableauIngredients[[#This Row],[Nom de la Production]]), "")</f>
        <v/>
      </c>
      <c r="B118" s="538">
        <f>IF(IFERROR((100-TableauIngredients[[#This Row],[% eau]])/100, 1) &lt; 0.2,0.2,IFERROR((100-TableauIngredients[[#This Row],[% eau]])/100, 1))</f>
        <v/>
      </c>
      <c r="C118" t="n">
        <v>92</v>
      </c>
      <c r="D118" t="inlineStr">
        <is>
          <t>persil</t>
        </is>
      </c>
      <c r="F118" s="641" t="n"/>
      <c r="H118" t="inlineStr">
        <is>
          <t>élevé</t>
        </is>
      </c>
      <c r="I118" t="inlineStr">
        <is>
          <t>*Petroselinum crispum*</t>
        </is>
      </c>
      <c r="J118" t="inlineStr">
        <is>
          <t>Obsidian</t>
        </is>
      </c>
    </row>
    <row r="119">
      <c r="A119">
        <f>IFERROR(PROPER(TableauIngredients[[#This Row],[Nom de la Production]]), "")</f>
        <v/>
      </c>
      <c r="B119" s="538">
        <f>IF(IFERROR((100-TableauIngredients[[#This Row],[% eau]])/100, 1) &lt; 0.2,0.2,IFERROR((100-TableauIngredients[[#This Row],[% eau]])/100, 1))</f>
        <v/>
      </c>
      <c r="C119" t="n">
        <v>90</v>
      </c>
      <c r="D119" t="inlineStr">
        <is>
          <t>petale de rose</t>
        </is>
      </c>
      <c r="F119" s="641" t="n"/>
      <c r="H119" t="inlineStr">
        <is>
          <t>modéré</t>
        </is>
      </c>
      <c r="I119" t="inlineStr">
        <is>
          <t>*Rosa* spp.</t>
        </is>
      </c>
    </row>
    <row r="120">
      <c r="A120">
        <f>IFERROR(PROPER(TableauIngredients[[#This Row],[Nom de la Production]]), "")</f>
        <v/>
      </c>
      <c r="B120" s="538">
        <f>IF(IFERROR((100-TableauIngredients[[#This Row],[% eau]])/100, 1) &lt; 0.2,0.2,IFERROR((100-TableauIngredients[[#This Row],[% eau]])/100, 1))</f>
        <v/>
      </c>
      <c r="C120" t="n">
        <v>90</v>
      </c>
      <c r="D120" s="1" t="inlineStr">
        <is>
          <t>piment ancho</t>
        </is>
      </c>
      <c r="F120" s="641" t="n"/>
      <c r="G120" s="2" t="inlineStr">
        <is>
          <t>https://www.capsicums.fr/piments/piment-mexicain-ancho-entier/</t>
        </is>
      </c>
      <c r="H120" t="inlineStr">
        <is>
          <t>élevé</t>
        </is>
      </c>
      <c r="I120" t="inlineStr">
        <is>
          <t>*Capsicum annuum* et *Capsicum chinense*</t>
        </is>
      </c>
    </row>
    <row r="121">
      <c r="A121">
        <f>IFERROR(PROPER(TableauIngredients[[#This Row],[Nom de la Production]]), "")</f>
        <v/>
      </c>
      <c r="B121" s="538">
        <f>IF(IFERROR((100-TableauIngredients[[#This Row],[% eau]])/100, 1) &lt; 0.2,0.2,IFERROR((100-TableauIngredients[[#This Row],[% eau]])/100, 1))</f>
        <v/>
      </c>
      <c r="C121" t="n">
        <v>0</v>
      </c>
      <c r="D121" t="inlineStr">
        <is>
          <t>piment de cayenne jaune</t>
        </is>
      </c>
      <c r="F121" s="641" t="n"/>
      <c r="H121" t="inlineStr">
        <is>
          <t>élevé</t>
        </is>
      </c>
      <c r="I121" t="inlineStr">
        <is>
          <t>*Capsicum annuum* et *Capsicum chinense*</t>
        </is>
      </c>
    </row>
    <row r="122">
      <c r="A122">
        <f>IFERROR(PROPER(TableauIngredients[[#This Row],[Nom de la Production]]), "")</f>
        <v/>
      </c>
      <c r="B122" s="538">
        <f>IF(IFERROR((100-TableauIngredients[[#This Row],[% eau]])/100, 1) &lt; 0.2,0.2,IFERROR((100-TableauIngredients[[#This Row],[% eau]])/100, 1))</f>
        <v/>
      </c>
      <c r="C122" t="n">
        <v>90</v>
      </c>
      <c r="D122" t="inlineStr">
        <is>
          <t>piment de cayenne jaune</t>
        </is>
      </c>
      <c r="F122" s="641" t="n"/>
      <c r="H122" t="inlineStr">
        <is>
          <t>élevé</t>
        </is>
      </c>
      <c r="I122" t="inlineStr">
        <is>
          <t>*Capsicum annuum* et *Capsicum chinense*</t>
        </is>
      </c>
    </row>
    <row r="123">
      <c r="A123">
        <f>IFERROR(PROPER(TableauIngredients[[#This Row],[Nom de la Production]]), "")</f>
        <v/>
      </c>
      <c r="B123" s="538">
        <f>IF(IFERROR((100-TableauIngredients[[#This Row],[% eau]])/100, 1) &lt; 0.2,0.2,IFERROR((100-TableauIngredients[[#This Row],[% eau]])/100, 1))</f>
        <v/>
      </c>
      <c r="C123" t="n">
        <v>90</v>
      </c>
      <c r="D123" t="inlineStr">
        <is>
          <t>piment de cayenne rouge</t>
        </is>
      </c>
      <c r="F123" s="641" t="n"/>
      <c r="H123" t="inlineStr">
        <is>
          <t>élevé</t>
        </is>
      </c>
      <c r="I123" t="inlineStr">
        <is>
          <t>*Capsicum annuum* et *Capsicum chinense*</t>
        </is>
      </c>
    </row>
    <row r="124">
      <c r="A124">
        <f>IFERROR(PROPER(TableauIngredients[[#This Row],[Nom de la Production]]), "")</f>
        <v/>
      </c>
      <c r="B124" s="538">
        <f>IF(IFERROR((100-TableauIngredients[[#This Row],[% eau]])/100, 1) &lt; 0.2,0.2,IFERROR((100-TableauIngredients[[#This Row],[% eau]])/100, 1))</f>
        <v/>
      </c>
      <c r="C124" t="n">
        <v>92</v>
      </c>
      <c r="D124" t="inlineStr">
        <is>
          <t>piment doux rouge</t>
        </is>
      </c>
      <c r="F124" s="641" t="n"/>
      <c r="G124" s="2" t="inlineStr">
        <is>
          <t>Flash Poivrons VD - Chambre d'agriculture - Occitanie</t>
        </is>
      </c>
      <c r="H124" t="inlineStr">
        <is>
          <t>élevé</t>
        </is>
      </c>
      <c r="I124" t="inlineStr">
        <is>
          <t>*Capsicum annuum* et *Capsicum chinense*</t>
        </is>
      </c>
    </row>
    <row r="125">
      <c r="A125">
        <f>IFERROR(PROPER(TableauIngredients[[#This Row],[Nom de la Production]]), "")</f>
        <v/>
      </c>
      <c r="B125" s="538">
        <f>IF(IFERROR((100-TableauIngredients[[#This Row],[% eau]])/100, 1) &lt; 0.2,0.2,IFERROR((100-TableauIngredients[[#This Row],[% eau]])/100, 1))</f>
        <v/>
      </c>
      <c r="C125" t="n">
        <v>0</v>
      </c>
      <c r="D125" t="inlineStr">
        <is>
          <t>piment habanero violet</t>
        </is>
      </c>
      <c r="F125" s="641" t="n"/>
      <c r="G125" s="2" t="inlineStr">
        <is>
          <t>Chambre d'agriculture - Occitanie</t>
        </is>
      </c>
      <c r="H125" t="inlineStr">
        <is>
          <t>élevé</t>
        </is>
      </c>
      <c r="I125" t="inlineStr">
        <is>
          <t>*Capsicum annuum* et *Capsicum chinense*</t>
        </is>
      </c>
    </row>
    <row r="126">
      <c r="A126">
        <f>IFERROR(PROPER(TableauIngredients[[#This Row],[Nom de la Production]]), "")</f>
        <v/>
      </c>
      <c r="B126" s="538">
        <f>IF(IFERROR((100-TableauIngredients[[#This Row],[% eau]])/100, 1) &lt; 0.2,0.2,IFERROR((100-TableauIngredients[[#This Row],[% eau]])/100, 1))</f>
        <v/>
      </c>
      <c r="C126" t="n">
        <v>0</v>
      </c>
      <c r="D126" t="inlineStr">
        <is>
          <t>piment jalapeno vert</t>
        </is>
      </c>
      <c r="F126" s="641" t="n"/>
      <c r="G126" s="2" t="inlineStr">
        <is>
          <t>https://occitanie.chambre-agriculture.fr › Documents</t>
        </is>
      </c>
      <c r="H126" t="inlineStr">
        <is>
          <t>élevé</t>
        </is>
      </c>
      <c r="I126" t="inlineStr">
        <is>
          <t>*Capsicum annuum* et *Capsicum chinense*</t>
        </is>
      </c>
    </row>
    <row r="127">
      <c r="A127">
        <f>IFERROR(PROPER(TableauIngredients[[#This Row],[Nom de la Production]]), "")</f>
        <v/>
      </c>
      <c r="B127" s="538">
        <f>IF(IFERROR((100-TableauIngredients[[#This Row],[% eau]])/100, 1) &lt; 0.2,0.2,IFERROR((100-TableauIngredients[[#This Row],[% eau]])/100, 1))</f>
        <v/>
      </c>
      <c r="C127" t="n">
        <v>0</v>
      </c>
      <c r="D127" t="inlineStr">
        <is>
          <t>piment œil d'oiseau</t>
        </is>
      </c>
      <c r="F127" s="641" t="n"/>
      <c r="H127" t="inlineStr">
        <is>
          <t>élevé</t>
        </is>
      </c>
      <c r="I127" t="inlineStr">
        <is>
          <t>*Capsicum annuum* et *Capsicum chinense*</t>
        </is>
      </c>
    </row>
    <row r="128">
      <c r="A128">
        <f>IFERROR(PROPER(TableauIngredients[[#This Row],[Nom de la Production]]), "")</f>
        <v/>
      </c>
      <c r="B128" s="538">
        <f>IF(IFERROR((100-TableauIngredients[[#This Row],[% eau]])/100, 1) &lt; 0.2,0.2,IFERROR((100-TableauIngredients[[#This Row],[% eau]])/100, 1))</f>
        <v/>
      </c>
      <c r="C128" t="n">
        <v>0</v>
      </c>
      <c r="D128" t="inlineStr">
        <is>
          <t>piment violet fort - Purple Delight</t>
        </is>
      </c>
      <c r="F128" s="641" t="n"/>
      <c r="H128" t="inlineStr">
        <is>
          <t>élevé</t>
        </is>
      </c>
      <c r="I128" t="inlineStr">
        <is>
          <t>*Capsicum annuum* et *Capsicum chinense*</t>
        </is>
      </c>
    </row>
    <row r="129">
      <c r="A129">
        <f>IFERROR(PROPER(TableauIngredients[[#This Row],[Nom de la Production]]), "")</f>
        <v/>
      </c>
      <c r="B129" s="538">
        <f>IF(IFERROR((100-TableauIngredients[[#This Row],[% eau]])/100, 1) &lt; 0.2,0.2,IFERROR((100-TableauIngredients[[#This Row],[% eau]])/100, 1))</f>
        <v/>
      </c>
      <c r="C129" t="n">
        <v>90</v>
      </c>
      <c r="D129" t="inlineStr">
        <is>
          <t>piments kashmiri</t>
        </is>
      </c>
      <c r="F129" s="641" t="n"/>
      <c r="H129" t="inlineStr">
        <is>
          <t>élevé</t>
        </is>
      </c>
      <c r="I129" t="inlineStr">
        <is>
          <t>*Capsicum annuum* et *Capsicum chinense*</t>
        </is>
      </c>
    </row>
    <row r="130">
      <c r="A130">
        <f>IFERROR(PROPER(TableauIngredients[[#This Row],[Nom de la Production]]), "")</f>
        <v/>
      </c>
      <c r="B130" s="538">
        <f>IF(IFERROR((100-TableauIngredients[[#This Row],[% eau]])/100, 1) &lt; 0.2,0.2,IFERROR((100-TableauIngredients[[#This Row],[% eau]])/100, 1))</f>
        <v/>
      </c>
      <c r="C130" t="n">
        <v>0</v>
      </c>
      <c r="D130" t="inlineStr">
        <is>
          <t>piments rouge - THUNDER MOUNTAIN LONGHORN</t>
        </is>
      </c>
      <c r="F130" s="641" t="n"/>
      <c r="H130" t="inlineStr">
        <is>
          <t>élevé</t>
        </is>
      </c>
      <c r="I130" t="inlineStr">
        <is>
          <t>*Capsicum annuum* et *Capsicum chinense*</t>
        </is>
      </c>
    </row>
    <row r="131">
      <c r="A131">
        <f>IFERROR(PROPER(TableauIngredients[[#This Row],[Nom de la Production]]), "")</f>
        <v/>
      </c>
      <c r="B131" s="538">
        <f>IF(IFERROR((100-TableauIngredients[[#This Row],[% eau]])/100, 1) &lt; 0.2,0.2,IFERROR((100-TableauIngredients[[#This Row],[% eau]])/100, 1))</f>
        <v/>
      </c>
      <c r="C131" t="n">
        <v>90</v>
      </c>
      <c r="D131" t="inlineStr">
        <is>
          <t>piments rouge - THUNDER MOUNTAIN LONGHORN</t>
        </is>
      </c>
      <c r="F131" s="641" t="n"/>
      <c r="H131" t="inlineStr">
        <is>
          <t>élevé</t>
        </is>
      </c>
      <c r="I131" t="inlineStr">
        <is>
          <t>*Capsicum annuum* et *Capsicum chinense*</t>
        </is>
      </c>
    </row>
    <row r="132">
      <c r="A132">
        <f>IFERROR(PROPER(TableauIngredients[[#This Row],[Nom de la Production]]), "")</f>
        <v/>
      </c>
      <c r="B132" s="538">
        <f>IF(IFERROR((100-TableauIngredients[[#This Row],[% eau]])/100, 1) &lt; 0.2,0.2,IFERROR((100-TableauIngredients[[#This Row],[% eau]])/100, 1))</f>
        <v/>
      </c>
      <c r="C132" t="n">
        <v>97</v>
      </c>
      <c r="D132" t="inlineStr">
        <is>
          <t>piments verts</t>
        </is>
      </c>
      <c r="F132" s="641" t="n"/>
      <c r="H132" t="inlineStr">
        <is>
          <t>élevé</t>
        </is>
      </c>
      <c r="I132" t="inlineStr">
        <is>
          <t>*Capsicum annuum* et *Capsicum chinense*</t>
        </is>
      </c>
    </row>
    <row r="133">
      <c r="A133">
        <f>IFERROR(PROPER(TableauIngredients[[#This Row],[Nom de la Production]]), "")</f>
        <v/>
      </c>
      <c r="B133" s="538">
        <f>IF(IFERROR((100-TableauIngredients[[#This Row],[% eau]])/100, 1) &lt; 0.2,0.2,IFERROR((100-TableauIngredients[[#This Row],[% eau]])/100, 1))</f>
        <v/>
      </c>
      <c r="C133" t="n">
        <v>97</v>
      </c>
      <c r="D133" s="1" t="inlineStr">
        <is>
          <t>poivre blanc</t>
        </is>
      </c>
      <c r="E133" s="1" t="n"/>
      <c r="F133" s="641" t="n"/>
    </row>
    <row r="134">
      <c r="A134">
        <f>IFERROR(PROPER(TableauIngredients[[#This Row],[Nom de la Production]]), "")</f>
        <v/>
      </c>
      <c r="B134" s="538">
        <f>IF(IFERROR((100-TableauIngredients[[#This Row],[% eau]])/100, 1) &lt; 0.2,0.2,IFERROR((100-TableauIngredients[[#This Row],[% eau]])/100, 1))</f>
        <v/>
      </c>
      <c r="D134" s="1" t="inlineStr">
        <is>
          <t>poivre de Jamaïque</t>
        </is>
      </c>
      <c r="E134" s="1" t="n"/>
      <c r="F134" s="641" t="n"/>
    </row>
    <row r="135">
      <c r="A135">
        <f>IFERROR(PROPER(TableauIngredients[[#This Row],[Nom de la Production]]), "")</f>
        <v/>
      </c>
      <c r="B135" s="538">
        <f>IF(IFERROR((100-TableauIngredients[[#This Row],[% eau]])/100, 1) &lt; 0.2,0.2,IFERROR((100-TableauIngredients[[#This Row],[% eau]])/100, 1))</f>
        <v/>
      </c>
      <c r="C135" t="n">
        <v>50</v>
      </c>
      <c r="D135" t="inlineStr">
        <is>
          <t>poivre de sichuan</t>
        </is>
      </c>
      <c r="F135" s="641" t="n"/>
      <c r="H135" t="inlineStr">
        <is>
          <t>faible</t>
        </is>
      </c>
      <c r="I135" t="inlineStr">
        <is>
          <t>*Zanthoxylum simulans*</t>
        </is>
      </c>
      <c r="J135" t="inlineStr">
        <is>
          <t>Obsidian</t>
        </is>
      </c>
    </row>
    <row r="136">
      <c r="A136">
        <f>IFERROR(PROPER(TableauIngredients[[#This Row],[Nom de la Production]]), "")</f>
        <v/>
      </c>
      <c r="B136" s="538">
        <f>IF(IFERROR((100-TableauIngredients[[#This Row],[% eau]])/100, 1) &lt; 0.2,0.2,IFERROR((100-TableauIngredients[[#This Row],[% eau]])/100, 1))</f>
        <v/>
      </c>
      <c r="C136" t="n">
        <v>20</v>
      </c>
      <c r="D136" t="inlineStr">
        <is>
          <t>poivre de timut</t>
        </is>
      </c>
      <c r="F136" s="641" t="n"/>
      <c r="H136" t="inlineStr">
        <is>
          <t>faible</t>
        </is>
      </c>
      <c r="I136" t="inlineStr">
        <is>
          <t>*Zanthoxylum armatum*</t>
        </is>
      </c>
      <c r="J136" t="inlineStr">
        <is>
          <t>Obsidian</t>
        </is>
      </c>
    </row>
    <row r="137">
      <c r="A137">
        <f>IFERROR(PROPER(TableauIngredients[[#This Row],[Nom de la Production]]), "")</f>
        <v/>
      </c>
      <c r="B137" s="538">
        <f>IF(IFERROR((100-TableauIngredients[[#This Row],[% eau]])/100, 1) &lt; 0.2,0.2,IFERROR((100-TableauIngredients[[#This Row],[% eau]])/100, 1))</f>
        <v/>
      </c>
      <c r="C137" t="n">
        <v>20</v>
      </c>
      <c r="D137" t="inlineStr">
        <is>
          <t>poivre des moines</t>
        </is>
      </c>
      <c r="F137" s="641" t="n"/>
    </row>
    <row r="138">
      <c r="A138">
        <f>IFERROR(PROPER(TableauIngredients[[#This Row],[Nom de la Production]]), "")</f>
        <v/>
      </c>
      <c r="B138" s="538">
        <f>IF(IFERROR((100-TableauIngredients[[#This Row],[% eau]])/100, 1) &lt; 0.2,0.2,IFERROR((100-TableauIngredients[[#This Row],[% eau]])/100, 1))</f>
        <v/>
      </c>
      <c r="C138" t="n">
        <v>97</v>
      </c>
      <c r="D138" t="inlineStr">
        <is>
          <t>poivre noir</t>
        </is>
      </c>
      <c r="F138" s="641" t="n">
        <v>36.85</v>
      </c>
      <c r="G138" t="inlineStr">
        <is>
          <t>https://thesdirect.com/products/poivre-noir-graine-entiere-bio?variant=28363204821069&amp;utm_medium=paidsearch&amp;utm_source=google&amp;utm_campaign=FR-PMC-Global&amp;utm_term=&amp;utm_content=&amp;gad_source=1&amp;gclid=CjwKCAjw48-vBhBbEiwAzqrZVBRJXNmJzQihjD3OQd4hOvQKPDGNn8BgdGDA3ds7bT5W8Nltvwr2OBoCJmEQAvD_BwE</t>
        </is>
      </c>
    </row>
    <row r="139">
      <c r="A139">
        <f>IFERROR(PROPER(TableauIngredients[[#This Row],[Nom de la Production]]), "")</f>
        <v/>
      </c>
      <c r="B139" s="538">
        <f>IF(IFERROR((100-TableauIngredients[[#This Row],[% eau]])/100, 1) &lt; 0.2,0.2,IFERROR((100-TableauIngredients[[#This Row],[% eau]])/100, 1))</f>
        <v/>
      </c>
      <c r="C139" t="n">
        <v>97</v>
      </c>
      <c r="D139" s="1" t="inlineStr">
        <is>
          <t>quatre epices</t>
        </is>
      </c>
      <c r="E139" s="1" t="n"/>
      <c r="F139" s="641" t="n"/>
    </row>
    <row r="140">
      <c r="A140">
        <f>IFERROR(PROPER(TableauIngredients[[#This Row],[Nom de la Production]]), "")</f>
        <v/>
      </c>
      <c r="B140" s="538">
        <f>IF(IFERROR((100-TableauIngredients[[#This Row],[% eau]])/100, 1) &lt; 0.2,0.2,IFERROR((100-TableauIngredients[[#This Row],[% eau]])/100, 1))</f>
        <v/>
      </c>
      <c r="C140" t="n">
        <v>85</v>
      </c>
      <c r="D140" t="inlineStr">
        <is>
          <t>romarin</t>
        </is>
      </c>
      <c r="F140" s="641" t="n"/>
      <c r="H140" t="inlineStr">
        <is>
          <t>faible</t>
        </is>
      </c>
      <c r="I140" t="inlineStr">
        <is>
          <t>*Salvia rosmarinus*, syn. *Rosmarinus officinalis*</t>
        </is>
      </c>
      <c r="J140" t="inlineStr">
        <is>
          <t>Obsidian</t>
        </is>
      </c>
    </row>
    <row r="141">
      <c r="A141">
        <f>IFERROR(PROPER(TableauIngredients[[#This Row],[Nom de la Production]]), "")</f>
        <v/>
      </c>
      <c r="B141" s="538">
        <f>IF(IFERROR((100-TableauIngredients[[#This Row],[% eau]])/100, 1) &lt; 0.2,0.2,IFERROR((100-TableauIngredients[[#This Row],[% eau]])/100, 1))</f>
        <v/>
      </c>
      <c r="C141" t="n">
        <v>0</v>
      </c>
      <c r="D141" t="inlineStr">
        <is>
          <t>rose</t>
        </is>
      </c>
      <c r="F141" s="641" t="n"/>
      <c r="H141" t="inlineStr">
        <is>
          <t>modéré</t>
        </is>
      </c>
      <c r="I141" t="inlineStr">
        <is>
          <t>*Rosa* spp.</t>
        </is>
      </c>
    </row>
    <row r="142">
      <c r="A142">
        <f>IFERROR(PROPER(TableauIngredients[[#This Row],[Nom de la Production]]), "")</f>
        <v/>
      </c>
      <c r="B142" s="538">
        <f>IF(IFERROR((100-TableauIngredients[[#This Row],[% eau]])/100, 1) &lt; 0.2,0.2,IFERROR((100-TableauIngredients[[#This Row],[% eau]])/100, 1))</f>
        <v/>
      </c>
      <c r="C142" t="n">
        <v>95</v>
      </c>
      <c r="D142" t="inlineStr">
        <is>
          <t>rose</t>
        </is>
      </c>
      <c r="F142" s="641" t="n"/>
      <c r="H142" t="inlineStr">
        <is>
          <t>modéré</t>
        </is>
      </c>
      <c r="I142" t="inlineStr">
        <is>
          <t>*Rosa* spp.</t>
        </is>
      </c>
      <c r="J142" t="inlineStr">
        <is>
          <t>Obsidian</t>
        </is>
      </c>
    </row>
    <row r="143">
      <c r="A143">
        <f>IFERROR(PROPER(TableauIngredients[[#This Row],[Nom de la Production]]), "")</f>
        <v/>
      </c>
      <c r="B143" s="538">
        <f>IF(IFERROR((100-TableauIngredients[[#This Row],[% eau]])/100, 1) &lt; 0.2,0.2,IFERROR((100-TableauIngredients[[#This Row],[% eau]])/100, 1))</f>
        <v/>
      </c>
      <c r="C143" t="n">
        <v>97</v>
      </c>
      <c r="D143" s="1" t="inlineStr">
        <is>
          <t>safran</t>
        </is>
      </c>
      <c r="E143" s="1" t="n"/>
      <c r="F143" s="641" t="n"/>
      <c r="H143" t="inlineStr">
        <is>
          <t>faible</t>
        </is>
      </c>
      <c r="I143" t="inlineStr">
        <is>
          <t>*Crocus sativus*</t>
        </is>
      </c>
      <c r="J143" t="inlineStr">
        <is>
          <t>Obsidian</t>
        </is>
      </c>
    </row>
    <row r="144">
      <c r="A144">
        <f>IFERROR(PROPER(TableauIngredients[[#This Row],[Nom de la Production]]), "")</f>
        <v/>
      </c>
      <c r="B144" s="538">
        <f>IF(IFERROR((100-TableauIngredients[[#This Row],[% eau]])/100, 1) &lt; 0.2,0.2,IFERROR((100-TableauIngredients[[#This Row],[% eau]])/100, 1))</f>
        <v/>
      </c>
      <c r="C144" t="n">
        <v>65</v>
      </c>
      <c r="D144" t="inlineStr">
        <is>
          <t>sarriette</t>
        </is>
      </c>
      <c r="F144" s="641" t="n"/>
      <c r="H144" t="inlineStr">
        <is>
          <t>faible</t>
        </is>
      </c>
      <c r="I144" t="inlineStr">
        <is>
          <t>*Satureja montana*</t>
        </is>
      </c>
      <c r="J144" t="inlineStr">
        <is>
          <t>Obsidian</t>
        </is>
      </c>
    </row>
    <row r="145">
      <c r="A145">
        <f>IFERROR(PROPER(TableauIngredients[[#This Row],[Nom de la Production]]), "")</f>
        <v/>
      </c>
      <c r="B145" s="538">
        <f>IF(IFERROR((100-TableauIngredients[[#This Row],[% eau]])/100, 1) &lt; 0.2,0.2,IFERROR((100-TableauIngredients[[#This Row],[% eau]])/100, 1))</f>
        <v/>
      </c>
      <c r="C145" t="n">
        <v>0</v>
      </c>
      <c r="D145" t="inlineStr">
        <is>
          <t>sauce soja</t>
        </is>
      </c>
      <c r="F145" s="641" t="n">
        <v>56.45</v>
      </c>
      <c r="G145" s="2" t="inlineStr">
        <is>
          <t>https://www.autourduriz.com/sauces-asiatiques-vrac/332-shoyu-sauce-soja-5-l-3760275573025.html</t>
        </is>
      </c>
    </row>
    <row r="146">
      <c r="A146">
        <f>IFERROR(PROPER(TableauIngredients[[#This Row],[Nom de la Production]]), "")</f>
        <v/>
      </c>
      <c r="B146" s="538">
        <f>IF(IFERROR((100-TableauIngredients[[#This Row],[% eau]])/100, 1) &lt; 0.2,0.2,IFERROR((100-TableauIngredients[[#This Row],[% eau]])/100, 1))</f>
        <v/>
      </c>
      <c r="C146" t="n">
        <v>65</v>
      </c>
      <c r="D146" t="inlineStr">
        <is>
          <t>sauge</t>
        </is>
      </c>
      <c r="F146" s="641" t="n"/>
      <c r="H146" t="inlineStr">
        <is>
          <t>faible</t>
        </is>
      </c>
      <c r="I146" t="inlineStr">
        <is>
          <t>*Salvia officinalis*</t>
        </is>
      </c>
      <c r="J146" t="inlineStr">
        <is>
          <t>Obsidian</t>
        </is>
      </c>
    </row>
    <row r="147">
      <c r="A147">
        <f>IFERROR(PROPER(TableauIngredients[[#This Row],[Nom de la Production]]), "")</f>
        <v/>
      </c>
      <c r="B147" s="538">
        <f>IF(IFERROR((100-TableauIngredients[[#This Row],[% eau]])/100, 1) &lt; 0.2,0.2,IFERROR((100-TableauIngredients[[#This Row],[% eau]])/100, 1))</f>
        <v/>
      </c>
      <c r="C147" t="inlineStr">
        <is>
          <t>-</t>
        </is>
      </c>
      <c r="D147" s="1" t="inlineStr">
        <is>
          <t>sel</t>
        </is>
      </c>
      <c r="E147" s="1" t="n"/>
      <c r="F147" s="641" t="n">
        <v>1.4</v>
      </c>
      <c r="G147" t="inlineStr">
        <is>
          <t>https://www.pourdebon.com/gros-sel-nature-5kg-p51630?utm_source=Twenga&amp;utm_medium=cpc&amp;utm_content=ggshopping-twenga&amp;utm_campaign=twenga&amp;gad_source=1</t>
        </is>
      </c>
    </row>
    <row r="148">
      <c r="A148">
        <f>IFERROR(PROPER(TableauIngredients[[#This Row],[Nom de la Production]]), "")</f>
        <v/>
      </c>
      <c r="B148" s="538">
        <f>IF(IFERROR((100-TableauIngredients[[#This Row],[% eau]])/100, 1) &lt; 0.2,0.2,IFERROR((100-TableauIngredients[[#This Row],[% eau]])/100, 1))</f>
        <v/>
      </c>
      <c r="C148" t="n">
        <v>10</v>
      </c>
      <c r="D148" t="inlineStr">
        <is>
          <t>graines de sesame</t>
        </is>
      </c>
      <c r="F148" s="641" t="n"/>
    </row>
    <row r="149">
      <c r="A149">
        <f>IFERROR(PROPER(TableauIngredients[[#This Row],[Nom de la Production]]), "")</f>
        <v/>
      </c>
      <c r="B149" s="538">
        <f>IF(IFERROR((100-TableauIngredients[[#This Row],[% eau]])/100, 1) &lt; 0.2,0.2,IFERROR((100-TableauIngredients[[#This Row],[% eau]])/100, 1))</f>
        <v/>
      </c>
      <c r="C149" t="n">
        <v>0</v>
      </c>
      <c r="D149" t="inlineStr">
        <is>
          <t>souci</t>
        </is>
      </c>
      <c r="F149" s="641" t="n"/>
      <c r="H149" t="inlineStr">
        <is>
          <t>faible</t>
        </is>
      </c>
      <c r="I149" t="inlineStr">
        <is>
          <t>*Calendula officinalis*</t>
        </is>
      </c>
    </row>
    <row r="150">
      <c r="A150">
        <f>IFERROR(PROPER(TableauIngredients[[#This Row],[Nom de la Production]]), "")</f>
        <v/>
      </c>
      <c r="B150" s="538">
        <f>IF(IFERROR((100-TableauIngredients[[#This Row],[% eau]])/100, 1) &lt; 0.2,0.2,IFERROR((100-TableauIngredients[[#This Row],[% eau]])/100, 1))</f>
        <v/>
      </c>
      <c r="C150" t="n">
        <v>97</v>
      </c>
      <c r="D150" t="inlineStr">
        <is>
          <t>souci</t>
        </is>
      </c>
      <c r="F150" s="641" t="n"/>
      <c r="H150" t="inlineStr">
        <is>
          <t>faible</t>
        </is>
      </c>
      <c r="I150" t="inlineStr">
        <is>
          <t>*Calendula officinalis*</t>
        </is>
      </c>
      <c r="J150" t="inlineStr">
        <is>
          <t>Obsidian</t>
        </is>
      </c>
    </row>
    <row r="151">
      <c r="A151">
        <f>IFERROR(PROPER(TableauIngredients[[#This Row],[Nom de la Production]]), "")</f>
        <v/>
      </c>
      <c r="B151" s="538">
        <f>IF(IFERROR((100-TableauIngredients[[#This Row],[% eau]])/100, 1) &lt; 0.2,0.2,IFERROR((100-TableauIngredients[[#This Row],[% eau]])/100, 1))</f>
        <v/>
      </c>
      <c r="C151" t="inlineStr">
        <is>
          <t>-</t>
        </is>
      </c>
      <c r="F151" s="554">
        <f>44/25</f>
        <v/>
      </c>
      <c r="G151" s="974" t="inlineStr">
        <is>
          <t>https://www.svpnegoce.com/catalogue/sucre-conventionnel-biologique/sucres-biologiques/sucre-de-betterave-bio-origine-allemagne</t>
        </is>
      </c>
      <c r="H151" t="inlineStr">
        <is>
          <t>faible</t>
        </is>
      </c>
      <c r="I151" t="inlineStr">
        <is>
          <t>*Artemisia absinthium*</t>
        </is>
      </c>
    </row>
    <row r="152">
      <c r="A152">
        <f>IFERROR(PROPER(TableauIngredients[[#This Row],[Nom de la Production]]), "")</f>
        <v/>
      </c>
      <c r="B152" s="538">
        <f>IF(IFERROR((100-TableauIngredients[[#This Row],[% eau]])/100, 1) &lt; 0.2,0.2,IFERROR((100-TableauIngredients[[#This Row],[% eau]])/100, 1))</f>
        <v/>
      </c>
      <c r="C152" t="n">
        <v>50</v>
      </c>
      <c r="D152" s="1" t="inlineStr">
        <is>
          <t>sucre de palme</t>
        </is>
      </c>
      <c r="E152" s="1" t="n"/>
      <c r="F152" s="641" t="n">
        <v>2.8</v>
      </c>
      <c r="G152" s="2" t="inlineStr">
        <is>
          <t>https://www.apiculture.net/sirop/7606-palette-sucre-de-canne-biologique-1080kg-alimentaire-54x20kg.html?kk=a4c626f-18e411b23ef-a3fee&amp;kgclid=CjwKCAjw48-vBhBbEiwAzqrZVI_0Pn7Eoe7X5_JvZvbTWxkK5E4ji2yIrkTdaQkY6n_lq79bD6I5HBoCb08QAvD_BwE&amp;utm_source=kelkoofr&amp;utm_medium=cpc&amp;utm_campaign=kelkooclick&amp;utm_term=Apiculture.net+-+Mat%C3%A9riel+apicole+fran%C3%A7a</t>
        </is>
      </c>
    </row>
    <row r="153">
      <c r="A153">
        <f>IFERROR(PROPER(TableauIngredients[[#This Row],[Nom de la Production]]), "")</f>
        <v/>
      </c>
      <c r="B153" s="538">
        <f>IF(IFERROR((100-TableauIngredients[[#This Row],[% eau]])/100, 1) &lt; 0.2,0.2,IFERROR((100-TableauIngredients[[#This Row],[% eau]])/100, 1))</f>
        <v/>
      </c>
      <c r="C153" t="n">
        <v>10</v>
      </c>
      <c r="D153" t="inlineStr">
        <is>
          <t>sumac</t>
        </is>
      </c>
      <c r="F153" s="641" t="n"/>
      <c r="H153" t="inlineStr">
        <is>
          <t>faible</t>
        </is>
      </c>
      <c r="I153" t="inlineStr">
        <is>
          <t>*Rhus coriaria*</t>
        </is>
      </c>
      <c r="J153" t="inlineStr">
        <is>
          <t>Obsidian</t>
        </is>
      </c>
    </row>
    <row r="154">
      <c r="A154">
        <f>IFERROR(PROPER(TableauIngredients[[#This Row],[Nom de la Production]]), "")</f>
        <v/>
      </c>
      <c r="B154" s="538">
        <f>IF(IFERROR((100-TableauIngredients[[#This Row],[% eau]])/100, 1) &lt; 0.2,0.2,IFERROR((100-TableauIngredients[[#This Row],[% eau]])/100, 1))</f>
        <v/>
      </c>
      <c r="C154" t="n">
        <v>0</v>
      </c>
      <c r="D154" t="inlineStr">
        <is>
          <t>sureau</t>
        </is>
      </c>
      <c r="F154" s="641" t="n"/>
      <c r="H154" t="inlineStr">
        <is>
          <t>élevé</t>
        </is>
      </c>
      <c r="I154" t="inlineStr">
        <is>
          <t>*Sambucus nigra*</t>
        </is>
      </c>
    </row>
    <row r="155">
      <c r="A155">
        <f>IFERROR(PROPER(TableauIngredients[[#This Row],[Nom de la Production]]), "")</f>
        <v/>
      </c>
      <c r="B155" s="538">
        <f>IF(IFERROR((100-TableauIngredients[[#This Row],[% eau]])/100, 1) &lt; 0.2,0.2,IFERROR((100-TableauIngredients[[#This Row],[% eau]])/100, 1))</f>
        <v/>
      </c>
      <c r="C155" t="n">
        <v>97</v>
      </c>
      <c r="D155" t="inlineStr">
        <is>
          <t>sureau</t>
        </is>
      </c>
      <c r="F155" s="641" t="n"/>
      <c r="H155" t="inlineStr">
        <is>
          <t>élevé</t>
        </is>
      </c>
      <c r="I155" t="inlineStr">
        <is>
          <t>*Sambucus nigra*</t>
        </is>
      </c>
      <c r="J155" t="inlineStr">
        <is>
          <t>Obsidian</t>
        </is>
      </c>
    </row>
    <row r="156">
      <c r="A156">
        <f>IFERROR(PROPER(TableauIngredients[[#This Row],[Nom de la Production]]), "")</f>
        <v/>
      </c>
      <c r="B156" s="538">
        <f>IF(IFERROR((100-TableauIngredients[[#This Row],[% eau]])/100, 1) &lt; 0.2,0.2,IFERROR((100-TableauIngredients[[#This Row],[% eau]])/100, 1))</f>
        <v/>
      </c>
      <c r="C156" t="n">
        <v>65</v>
      </c>
      <c r="D156" t="inlineStr">
        <is>
          <t>thym</t>
        </is>
      </c>
      <c r="F156" s="641" t="n"/>
      <c r="H156" t="inlineStr">
        <is>
          <t>faible</t>
        </is>
      </c>
      <c r="I156" t="inlineStr">
        <is>
          <t>*Thymus vulgaris*</t>
        </is>
      </c>
      <c r="J156" t="inlineStr">
        <is>
          <t>Obsidian</t>
        </is>
      </c>
    </row>
    <row r="157">
      <c r="A157">
        <f>IFERROR(PROPER(TableauIngredients[[#This Row],[Nom de la Production]]), "")</f>
        <v/>
      </c>
      <c r="B157" s="538">
        <f>IF(IFERROR((100-TableauIngredients[[#This Row],[% eau]])/100, 1) &lt; 0.2,0.2,IFERROR((100-TableauIngredients[[#This Row],[% eau]])/100, 1))</f>
        <v/>
      </c>
      <c r="C157" t="n">
        <v>50</v>
      </c>
      <c r="D157" t="inlineStr">
        <is>
          <t>timut</t>
        </is>
      </c>
      <c r="F157" s="641" t="n"/>
      <c r="H157" t="inlineStr">
        <is>
          <t>faible</t>
        </is>
      </c>
      <c r="I157" t="inlineStr">
        <is>
          <t>*Zanthoxylum armatum*</t>
        </is>
      </c>
    </row>
    <row r="158">
      <c r="A158">
        <f>IFERROR(PROPER(TableauIngredients[[#This Row],[Nom de la Production]]), "")</f>
        <v/>
      </c>
      <c r="B158" s="538">
        <f>IF(IFERROR((100-TableauIngredients[[#This Row],[% eau]])/100, 1) &lt; 0.2,0.2,IFERROR((100-TableauIngredients[[#This Row],[% eau]])/100, 1))</f>
        <v/>
      </c>
      <c r="C158" t="n">
        <v>0</v>
      </c>
      <c r="D158" t="inlineStr">
        <is>
          <t>tomate rouge</t>
        </is>
      </c>
      <c r="F158" s="641" t="n"/>
    </row>
    <row r="159">
      <c r="A159">
        <f>IFERROR(PROPER(TableauIngredients[[#This Row],[Nom de la Production]]), "")</f>
        <v/>
      </c>
      <c r="B159" s="538">
        <f>IF(IFERROR((100-TableauIngredients[[#This Row],[% eau]])/100, 1) &lt; 0.2,0.2,IFERROR((100-TableauIngredients[[#This Row],[% eau]])/100, 1))</f>
        <v/>
      </c>
      <c r="C159" t="n">
        <v>0</v>
      </c>
      <c r="D159" s="1" t="inlineStr">
        <is>
          <t>vinaigre de cidre</t>
        </is>
      </c>
      <c r="E159" s="1" t="n"/>
      <c r="F159" s="641">
        <f>19.21/5</f>
        <v/>
      </c>
      <c r="G159" t="inlineStr">
        <is>
          <t>https://comptoirdesplantes.com/matieres-brutes/161-vinaigre-de-cidre-BIO.html?pmax=shopping-2023-02-28&amp;gad_source=1&amp;gclid=Cj0KCQjwwMqvBhCtARIsAIXsZpY-rKsu7uA7WfCELHvTXY7hIuhneuKw5g-KKkqVqjC5BMGHdPHCyBIaAlDjEALw_wcB</t>
        </is>
      </c>
    </row>
    <row r="160">
      <c r="A160">
        <f>IFERROR(PROPER(TableauIngredients[[#This Row],[Nom de la Production]]), "")</f>
        <v/>
      </c>
      <c r="B160" s="538">
        <f>IF(IFERROR((100-TableauIngredients[[#This Row],[% eau]])/100, 1) &lt; 0.2,0.2,IFERROR((100-TableauIngredients[[#This Row],[% eau]])/100, 1))</f>
        <v/>
      </c>
      <c r="C160" t="n">
        <v>50</v>
      </c>
      <c r="D160" s="1" t="inlineStr">
        <is>
          <t>zeste d’orange seche</t>
        </is>
      </c>
      <c r="E160" s="1" t="n"/>
      <c r="F160" s="641" t="n"/>
    </row>
    <row r="161">
      <c r="A161" s="1">
        <f>IFERROR(PROPER(TableauIngredients[[#This Row],[Nom de la Production]]), "")</f>
        <v/>
      </c>
      <c r="B161" s="538" t="n">
        <v>1</v>
      </c>
      <c r="C161" t="n">
        <v>0</v>
      </c>
      <c r="D161" t="inlineStr">
        <is>
          <t>estragon</t>
        </is>
      </c>
      <c r="F161" s="641" t="n"/>
      <c r="H161" t="inlineStr">
        <is>
          <t>modéré</t>
        </is>
      </c>
      <c r="I161" t="inlineStr">
        <is>
          <t>*Tagetes lucida*</t>
        </is>
      </c>
    </row>
    <row r="162">
      <c r="A162" s="1">
        <f>IFERROR(PROPER(TableauIngredients[[#This Row],[Nom de la Production]]), "")</f>
        <v/>
      </c>
      <c r="B162" s="538">
        <f>IF(IFERROR((100-TableauIngredients[[#This Row],[% eau]])/100, 1) &lt; 20,0.2)</f>
        <v/>
      </c>
      <c r="C162" t="n">
        <v>90</v>
      </c>
      <c r="D162" t="inlineStr">
        <is>
          <t>estragon</t>
        </is>
      </c>
      <c r="F162" s="641" t="n"/>
      <c r="H162" t="inlineStr">
        <is>
          <t>élevé</t>
        </is>
      </c>
      <c r="I162" t="inlineStr">
        <is>
          <t>*Artemisia dracunculus* var. *sativa*</t>
        </is>
      </c>
      <c r="J162" t="inlineStr">
        <is>
          <t>Obsidian</t>
        </is>
      </c>
    </row>
    <row r="163">
      <c r="A163" s="1">
        <f>IFERROR(PROPER(TableauIngredients[[#This Row],[Nom de la Production]]), "")</f>
        <v/>
      </c>
      <c r="B163" s="538" t="n">
        <v>1</v>
      </c>
      <c r="C163" t="n">
        <v>0</v>
      </c>
      <c r="D163" t="inlineStr">
        <is>
          <t>cornichon</t>
        </is>
      </c>
      <c r="F163" s="641" t="n"/>
    </row>
    <row r="164">
      <c r="A164" s="1">
        <f>IFERROR(PROPER(TableauIngredients[[#This Row],[Nom de la Production]]), "")</f>
        <v/>
      </c>
      <c r="B164" s="538" t="n">
        <v>1</v>
      </c>
      <c r="C164" t="n">
        <v>0</v>
      </c>
      <c r="D164" t="inlineStr">
        <is>
          <t>cornichon</t>
        </is>
      </c>
      <c r="F164" s="641" t="n"/>
    </row>
    <row r="165">
      <c r="A165" s="1">
        <f>IFERROR(PROPER(TableauIngredients[[#This Row],[Nom de la Production]]), "")</f>
        <v/>
      </c>
      <c r="B165" s="538">
        <f>IF(IFERROR((100-TableauIngredients[[#This Row],[% eau]])/100, 1) &lt; 20,0.2)</f>
        <v/>
      </c>
      <c r="D165" t="inlineStr">
        <is>
          <t>oignon rocambole</t>
        </is>
      </c>
      <c r="F165" s="641" t="n"/>
      <c r="H165" t="inlineStr">
        <is>
          <t>modéré</t>
        </is>
      </c>
      <c r="I165" t="inlineStr">
        <is>
          <t>*Allium cepa*</t>
        </is>
      </c>
    </row>
    <row r="166">
      <c r="A166" s="1">
        <f>IFERROR(PROPER(TableauIngredients[[#This Row],[Nom de la Production]]), "")</f>
        <v/>
      </c>
      <c r="B166" s="538" t="n">
        <v>1</v>
      </c>
      <c r="C166" t="n">
        <v>0</v>
      </c>
      <c r="D166" t="inlineStr">
        <is>
          <t>choux</t>
        </is>
      </c>
      <c r="F166" s="641" t="n"/>
    </row>
    <row r="167">
      <c r="A167">
        <f>IFERROR(PROPER(TableauIngredients[[#This Row],[Nom de la Production]]), "")</f>
        <v/>
      </c>
      <c r="B167">
        <f>IF(IFERROR((100-TableauIngredients[[#This Row],[% eau]])/100, 1) &lt; 0.2,0.2,IFERROR((100-TableauIngredients[[#This Row],[% eau]])/100, 1))</f>
        <v/>
      </c>
      <c r="C167" t="n">
        <v>10</v>
      </c>
      <c r="D167" t="inlineStr">
        <is>
          <t>feuille d'algue nori séchée</t>
        </is>
      </c>
      <c r="F167" t="n">
        <v>40</v>
      </c>
    </row>
    <row r="168">
      <c r="A168">
        <f>IFERROR(PROPER(TableauIngredients[[#This Row],[Nom de la Production]]), "")</f>
        <v/>
      </c>
      <c r="B168">
        <f>IF(IFERROR((100-TableauIngredients[[#This Row],[% eau]])/100, 1) &lt; 0.2,0.2,IFERROR((100-TableauIngredients[[#This Row],[% eau]])/100, 1))</f>
        <v/>
      </c>
      <c r="C168" t="n">
        <v>80</v>
      </c>
      <c r="D168" t="inlineStr">
        <is>
          <t>églantier</t>
        </is>
      </c>
      <c r="H168" t="inlineStr">
        <is>
          <t>faible</t>
        </is>
      </c>
      <c r="I168" t="inlineStr">
        <is>
          <t>*Rosa canina*</t>
        </is>
      </c>
      <c r="J168" t="inlineStr">
        <is>
          <t>Obsidian</t>
        </is>
      </c>
    </row>
    <row r="169">
      <c r="A169">
        <f>IFERROR(PROPER(TableauIngredients[[#This Row],[Nom de la Production]]), "")</f>
        <v/>
      </c>
      <c r="B169">
        <f>IF(IFERROR((100-TableauIngredients[[#This Row],[% eau]])/100, 1) &lt; 0.2,0.2,IFERROR((100-TableauIngredients[[#This Row],[% eau]])/100, 1))</f>
        <v/>
      </c>
      <c r="C169" t="n">
        <v>90</v>
      </c>
      <c r="D169" t="inlineStr">
        <is>
          <t>cassis</t>
        </is>
      </c>
      <c r="H169" t="inlineStr">
        <is>
          <t>élevé</t>
        </is>
      </c>
      <c r="I169" t="inlineStr">
        <is>
          <t>*Ribes nigrum*</t>
        </is>
      </c>
      <c r="J169" t="inlineStr">
        <is>
          <t>Obsidian</t>
        </is>
      </c>
    </row>
    <row r="170">
      <c r="A170">
        <f>IFERROR(PROPER(TableauIngredients[[#This Row],[Nom de la Production]]), "")</f>
        <v/>
      </c>
      <c r="B170">
        <f>IF(IFERROR((100-TableauIngredients[[#This Row],[% eau]])/100, 1) &lt; 0.2,0.2,IFERROR((100-TableauIngredients[[#This Row],[% eau]])/100, 1))</f>
        <v/>
      </c>
      <c r="C170" t="n">
        <v>10</v>
      </c>
      <c r="D170" t="inlineStr">
        <is>
          <t>fenouil</t>
        </is>
      </c>
      <c r="H170" t="inlineStr">
        <is>
          <t>faible</t>
        </is>
      </c>
      <c r="I170" t="inlineStr">
        <is>
          <t>*Foeniculum vulgare*</t>
        </is>
      </c>
      <c r="J170" t="inlineStr">
        <is>
          <t>Obsidian</t>
        </is>
      </c>
    </row>
    <row r="171">
      <c r="A171">
        <f>IFERROR(PROPER(TableauIngredients[[#This Row],[Nom de la Production]]), "")</f>
        <v/>
      </c>
      <c r="B171">
        <f>IF(IFERROR((100-TableauIngredients[[#This Row],[% eau]])/100, 1) &lt; 0.2,0.2,IFERROR((100-TableauIngredients[[#This Row],[% eau]])/100, 1))</f>
        <v/>
      </c>
      <c r="C171" t="n">
        <v>90</v>
      </c>
      <c r="D171" t="inlineStr">
        <is>
          <t>mélisse</t>
        </is>
      </c>
      <c r="H171" t="inlineStr">
        <is>
          <t>élevé</t>
        </is>
      </c>
      <c r="I171" t="inlineStr">
        <is>
          <t>*Melissa officinalis*</t>
        </is>
      </c>
      <c r="J171" t="inlineStr">
        <is>
          <t>Obsidian</t>
        </is>
      </c>
    </row>
    <row r="172">
      <c r="A172">
        <f>IFERROR(PROPER(TableauIngredients[[#This Row],[Nom de la Production]]), "")</f>
        <v/>
      </c>
      <c r="B172">
        <f>IF(IFERROR((100-TableauIngredients[[#This Row],[% eau]])/100, 1) &lt; 0.2,0.2,IFERROR((100-TableauIngredients[[#This Row],[% eau]])/100, 1))</f>
        <v/>
      </c>
      <c r="C172" t="n">
        <v>90</v>
      </c>
      <c r="D172" t="inlineStr">
        <is>
          <t>verveine citronnelle</t>
        </is>
      </c>
      <c r="H172" t="inlineStr">
        <is>
          <t>élevé</t>
        </is>
      </c>
      <c r="I172" t="inlineStr">
        <is>
          <t>*Aloysia citrodora*</t>
        </is>
      </c>
      <c r="J172" t="inlineStr">
        <is>
          <t>Obsidian</t>
        </is>
      </c>
    </row>
    <row r="173">
      <c r="A173">
        <f>IFERROR(PROPER(TableauIngredients[[#This Row],[Nom de la Production]]), "")</f>
        <v/>
      </c>
      <c r="B173">
        <f>IF(IFERROR((100-TableauIngredients[[#This Row],[% eau]])/100, 1) &lt; 0.2,0.2,IFERROR((100-TableauIngredients[[#This Row],[% eau]])/100, 1))</f>
        <v/>
      </c>
      <c r="C173" t="n">
        <v>80</v>
      </c>
      <c r="D173" t="inlineStr">
        <is>
          <t>absinthe</t>
        </is>
      </c>
      <c r="H173" t="inlineStr">
        <is>
          <t>faible</t>
        </is>
      </c>
      <c r="I173" t="inlineStr">
        <is>
          <t>*Artemisia absinthium*</t>
        </is>
      </c>
      <c r="J173" t="inlineStr">
        <is>
          <t>Obsidian</t>
        </is>
      </c>
    </row>
    <row r="174">
      <c r="A174">
        <f>IFERROR(PROPER(TableauIngredients[[#This Row],[Nom de la Production]]), "")</f>
        <v/>
      </c>
      <c r="B174">
        <f>IF(IFERROR((100-TableauIngredients[[#This Row],[% eau]])/100, 1) &lt; 0.2,0.2,IFERROR((100-TableauIngredients[[#This Row],[% eau]])/100, 1))</f>
        <v/>
      </c>
      <c r="C174" t="n">
        <v>80</v>
      </c>
      <c r="D174" t="inlineStr">
        <is>
          <t>achillée millefeuille</t>
        </is>
      </c>
      <c r="H174" t="inlineStr">
        <is>
          <t>faible</t>
        </is>
      </c>
      <c r="I174" t="inlineStr">
        <is>
          <t>*Achillea millefolium*</t>
        </is>
      </c>
      <c r="J174" t="inlineStr">
        <is>
          <t>Obsidian</t>
        </is>
      </c>
    </row>
    <row r="175">
      <c r="A175">
        <f>IFERROR(PROPER(TableauIngredients[[#This Row],[Nom de la Production]]), "")</f>
        <v/>
      </c>
      <c r="B175">
        <f>IF(IFERROR((100-TableauIngredients[[#This Row],[% eau]])/100, 1) &lt; 0.2,0.2,IFERROR((100-TableauIngredients[[#This Row],[% eau]])/100, 1))</f>
        <v/>
      </c>
      <c r="C175" t="n">
        <v>80</v>
      </c>
      <c r="D175" t="inlineStr">
        <is>
          <t>acore odorant</t>
        </is>
      </c>
      <c r="H175" t="inlineStr">
        <is>
          <t>élevé</t>
        </is>
      </c>
      <c r="I175" t="inlineStr">
        <is>
          <t>*Acorus calamus*</t>
        </is>
      </c>
      <c r="J175" t="inlineStr">
        <is>
          <t>Obsidian</t>
        </is>
      </c>
    </row>
    <row r="176">
      <c r="A176">
        <f>IFERROR(PROPER(TableauIngredients[[#This Row],[Nom de la Production]]), "")</f>
        <v/>
      </c>
      <c r="B176">
        <f>IF(IFERROR((100-TableauIngredients[[#This Row],[% eau]])/100, 1) &lt; 0.2,0.2,IFERROR((100-TableauIngredients[[#This Row],[% eau]])/100, 1))</f>
        <v/>
      </c>
      <c r="C176" t="n">
        <v>80</v>
      </c>
      <c r="D176" t="inlineStr">
        <is>
          <t>ail des ours</t>
        </is>
      </c>
      <c r="H176" t="inlineStr">
        <is>
          <t>élevé</t>
        </is>
      </c>
      <c r="I176" t="inlineStr">
        <is>
          <t>*Allium ursinum*</t>
        </is>
      </c>
      <c r="J176" t="inlineStr">
        <is>
          <t>Obsidian</t>
        </is>
      </c>
    </row>
    <row r="177">
      <c r="A177">
        <f>IFERROR(PROPER(TableauIngredients[[#This Row],[Nom de la Production]]), "")</f>
        <v/>
      </c>
      <c r="B177">
        <f>IF(IFERROR((100-TableauIngredients[[#This Row],[% eau]])/100, 1) &lt; 0.2,0.2,IFERROR((100-TableauIngredients[[#This Row],[% eau]])/100, 1))</f>
        <v/>
      </c>
      <c r="C177" t="n">
        <v>80</v>
      </c>
      <c r="D177" t="inlineStr">
        <is>
          <t>ajowan</t>
        </is>
      </c>
      <c r="H177" t="inlineStr">
        <is>
          <t>faible</t>
        </is>
      </c>
      <c r="I177" t="inlineStr">
        <is>
          <t>*Trachyspermum ammi*</t>
        </is>
      </c>
      <c r="J177" t="inlineStr">
        <is>
          <t>Obsidian</t>
        </is>
      </c>
    </row>
    <row r="178">
      <c r="A178">
        <f>IFERROR(PROPER(TableauIngredients[[#This Row],[Nom de la Production]]), "")</f>
        <v/>
      </c>
      <c r="B178">
        <f>IF(IFERROR((100-TableauIngredients[[#This Row],[% eau]])/100, 1) &lt; 0.2,0.2,IFERROR((100-TableauIngredients[[#This Row],[% eau]])/100, 1))</f>
        <v/>
      </c>
      <c r="C178" t="n">
        <v>80</v>
      </c>
      <c r="D178" t="inlineStr">
        <is>
          <t>angélique</t>
        </is>
      </c>
      <c r="H178" t="inlineStr">
        <is>
          <t>élevé</t>
        </is>
      </c>
      <c r="I178" t="inlineStr">
        <is>
          <t>*Angelica archangelica*</t>
        </is>
      </c>
      <c r="J178" t="inlineStr">
        <is>
          <t>Obsidian</t>
        </is>
      </c>
    </row>
    <row r="179">
      <c r="A179">
        <f>IFERROR(PROPER(TableauIngredients[[#This Row],[Nom de la Production]]), "")</f>
        <v/>
      </c>
      <c r="B179">
        <f>IF(IFERROR((100-TableauIngredients[[#This Row],[% eau]])/100, 1) &lt; 0.2,0.2,IFERROR((100-TableauIngredients[[#This Row],[% eau]])/100, 1))</f>
        <v/>
      </c>
      <c r="C179" t="n">
        <v>30</v>
      </c>
      <c r="D179" t="inlineStr">
        <is>
          <t>anis vert</t>
        </is>
      </c>
      <c r="H179" t="inlineStr">
        <is>
          <t>faible</t>
        </is>
      </c>
      <c r="I179" t="inlineStr">
        <is>
          <t>*Pimpinella anisum*</t>
        </is>
      </c>
      <c r="J179" t="inlineStr">
        <is>
          <t>Obsidian</t>
        </is>
      </c>
    </row>
    <row r="180">
      <c r="A180">
        <f>IFERROR(PROPER(TableauIngredients[[#This Row],[Nom de la Production]]), "")</f>
        <v/>
      </c>
      <c r="B180">
        <f>IF(IFERROR((100-TableauIngredients[[#This Row],[% eau]])/100, 1) &lt; 0.2,0.2,IFERROR((100-TableauIngredients[[#This Row],[% eau]])/100, 1))</f>
        <v/>
      </c>
      <c r="C180" t="n">
        <v>80</v>
      </c>
      <c r="D180" t="inlineStr">
        <is>
          <t>armoise commune</t>
        </is>
      </c>
      <c r="H180" t="inlineStr">
        <is>
          <t>faible</t>
        </is>
      </c>
      <c r="I180" t="inlineStr">
        <is>
          <t>*Artemisia vulgaris*</t>
        </is>
      </c>
      <c r="J180" t="inlineStr">
        <is>
          <t>Obsidian</t>
        </is>
      </c>
    </row>
    <row r="181">
      <c r="A181">
        <f>IFERROR(PROPER(TableauIngredients[[#This Row],[Nom de la Production]]), "")</f>
        <v/>
      </c>
      <c r="B181">
        <f>IF(IFERROR((100-TableauIngredients[[#This Row],[% eau]])/100, 1) &lt; 0.2,0.2,IFERROR((100-TableauIngredients[[#This Row],[% eau]])/100, 1))</f>
        <v/>
      </c>
      <c r="C181" t="n">
        <v>80</v>
      </c>
      <c r="D181" t="inlineStr">
        <is>
          <t>aspérule odorante</t>
        </is>
      </c>
      <c r="H181" t="inlineStr">
        <is>
          <t>élevé</t>
        </is>
      </c>
      <c r="I181" t="inlineStr">
        <is>
          <t>*Galium odoratum*</t>
        </is>
      </c>
      <c r="J181" t="inlineStr">
        <is>
          <t>Obsidian</t>
        </is>
      </c>
    </row>
    <row r="182">
      <c r="A182">
        <f>IFERROR(PROPER(TableauIngredients[[#This Row],[Nom de la Production]]), "")</f>
        <v/>
      </c>
      <c r="B182">
        <f>IF(IFERROR((100-TableauIngredients[[#This Row],[% eau]])/100, 1) &lt; 0.2,0.2,IFERROR((100-TableauIngredients[[#This Row],[% eau]])/100, 1))</f>
        <v/>
      </c>
      <c r="C182" t="n">
        <v>80</v>
      </c>
      <c r="D182" t="inlineStr">
        <is>
          <t>aubépine</t>
        </is>
      </c>
      <c r="H182" t="inlineStr">
        <is>
          <t>faible</t>
        </is>
      </c>
      <c r="I182" t="inlineStr">
        <is>
          <t>*Crataegus monogyna*</t>
        </is>
      </c>
      <c r="J182" t="inlineStr">
        <is>
          <t>Obsidian</t>
        </is>
      </c>
    </row>
    <row r="183">
      <c r="A183">
        <f>IFERROR(PROPER(TableauIngredients[[#This Row],[Nom de la Production]]), "")</f>
        <v/>
      </c>
      <c r="B183">
        <f>IF(IFERROR((100-TableauIngredients[[#This Row],[% eau]])/100, 1) &lt; 0.2,0.2,IFERROR((100-TableauIngredients[[#This Row],[% eau]])/100, 1))</f>
        <v/>
      </c>
      <c r="C183" t="n">
        <v>80</v>
      </c>
      <c r="D183" t="inlineStr">
        <is>
          <t>aunée</t>
        </is>
      </c>
      <c r="H183" t="inlineStr">
        <is>
          <t>élevé</t>
        </is>
      </c>
      <c r="I183" t="inlineStr">
        <is>
          <t>*Inula helenium*</t>
        </is>
      </c>
      <c r="J183" t="inlineStr">
        <is>
          <t>Obsidian</t>
        </is>
      </c>
    </row>
    <row r="184">
      <c r="A184">
        <f>IFERROR(PROPER(TableauIngredients[[#This Row],[Nom de la Production]]), "")</f>
        <v/>
      </c>
      <c r="B184">
        <f>IF(IFERROR((100-TableauIngredients[[#This Row],[% eau]])/100, 1) &lt; 0.2,0.2,IFERROR((100-TableauIngredients[[#This Row],[% eau]])/100, 1))</f>
        <v/>
      </c>
      <c r="C184" t="n">
        <v>80</v>
      </c>
      <c r="D184" t="inlineStr">
        <is>
          <t>aurone</t>
        </is>
      </c>
      <c r="H184" t="inlineStr">
        <is>
          <t>faible</t>
        </is>
      </c>
      <c r="I184" t="inlineStr">
        <is>
          <t>*Artemisia abrotanum*</t>
        </is>
      </c>
      <c r="J184" t="inlineStr">
        <is>
          <t>Obsidian</t>
        </is>
      </c>
    </row>
    <row r="185">
      <c r="A185">
        <f>IFERROR(PROPER(TableauIngredients[[#This Row],[Nom de la Production]]), "")</f>
        <v/>
      </c>
      <c r="B185">
        <f>IF(IFERROR((100-TableauIngredients[[#This Row],[% eau]])/100, 1) &lt; 0.2,0.2,IFERROR((100-TableauIngredients[[#This Row],[% eau]])/100, 1))</f>
        <v/>
      </c>
      <c r="C185" t="n">
        <v>80</v>
      </c>
      <c r="D185" t="inlineStr">
        <is>
          <t>berce commune</t>
        </is>
      </c>
      <c r="H185" t="inlineStr">
        <is>
          <t>modéré</t>
        </is>
      </c>
      <c r="I185" t="inlineStr">
        <is>
          <t>*Heracleum sphondylium*</t>
        </is>
      </c>
      <c r="J185" t="inlineStr">
        <is>
          <t>Obsidian</t>
        </is>
      </c>
    </row>
    <row r="186">
      <c r="A186">
        <f>IFERROR(PROPER(TableauIngredients[[#This Row],[Nom de la Production]]), "")</f>
        <v/>
      </c>
      <c r="B186">
        <f>IF(IFERROR((100-TableauIngredients[[#This Row],[% eau]])/100, 1) &lt; 0.2,0.2,IFERROR((100-TableauIngredients[[#This Row],[% eau]])/100, 1))</f>
        <v/>
      </c>
      <c r="C186" t="n">
        <v>80</v>
      </c>
      <c r="D186" t="inlineStr">
        <is>
          <t>bergamotier</t>
        </is>
      </c>
      <c r="H186" t="inlineStr">
        <is>
          <t>modéré</t>
        </is>
      </c>
      <c r="I186" t="inlineStr">
        <is>
          <t>*Citrus bergamia*</t>
        </is>
      </c>
      <c r="J186" t="inlineStr">
        <is>
          <t>Obsidian</t>
        </is>
      </c>
    </row>
    <row r="187">
      <c r="A187">
        <f>IFERROR(PROPER(TableauIngredients[[#This Row],[Nom de la Production]]), "")</f>
        <v/>
      </c>
      <c r="B187">
        <f>IF(IFERROR((100-TableauIngredients[[#This Row],[% eau]])/100, 1) &lt; 0.2,0.2,IFERROR((100-TableauIngredients[[#This Row],[% eau]])/100, 1))</f>
        <v/>
      </c>
      <c r="C187" t="n">
        <v>80</v>
      </c>
      <c r="D187" t="inlineStr">
        <is>
          <t>bourrache</t>
        </is>
      </c>
      <c r="H187" t="inlineStr">
        <is>
          <t>modéré</t>
        </is>
      </c>
      <c r="I187" t="inlineStr">
        <is>
          <t>*Borago officinalis*</t>
        </is>
      </c>
      <c r="J187" t="inlineStr">
        <is>
          <t>Obsidian</t>
        </is>
      </c>
    </row>
    <row r="188">
      <c r="A188">
        <f>IFERROR(PROPER(TableauIngredients[[#This Row],[Nom de la Production]]), "")</f>
        <v/>
      </c>
      <c r="B188">
        <f>IF(IFERROR((100-TableauIngredients[[#This Row],[% eau]])/100, 1) &lt; 0.2,0.2,IFERROR((100-TableauIngredients[[#This Row],[% eau]])/100, 1))</f>
        <v/>
      </c>
      <c r="C188" t="n">
        <v>80</v>
      </c>
      <c r="D188" t="inlineStr">
        <is>
          <t>caloupilé</t>
        </is>
      </c>
      <c r="H188" t="inlineStr">
        <is>
          <t>élevé</t>
        </is>
      </c>
      <c r="I188" t="inlineStr">
        <is>
          <t>*Murraya koenigii*</t>
        </is>
      </c>
      <c r="J188" t="inlineStr">
        <is>
          <t>Obsidian</t>
        </is>
      </c>
    </row>
    <row r="189">
      <c r="A189">
        <f>IFERROR(PROPER(TableauIngredients[[#This Row],[Nom de la Production]]), "")</f>
        <v/>
      </c>
      <c r="B189">
        <f>IF(IFERROR((100-TableauIngredients[[#This Row],[% eau]])/100, 1) &lt; 0.2,0.2,IFERROR((100-TableauIngredients[[#This Row],[% eau]])/100, 1))</f>
        <v/>
      </c>
      <c r="C189" t="n">
        <v>80</v>
      </c>
      <c r="D189" t="inlineStr">
        <is>
          <t>camomille matricaire</t>
        </is>
      </c>
      <c r="H189" t="inlineStr">
        <is>
          <t>faible</t>
        </is>
      </c>
      <c r="I189" t="inlineStr">
        <is>
          <t>*Matricaria chamomilla*</t>
        </is>
      </c>
      <c r="J189" t="inlineStr">
        <is>
          <t>Obsidian</t>
        </is>
      </c>
    </row>
    <row r="190">
      <c r="A190">
        <f>IFERROR(PROPER(TableauIngredients[[#This Row],[Nom de la Production]]), "")</f>
        <v/>
      </c>
      <c r="B190">
        <f>IF(IFERROR((100-TableauIngredients[[#This Row],[% eau]])/100, 1) &lt; 0.2,0.2,IFERROR((100-TableauIngredients[[#This Row],[% eau]])/100, 1))</f>
        <v/>
      </c>
      <c r="C190" t="n">
        <v>80</v>
      </c>
      <c r="D190" t="inlineStr">
        <is>
          <t>cannelier</t>
        </is>
      </c>
      <c r="H190" t="inlineStr">
        <is>
          <t>élevé</t>
        </is>
      </c>
      <c r="I190" t="inlineStr">
        <is>
          <t>*Cinnamomum verum*</t>
        </is>
      </c>
      <c r="J190" t="inlineStr">
        <is>
          <t>Obsidian</t>
        </is>
      </c>
    </row>
    <row r="191">
      <c r="A191">
        <f>IFERROR(PROPER(TableauIngredients[[#This Row],[Nom de la Production]]), "")</f>
        <v/>
      </c>
      <c r="B191">
        <f>IF(IFERROR((100-TableauIngredients[[#This Row],[% eau]])/100, 1) &lt; 0.2,0.2,IFERROR((100-TableauIngredients[[#This Row],[% eau]])/100, 1))</f>
        <v/>
      </c>
      <c r="C191" t="n">
        <v>80</v>
      </c>
      <c r="D191" t="inlineStr">
        <is>
          <t>capucine</t>
        </is>
      </c>
      <c r="H191" t="inlineStr">
        <is>
          <t>modéré</t>
        </is>
      </c>
      <c r="I191" t="inlineStr">
        <is>
          <t>*Tropaeolum majus*</t>
        </is>
      </c>
      <c r="J191" t="inlineStr">
        <is>
          <t>Obsidian</t>
        </is>
      </c>
    </row>
    <row r="192">
      <c r="A192">
        <f>IFERROR(PROPER(TableauIngredients[[#This Row],[Nom de la Production]]), "")</f>
        <v/>
      </c>
      <c r="B192">
        <f>IF(IFERROR((100-TableauIngredients[[#This Row],[% eau]])/100, 1) &lt; 0.2,0.2,IFERROR((100-TableauIngredients[[#This Row],[% eau]])/100, 1))</f>
        <v/>
      </c>
      <c r="C192" t="n">
        <v>80</v>
      </c>
      <c r="D192" t="inlineStr">
        <is>
          <t>cardamome</t>
        </is>
      </c>
      <c r="H192" t="inlineStr">
        <is>
          <t>élevé</t>
        </is>
      </c>
      <c r="I192" t="inlineStr">
        <is>
          <t>*Elettaria cardamomum*</t>
        </is>
      </c>
      <c r="J192" t="inlineStr">
        <is>
          <t>Obsidian</t>
        </is>
      </c>
    </row>
    <row r="193">
      <c r="A193">
        <f>IFERROR(PROPER(TableauIngredients[[#This Row],[Nom de la Production]]), "")</f>
        <v/>
      </c>
      <c r="B193">
        <f>IF(IFERROR((100-TableauIngredients[[#This Row],[% eau]])/100, 1) &lt; 0.2,0.2,IFERROR((100-TableauIngredients[[#This Row],[% eau]])/100, 1))</f>
        <v/>
      </c>
      <c r="C193" t="n">
        <v>80</v>
      </c>
      <c r="D193" t="inlineStr">
        <is>
          <t>carthame</t>
        </is>
      </c>
      <c r="H193" t="inlineStr">
        <is>
          <t>faible</t>
        </is>
      </c>
      <c r="I193" t="inlineStr">
        <is>
          <t>*Carthamus tinctorius*</t>
        </is>
      </c>
      <c r="J193" t="inlineStr">
        <is>
          <t>Obsidian</t>
        </is>
      </c>
    </row>
    <row r="194">
      <c r="A194">
        <f>IFERROR(PROPER(TableauIngredients[[#This Row],[Nom de la Production]]), "")</f>
        <v/>
      </c>
      <c r="B194">
        <f>IF(IFERROR((100-TableauIngredients[[#This Row],[% eau]])/100, 1) &lt; 0.2,0.2,IFERROR((100-TableauIngredients[[#This Row],[% eau]])/100, 1))</f>
        <v/>
      </c>
      <c r="C194" t="n">
        <v>30</v>
      </c>
      <c r="D194" t="inlineStr">
        <is>
          <t>carvi</t>
        </is>
      </c>
      <c r="H194" t="inlineStr">
        <is>
          <t>faible</t>
        </is>
      </c>
      <c r="I194" t="inlineStr">
        <is>
          <t>*Carum carvi*</t>
        </is>
      </c>
      <c r="J194" t="inlineStr">
        <is>
          <t>Obsidian</t>
        </is>
      </c>
    </row>
    <row r="195">
      <c r="A195">
        <f>IFERROR(PROPER(TableauIngredients[[#This Row],[Nom de la Production]]), "")</f>
        <v/>
      </c>
      <c r="B195">
        <f>IF(IFERROR((100-TableauIngredients[[#This Row],[% eau]])/100, 1) &lt; 0.2,0.2,IFERROR((100-TableauIngredients[[#This Row],[% eau]])/100, 1))</f>
        <v/>
      </c>
      <c r="C195" t="n">
        <v>80</v>
      </c>
      <c r="D195" t="inlineStr">
        <is>
          <t>cerfeuil musqué</t>
        </is>
      </c>
      <c r="H195" t="inlineStr">
        <is>
          <t>élevé</t>
        </is>
      </c>
      <c r="I195" t="inlineStr">
        <is>
          <t>*Myrrhis odorata*</t>
        </is>
      </c>
      <c r="J195" t="inlineStr">
        <is>
          <t>Obsidian</t>
        </is>
      </c>
    </row>
    <row r="196">
      <c r="A196">
        <f>IFERROR(PROPER(TableauIngredients[[#This Row],[Nom de la Production]]), "")</f>
        <v/>
      </c>
      <c r="B196">
        <f>IF(IFERROR((100-TableauIngredients[[#This Row],[% eau]])/100, 1) &lt; 0.2,0.2,IFERROR((100-TableauIngredients[[#This Row],[% eau]])/100, 1))</f>
        <v/>
      </c>
      <c r="C196" t="n">
        <v>80</v>
      </c>
      <c r="D196" t="inlineStr">
        <is>
          <t>cerfeuil</t>
        </is>
      </c>
      <c r="H196" t="inlineStr">
        <is>
          <t>élevé</t>
        </is>
      </c>
      <c r="I196" t="inlineStr">
        <is>
          <t>*Anthriscus cerefolium*</t>
        </is>
      </c>
      <c r="J196" t="inlineStr">
        <is>
          <t>Obsidian</t>
        </is>
      </c>
    </row>
    <row r="197">
      <c r="A197">
        <f>IFERROR(PROPER(TableauIngredients[[#This Row],[Nom de la Production]]), "")</f>
        <v/>
      </c>
      <c r="B197">
        <f>IF(IFERROR((100-TableauIngredients[[#This Row],[% eau]])/100, 1) &lt; 0.2,0.2,IFERROR((100-TableauIngredients[[#This Row],[% eau]])/100, 1))</f>
        <v/>
      </c>
      <c r="C197" t="n">
        <v>80</v>
      </c>
      <c r="D197" t="inlineStr">
        <is>
          <t>ciboulette</t>
        </is>
      </c>
      <c r="H197" t="inlineStr">
        <is>
          <t>modéré</t>
        </is>
      </c>
      <c r="I197" t="inlineStr">
        <is>
          <t>*Allium schoenoprasum*, *Allium fistulosum*</t>
        </is>
      </c>
      <c r="J197" t="inlineStr">
        <is>
          <t>Obsidian</t>
        </is>
      </c>
    </row>
    <row r="198">
      <c r="A198">
        <f>IFERROR(PROPER(TableauIngredients[[#This Row],[Nom de la Production]]), "")</f>
        <v/>
      </c>
      <c r="B198">
        <f>IF(IFERROR((100-TableauIngredients[[#This Row],[% eau]])/100, 1) &lt; 0.2,0.2,IFERROR((100-TableauIngredients[[#This Row],[% eau]])/100, 1))</f>
        <v/>
      </c>
      <c r="C198" t="n">
        <v>80</v>
      </c>
      <c r="D198" t="inlineStr">
        <is>
          <t>citronnelle</t>
        </is>
      </c>
      <c r="H198" t="inlineStr">
        <is>
          <t>élevé</t>
        </is>
      </c>
      <c r="I198" t="inlineStr">
        <is>
          <t>*Cymbopogon citratus*</t>
        </is>
      </c>
      <c r="J198" t="inlineStr">
        <is>
          <t>Obsidian</t>
        </is>
      </c>
    </row>
    <row r="199">
      <c r="A199">
        <f>IFERROR(PROPER(TableauIngredients[[#This Row],[Nom de la Production]]), "")</f>
        <v/>
      </c>
      <c r="B199">
        <f>IF(IFERROR((100-TableauIngredients[[#This Row],[% eau]])/100, 1) &lt; 0.2,0.2,IFERROR((100-TableauIngredients[[#This Row],[% eau]])/100, 1))</f>
        <v/>
      </c>
      <c r="C199" t="n">
        <v>80</v>
      </c>
      <c r="D199" t="inlineStr">
        <is>
          <t>combava</t>
        </is>
      </c>
      <c r="H199" t="inlineStr">
        <is>
          <t>modéré</t>
        </is>
      </c>
      <c r="I199" t="inlineStr">
        <is>
          <t>*Citrus hystrix*</t>
        </is>
      </c>
      <c r="J199" t="inlineStr">
        <is>
          <t>Obsidian</t>
        </is>
      </c>
    </row>
    <row r="200">
      <c r="A200">
        <f>IFERROR(PROPER(TableauIngredients[[#This Row],[Nom de la Production]]), "")</f>
        <v/>
      </c>
      <c r="B200">
        <f>IF(IFERROR((100-TableauIngredients[[#This Row],[% eau]])/100, 1) &lt; 0.2,0.2,IFERROR((100-TableauIngredients[[#This Row],[% eau]])/100, 1))</f>
        <v/>
      </c>
      <c r="C200" t="n">
        <v>80</v>
      </c>
      <c r="D200" t="inlineStr">
        <is>
          <t>coriandre</t>
        </is>
      </c>
      <c r="H200" t="inlineStr">
        <is>
          <t>faible</t>
        </is>
      </c>
      <c r="I200" t="inlineStr">
        <is>
          <t>*Coriandrum sativum*</t>
        </is>
      </c>
      <c r="J200" t="inlineStr">
        <is>
          <t>Obsidian</t>
        </is>
      </c>
    </row>
    <row r="201">
      <c r="A201">
        <f>IFERROR(PROPER(TableauIngredients[[#This Row],[Nom de la Production]]), "")</f>
        <v/>
      </c>
      <c r="B201">
        <f>IF(IFERROR((100-TableauIngredients[[#This Row],[% eau]])/100, 1) &lt; 0.2,0.2,IFERROR((100-TableauIngredients[[#This Row],[% eau]])/100, 1))</f>
        <v/>
      </c>
      <c r="C201" t="n">
        <v>80</v>
      </c>
      <c r="D201" t="inlineStr">
        <is>
          <t>cresson alénois</t>
        </is>
      </c>
      <c r="H201" t="inlineStr">
        <is>
          <t>élevé</t>
        </is>
      </c>
      <c r="I201" t="inlineStr">
        <is>
          <t>*Lepidium sativum*</t>
        </is>
      </c>
      <c r="J201" t="inlineStr">
        <is>
          <t>Obsidian</t>
        </is>
      </c>
    </row>
    <row r="202">
      <c r="A202">
        <f>IFERROR(PROPER(TableauIngredients[[#This Row],[Nom de la Production]]), "")</f>
        <v/>
      </c>
      <c r="B202">
        <f>IF(IFERROR((100-TableauIngredients[[#This Row],[% eau]])/100, 1) &lt; 0.2,0.2,IFERROR((100-TableauIngredients[[#This Row],[% eau]])/100, 1))</f>
        <v/>
      </c>
      <c r="C202" t="n">
        <v>30</v>
      </c>
      <c r="D202" t="inlineStr">
        <is>
          <t>cumin</t>
        </is>
      </c>
      <c r="H202" t="inlineStr">
        <is>
          <t>faible</t>
        </is>
      </c>
      <c r="I202" t="inlineStr">
        <is>
          <t>*Cuminum cyminum*</t>
        </is>
      </c>
      <c r="J202" t="inlineStr">
        <is>
          <t>Obsidian</t>
        </is>
      </c>
    </row>
    <row r="203">
      <c r="A203">
        <f>IFERROR(PROPER(TableauIngredients[[#This Row],[Nom de la Production]]), "")</f>
        <v/>
      </c>
      <c r="B203">
        <f>IF(IFERROR((100-TableauIngredients[[#This Row],[% eau]])/100, 1) &lt; 0.2,0.2,IFERROR((100-TableauIngredients[[#This Row],[% eau]])/100, 1))</f>
        <v/>
      </c>
      <c r="C203" t="n">
        <v>80</v>
      </c>
      <c r="D203" t="inlineStr">
        <is>
          <t>câprier</t>
        </is>
      </c>
      <c r="H203" t="inlineStr">
        <is>
          <t>faible</t>
        </is>
      </c>
      <c r="I203" t="inlineStr">
        <is>
          <t>*Capparis spinosa*</t>
        </is>
      </c>
      <c r="J203" t="inlineStr">
        <is>
          <t>Obsidian</t>
        </is>
      </c>
    </row>
    <row r="204">
      <c r="A204">
        <f>IFERROR(PROPER(TableauIngredients[[#This Row],[Nom de la Production]]), "")</f>
        <v/>
      </c>
      <c r="B204">
        <f>IF(IFERROR((100-TableauIngredients[[#This Row],[% eau]])/100, 1) &lt; 0.2,0.2,IFERROR((100-TableauIngredients[[#This Row],[% eau]])/100, 1))</f>
        <v/>
      </c>
      <c r="C204" t="n">
        <v>80</v>
      </c>
      <c r="D204" t="inlineStr">
        <is>
          <t>céleri</t>
        </is>
      </c>
      <c r="H204" t="inlineStr">
        <is>
          <t>élevé</t>
        </is>
      </c>
      <c r="I204" t="inlineStr">
        <is>
          <t>*Apium graveolens*</t>
        </is>
      </c>
      <c r="J204" t="inlineStr">
        <is>
          <t>Obsidian</t>
        </is>
      </c>
    </row>
    <row r="205">
      <c r="A205">
        <f>IFERROR(PROPER(TableauIngredients[[#This Row],[Nom de la Production]]), "")</f>
        <v/>
      </c>
      <c r="B205">
        <f>IF(IFERROR((100-TableauIngredients[[#This Row],[% eau]])/100, 1) &lt; 0.2,0.2,IFERROR((100-TableauIngredients[[#This Row],[% eau]])/100, 1))</f>
        <v/>
      </c>
      <c r="C205" t="n">
        <v>80</v>
      </c>
      <c r="D205" t="inlineStr">
        <is>
          <t>estragon du mexique</t>
        </is>
      </c>
      <c r="H205" t="inlineStr">
        <is>
          <t>modéré</t>
        </is>
      </c>
      <c r="I205" t="inlineStr">
        <is>
          <t>*Tagetes lucida*</t>
        </is>
      </c>
      <c r="J205" t="inlineStr">
        <is>
          <t>Obsidian</t>
        </is>
      </c>
    </row>
    <row r="206">
      <c r="A206">
        <f>IFERROR(PROPER(TableauIngredients[[#This Row],[Nom de la Production]]), "")</f>
        <v/>
      </c>
      <c r="B206">
        <f>IF(IFERROR((100-TableauIngredients[[#This Row],[% eau]])/100, 1) &lt; 0.2,0.2,IFERROR((100-TableauIngredients[[#This Row],[% eau]])/100, 1))</f>
        <v/>
      </c>
      <c r="C206" t="n">
        <v>30</v>
      </c>
      <c r="D206" t="inlineStr">
        <is>
          <t>fenugrec</t>
        </is>
      </c>
      <c r="H206" t="inlineStr">
        <is>
          <t>faible</t>
        </is>
      </c>
      <c r="I206" t="inlineStr">
        <is>
          <t>*Trigonella foenum-graecum*</t>
        </is>
      </c>
      <c r="J206" t="inlineStr">
        <is>
          <t>Obsidian</t>
        </is>
      </c>
    </row>
    <row r="207">
      <c r="A207">
        <f>IFERROR(PROPER(TableauIngredients[[#This Row],[Nom de la Production]]), "")</f>
        <v/>
      </c>
      <c r="B207">
        <f>IF(IFERROR((100-TableauIngredients[[#This Row],[% eau]])/100, 1) &lt; 0.2,0.2,IFERROR((100-TableauIngredients[[#This Row],[% eau]])/100, 1))</f>
        <v/>
      </c>
      <c r="C207" t="n">
        <v>80</v>
      </c>
      <c r="D207" t="inlineStr">
        <is>
          <t>gattilier</t>
        </is>
      </c>
      <c r="H207" t="inlineStr">
        <is>
          <t>faible</t>
        </is>
      </c>
      <c r="I207" t="inlineStr">
        <is>
          <t>*Vitex agnus-castus*</t>
        </is>
      </c>
      <c r="J207" t="inlineStr">
        <is>
          <t>Obsidian</t>
        </is>
      </c>
    </row>
    <row r="208">
      <c r="A208">
        <f>IFERROR(PROPER(TableauIngredients[[#This Row],[Nom de la Production]]), "")</f>
        <v/>
      </c>
      <c r="B208">
        <f>IF(IFERROR((100-TableauIngredients[[#This Row],[% eau]])/100, 1) &lt; 0.2,0.2,IFERROR((100-TableauIngredients[[#This Row],[% eau]])/100, 1))</f>
        <v/>
      </c>
      <c r="C208" t="n">
        <v>80</v>
      </c>
      <c r="D208" t="inlineStr">
        <is>
          <t>gaultheria</t>
        </is>
      </c>
      <c r="H208" t="inlineStr">
        <is>
          <t>élevé</t>
        </is>
      </c>
      <c r="I208" t="inlineStr">
        <is>
          <t>*Gaultheria procumbens*</t>
        </is>
      </c>
      <c r="J208" t="inlineStr">
        <is>
          <t>Obsidian</t>
        </is>
      </c>
    </row>
    <row r="209">
      <c r="A209">
        <f>IFERROR(PROPER(TableauIngredients[[#This Row],[Nom de la Production]]), "")</f>
        <v/>
      </c>
      <c r="B209">
        <f>IF(IFERROR((100-TableauIngredients[[#This Row],[% eau]])/100, 1) &lt; 0.2,0.2,IFERROR((100-TableauIngredients[[#This Row],[% eau]])/100, 1))</f>
        <v/>
      </c>
      <c r="C209" t="n">
        <v>80</v>
      </c>
      <c r="D209" t="inlineStr">
        <is>
          <t>gentiane jaune</t>
        </is>
      </c>
      <c r="H209" t="inlineStr">
        <is>
          <t>modéré</t>
        </is>
      </c>
      <c r="I209" t="inlineStr">
        <is>
          <t>*Gentiana lutea*</t>
        </is>
      </c>
      <c r="J209" t="inlineStr">
        <is>
          <t>Obsidian</t>
        </is>
      </c>
    </row>
    <row r="210">
      <c r="A210">
        <f>IFERROR(PROPER(TableauIngredients[[#This Row],[Nom de la Production]]), "")</f>
        <v/>
      </c>
      <c r="B210">
        <f>IF(IFERROR((100-TableauIngredients[[#This Row],[% eau]])/100, 1) &lt; 0.2,0.2,IFERROR((100-TableauIngredients[[#This Row],[% eau]])/100, 1))</f>
        <v/>
      </c>
      <c r="C210" t="n">
        <v>80</v>
      </c>
      <c r="D210" t="inlineStr">
        <is>
          <t>genévrier commun</t>
        </is>
      </c>
      <c r="H210" t="inlineStr">
        <is>
          <t>faible</t>
        </is>
      </c>
      <c r="I210" t="inlineStr">
        <is>
          <t>*Juniperus communis*</t>
        </is>
      </c>
      <c r="J210" t="inlineStr">
        <is>
          <t>Obsidian</t>
        </is>
      </c>
    </row>
    <row r="211">
      <c r="A211">
        <f>IFERROR(PROPER(TableauIngredients[[#This Row],[Nom de la Production]]), "")</f>
        <v/>
      </c>
      <c r="B211">
        <f>IF(IFERROR((100-TableauIngredients[[#This Row],[% eau]])/100, 1) &lt; 0.2,0.2,IFERROR((100-TableauIngredients[[#This Row],[% eau]])/100, 1))</f>
        <v/>
      </c>
      <c r="C211" t="n">
        <v>80</v>
      </c>
      <c r="D211" t="inlineStr">
        <is>
          <t>guimauve</t>
        </is>
      </c>
      <c r="H211" t="inlineStr">
        <is>
          <t>élevé</t>
        </is>
      </c>
      <c r="I211" t="inlineStr">
        <is>
          <t>*Althaea officinalis*</t>
        </is>
      </c>
      <c r="J211" t="inlineStr">
        <is>
          <t>Obsidian</t>
        </is>
      </c>
    </row>
    <row r="212">
      <c r="A212">
        <f>IFERROR(PROPER(TableauIngredients[[#This Row],[Nom de la Production]]), "")</f>
        <v/>
      </c>
      <c r="B212">
        <f>IF(IFERROR((100-TableauIngredients[[#This Row],[% eau]])/100, 1) &lt; 0.2,0.2,IFERROR((100-TableauIngredients[[#This Row],[% eau]])/100, 1))</f>
        <v/>
      </c>
      <c r="C212" t="n">
        <v>80</v>
      </c>
      <c r="D212" t="inlineStr">
        <is>
          <t>houblon</t>
        </is>
      </c>
      <c r="H212" t="inlineStr">
        <is>
          <t>élevé</t>
        </is>
      </c>
      <c r="I212" t="inlineStr">
        <is>
          <t>*Humulus lupulus*</t>
        </is>
      </c>
      <c r="J212" t="inlineStr">
        <is>
          <t>Obsidian</t>
        </is>
      </c>
    </row>
    <row r="213">
      <c r="A213">
        <f>IFERROR(PROPER(TableauIngredients[[#This Row],[Nom de la Production]]), "")</f>
        <v/>
      </c>
      <c r="B213">
        <f>IF(IFERROR((100-TableauIngredients[[#This Row],[% eau]])/100, 1) &lt; 0.2,0.2,IFERROR((100-TableauIngredients[[#This Row],[% eau]])/100, 1))</f>
        <v/>
      </c>
      <c r="C213" t="n">
        <v>80</v>
      </c>
      <c r="D213" t="inlineStr">
        <is>
          <t>hysope</t>
        </is>
      </c>
      <c r="H213" t="inlineStr">
        <is>
          <t>faible</t>
        </is>
      </c>
      <c r="I213" t="inlineStr">
        <is>
          <t>*Hyssopus officinalis*</t>
        </is>
      </c>
      <c r="J213" t="inlineStr">
        <is>
          <t>Obsidian</t>
        </is>
      </c>
    </row>
    <row r="214">
      <c r="A214">
        <f>IFERROR(PROPER(TableauIngredients[[#This Row],[Nom de la Production]]), "")</f>
        <v/>
      </c>
      <c r="B214">
        <f>IF(IFERROR((100-TableauIngredients[[#This Row],[% eau]])/100, 1) &lt; 0.2,0.2,IFERROR((100-TableauIngredients[[#This Row],[% eau]])/100, 1))</f>
        <v/>
      </c>
      <c r="C214" t="n">
        <v>80</v>
      </c>
      <c r="D214" t="inlineStr">
        <is>
          <t>hélichryse</t>
        </is>
      </c>
      <c r="H214" t="inlineStr">
        <is>
          <t>faible</t>
        </is>
      </c>
      <c r="I214" t="inlineStr">
        <is>
          <t>*Helichrysum italicum*</t>
        </is>
      </c>
      <c r="J214" t="inlineStr">
        <is>
          <t>Obsidian</t>
        </is>
      </c>
    </row>
    <row r="215">
      <c r="A215">
        <f>IFERROR(PROPER(TableauIngredients[[#This Row],[Nom de la Production]]), "")</f>
        <v/>
      </c>
      <c r="B215">
        <f>IF(IFERROR((100-TableauIngredients[[#This Row],[% eau]])/100, 1) &lt; 0.2,0.2,IFERROR((100-TableauIngredients[[#This Row],[% eau]])/100, 1))</f>
        <v/>
      </c>
      <c r="C215" t="n">
        <v>80</v>
      </c>
      <c r="D215" t="inlineStr">
        <is>
          <t>hémérocalle</t>
        </is>
      </c>
      <c r="H215" t="inlineStr">
        <is>
          <t>modéré</t>
        </is>
      </c>
      <c r="I215" t="inlineStr">
        <is>
          <t>*Hemerocallis* spp.</t>
        </is>
      </c>
      <c r="J215" t="inlineStr">
        <is>
          <t>Obsidian</t>
        </is>
      </c>
    </row>
    <row r="216">
      <c r="A216">
        <f>IFERROR(PROPER(TableauIngredients[[#This Row],[Nom de la Production]]), "")</f>
        <v/>
      </c>
      <c r="B216">
        <f>IF(IFERROR((100-TableauIngredients[[#This Row],[% eau]])/100, 1) &lt; 0.2,0.2,IFERROR((100-TableauIngredients[[#This Row],[% eau]])/100, 1))</f>
        <v/>
      </c>
      <c r="C216" t="n">
        <v>80</v>
      </c>
      <c r="D216" t="inlineStr">
        <is>
          <t>iris</t>
        </is>
      </c>
      <c r="H216" t="inlineStr">
        <is>
          <t>faible</t>
        </is>
      </c>
      <c r="I216" t="inlineStr">
        <is>
          <t>*Iris pallida*, *Iris germanica*</t>
        </is>
      </c>
      <c r="J216" t="inlineStr">
        <is>
          <t>Obsidian</t>
        </is>
      </c>
    </row>
    <row r="217">
      <c r="A217">
        <f>IFERROR(PROPER(TableauIngredients[[#This Row],[Nom de la Production]]), "")</f>
        <v/>
      </c>
      <c r="B217">
        <f>IF(IFERROR((100-TableauIngredients[[#This Row],[% eau]])/100, 1) &lt; 0.2,0.2,IFERROR((100-TableauIngredients[[#This Row],[% eau]])/100, 1))</f>
        <v/>
      </c>
      <c r="C217" t="n">
        <v>65</v>
      </c>
      <c r="D217" t="inlineStr">
        <is>
          <t>laurier sauce</t>
        </is>
      </c>
      <c r="H217" t="inlineStr">
        <is>
          <t>faible</t>
        </is>
      </c>
      <c r="I217" t="inlineStr">
        <is>
          <t>*Laurus nobilis*</t>
        </is>
      </c>
      <c r="J217" t="inlineStr">
        <is>
          <t>Obsidian</t>
        </is>
      </c>
    </row>
    <row r="218">
      <c r="A218">
        <f>IFERROR(PROPER(TableauIngredients[[#This Row],[Nom de la Production]]), "")</f>
        <v/>
      </c>
      <c r="B218">
        <f>IF(IFERROR((100-TableauIngredients[[#This Row],[% eau]])/100, 1) &lt; 0.2,0.2,IFERROR((100-TableauIngredients[[#This Row],[% eau]])/100, 1))</f>
        <v/>
      </c>
      <c r="C218" t="n">
        <v>80</v>
      </c>
      <c r="D218" t="inlineStr">
        <is>
          <t>livèche</t>
        </is>
      </c>
      <c r="H218" t="inlineStr">
        <is>
          <t>élevé</t>
        </is>
      </c>
      <c r="I218" t="inlineStr">
        <is>
          <t>*Levisticum officinale*</t>
        </is>
      </c>
      <c r="J218" t="inlineStr">
        <is>
          <t>Obsidian</t>
        </is>
      </c>
    </row>
    <row r="219">
      <c r="A219">
        <f>IFERROR(PROPER(TableauIngredients[[#This Row],[Nom de la Production]]), "")</f>
        <v/>
      </c>
      <c r="B219">
        <f>IF(IFERROR((100-TableauIngredients[[#This Row],[% eau]])/100, 1) &lt; 0.2,0.2,IFERROR((100-TableauIngredients[[#This Row],[% eau]])/100, 1))</f>
        <v/>
      </c>
      <c r="C219" t="n">
        <v>30</v>
      </c>
      <c r="D219" t="inlineStr">
        <is>
          <t>maceron</t>
        </is>
      </c>
      <c r="H219" t="inlineStr">
        <is>
          <t>modéré</t>
        </is>
      </c>
      <c r="I219" t="inlineStr">
        <is>
          <t>*Smyrnium olusatrum*</t>
        </is>
      </c>
      <c r="J219" t="inlineStr">
        <is>
          <t>Obsidian</t>
        </is>
      </c>
    </row>
    <row r="220">
      <c r="A220">
        <f>IFERROR(PROPER(TableauIngredients[[#This Row],[Nom de la Production]]), "")</f>
        <v/>
      </c>
      <c r="B220">
        <f>IF(IFERROR((100-TableauIngredients[[#This Row],[% eau]])/100, 1) &lt; 0.2,0.2,IFERROR((100-TableauIngredients[[#This Row],[% eau]])/100, 1))</f>
        <v/>
      </c>
      <c r="C220" t="n">
        <v>80</v>
      </c>
      <c r="D220" t="inlineStr">
        <is>
          <t>mandarinier</t>
        </is>
      </c>
      <c r="H220" t="inlineStr">
        <is>
          <t>modéré</t>
        </is>
      </c>
      <c r="I220" t="inlineStr">
        <is>
          <t>*Citrus reticulata*, *Citrus × sinensis*</t>
        </is>
      </c>
      <c r="J220" t="inlineStr">
        <is>
          <t>Obsidian</t>
        </is>
      </c>
    </row>
    <row r="221">
      <c r="A221">
        <f>IFERROR(PROPER(TableauIngredients[[#This Row],[Nom de la Production]]), "")</f>
        <v/>
      </c>
      <c r="B221">
        <f>IF(IFERROR((100-TableauIngredients[[#This Row],[% eau]])/100, 1) &lt; 0.2,0.2,IFERROR((100-TableauIngredients[[#This Row],[% eau]])/100, 1))</f>
        <v/>
      </c>
      <c r="C221" t="n">
        <v>80</v>
      </c>
      <c r="D221" t="inlineStr">
        <is>
          <t>marrube blanc</t>
        </is>
      </c>
      <c r="H221" t="inlineStr">
        <is>
          <t>faible</t>
        </is>
      </c>
      <c r="I221" t="inlineStr">
        <is>
          <t>*Marrubium vulgare*</t>
        </is>
      </c>
      <c r="J221" t="inlineStr">
        <is>
          <t>Obsidian</t>
        </is>
      </c>
    </row>
    <row r="222">
      <c r="A222">
        <f>IFERROR(PROPER(TableauIngredients[[#This Row],[Nom de la Production]]), "")</f>
        <v/>
      </c>
      <c r="B222">
        <f>IF(IFERROR((100-TableauIngredients[[#This Row],[% eau]])/100, 1) &lt; 0.2,0.2,IFERROR((100-TableauIngredients[[#This Row],[% eau]])/100, 1))</f>
        <v/>
      </c>
      <c r="C222" t="n">
        <v>80</v>
      </c>
      <c r="D222" t="inlineStr">
        <is>
          <t>menthe</t>
        </is>
      </c>
      <c r="H222" t="inlineStr">
        <is>
          <t>élevé</t>
        </is>
      </c>
      <c r="I222" t="inlineStr">
        <is>
          <t>*Mentha spicata*</t>
        </is>
      </c>
      <c r="J222" t="inlineStr">
        <is>
          <t>Obsidian</t>
        </is>
      </c>
    </row>
    <row r="223">
      <c r="A223">
        <f>IFERROR(PROPER(TableauIngredients[[#This Row],[Nom de la Production]]), "")</f>
        <v/>
      </c>
      <c r="B223">
        <f>IF(IFERROR((100-TableauIngredients[[#This Row],[% eau]])/100, 1) &lt; 0.2,0.2,IFERROR((100-TableauIngredients[[#This Row],[% eau]])/100, 1))</f>
        <v/>
      </c>
      <c r="C223" t="n">
        <v>30</v>
      </c>
      <c r="D223" t="inlineStr">
        <is>
          <t>moutarde</t>
        </is>
      </c>
      <c r="H223" t="inlineStr">
        <is>
          <t>faible</t>
        </is>
      </c>
      <c r="I223" t="inlineStr">
        <is>
          <t>*Sinapis alba* / *Brassica nigra* / *Brassica juncea*</t>
        </is>
      </c>
      <c r="J223" t="inlineStr">
        <is>
          <t>Obsidian</t>
        </is>
      </c>
    </row>
    <row r="224">
      <c r="A224">
        <f>IFERROR(PROPER(TableauIngredients[[#This Row],[Nom de la Production]]), "")</f>
        <v/>
      </c>
      <c r="B224">
        <f>IF(IFERROR((100-TableauIngredients[[#This Row],[% eau]])/100, 1) &lt; 0.2,0.2,IFERROR((100-TableauIngredients[[#This Row],[% eau]])/100, 1))</f>
        <v/>
      </c>
      <c r="C224" t="n">
        <v>80</v>
      </c>
      <c r="D224" t="inlineStr">
        <is>
          <t>myrte</t>
        </is>
      </c>
      <c r="H224" t="inlineStr">
        <is>
          <t>faible</t>
        </is>
      </c>
      <c r="I224" t="inlineStr">
        <is>
          <t>*Myrtus communis*</t>
        </is>
      </c>
      <c r="J224" t="inlineStr">
        <is>
          <t>Obsidian</t>
        </is>
      </c>
    </row>
    <row r="225">
      <c r="A225">
        <f>IFERROR(PROPER(TableauIngredients[[#This Row],[Nom de la Production]]), "")</f>
        <v/>
      </c>
      <c r="B225">
        <f>IF(IFERROR((100-TableauIngredients[[#This Row],[% eau]])/100, 1) &lt; 0.2,0.2,IFERROR((100-TableauIngredients[[#This Row],[% eau]])/100, 1))</f>
        <v/>
      </c>
      <c r="C225" t="n">
        <v>80</v>
      </c>
      <c r="D225" t="inlineStr">
        <is>
          <t>mélilot</t>
        </is>
      </c>
      <c r="H225" t="inlineStr">
        <is>
          <t>faible</t>
        </is>
      </c>
      <c r="I225" t="inlineStr">
        <is>
          <t>*Melilotus officinalis*</t>
        </is>
      </c>
      <c r="J225" t="inlineStr">
        <is>
          <t>Obsidian</t>
        </is>
      </c>
    </row>
    <row r="226">
      <c r="A226">
        <f>IFERROR(PROPER(TableauIngredients[[#This Row],[Nom de la Production]]), "")</f>
        <v/>
      </c>
      <c r="B226">
        <f>IF(IFERROR((100-TableauIngredients[[#This Row],[% eau]])/100, 1) &lt; 0.2,0.2,IFERROR((100-TableauIngredients[[#This Row],[% eau]])/100, 1))</f>
        <v/>
      </c>
      <c r="C226" t="n">
        <v>30</v>
      </c>
      <c r="D226" t="inlineStr">
        <is>
          <t>nigelle</t>
        </is>
      </c>
      <c r="H226" t="inlineStr">
        <is>
          <t>faible</t>
        </is>
      </c>
      <c r="I226" t="inlineStr">
        <is>
          <t>*Nigella sativa*</t>
        </is>
      </c>
      <c r="J226" t="inlineStr">
        <is>
          <t>Obsidian</t>
        </is>
      </c>
    </row>
    <row r="227">
      <c r="A227">
        <f>IFERROR(PROPER(TableauIngredients[[#This Row],[Nom de la Production]]), "")</f>
        <v/>
      </c>
      <c r="B227">
        <f>IF(IFERROR((100-TableauIngredients[[#This Row],[% eau]])/100, 1) &lt; 0.2,0.2,IFERROR((100-TableauIngredients[[#This Row],[% eau]])/100, 1))</f>
        <v/>
      </c>
      <c r="C227" t="n">
        <v>80</v>
      </c>
      <c r="D227" t="inlineStr">
        <is>
          <t>oeillet d'inde</t>
        </is>
      </c>
      <c r="H227" t="inlineStr">
        <is>
          <t>faible</t>
        </is>
      </c>
      <c r="I227" t="inlineStr">
        <is>
          <t>*Tagetes patula*</t>
        </is>
      </c>
      <c r="J227" t="inlineStr">
        <is>
          <t>Obsidian</t>
        </is>
      </c>
    </row>
    <row r="228">
      <c r="A228">
        <f>IFERROR(PROPER(TableauIngredients[[#This Row],[Nom de la Production]]), "")</f>
        <v/>
      </c>
      <c r="B228">
        <f>IF(IFERROR((100-TableauIngredients[[#This Row],[% eau]])/100, 1) &lt; 0.2,0.2,IFERROR((100-TableauIngredients[[#This Row],[% eau]])/100, 1))</f>
        <v/>
      </c>
      <c r="C228" t="n">
        <v>80</v>
      </c>
      <c r="D228" t="inlineStr">
        <is>
          <t>pavot</t>
        </is>
      </c>
      <c r="H228" t="inlineStr">
        <is>
          <t>faible</t>
        </is>
      </c>
      <c r="I228" t="inlineStr">
        <is>
          <t>*Papaver somniferum*</t>
        </is>
      </c>
      <c r="J228" t="inlineStr">
        <is>
          <t>Obsidian</t>
        </is>
      </c>
    </row>
    <row r="229">
      <c r="A229">
        <f>IFERROR(PROPER(TableauIngredients[[#This Row],[Nom de la Production]]), "")</f>
        <v/>
      </c>
      <c r="B229">
        <f>IF(IFERROR((100-TableauIngredients[[#This Row],[% eau]])/100, 1) &lt; 0.2,0.2,IFERROR((100-TableauIngredients[[#This Row],[% eau]])/100, 1))</f>
        <v/>
      </c>
      <c r="C229" t="n">
        <v>80</v>
      </c>
      <c r="D229" t="inlineStr">
        <is>
          <t>pelargonium</t>
        </is>
      </c>
      <c r="H229" t="inlineStr">
        <is>
          <t>modéré</t>
        </is>
      </c>
      <c r="I229" t="inlineStr">
        <is>
          <t>*Pelargonium graveolens*</t>
        </is>
      </c>
      <c r="J229" t="inlineStr">
        <is>
          <t>Obsidian</t>
        </is>
      </c>
    </row>
    <row r="230">
      <c r="A230">
        <f>IFERROR(PROPER(TableauIngredients[[#This Row],[Nom de la Production]]), "")</f>
        <v/>
      </c>
      <c r="B230">
        <f>IF(IFERROR((100-TableauIngredients[[#This Row],[% eau]])/100, 1) &lt; 0.2,0.2,IFERROR((100-TableauIngredients[[#This Row],[% eau]])/100, 1))</f>
        <v/>
      </c>
      <c r="C230" t="n">
        <v>80</v>
      </c>
      <c r="D230" t="inlineStr">
        <is>
          <t>pensée</t>
        </is>
      </c>
      <c r="H230" t="inlineStr">
        <is>
          <t>modéré</t>
        </is>
      </c>
      <c r="I230" t="inlineStr">
        <is>
          <t>*Viola tricolor*</t>
        </is>
      </c>
      <c r="J230" t="inlineStr">
        <is>
          <t>Obsidian</t>
        </is>
      </c>
    </row>
    <row r="231">
      <c r="A231">
        <f>IFERROR(PROPER(TableauIngredients[[#This Row],[Nom de la Production]]), "")</f>
        <v/>
      </c>
      <c r="B231">
        <f>IF(IFERROR((100-TableauIngredients[[#This Row],[% eau]])/100, 1) &lt; 0.2,0.2,IFERROR((100-TableauIngredients[[#This Row],[% eau]])/100, 1))</f>
        <v/>
      </c>
      <c r="C231" t="n">
        <v>80</v>
      </c>
      <c r="D231" t="inlineStr">
        <is>
          <t>piment</t>
        </is>
      </c>
      <c r="H231" t="inlineStr">
        <is>
          <t>élevé</t>
        </is>
      </c>
      <c r="I231" t="inlineStr">
        <is>
          <t>*Capsicum annuum* et *Capsicum chinense*</t>
        </is>
      </c>
      <c r="J231" t="inlineStr">
        <is>
          <t>Obsidian</t>
        </is>
      </c>
    </row>
    <row r="232">
      <c r="A232">
        <f>IFERROR(PROPER(TableauIngredients[[#This Row],[Nom de la Production]]), "")</f>
        <v/>
      </c>
      <c r="B232">
        <f>IF(IFERROR((100-TableauIngredients[[#This Row],[% eau]])/100, 1) &lt; 0.2,0.2,IFERROR((100-TableauIngredients[[#This Row],[% eau]])/100, 1))</f>
        <v/>
      </c>
      <c r="C232" t="n">
        <v>80</v>
      </c>
      <c r="D232" t="inlineStr">
        <is>
          <t>pimprenelle</t>
        </is>
      </c>
      <c r="H232" t="inlineStr">
        <is>
          <t>faible</t>
        </is>
      </c>
      <c r="I232" t="inlineStr">
        <is>
          <t>*Sanguisorba minor*</t>
        </is>
      </c>
      <c r="J232" t="inlineStr">
        <is>
          <t>Obsidian</t>
        </is>
      </c>
    </row>
    <row r="233">
      <c r="A233">
        <f>IFERROR(PROPER(TableauIngredients[[#This Row],[Nom de la Production]]), "")</f>
        <v/>
      </c>
      <c r="B233">
        <f>IF(IFERROR((100-TableauIngredients[[#This Row],[% eau]])/100, 1) &lt; 0.2,0.2,IFERROR((100-TableauIngredients[[#This Row],[% eau]])/100, 1))</f>
        <v/>
      </c>
      <c r="C233" t="n">
        <v>80</v>
      </c>
      <c r="D233" t="inlineStr">
        <is>
          <t>prunellier</t>
        </is>
      </c>
      <c r="H233" t="inlineStr">
        <is>
          <t>faible</t>
        </is>
      </c>
      <c r="I233" t="inlineStr">
        <is>
          <t>*Prunus spinosa*</t>
        </is>
      </c>
      <c r="J233" t="inlineStr">
        <is>
          <t>Obsidian</t>
        </is>
      </c>
    </row>
    <row r="234">
      <c r="A234">
        <f>IFERROR(PROPER(TableauIngredients[[#This Row],[Nom de la Production]]), "")</f>
        <v/>
      </c>
      <c r="B234">
        <f>IF(IFERROR((100-TableauIngredients[[#This Row],[% eau]])/100, 1) &lt; 0.2,0.2,IFERROR((100-TableauIngredients[[#This Row],[% eau]])/100, 1))</f>
        <v/>
      </c>
      <c r="C234" t="n">
        <v>80</v>
      </c>
      <c r="D234" t="inlineStr">
        <is>
          <t>raifort</t>
        </is>
      </c>
      <c r="H234" t="inlineStr">
        <is>
          <t>modéré</t>
        </is>
      </c>
      <c r="I234" t="inlineStr">
        <is>
          <t>*Armoracia rusticana*</t>
        </is>
      </c>
      <c r="J234" t="inlineStr">
        <is>
          <t>Obsidian</t>
        </is>
      </c>
    </row>
    <row r="235">
      <c r="A235">
        <f>IFERROR(PROPER(TableauIngredients[[#This Row],[Nom de la Production]]), "")</f>
        <v/>
      </c>
      <c r="B235">
        <f>IF(IFERROR((100-TableauIngredients[[#This Row],[% eau]])/100, 1) &lt; 0.2,0.2,IFERROR((100-TableauIngredients[[#This Row],[% eau]])/100, 1))</f>
        <v/>
      </c>
      <c r="C235" t="n">
        <v>80</v>
      </c>
      <c r="D235" t="inlineStr">
        <is>
          <t>reine des prés</t>
        </is>
      </c>
      <c r="H235" t="inlineStr">
        <is>
          <t>élevé</t>
        </is>
      </c>
      <c r="I235" t="inlineStr">
        <is>
          <t>*Filipendula ulmaria*</t>
        </is>
      </c>
      <c r="J235" t="inlineStr">
        <is>
          <t>Obsidian</t>
        </is>
      </c>
    </row>
    <row r="236">
      <c r="A236">
        <f>IFERROR(PROPER(TableauIngredients[[#This Row],[Nom de la Production]]), "")</f>
        <v/>
      </c>
      <c r="B236">
        <f>IF(IFERROR((100-TableauIngredients[[#This Row],[% eau]])/100, 1) &lt; 0.2,0.2,IFERROR((100-TableauIngredients[[#This Row],[% eau]])/100, 1))</f>
        <v/>
      </c>
      <c r="C236" t="n">
        <v>80</v>
      </c>
      <c r="D236" t="inlineStr">
        <is>
          <t>réglisse</t>
        </is>
      </c>
      <c r="H236" t="inlineStr">
        <is>
          <t>faible</t>
        </is>
      </c>
      <c r="I236" t="inlineStr">
        <is>
          <t>*Glycyrrhiza glabra*</t>
        </is>
      </c>
      <c r="J236" t="inlineStr">
        <is>
          <t>Obsidian</t>
        </is>
      </c>
    </row>
    <row r="237">
      <c r="A237">
        <f>IFERROR(PROPER(TableauIngredients[[#This Row],[Nom de la Production]]), "")</f>
        <v/>
      </c>
      <c r="B237">
        <f>IF(IFERROR((100-TableauIngredients[[#This Row],[% eau]])/100, 1) &lt; 0.2,0.2,IFERROR((100-TableauIngredients[[#This Row],[% eau]])/100, 1))</f>
        <v/>
      </c>
      <c r="C237" t="n">
        <v>65</v>
      </c>
      <c r="D237" t="inlineStr">
        <is>
          <t>sarriette annuelle</t>
        </is>
      </c>
      <c r="H237" t="inlineStr">
        <is>
          <t>faible</t>
        </is>
      </c>
      <c r="I237" t="inlineStr">
        <is>
          <t>*Satureja hortensis*</t>
        </is>
      </c>
      <c r="J237" t="inlineStr">
        <is>
          <t>Obsidian</t>
        </is>
      </c>
    </row>
    <row r="238">
      <c r="A238">
        <f>IFERROR(PROPER(TableauIngredients[[#This Row],[Nom de la Production]]), "")</f>
        <v/>
      </c>
      <c r="B238">
        <f>IF(IFERROR((100-TableauIngredients[[#This Row],[% eau]])/100, 1) &lt; 0.2,0.2,IFERROR((100-TableauIngredients[[#This Row],[% eau]])/100, 1))</f>
        <v/>
      </c>
      <c r="C238" t="n">
        <v>65</v>
      </c>
      <c r="D238" t="inlineStr">
        <is>
          <t>sauge sclarée</t>
        </is>
      </c>
      <c r="H238" t="inlineStr">
        <is>
          <t>faible</t>
        </is>
      </c>
      <c r="I238" t="inlineStr">
        <is>
          <t>*Salvia sclarea*</t>
        </is>
      </c>
      <c r="J238" t="inlineStr">
        <is>
          <t>Obsidian</t>
        </is>
      </c>
    </row>
    <row r="239">
      <c r="A239">
        <f>IFERROR(PROPER(TableauIngredients[[#This Row],[Nom de la Production]]), "")</f>
        <v/>
      </c>
      <c r="B239">
        <f>IF(IFERROR((100-TableauIngredients[[#This Row],[% eau]])/100, 1) &lt; 0.2,0.2,IFERROR((100-TableauIngredients[[#This Row],[% eau]])/100, 1))</f>
        <v/>
      </c>
      <c r="C239" t="n">
        <v>80</v>
      </c>
      <c r="D239" t="inlineStr">
        <is>
          <t>shiso</t>
        </is>
      </c>
      <c r="H239" t="inlineStr">
        <is>
          <t>élevé</t>
        </is>
      </c>
      <c r="I239" t="inlineStr">
        <is>
          <t>*Perilla frutescens*</t>
        </is>
      </c>
      <c r="J239" t="inlineStr">
        <is>
          <t>Obsidian</t>
        </is>
      </c>
    </row>
    <row r="240">
      <c r="A240">
        <f>IFERROR(PROPER(TableauIngredients[[#This Row],[Nom de la Production]]), "")</f>
        <v/>
      </c>
      <c r="B240">
        <f>IF(IFERROR((100-TableauIngredients[[#This Row],[% eau]])/100, 1) &lt; 0.2,0.2,IFERROR((100-TableauIngredients[[#This Row],[% eau]])/100, 1))</f>
        <v/>
      </c>
      <c r="C240" t="n">
        <v>80</v>
      </c>
      <c r="D240" t="inlineStr">
        <is>
          <t>stévia</t>
        </is>
      </c>
      <c r="H240" t="inlineStr">
        <is>
          <t>modéré</t>
        </is>
      </c>
      <c r="I240" t="inlineStr">
        <is>
          <t>*Stevia rebaudiana*</t>
        </is>
      </c>
      <c r="J240" t="inlineStr">
        <is>
          <t>Obsidian</t>
        </is>
      </c>
    </row>
    <row r="241">
      <c r="A241">
        <f>IFERROR(PROPER(TableauIngredients[[#This Row],[Nom de la Production]]), "")</f>
        <v/>
      </c>
      <c r="B241">
        <f>IF(IFERROR((100-TableauIngredients[[#This Row],[% eau]])/100, 1) &lt; 0.2,0.2,IFERROR((100-TableauIngredients[[#This Row],[% eau]])/100, 1))</f>
        <v/>
      </c>
      <c r="C241" t="n">
        <v>80</v>
      </c>
      <c r="D241" t="inlineStr">
        <is>
          <t>sésame</t>
        </is>
      </c>
      <c r="H241" t="inlineStr">
        <is>
          <t>faible</t>
        </is>
      </c>
      <c r="I241" t="inlineStr">
        <is>
          <t>*Sesamum indicum*</t>
        </is>
      </c>
      <c r="J241" t="inlineStr">
        <is>
          <t>Obsidian</t>
        </is>
      </c>
    </row>
    <row r="242">
      <c r="A242">
        <f>IFERROR(PROPER(TableauIngredients[[#This Row],[Nom de la Production]]), "")</f>
        <v/>
      </c>
      <c r="B242">
        <f>IF(IFERROR((100-TableauIngredients[[#This Row],[% eau]])/100, 1) &lt; 0.2,0.2,IFERROR((100-TableauIngredients[[#This Row],[% eau]])/100, 1))</f>
        <v/>
      </c>
      <c r="C242" t="n">
        <v>80</v>
      </c>
      <c r="D242" t="inlineStr">
        <is>
          <t>tanaisie</t>
        </is>
      </c>
      <c r="H242" t="inlineStr">
        <is>
          <t>faible</t>
        </is>
      </c>
      <c r="I242" t="inlineStr">
        <is>
          <t>*Tanacetum vulgare*</t>
        </is>
      </c>
      <c r="J242" t="inlineStr">
        <is>
          <t>Obsidian</t>
        </is>
      </c>
    </row>
    <row r="243">
      <c r="A243">
        <f>IFERROR(PROPER(TableauIngredients[[#This Row],[Nom de la Production]]), "")</f>
        <v/>
      </c>
      <c r="B243">
        <f>IF(IFERROR((100-TableauIngredients[[#This Row],[% eau]])/100, 1) &lt; 0.2,0.2,IFERROR((100-TableauIngredients[[#This Row],[% eau]])/100, 1))</f>
        <v/>
      </c>
      <c r="C243" t="n">
        <v>80</v>
      </c>
      <c r="D243" t="inlineStr">
        <is>
          <t>tilleul</t>
        </is>
      </c>
      <c r="H243" t="inlineStr">
        <is>
          <t>modéré</t>
        </is>
      </c>
      <c r="I243" t="inlineStr">
        <is>
          <t>*Tilia cordata*, *Tilia platyphyllos*</t>
        </is>
      </c>
      <c r="J243" t="inlineStr">
        <is>
          <t>Obsidian</t>
        </is>
      </c>
    </row>
    <row r="244">
      <c r="A244">
        <f>IFERROR(PROPER(TableauIngredients[[#This Row],[Nom de la Production]]), "")</f>
        <v/>
      </c>
      <c r="B244">
        <f>IF(IFERROR((100-TableauIngredients[[#This Row],[% eau]])/100, 1) &lt; 0.2,0.2,IFERROR((100-TableauIngredients[[#This Row],[% eau]])/100, 1))</f>
        <v/>
      </c>
      <c r="C244" t="n">
        <v>80</v>
      </c>
      <c r="D244" t="inlineStr">
        <is>
          <t>wasabi</t>
        </is>
      </c>
      <c r="H244" t="inlineStr">
        <is>
          <t>élevé</t>
        </is>
      </c>
      <c r="I244" t="inlineStr">
        <is>
          <t>*Eutrema japonicum*</t>
        </is>
      </c>
      <c r="J244" t="inlineStr">
        <is>
          <t>Obsidian</t>
        </is>
      </c>
    </row>
    <row r="245">
      <c r="A245">
        <f>IFERROR(PROPER(TableauIngredients[[#This Row],[Nom de la Production]]), "")</f>
        <v/>
      </c>
      <c r="B245">
        <f>IF(IFERROR((100-TableauIngredients[[#This Row],[% eau]])/100, 1) &lt; 0.2,0.2,IFERROR((100-TableauIngredients[[#This Row],[% eau]])/100, 1))</f>
        <v/>
      </c>
      <c r="C245" t="n">
        <v>80</v>
      </c>
      <c r="D245" t="inlineStr">
        <is>
          <t>échalote</t>
        </is>
      </c>
      <c r="H245" t="inlineStr">
        <is>
          <t>faible</t>
        </is>
      </c>
      <c r="I245" t="inlineStr">
        <is>
          <t>*Allium cepa* groupe Aggregatum</t>
        </is>
      </c>
      <c r="J245" t="inlineStr">
        <is>
          <t>Obsidian</t>
        </is>
      </c>
    </row>
    <row r="246">
      <c r="A246">
        <f>IFERROR(PROPER(TableauIngredients[[#This Row],[Nom de la Production]]), "")</f>
        <v/>
      </c>
      <c r="B246">
        <f>IF(IFERROR((100-TableauIngredients[[#This Row],[% eau]])/100, 1) &lt; 0.2,0.2,IFERROR((100-TableauIngredients[[#This Row],[% eau]])/100, 1))</f>
        <v/>
      </c>
      <c r="C246" t="n">
        <v>80</v>
      </c>
      <c r="D246" t="inlineStr">
        <is>
          <t>épazote</t>
        </is>
      </c>
      <c r="H246" t="inlineStr">
        <is>
          <t>faible</t>
        </is>
      </c>
      <c r="I246" t="inlineStr">
        <is>
          <t>*Dysphania ambrosioides*</t>
        </is>
      </c>
      <c r="J246" t="inlineStr">
        <is>
          <t>Obsidian</t>
        </is>
      </c>
    </row>
    <row r="247">
      <c r="A247">
        <f>IFERROR(PROPER(TableauIngredients[[#This Row],[Nom de la Production]]), "")</f>
        <v/>
      </c>
      <c r="B247">
        <f>IF(IFERROR((100-TableauIngredients[[#This Row],[% eau]])/100, 1) &lt; 0.2,0.2,IFERROR((100-TableauIngredients[[#This Row],[% eau]])/100, 1))</f>
        <v/>
      </c>
      <c r="C247" t="n">
        <v>80</v>
      </c>
      <c r="D247" t="inlineStr">
        <is>
          <t>épine-vinette</t>
        </is>
      </c>
      <c r="H247" t="inlineStr">
        <is>
          <t>faible</t>
        </is>
      </c>
      <c r="I247" t="inlineStr">
        <is>
          <t>*Berberis vulgaris*</t>
        </is>
      </c>
      <c r="J247" t="inlineStr">
        <is>
          <t>Obsidian</t>
        </is>
      </c>
    </row>
    <row r="248">
      <c r="A248" t="inlineStr">
        <is>
          <t>Menthe chocolat</t>
        </is>
      </c>
      <c r="B248" t="inlineStr">
        <is>
          <t>Mentha x piperita Chocolate</t>
        </is>
      </c>
      <c r="G248" t="inlineStr">
        <is>
          <t>élevé</t>
        </is>
      </c>
      <c r="H248" t="inlineStr">
        <is>
          <t>Obsidian</t>
        </is>
      </c>
    </row>
    <row r="249">
      <c r="A249" t="inlineStr">
        <is>
          <t>Verveine citronnelle</t>
        </is>
      </c>
      <c r="B249" t="inlineStr">
        <is>
          <t>Aloysia citrodora</t>
        </is>
      </c>
      <c r="G249" t="inlineStr">
        <is>
          <t>modéré</t>
        </is>
      </c>
      <c r="H249" t="inlineStr">
        <is>
          <t>Obsidian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7" display="https://vracbio.com/products/badiane-anis-etoile-bio-en-vrac?variant=31584511361139&amp;currency=EUR&amp;utm_medium=product_sync&amp;utm_source=google&amp;utm_content=sag_organic&amp;utm_campaign=sag_organic&amp;utm_campaign=gs-2020-05-12&amp;utm_source=google&amp;utm_medium=smart_campaign&amp;gad_source=1&amp;gclid=Cj0KCQjwwMqvBhCtARIsAIXsZpbzhzDINtZH-k_NigcEf1sWrPuGZLuWxNXCpnF2Jb13CK9238FySTMaAgwfEALw_wcB" r:id="rId3"/>
    <hyperlink xmlns:r="http://schemas.openxmlformats.org/officeDocument/2006/relationships" ref="G17" display="https://www.googleadservices.com/pagead/aclk?sa=L&amp;ai=DChcSEwi8_L7IkfSEAxWWtWgJHdrGBpYYABAFGgJ3Zg&amp;ase=2&amp;gclid=Cj0KCQjwwMqvBhCtARIsAIXsZpYLT1VmI5Kq1BaXTkjkzxCxD3tRu3FW4QihyZ5AVHNacB5EEIP-EacaAtVBEALw_wcB&amp;ohost=www.google.com&amp;cid=CAESV-D25s4w_xgCt61JSCPtz_-6MB53MwZOqMSR3C53fMpAlGsUxYYNIVZyeD-U7TQmjoP8BSO5N0eb6P53Wc_pyXFm3Td7A7f5dhB2yVtf84Fpc8W6xGvNkg&amp;sig=AOD64_1j_v1y63lx74Qe3EwzAJMUknrPPQ&amp;ctype=5&amp;q=&amp;nis=4&amp;ved=2ahUKEwii3bjIkfSEAxUTUKQEHfKUBKUQ9aACKAB6BAgBECM&amp;adurl=" r:id="rId4"/>
    <hyperlink xmlns:r="http://schemas.openxmlformats.org/officeDocument/2006/relationships" ref="G20" display="https://www.googleadservices.com/pagead/aclk?sa=L&amp;ai=DChcSEwichuSekfSEAxVyQUECHat2BNwYABAMGgJ3cw&amp;ase=2&amp;gclid=Cj0KCQjwwMqvBhCtARIsAIXsZpZmpmc8fHRm_JGzy1Gmr0JI0grkfyuAV2XraPO2cYJ_I7mDJZoaepwaAlFBEALw_wcB&amp;ohost=www.google.com&amp;cid=CAESV-D2fcXVl2hyBhRmKKHyR9Mar6Ywa7Gxq7dChedDWqueLOlHIrSO08ZTbW6I8tjACgEP8JedobbYSxK8ul5eMEPhhJEPba-FfAwg293CrvZFTOWQMeyZvg&amp;sig=AOD64_00twfFYjSyymtiLPJAcag4fPwi1w&amp;ctype=5&amp;q=&amp;nis=4&amp;ved=2ahUKEwjQud6ekfSEAxVXU6QEHZs-CdUQ9aACKAB6BAgEEBM&amp;adurl=" r:id="rId5"/>
    <hyperlink xmlns:r="http://schemas.openxmlformats.org/officeDocument/2006/relationships" ref="G27" display="https://www.etsy.com/fr/listing/1671728644/zeste-de-mandarine-sechee-biologique?gpla=1&amp;gao=1&amp;" r:id="rId6"/>
    <hyperlink xmlns:r="http://schemas.openxmlformats.org/officeDocument/2006/relationships" ref="G28" display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r:id="rId7"/>
    <hyperlink xmlns:r="http://schemas.openxmlformats.org/officeDocument/2006/relationships" ref="G30" display="https://thesdirect.com/products/girofle-clou-entier-bio?variant=42278504759535&amp;utm_medium=paidsearch&amp;utm_source=google&amp;utm_campaign=FR-PMC-Global&amp;utm_term=&amp;utm_content=&amp;gad_source=1&amp;gclid=Cj0KCQjwwMqvBhCtARIsAIXsZpYMcYHxWw4LzdPFYu1RLdfNCwEEgQ89WYbpA_kBagvr-9lOLjM_5DwaAt_uEALw_wcB" r:id="rId8"/>
    <hyperlink xmlns:r="http://schemas.openxmlformats.org/officeDocument/2006/relationships" ref="G34" r:id="rId9"/>
    <hyperlink xmlns:r="http://schemas.openxmlformats.org/officeDocument/2006/relationships" ref="G36" r:id="rId10"/>
    <hyperlink xmlns:r="http://schemas.openxmlformats.org/officeDocument/2006/relationships" ref="G37" r:id="rId11"/>
    <hyperlink xmlns:r="http://schemas.openxmlformats.org/officeDocument/2006/relationships" ref="G38" display="https://www.pharma5avenue.com/blog/mode-de-production-du-curcuma-longa-n63" r:id="rId12"/>
    <hyperlink xmlns:r="http://schemas.openxmlformats.org/officeDocument/2006/relationships" ref="G39" display="https://www.pharma5avenue.com/blog/mode-de-production-du-curcuma-longa-n63" r:id="rId13"/>
    <hyperlink xmlns:r="http://schemas.openxmlformats.org/officeDocument/2006/relationships" ref="G40" display="https://www.pharma5avenue.com/blog/mode-de-production-du-curcuma-longa-n63" r:id="rId14"/>
    <hyperlink xmlns:r="http://schemas.openxmlformats.org/officeDocument/2006/relationships" ref="G41" display="https://www.pharma5avenue.com/blog/mode-de-production-du-curcuma-longa-n63" r:id="rId15"/>
    <hyperlink xmlns:r="http://schemas.openxmlformats.org/officeDocument/2006/relationships" ref="G45" r:id="rId16"/>
    <hyperlink xmlns:r="http://schemas.openxmlformats.org/officeDocument/2006/relationships" ref="G52" r:id="rId17"/>
    <hyperlink xmlns:r="http://schemas.openxmlformats.org/officeDocument/2006/relationships" ref="G55" r:id="rId18"/>
    <hyperlink xmlns:r="http://schemas.openxmlformats.org/officeDocument/2006/relationships" ref="G56" r:id="rId19"/>
    <hyperlink xmlns:r="http://schemas.openxmlformats.org/officeDocument/2006/relationships" ref="G57" r:id="rId20"/>
    <hyperlink xmlns:r="http://schemas.openxmlformats.org/officeDocument/2006/relationships" ref="G59" r:id="rId21"/>
    <hyperlink xmlns:r="http://schemas.openxmlformats.org/officeDocument/2006/relationships" ref="G60" r:id="rId22"/>
    <hyperlink xmlns:r="http://schemas.openxmlformats.org/officeDocument/2006/relationships" ref="G61" r:id="rId23"/>
    <hyperlink xmlns:r="http://schemas.openxmlformats.org/officeDocument/2006/relationships" ref="G62" r:id="rId24"/>
    <hyperlink xmlns:r="http://schemas.openxmlformats.org/officeDocument/2006/relationships" ref="G65" r:id="rId25"/>
    <hyperlink xmlns:r="http://schemas.openxmlformats.org/officeDocument/2006/relationships" ref="G72" r:id="rId26"/>
    <hyperlink xmlns:r="http://schemas.openxmlformats.org/officeDocument/2006/relationships" ref="G73" r:id="rId27"/>
    <hyperlink xmlns:r="http://schemas.openxmlformats.org/officeDocument/2006/relationships" ref="G82" display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r:id="rId28"/>
    <hyperlink xmlns:r="http://schemas.openxmlformats.org/officeDocument/2006/relationships" ref="G88" r:id="rId29"/>
    <hyperlink xmlns:r="http://schemas.openxmlformats.org/officeDocument/2006/relationships" ref="G108" r:id="rId30"/>
    <hyperlink xmlns:r="http://schemas.openxmlformats.org/officeDocument/2006/relationships" ref="G113" r:id="rId31"/>
    <hyperlink xmlns:r="http://schemas.openxmlformats.org/officeDocument/2006/relationships" ref="G120" r:id="rId32"/>
    <hyperlink xmlns:r="http://schemas.openxmlformats.org/officeDocument/2006/relationships" ref="G124" display="https://occitanie.chambre-agriculture.fr/fileadmin/user_upload/Occitanie/076_Inst-Occitanie/Documents/Productions_techniques/Agriculture_biologique/Espace_ressource_bio/Maraichage_bio/ITK-LR-PoivronVenteDirecte.pdf" r:id="rId33"/>
    <hyperlink xmlns:r="http://schemas.openxmlformats.org/officeDocument/2006/relationships" ref="G125" display="https://occitanie.chambre-agriculture.fr/fileadmin/user_upload/Occitanie/076_Inst-Occitanie/Documents/Productions_techniques/Agriculture_biologique/Espace_ressource_bio/Maraichage_bio/ITK-LR-PoivronVenteDirecte.pdf" r:id="rId34"/>
    <hyperlink xmlns:r="http://schemas.openxmlformats.org/officeDocument/2006/relationships" ref="G126" display="https://occitanie.chambre-agriculture.fr/fileadmin/user_upload/Occitanie/076_Inst-Occitanie/Documents/Productions_techniques/Agriculture_biologique/Espace_ressource_bio/Maraichage_bio/ITK-LR-PoivronVenteDirecte.pdf" r:id="rId35"/>
    <hyperlink xmlns:r="http://schemas.openxmlformats.org/officeDocument/2006/relationships" ref="G145" r:id="rId36"/>
    <hyperlink xmlns:r="http://schemas.openxmlformats.org/officeDocument/2006/relationships" ref="G152" display="https://www.apiculture.net/sirop/7606-palette-sucre-de-canne-biologique-1080kg-alimentaire-54x20kg.html?kk=a4c626f-18e411b23ef-a3fee&amp;kgclid=CjwKCAjw48-vBhBbEiwAzqrZVI_0Pn7Eoe7X5_JvZvbTWxkK5E4ji2yIrkTdaQkY6n_lq79bD6I5HBoCb08QAvD_BwE&amp;utm_source=kelkoofr&amp;utm_medium=cpc&amp;utm_campaign=kelkooclick&amp;utm_term=Apiculture.net+-+Mat%C3%A9riel+apicole+fran%C3%A7a" r:id="rId37"/>
  </hyperlinks>
  <pageMargins left="0.7" right="0.7" top="0.75" bottom="0.75" header="0.3" footer="0.3"/>
  <pageSetup orientation="portrait" paperSize="9" horizontalDpi="0" verticalDpi="0"/>
  <drawing xmlns:r="http://schemas.openxmlformats.org/officeDocument/2006/relationships" r:id="rId38"/>
  <tableParts count="1">
    <tablePart xmlns:r="http://schemas.openxmlformats.org/officeDocument/2006/relationships" r:id="rId39"/>
  </tableParts>
</worksheet>
</file>

<file path=xl/worksheets/sheet5.xml><?xml version="1.0" encoding="utf-8"?>
<worksheet xmlns="http://schemas.openxmlformats.org/spreadsheetml/2006/main">
  <sheetPr codeName="Feuil1">
    <outlinePr summaryBelow="1" summaryRight="1"/>
    <pageSetUpPr/>
  </sheetPr>
  <dimension ref="A1:T497"/>
  <sheetViews>
    <sheetView zoomScale="138" workbookViewId="0">
      <pane ySplit="1" topLeftCell="A2" activePane="bottomLeft" state="frozen"/>
      <selection pane="bottomLeft" activeCell="H424" sqref="H424"/>
    </sheetView>
  </sheetViews>
  <sheetFormatPr baseColWidth="10" defaultColWidth="11" defaultRowHeight="16"/>
  <cols>
    <col width="20.33203125" customWidth="1" style="26" min="1" max="2"/>
    <col width="29.83203125" customWidth="1" style="26" min="3" max="3"/>
    <col width="9.33203125" customWidth="1" style="976" min="4" max="4"/>
    <col width="13.5" customWidth="1" style="26" min="5" max="5"/>
    <col width="12.5" customWidth="1" style="26" min="6" max="6"/>
    <col width="7.33203125" customWidth="1" style="26" min="7" max="7"/>
    <col width="8.6640625" customWidth="1" style="26" min="8" max="8"/>
    <col width="9.1640625" customWidth="1" style="26" min="9" max="9"/>
    <col width="5.33203125" customWidth="1" style="976" min="10" max="10"/>
    <col width="11" customWidth="1" style="442" min="11" max="11"/>
    <col width="5" customWidth="1" style="443" min="12" max="12"/>
    <col width="5" customWidth="1" min="13" max="20"/>
  </cols>
  <sheetData>
    <row r="1" ht="127" customHeight="1">
      <c r="A1" s="675" t="inlineStr">
        <is>
          <t>Recette</t>
        </is>
      </c>
      <c r="B1" s="675" t="inlineStr">
        <is>
          <t>ID</t>
        </is>
      </c>
      <c r="C1" s="675" t="inlineStr">
        <is>
          <t>Ingredients</t>
        </is>
      </c>
      <c r="D1" s="977" t="inlineStr">
        <is>
          <t>Proportion</t>
        </is>
      </c>
      <c r="E1" s="677" t="inlineStr">
        <is>
          <t>Conditionnement</t>
        </is>
      </c>
      <c r="F1" s="675" t="inlineStr">
        <is>
          <t>fraction mélange</t>
        </is>
      </c>
      <c r="G1" s="678" t="inlineStr">
        <is>
          <t>Prix d'achat / kg</t>
        </is>
      </c>
      <c r="H1" s="977" t="inlineStr">
        <is>
          <t>Total proportion</t>
        </is>
      </c>
      <c r="I1" s="977" t="inlineStr">
        <is>
          <t>Prix pour kg de mélange</t>
        </is>
      </c>
      <c r="J1" s="675" t="inlineStr">
        <is>
          <t>Pays</t>
        </is>
      </c>
      <c r="K1" s="679" t="inlineStr">
        <is>
          <t>Type</t>
        </is>
      </c>
      <c r="L1" s="680" t="inlineStr">
        <is>
          <t>kg / année 1</t>
        </is>
      </c>
      <c r="M1" s="675" t="inlineStr">
        <is>
          <t>kg / année 2</t>
        </is>
      </c>
      <c r="N1" s="675" t="inlineStr">
        <is>
          <t>kg / année 3</t>
        </is>
      </c>
      <c r="O1" s="675" t="inlineStr">
        <is>
          <t>kg / année 4</t>
        </is>
      </c>
      <c r="P1" s="675" t="inlineStr">
        <is>
          <t>kg / année 5</t>
        </is>
      </c>
      <c r="Q1" s="675" t="inlineStr">
        <is>
          <t>kg / année 6</t>
        </is>
      </c>
      <c r="R1" s="675" t="inlineStr">
        <is>
          <t>kg / année 7</t>
        </is>
      </c>
      <c r="S1" s="675" t="inlineStr">
        <is>
          <t>kg / année 8</t>
        </is>
      </c>
      <c r="T1" s="675" t="inlineStr">
        <is>
          <t>kg / année 9</t>
        </is>
      </c>
    </row>
    <row r="2">
      <c r="A2" t="inlineStr">
        <is>
          <t>Advieh</t>
        </is>
      </c>
      <c r="B2">
        <f>TableauRecette[[#This Row],[Recette]]&amp;TableauRecette[[#This Row],[Conditionnement]]</f>
        <v/>
      </c>
      <c r="C2" t="inlineStr">
        <is>
          <t>Pétale De Rose</t>
        </is>
      </c>
      <c r="D2" t="n">
        <v>2</v>
      </c>
      <c r="E2" t="inlineStr">
        <is>
          <t>Epice 100ml</t>
        </is>
      </c>
      <c r="F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">
        <f>IFERROR(_xlfn.XLOOKUP(TableauRecette[[#This Row],[Ingredients]],TableauIngredients[Ingredients],TableauIngredients[Prix d''achat / kg],0)*TableauRecette[[#This Row],[fraction mélange]],0)</f>
        <v/>
      </c>
      <c r="H2">
        <f>IFERROR(SUMIFS(TableauRecette[Proportion],TableauRecette[Recette],TableauRecette[[#This Row],[Recette]],TableauRecette[Conditionnement],TableauRecette[[#This Row],[Conditionnement]]),0)</f>
        <v/>
      </c>
      <c r="I2">
        <f>IFERROR(TableauRecette[[#This Row],[Prix d''achat / kg]],0)</f>
        <v/>
      </c>
      <c r="J2" t="inlineStr">
        <is>
          <t>Syrie</t>
        </is>
      </c>
      <c r="K2" t="inlineStr">
        <is>
          <t>SEC</t>
        </is>
      </c>
      <c r="L2">
        <f>_xlfn.XLOOKUP(TableauRecette[[#This Row],[ID]],TableauProduit[ID],TableauProduit[Total (kg) N1],0,0,1)*TableauRecette[[#This Row],[fraction mélange]]</f>
        <v/>
      </c>
      <c r="M2">
        <f>_xlfn.XLOOKUP(TableauRecette[[#This Row],[ID]],TableauProduit[ID],TableauProduit[Total (kg) N2],0,0,1)*TableauRecette[[#This Row],[fraction mélange]]</f>
        <v/>
      </c>
      <c r="N2">
        <f>_xlfn.XLOOKUP(TableauRecette[[#This Row],[ID]],TableauProduit[ID],TableauProduit[Total (kg) N3],0,0,1)*TableauRecette[[#This Row],[fraction mélange]]</f>
        <v/>
      </c>
      <c r="O2">
        <f>_xlfn.XLOOKUP(TableauRecette[[#This Row],[ID]],TableauProduit[ID],TableauProduit[Total (kg) N4],0,0,1)*TableauRecette[[#This Row],[fraction mélange]]</f>
        <v/>
      </c>
      <c r="P2">
        <f>_xlfn.XLOOKUP(TableauRecette[[#This Row],[ID]],TableauProduit[ID],TableauProduit[Total (kg) N5],0,0,1)*TableauRecette[[#This Row],[fraction mélange]]</f>
        <v/>
      </c>
      <c r="Q2">
        <f>_xlfn.XLOOKUP(TableauRecette[[#This Row],[ID]],TableauProduit[ID],TableauProduit[Total (kg) N6],0,0,1)*TableauRecette[[#This Row],[fraction mélange]]</f>
        <v/>
      </c>
      <c r="R2">
        <f>_xlfn.XLOOKUP(TableauRecette[[#This Row],[ID]],TableauProduit[ID],TableauProduit[Total (kg) N7],0,0,1)*TableauRecette[[#This Row],[fraction mélange]]</f>
        <v/>
      </c>
      <c r="S2">
        <f>_xlfn.XLOOKUP(TableauRecette[[#This Row],[ID]],TableauProduit[ID],TableauProduit[Total (kg) N8],0,0,1)*TableauRecette[[#This Row],[fraction mélange]]</f>
        <v/>
      </c>
      <c r="T2">
        <f>_xlfn.XLOOKUP(TableauRecette[[#This Row],[ID]],TableauProduit[ID],TableauProduit[Total (kg) N9],0,0,1)*TableauRecette[[#This Row],[fraction mélange]]</f>
        <v/>
      </c>
    </row>
    <row r="3">
      <c r="A3" t="inlineStr">
        <is>
          <t>Advieh</t>
        </is>
      </c>
      <c r="B3">
        <f>TableauRecette[[#This Row],[Recette]]&amp;TableauRecette[[#This Row],[Conditionnement]]</f>
        <v/>
      </c>
      <c r="C3" t="inlineStr">
        <is>
          <t>Graine De Cardamome</t>
        </is>
      </c>
      <c r="D3" t="n">
        <v>2</v>
      </c>
      <c r="E3" t="inlineStr">
        <is>
          <t>Epice 100ml</t>
        </is>
      </c>
      <c r="F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">
        <f>IFERROR(_xlfn.XLOOKUP(TableauRecette[[#This Row],[Ingredients]],TableauIngredients[Ingredients],TableauIngredients[Prix d''achat / kg],0)*TableauRecette[[#This Row],[fraction mélange]],0)</f>
        <v/>
      </c>
      <c r="H3">
        <f>IFERROR(SUMIFS(TableauRecette[Proportion],TableauRecette[Recette],TableauRecette[[#This Row],[Recette]],TableauRecette[Conditionnement],TableauRecette[[#This Row],[Conditionnement]]),0)</f>
        <v/>
      </c>
      <c r="I3">
        <f>IFERROR(TableauRecette[[#This Row],[Prix d''achat / kg]],0)</f>
        <v/>
      </c>
      <c r="J3" t="inlineStr">
        <is>
          <t>Syrie</t>
        </is>
      </c>
      <c r="K3" t="inlineStr">
        <is>
          <t>SEC</t>
        </is>
      </c>
      <c r="L3">
        <f>_xlfn.XLOOKUP(TableauRecette[[#This Row],[ID]],TableauProduit[ID],TableauProduit[Total (kg) N1],0,0,1)*TableauRecette[[#This Row],[fraction mélange]]</f>
        <v/>
      </c>
      <c r="M3">
        <f>_xlfn.XLOOKUP(TableauRecette[[#This Row],[ID]],TableauProduit[ID],TableauProduit[Total (kg) N2],0,0,1)*TableauRecette[[#This Row],[fraction mélange]]</f>
        <v/>
      </c>
      <c r="N3">
        <f>_xlfn.XLOOKUP(TableauRecette[[#This Row],[ID]],TableauProduit[ID],TableauProduit[Total (kg) N3],0,0,1)*TableauRecette[[#This Row],[fraction mélange]]</f>
        <v/>
      </c>
      <c r="O3">
        <f>_xlfn.XLOOKUP(TableauRecette[[#This Row],[ID]],TableauProduit[ID],TableauProduit[Total (kg) N4],0,0,1)*TableauRecette[[#This Row],[fraction mélange]]</f>
        <v/>
      </c>
      <c r="P3">
        <f>_xlfn.XLOOKUP(TableauRecette[[#This Row],[ID]],TableauProduit[ID],TableauProduit[Total (kg) N5],0,0,1)*TableauRecette[[#This Row],[fraction mélange]]</f>
        <v/>
      </c>
      <c r="Q3">
        <f>_xlfn.XLOOKUP(TableauRecette[[#This Row],[ID]],TableauProduit[ID],TableauProduit[Total (kg) N6],0,0,1)*TableauRecette[[#This Row],[fraction mélange]]</f>
        <v/>
      </c>
      <c r="R3">
        <f>_xlfn.XLOOKUP(TableauRecette[[#This Row],[ID]],TableauProduit[ID],TableauProduit[Total (kg) N7],0,0,1)*TableauRecette[[#This Row],[fraction mélange]]</f>
        <v/>
      </c>
      <c r="S3">
        <f>_xlfn.XLOOKUP(TableauRecette[[#This Row],[ID]],TableauProduit[ID],TableauProduit[Total (kg) N8],0,0,1)*TableauRecette[[#This Row],[fraction mélange]]</f>
        <v/>
      </c>
      <c r="T3">
        <f>_xlfn.XLOOKUP(TableauRecette[[#This Row],[ID]],TableauProduit[ID],TableauProduit[Total (kg) N9],0,0,1)*TableauRecette[[#This Row],[fraction mélange]]</f>
        <v/>
      </c>
    </row>
    <row r="4">
      <c r="A4" t="inlineStr">
        <is>
          <t>Advieh</t>
        </is>
      </c>
      <c r="B4">
        <f>TableauRecette[[#This Row],[Recette]]&amp;TableauRecette[[#This Row],[Conditionnement]]</f>
        <v/>
      </c>
      <c r="C4" t="inlineStr">
        <is>
          <t>Graine De Cumin</t>
        </is>
      </c>
      <c r="D4" t="n">
        <v>1</v>
      </c>
      <c r="E4" t="inlineStr">
        <is>
          <t>Epice 100ml</t>
        </is>
      </c>
      <c r="F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">
        <f>IFERROR(_xlfn.XLOOKUP(TableauRecette[[#This Row],[Ingredients]],TableauIngredients[Ingredients],TableauIngredients[Prix d''achat / kg],0)*TableauRecette[[#This Row],[fraction mélange]],0)</f>
        <v/>
      </c>
      <c r="H4">
        <f>IFERROR(SUMIFS(TableauRecette[Proportion],TableauRecette[Recette],TableauRecette[[#This Row],[Recette]],TableauRecette[Conditionnement],TableauRecette[[#This Row],[Conditionnement]]),0)</f>
        <v/>
      </c>
      <c r="I4">
        <f>IFERROR(TableauRecette[[#This Row],[Prix d''achat / kg]],0)</f>
        <v/>
      </c>
      <c r="J4" t="inlineStr">
        <is>
          <t>Syrie</t>
        </is>
      </c>
      <c r="K4" t="inlineStr">
        <is>
          <t>SEC</t>
        </is>
      </c>
      <c r="L4">
        <f>_xlfn.XLOOKUP(TableauRecette[[#This Row],[ID]],TableauProduit[ID],TableauProduit[Total (kg) N1],0,0,1)*TableauRecette[[#This Row],[fraction mélange]]</f>
        <v/>
      </c>
      <c r="M4">
        <f>_xlfn.XLOOKUP(TableauRecette[[#This Row],[ID]],TableauProduit[ID],TableauProduit[Total (kg) N2],0,0,1)*TableauRecette[[#This Row],[fraction mélange]]</f>
        <v/>
      </c>
      <c r="N4">
        <f>_xlfn.XLOOKUP(TableauRecette[[#This Row],[ID]],TableauProduit[ID],TableauProduit[Total (kg) N3],0,0,1)*TableauRecette[[#This Row],[fraction mélange]]</f>
        <v/>
      </c>
      <c r="O4">
        <f>_xlfn.XLOOKUP(TableauRecette[[#This Row],[ID]],TableauProduit[ID],TableauProduit[Total (kg) N4],0,0,1)*TableauRecette[[#This Row],[fraction mélange]]</f>
        <v/>
      </c>
      <c r="P4">
        <f>_xlfn.XLOOKUP(TableauRecette[[#This Row],[ID]],TableauProduit[ID],TableauProduit[Total (kg) N5],0,0,1)*TableauRecette[[#This Row],[fraction mélange]]</f>
        <v/>
      </c>
      <c r="Q4">
        <f>_xlfn.XLOOKUP(TableauRecette[[#This Row],[ID]],TableauProduit[ID],TableauProduit[Total (kg) N6],0,0,1)*TableauRecette[[#This Row],[fraction mélange]]</f>
        <v/>
      </c>
      <c r="R4">
        <f>_xlfn.XLOOKUP(TableauRecette[[#This Row],[ID]],TableauProduit[ID],TableauProduit[Total (kg) N7],0,0,1)*TableauRecette[[#This Row],[fraction mélange]]</f>
        <v/>
      </c>
      <c r="S4">
        <f>_xlfn.XLOOKUP(TableauRecette[[#This Row],[ID]],TableauProduit[ID],TableauProduit[Total (kg) N8],0,0,1)*TableauRecette[[#This Row],[fraction mélange]]</f>
        <v/>
      </c>
      <c r="T4">
        <f>_xlfn.XLOOKUP(TableauRecette[[#This Row],[ID]],TableauProduit[ID],TableauProduit[Total (kg) N9],0,0,1)*TableauRecette[[#This Row],[fraction mélange]]</f>
        <v/>
      </c>
    </row>
    <row r="5">
      <c r="A5" t="inlineStr">
        <is>
          <t>Advieh</t>
        </is>
      </c>
      <c r="B5">
        <f>TableauRecette[[#This Row],[Recette]]&amp;TableauRecette[[#This Row],[Conditionnement]]</f>
        <v/>
      </c>
      <c r="C5" t="inlineStr">
        <is>
          <t>Cannelle Moulue</t>
        </is>
      </c>
      <c r="D5" t="n">
        <v>2</v>
      </c>
      <c r="E5" t="inlineStr">
        <is>
          <t>Epice 100ml</t>
        </is>
      </c>
      <c r="F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">
        <f>IFERROR(_xlfn.XLOOKUP(TableauRecette[[#This Row],[Ingredients]],TableauIngredients[Ingredients],TableauIngredients[Prix d''achat / kg],0)*TableauRecette[[#This Row],[fraction mélange]],0)</f>
        <v/>
      </c>
      <c r="H5">
        <f>IFERROR(SUMIFS(TableauRecette[Proportion],TableauRecette[Recette],TableauRecette[[#This Row],[Recette]],TableauRecette[Conditionnement],TableauRecette[[#This Row],[Conditionnement]]),0)</f>
        <v/>
      </c>
      <c r="I5">
        <f>IFERROR(TableauRecette[[#This Row],[Prix d''achat / kg]],0)</f>
        <v/>
      </c>
      <c r="J5" t="inlineStr">
        <is>
          <t>Syrie</t>
        </is>
      </c>
      <c r="K5" t="inlineStr">
        <is>
          <t>SEC</t>
        </is>
      </c>
      <c r="L5">
        <f>_xlfn.XLOOKUP(TableauRecette[[#This Row],[ID]],TableauProduit[ID],TableauProduit[Total (kg) N1],0,0,1)*TableauRecette[[#This Row],[fraction mélange]]</f>
        <v/>
      </c>
      <c r="M5">
        <f>_xlfn.XLOOKUP(TableauRecette[[#This Row],[ID]],TableauProduit[ID],TableauProduit[Total (kg) N2],0,0,1)*TableauRecette[[#This Row],[fraction mélange]]</f>
        <v/>
      </c>
      <c r="N5">
        <f>_xlfn.XLOOKUP(TableauRecette[[#This Row],[ID]],TableauProduit[ID],TableauProduit[Total (kg) N3],0,0,1)*TableauRecette[[#This Row],[fraction mélange]]</f>
        <v/>
      </c>
      <c r="O5">
        <f>_xlfn.XLOOKUP(TableauRecette[[#This Row],[ID]],TableauProduit[ID],TableauProduit[Total (kg) N4],0,0,1)*TableauRecette[[#This Row],[fraction mélange]]</f>
        <v/>
      </c>
      <c r="P5">
        <f>_xlfn.XLOOKUP(TableauRecette[[#This Row],[ID]],TableauProduit[ID],TableauProduit[Total (kg) N5],0,0,1)*TableauRecette[[#This Row],[fraction mélange]]</f>
        <v/>
      </c>
      <c r="Q5">
        <f>_xlfn.XLOOKUP(TableauRecette[[#This Row],[ID]],TableauProduit[ID],TableauProduit[Total (kg) N6],0,0,1)*TableauRecette[[#This Row],[fraction mélange]]</f>
        <v/>
      </c>
      <c r="R5">
        <f>_xlfn.XLOOKUP(TableauRecette[[#This Row],[ID]],TableauProduit[ID],TableauProduit[Total (kg) N7],0,0,1)*TableauRecette[[#This Row],[fraction mélange]]</f>
        <v/>
      </c>
      <c r="S5">
        <f>_xlfn.XLOOKUP(TableauRecette[[#This Row],[ID]],TableauProduit[ID],TableauProduit[Total (kg) N8],0,0,1)*TableauRecette[[#This Row],[fraction mélange]]</f>
        <v/>
      </c>
      <c r="T5">
        <f>_xlfn.XLOOKUP(TableauRecette[[#This Row],[ID]],TableauProduit[ID],TableauProduit[Total (kg) N9],0,0,1)*TableauRecette[[#This Row],[fraction mélange]]</f>
        <v/>
      </c>
    </row>
    <row r="6">
      <c r="A6" t="inlineStr">
        <is>
          <t>Advieh</t>
        </is>
      </c>
      <c r="B6">
        <f>TableauRecette[[#This Row],[Recette]]&amp;TableauRecette[[#This Row],[Conditionnement]]</f>
        <v/>
      </c>
      <c r="C6" t="inlineStr">
        <is>
          <t>Gingembre Sec</t>
        </is>
      </c>
      <c r="D6" t="n">
        <v>2</v>
      </c>
      <c r="E6" t="inlineStr">
        <is>
          <t>Epice 100ml</t>
        </is>
      </c>
      <c r="F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">
        <f>IFERROR(_xlfn.XLOOKUP(TableauRecette[[#This Row],[Ingredients]],TableauIngredients[Ingredients],TableauIngredients[Prix d''achat / kg],0)*TableauRecette[[#This Row],[fraction mélange]],0)</f>
        <v/>
      </c>
      <c r="H6">
        <f>IFERROR(SUMIFS(TableauRecette[Proportion],TableauRecette[Recette],TableauRecette[[#This Row],[Recette]],TableauRecette[Conditionnement],TableauRecette[[#This Row],[Conditionnement]]),0)</f>
        <v/>
      </c>
      <c r="I6">
        <f>IFERROR(TableauRecette[[#This Row],[Prix d''achat / kg]],0)</f>
        <v/>
      </c>
      <c r="J6" t="inlineStr">
        <is>
          <t>Syrie</t>
        </is>
      </c>
      <c r="K6" t="inlineStr">
        <is>
          <t>SEC</t>
        </is>
      </c>
      <c r="L6">
        <f>_xlfn.XLOOKUP(TableauRecette[[#This Row],[ID]],TableauProduit[ID],TableauProduit[Total (kg) N1],0,0,1)*TableauRecette[[#This Row],[fraction mélange]]</f>
        <v/>
      </c>
      <c r="M6">
        <f>_xlfn.XLOOKUP(TableauRecette[[#This Row],[ID]],TableauProduit[ID],TableauProduit[Total (kg) N2],0,0,1)*TableauRecette[[#This Row],[fraction mélange]]</f>
        <v/>
      </c>
      <c r="N6">
        <f>_xlfn.XLOOKUP(TableauRecette[[#This Row],[ID]],TableauProduit[ID],TableauProduit[Total (kg) N3],0,0,1)*TableauRecette[[#This Row],[fraction mélange]]</f>
        <v/>
      </c>
      <c r="O6">
        <f>_xlfn.XLOOKUP(TableauRecette[[#This Row],[ID]],TableauProduit[ID],TableauProduit[Total (kg) N4],0,0,1)*TableauRecette[[#This Row],[fraction mélange]]</f>
        <v/>
      </c>
      <c r="P6">
        <f>_xlfn.XLOOKUP(TableauRecette[[#This Row],[ID]],TableauProduit[ID],TableauProduit[Total (kg) N5],0,0,1)*TableauRecette[[#This Row],[fraction mélange]]</f>
        <v/>
      </c>
      <c r="Q6">
        <f>_xlfn.XLOOKUP(TableauRecette[[#This Row],[ID]],TableauProduit[ID],TableauProduit[Total (kg) N6],0,0,1)*TableauRecette[[#This Row],[fraction mélange]]</f>
        <v/>
      </c>
      <c r="R6">
        <f>_xlfn.XLOOKUP(TableauRecette[[#This Row],[ID]],TableauProduit[ID],TableauProduit[Total (kg) N7],0,0,1)*TableauRecette[[#This Row],[fraction mélange]]</f>
        <v/>
      </c>
      <c r="S6">
        <f>_xlfn.XLOOKUP(TableauRecette[[#This Row],[ID]],TableauProduit[ID],TableauProduit[Total (kg) N8],0,0,1)*TableauRecette[[#This Row],[fraction mélange]]</f>
        <v/>
      </c>
      <c r="T6">
        <f>_xlfn.XLOOKUP(TableauRecette[[#This Row],[ID]],TableauProduit[ID],TableauProduit[Total (kg) N9],0,0,1)*TableauRecette[[#This Row],[fraction mélange]]</f>
        <v/>
      </c>
    </row>
    <row r="7">
      <c r="A7" t="inlineStr">
        <is>
          <t>Ail semoule</t>
        </is>
      </c>
      <c r="B7">
        <f>TableauRecette[[#This Row],[Recette]]&amp;TableauRecette[[#This Row],[Conditionnement]]</f>
        <v/>
      </c>
      <c r="C7" t="inlineStr">
        <is>
          <t>Ail Sec</t>
        </is>
      </c>
      <c r="D7" t="n">
        <v>1</v>
      </c>
      <c r="E7" t="inlineStr">
        <is>
          <t>Epice 100ml</t>
        </is>
      </c>
      <c r="F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">
        <f>IFERROR(_xlfn.XLOOKUP(TableauRecette[[#This Row],[Ingredients]],TableauIngredients[Ingredients],TableauIngredients[Prix d''achat / kg],0)*TableauRecette[[#This Row],[fraction mélange]],0)</f>
        <v/>
      </c>
      <c r="H7">
        <f>IFERROR(SUMIFS(TableauRecette[Proportion],TableauRecette[Recette],TableauRecette[[#This Row],[Recette]],TableauRecette[Conditionnement],TableauRecette[[#This Row],[Conditionnement]]),0)</f>
        <v/>
      </c>
      <c r="I7">
        <f>IFERROR(TableauRecette[[#This Row],[Prix d''achat / kg]],0)</f>
        <v/>
      </c>
      <c r="J7" t="inlineStr">
        <is>
          <t>Turquie</t>
        </is>
      </c>
      <c r="K7" t="inlineStr">
        <is>
          <t>SEC</t>
        </is>
      </c>
      <c r="L7">
        <f>_xlfn.XLOOKUP(TableauRecette[[#This Row],[ID]],TableauProduit[ID],TableauProduit[Total (kg) N1],0,0,1)*TableauRecette[[#This Row],[fraction mélange]]</f>
        <v/>
      </c>
      <c r="M7">
        <f>_xlfn.XLOOKUP(TableauRecette[[#This Row],[ID]],TableauProduit[ID],TableauProduit[Total (kg) N2],0,0,1)*TableauRecette[[#This Row],[fraction mélange]]</f>
        <v/>
      </c>
      <c r="N7">
        <f>_xlfn.XLOOKUP(TableauRecette[[#This Row],[ID]],TableauProduit[ID],TableauProduit[Total (kg) N3],0,0,1)*TableauRecette[[#This Row],[fraction mélange]]</f>
        <v/>
      </c>
      <c r="O7">
        <f>_xlfn.XLOOKUP(TableauRecette[[#This Row],[ID]],TableauProduit[ID],TableauProduit[Total (kg) N4],0,0,1)*TableauRecette[[#This Row],[fraction mélange]]</f>
        <v/>
      </c>
      <c r="P7">
        <f>_xlfn.XLOOKUP(TableauRecette[[#This Row],[ID]],TableauProduit[ID],TableauProduit[Total (kg) N5],0,0,1)*TableauRecette[[#This Row],[fraction mélange]]</f>
        <v/>
      </c>
      <c r="Q7">
        <f>_xlfn.XLOOKUP(TableauRecette[[#This Row],[ID]],TableauProduit[ID],TableauProduit[Total (kg) N6],0,0,1)*TableauRecette[[#This Row],[fraction mélange]]</f>
        <v/>
      </c>
      <c r="R7">
        <f>_xlfn.XLOOKUP(TableauRecette[[#This Row],[ID]],TableauProduit[ID],TableauProduit[Total (kg) N7],0,0,1)*TableauRecette[[#This Row],[fraction mélange]]</f>
        <v/>
      </c>
      <c r="S7">
        <f>_xlfn.XLOOKUP(TableauRecette[[#This Row],[ID]],TableauProduit[ID],TableauProduit[Total (kg) N8],0,0,1)*TableauRecette[[#This Row],[fraction mélange]]</f>
        <v/>
      </c>
      <c r="T7">
        <f>_xlfn.XLOOKUP(TableauRecette[[#This Row],[ID]],TableauProduit[ID],TableauProduit[Total (kg) N9],0,0,1)*TableauRecette[[#This Row],[fraction mélange]]</f>
        <v/>
      </c>
    </row>
    <row r="8">
      <c r="A8" t="inlineStr">
        <is>
          <t>Baharat arabe</t>
        </is>
      </c>
      <c r="B8">
        <f>TableauRecette[[#This Row],[Recette]]&amp;TableauRecette[[#This Row],[Conditionnement]]</f>
        <v/>
      </c>
      <c r="C8" t="inlineStr">
        <is>
          <t>Poivre Noir</t>
        </is>
      </c>
      <c r="D8" t="n">
        <v>3</v>
      </c>
      <c r="E8" t="inlineStr">
        <is>
          <t>Epice 100ml</t>
        </is>
      </c>
      <c r="F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">
        <f>IFERROR(_xlfn.XLOOKUP(TableauRecette[[#This Row],[Ingredients]],TableauIngredients[Ingredients],TableauIngredients[Prix d''achat / kg],0)*TableauRecette[[#This Row],[fraction mélange]],0)</f>
        <v/>
      </c>
      <c r="H8">
        <f>IFERROR(SUMIFS(TableauRecette[Proportion],TableauRecette[Recette],TableauRecette[[#This Row],[Recette]],TableauRecette[Conditionnement],TableauRecette[[#This Row],[Conditionnement]]),0)</f>
        <v/>
      </c>
      <c r="I8">
        <f>IFERROR(TableauRecette[[#This Row],[Prix d''achat / kg]],0)</f>
        <v/>
      </c>
      <c r="J8" t="inlineStr">
        <is>
          <t>Turquie</t>
        </is>
      </c>
      <c r="K8" t="inlineStr">
        <is>
          <t>SEC</t>
        </is>
      </c>
      <c r="L8">
        <f>_xlfn.XLOOKUP(TableauRecette[[#This Row],[ID]],TableauProduit[ID],TableauProduit[Total (kg) N1],0,0,1)*TableauRecette[[#This Row],[fraction mélange]]</f>
        <v/>
      </c>
      <c r="M8">
        <f>_xlfn.XLOOKUP(TableauRecette[[#This Row],[ID]],TableauProduit[ID],TableauProduit[Total (kg) N2],0,0,1)*TableauRecette[[#This Row],[fraction mélange]]</f>
        <v/>
      </c>
      <c r="N8">
        <f>_xlfn.XLOOKUP(TableauRecette[[#This Row],[ID]],TableauProduit[ID],TableauProduit[Total (kg) N3],0,0,1)*TableauRecette[[#This Row],[fraction mélange]]</f>
        <v/>
      </c>
      <c r="O8">
        <f>_xlfn.XLOOKUP(TableauRecette[[#This Row],[ID]],TableauProduit[ID],TableauProduit[Total (kg) N4],0,0,1)*TableauRecette[[#This Row],[fraction mélange]]</f>
        <v/>
      </c>
      <c r="P8">
        <f>_xlfn.XLOOKUP(TableauRecette[[#This Row],[ID]],TableauProduit[ID],TableauProduit[Total (kg) N5],0,0,1)*TableauRecette[[#This Row],[fraction mélange]]</f>
        <v/>
      </c>
      <c r="Q8">
        <f>_xlfn.XLOOKUP(TableauRecette[[#This Row],[ID]],TableauProduit[ID],TableauProduit[Total (kg) N6],0,0,1)*TableauRecette[[#This Row],[fraction mélange]]</f>
        <v/>
      </c>
      <c r="R8">
        <f>_xlfn.XLOOKUP(TableauRecette[[#This Row],[ID]],TableauProduit[ID],TableauProduit[Total (kg) N7],0,0,1)*TableauRecette[[#This Row],[fraction mélange]]</f>
        <v/>
      </c>
      <c r="S8">
        <f>_xlfn.XLOOKUP(TableauRecette[[#This Row],[ID]],TableauProduit[ID],TableauProduit[Total (kg) N8],0,0,1)*TableauRecette[[#This Row],[fraction mélange]]</f>
        <v/>
      </c>
      <c r="T8">
        <f>_xlfn.XLOOKUP(TableauRecette[[#This Row],[ID]],TableauProduit[ID],TableauProduit[Total (kg) N9],0,0,1)*TableauRecette[[#This Row],[fraction mélange]]</f>
        <v/>
      </c>
    </row>
    <row r="9">
      <c r="A9" t="inlineStr">
        <is>
          <t>Baharat arabe</t>
        </is>
      </c>
      <c r="B9">
        <f>TableauRecette[[#This Row],[Recette]]&amp;TableauRecette[[#This Row],[Conditionnement]]</f>
        <v/>
      </c>
      <c r="C9" t="inlineStr">
        <is>
          <t>Quatre Épices</t>
        </is>
      </c>
      <c r="D9" t="n">
        <v>3</v>
      </c>
      <c r="E9" t="inlineStr">
        <is>
          <t>Epice 100ml</t>
        </is>
      </c>
      <c r="F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">
        <f>IFERROR(_xlfn.XLOOKUP(TableauRecette[[#This Row],[Ingredients]],TableauIngredients[Ingredients],TableauIngredients[Prix d''achat / kg],0)*TableauRecette[[#This Row],[fraction mélange]],0)</f>
        <v/>
      </c>
      <c r="H9">
        <f>IFERROR(SUMIFS(TableauRecette[Proportion],TableauRecette[Recette],TableauRecette[[#This Row],[Recette]],TableauRecette[Conditionnement],TableauRecette[[#This Row],[Conditionnement]]),0)</f>
        <v/>
      </c>
      <c r="I9">
        <f>IFERROR(TableauRecette[[#This Row],[Prix d''achat / kg]],0)</f>
        <v/>
      </c>
      <c r="J9" t="inlineStr">
        <is>
          <t>Turquie</t>
        </is>
      </c>
      <c r="K9" t="inlineStr">
        <is>
          <t>SEC</t>
        </is>
      </c>
      <c r="L9">
        <f>_xlfn.XLOOKUP(TableauRecette[[#This Row],[ID]],TableauProduit[ID],TableauProduit[Total (kg) N1],0,0,1)*TableauRecette[[#This Row],[fraction mélange]]</f>
        <v/>
      </c>
      <c r="M9">
        <f>_xlfn.XLOOKUP(TableauRecette[[#This Row],[ID]],TableauProduit[ID],TableauProduit[Total (kg) N2],0,0,1)*TableauRecette[[#This Row],[fraction mélange]]</f>
        <v/>
      </c>
      <c r="N9">
        <f>_xlfn.XLOOKUP(TableauRecette[[#This Row],[ID]],TableauProduit[ID],TableauProduit[Total (kg) N3],0,0,1)*TableauRecette[[#This Row],[fraction mélange]]</f>
        <v/>
      </c>
      <c r="O9">
        <f>_xlfn.XLOOKUP(TableauRecette[[#This Row],[ID]],TableauProduit[ID],TableauProduit[Total (kg) N4],0,0,1)*TableauRecette[[#This Row],[fraction mélange]]</f>
        <v/>
      </c>
      <c r="P9">
        <f>_xlfn.XLOOKUP(TableauRecette[[#This Row],[ID]],TableauProduit[ID],TableauProduit[Total (kg) N5],0,0,1)*TableauRecette[[#This Row],[fraction mélange]]</f>
        <v/>
      </c>
      <c r="Q9">
        <f>_xlfn.XLOOKUP(TableauRecette[[#This Row],[ID]],TableauProduit[ID],TableauProduit[Total (kg) N6],0,0,1)*TableauRecette[[#This Row],[fraction mélange]]</f>
        <v/>
      </c>
      <c r="R9">
        <f>_xlfn.XLOOKUP(TableauRecette[[#This Row],[ID]],TableauProduit[ID],TableauProduit[Total (kg) N7],0,0,1)*TableauRecette[[#This Row],[fraction mélange]]</f>
        <v/>
      </c>
      <c r="S9">
        <f>_xlfn.XLOOKUP(TableauRecette[[#This Row],[ID]],TableauProduit[ID],TableauProduit[Total (kg) N8],0,0,1)*TableauRecette[[#This Row],[fraction mélange]]</f>
        <v/>
      </c>
      <c r="T9">
        <f>_xlfn.XLOOKUP(TableauRecette[[#This Row],[ID]],TableauProduit[ID],TableauProduit[Total (kg) N9],0,0,1)*TableauRecette[[#This Row],[fraction mélange]]</f>
        <v/>
      </c>
    </row>
    <row r="10">
      <c r="A10" t="inlineStr">
        <is>
          <t>Baharat arabe</t>
        </is>
      </c>
      <c r="B10">
        <f>TableauRecette[[#This Row],[Recette]]&amp;TableauRecette[[#This Row],[Conditionnement]]</f>
        <v/>
      </c>
      <c r="C10" t="inlineStr">
        <is>
          <t>Clous De Girofle</t>
        </is>
      </c>
      <c r="D10" t="n">
        <v>1</v>
      </c>
      <c r="E10" t="inlineStr">
        <is>
          <t>Epice 100ml</t>
        </is>
      </c>
      <c r="F1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">
        <f>IFERROR(_xlfn.XLOOKUP(TableauRecette[[#This Row],[Ingredients]],TableauIngredients[Ingredients],TableauIngredients[Prix d''achat / kg],0)*TableauRecette[[#This Row],[fraction mélange]],0)</f>
        <v/>
      </c>
      <c r="H10">
        <f>IFERROR(SUMIFS(TableauRecette[Proportion],TableauRecette[Recette],TableauRecette[[#This Row],[Recette]],TableauRecette[Conditionnement],TableauRecette[[#This Row],[Conditionnement]]),0)</f>
        <v/>
      </c>
      <c r="I10">
        <f>IFERROR(TableauRecette[[#This Row],[Prix d''achat / kg]],0)</f>
        <v/>
      </c>
      <c r="J10" t="inlineStr">
        <is>
          <t>Turquie</t>
        </is>
      </c>
      <c r="K10" t="inlineStr">
        <is>
          <t>SEC</t>
        </is>
      </c>
      <c r="L10">
        <f>_xlfn.XLOOKUP(TableauRecette[[#This Row],[ID]],TableauProduit[ID],TableauProduit[Total (kg) N1],0,0,1)*TableauRecette[[#This Row],[fraction mélange]]</f>
        <v/>
      </c>
      <c r="M10">
        <f>_xlfn.XLOOKUP(TableauRecette[[#This Row],[ID]],TableauProduit[ID],TableauProduit[Total (kg) N2],0,0,1)*TableauRecette[[#This Row],[fraction mélange]]</f>
        <v/>
      </c>
      <c r="N10">
        <f>_xlfn.XLOOKUP(TableauRecette[[#This Row],[ID]],TableauProduit[ID],TableauProduit[Total (kg) N3],0,0,1)*TableauRecette[[#This Row],[fraction mélange]]</f>
        <v/>
      </c>
      <c r="O10">
        <f>_xlfn.XLOOKUP(TableauRecette[[#This Row],[ID]],TableauProduit[ID],TableauProduit[Total (kg) N4],0,0,1)*TableauRecette[[#This Row],[fraction mélange]]</f>
        <v/>
      </c>
      <c r="P10">
        <f>_xlfn.XLOOKUP(TableauRecette[[#This Row],[ID]],TableauProduit[ID],TableauProduit[Total (kg) N5],0,0,1)*TableauRecette[[#This Row],[fraction mélange]]</f>
        <v/>
      </c>
      <c r="Q10">
        <f>_xlfn.XLOOKUP(TableauRecette[[#This Row],[ID]],TableauProduit[ID],TableauProduit[Total (kg) N6],0,0,1)*TableauRecette[[#This Row],[fraction mélange]]</f>
        <v/>
      </c>
      <c r="R10">
        <f>_xlfn.XLOOKUP(TableauRecette[[#This Row],[ID]],TableauProduit[ID],TableauProduit[Total (kg) N7],0,0,1)*TableauRecette[[#This Row],[fraction mélange]]</f>
        <v/>
      </c>
      <c r="S10">
        <f>_xlfn.XLOOKUP(TableauRecette[[#This Row],[ID]],TableauProduit[ID],TableauProduit[Total (kg) N8],0,0,1)*TableauRecette[[#This Row],[fraction mélange]]</f>
        <v/>
      </c>
      <c r="T10">
        <f>_xlfn.XLOOKUP(TableauRecette[[#This Row],[ID]],TableauProduit[ID],TableauProduit[Total (kg) N9],0,0,1)*TableauRecette[[#This Row],[fraction mélange]]</f>
        <v/>
      </c>
    </row>
    <row r="11">
      <c r="A11" t="inlineStr">
        <is>
          <t>Baharat arabe</t>
        </is>
      </c>
      <c r="B11">
        <f>TableauRecette[[#This Row],[Recette]]&amp;TableauRecette[[#This Row],[Conditionnement]]</f>
        <v/>
      </c>
      <c r="C11" t="inlineStr">
        <is>
          <t>Coriandre Graine</t>
        </is>
      </c>
      <c r="D11" t="n">
        <v>1</v>
      </c>
      <c r="E11" t="inlineStr">
        <is>
          <t>Epice 100ml</t>
        </is>
      </c>
      <c r="F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">
        <f>IFERROR(_xlfn.XLOOKUP(TableauRecette[[#This Row],[Ingredients]],TableauIngredients[Ingredients],TableauIngredients[Prix d''achat / kg],0)*TableauRecette[[#This Row],[fraction mélange]],0)</f>
        <v/>
      </c>
      <c r="H11">
        <f>IFERROR(SUMIFS(TableauRecette[Proportion],TableauRecette[Recette],TableauRecette[[#This Row],[Recette]],TableauRecette[Conditionnement],TableauRecette[[#This Row],[Conditionnement]]),0)</f>
        <v/>
      </c>
      <c r="I11">
        <f>IFERROR(TableauRecette[[#This Row],[Prix d''achat / kg]],0)</f>
        <v/>
      </c>
      <c r="J11" t="inlineStr">
        <is>
          <t>Turquie</t>
        </is>
      </c>
      <c r="K11" t="inlineStr">
        <is>
          <t>SEC</t>
        </is>
      </c>
      <c r="L11">
        <f>_xlfn.XLOOKUP(TableauRecette[[#This Row],[ID]],TableauProduit[ID],TableauProduit[Total (kg) N1],0,0,1)*TableauRecette[[#This Row],[fraction mélange]]</f>
        <v/>
      </c>
      <c r="M11">
        <f>_xlfn.XLOOKUP(TableauRecette[[#This Row],[ID]],TableauProduit[ID],TableauProduit[Total (kg) N2],0,0,1)*TableauRecette[[#This Row],[fraction mélange]]</f>
        <v/>
      </c>
      <c r="N11">
        <f>_xlfn.XLOOKUP(TableauRecette[[#This Row],[ID]],TableauProduit[ID],TableauProduit[Total (kg) N3],0,0,1)*TableauRecette[[#This Row],[fraction mélange]]</f>
        <v/>
      </c>
      <c r="O11">
        <f>_xlfn.XLOOKUP(TableauRecette[[#This Row],[ID]],TableauProduit[ID],TableauProduit[Total (kg) N4],0,0,1)*TableauRecette[[#This Row],[fraction mélange]]</f>
        <v/>
      </c>
      <c r="P11">
        <f>_xlfn.XLOOKUP(TableauRecette[[#This Row],[ID]],TableauProduit[ID],TableauProduit[Total (kg) N5],0,0,1)*TableauRecette[[#This Row],[fraction mélange]]</f>
        <v/>
      </c>
      <c r="Q11">
        <f>_xlfn.XLOOKUP(TableauRecette[[#This Row],[ID]],TableauProduit[ID],TableauProduit[Total (kg) N6],0,0,1)*TableauRecette[[#This Row],[fraction mélange]]</f>
        <v/>
      </c>
      <c r="R11">
        <f>_xlfn.XLOOKUP(TableauRecette[[#This Row],[ID]],TableauProduit[ID],TableauProduit[Total (kg) N7],0,0,1)*TableauRecette[[#This Row],[fraction mélange]]</f>
        <v/>
      </c>
      <c r="S11">
        <f>_xlfn.XLOOKUP(TableauRecette[[#This Row],[ID]],TableauProduit[ID],TableauProduit[Total (kg) N8],0,0,1)*TableauRecette[[#This Row],[fraction mélange]]</f>
        <v/>
      </c>
      <c r="T11">
        <f>_xlfn.XLOOKUP(TableauRecette[[#This Row],[ID]],TableauProduit[ID],TableauProduit[Total (kg) N9],0,0,1)*TableauRecette[[#This Row],[fraction mélange]]</f>
        <v/>
      </c>
    </row>
    <row r="12">
      <c r="A12" t="inlineStr">
        <is>
          <t>Baharat arabe</t>
        </is>
      </c>
      <c r="B12">
        <f>TableauRecette[[#This Row],[Recette]]&amp;TableauRecette[[#This Row],[Conditionnement]]</f>
        <v/>
      </c>
      <c r="C12" t="inlineStr">
        <is>
          <t>Cumin Moulu</t>
        </is>
      </c>
      <c r="D12" t="n">
        <v>1</v>
      </c>
      <c r="E12" t="inlineStr">
        <is>
          <t>Epice 100ml</t>
        </is>
      </c>
      <c r="F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">
        <f>IFERROR(_xlfn.XLOOKUP(TableauRecette[[#This Row],[Ingredients]],TableauIngredients[Ingredients],TableauIngredients[Prix d''achat / kg],0)*TableauRecette[[#This Row],[fraction mélange]],0)</f>
        <v/>
      </c>
      <c r="H12">
        <f>IFERROR(SUMIFS(TableauRecette[Proportion],TableauRecette[Recette],TableauRecette[[#This Row],[Recette]],TableauRecette[Conditionnement],TableauRecette[[#This Row],[Conditionnement]]),0)</f>
        <v/>
      </c>
      <c r="I12">
        <f>IFERROR(TableauRecette[[#This Row],[Prix d''achat / kg]],0)</f>
        <v/>
      </c>
      <c r="J12" t="inlineStr">
        <is>
          <t>Turquie</t>
        </is>
      </c>
      <c r="K12" t="inlineStr">
        <is>
          <t>SEC</t>
        </is>
      </c>
      <c r="L12">
        <f>_xlfn.XLOOKUP(TableauRecette[[#This Row],[ID]],TableauProduit[ID],TableauProduit[Total (kg) N1],0,0,1)*TableauRecette[[#This Row],[fraction mélange]]</f>
        <v/>
      </c>
      <c r="M12">
        <f>_xlfn.XLOOKUP(TableauRecette[[#This Row],[ID]],TableauProduit[ID],TableauProduit[Total (kg) N2],0,0,1)*TableauRecette[[#This Row],[fraction mélange]]</f>
        <v/>
      </c>
      <c r="N12">
        <f>_xlfn.XLOOKUP(TableauRecette[[#This Row],[ID]],TableauProduit[ID],TableauProduit[Total (kg) N3],0,0,1)*TableauRecette[[#This Row],[fraction mélange]]</f>
        <v/>
      </c>
      <c r="O12">
        <f>_xlfn.XLOOKUP(TableauRecette[[#This Row],[ID]],TableauProduit[ID],TableauProduit[Total (kg) N4],0,0,1)*TableauRecette[[#This Row],[fraction mélange]]</f>
        <v/>
      </c>
      <c r="P12">
        <f>_xlfn.XLOOKUP(TableauRecette[[#This Row],[ID]],TableauProduit[ID],TableauProduit[Total (kg) N5],0,0,1)*TableauRecette[[#This Row],[fraction mélange]]</f>
        <v/>
      </c>
      <c r="Q12">
        <f>_xlfn.XLOOKUP(TableauRecette[[#This Row],[ID]],TableauProduit[ID],TableauProduit[Total (kg) N6],0,0,1)*TableauRecette[[#This Row],[fraction mélange]]</f>
        <v/>
      </c>
      <c r="R12">
        <f>_xlfn.XLOOKUP(TableauRecette[[#This Row],[ID]],TableauProduit[ID],TableauProduit[Total (kg) N7],0,0,1)*TableauRecette[[#This Row],[fraction mélange]]</f>
        <v/>
      </c>
      <c r="S12">
        <f>_xlfn.XLOOKUP(TableauRecette[[#This Row],[ID]],TableauProduit[ID],TableauProduit[Total (kg) N8],0,0,1)*TableauRecette[[#This Row],[fraction mélange]]</f>
        <v/>
      </c>
      <c r="T12">
        <f>_xlfn.XLOOKUP(TableauRecette[[#This Row],[ID]],TableauProduit[ID],TableauProduit[Total (kg) N9],0,0,1)*TableauRecette[[#This Row],[fraction mélange]]</f>
        <v/>
      </c>
    </row>
    <row r="13">
      <c r="A13" t="inlineStr">
        <is>
          <t>Baharat arabe</t>
        </is>
      </c>
      <c r="B13">
        <f>TableauRecette[[#This Row],[Recette]]&amp;TableauRecette[[#This Row],[Conditionnement]]</f>
        <v/>
      </c>
      <c r="C13" t="inlineStr">
        <is>
          <t>Cannelle Moulue</t>
        </is>
      </c>
      <c r="D13" t="n">
        <v>3</v>
      </c>
      <c r="E13" t="inlineStr">
        <is>
          <t>Epice 100ml</t>
        </is>
      </c>
      <c r="F1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">
        <f>IFERROR(_xlfn.XLOOKUP(TableauRecette[[#This Row],[Ingredients]],TableauIngredients[Ingredients],TableauIngredients[Prix d''achat / kg],0)*TableauRecette[[#This Row],[fraction mélange]],0)</f>
        <v/>
      </c>
      <c r="H13">
        <f>IFERROR(SUMIFS(TableauRecette[Proportion],TableauRecette[Recette],TableauRecette[[#This Row],[Recette]],TableauRecette[Conditionnement],TableauRecette[[#This Row],[Conditionnement]]),0)</f>
        <v/>
      </c>
      <c r="I13">
        <f>IFERROR(TableauRecette[[#This Row],[Prix d''achat / kg]],0)</f>
        <v/>
      </c>
      <c r="J13" t="inlineStr">
        <is>
          <t>Turquie</t>
        </is>
      </c>
      <c r="K13" t="inlineStr">
        <is>
          <t>SEC</t>
        </is>
      </c>
      <c r="L13">
        <f>_xlfn.XLOOKUP(TableauRecette[[#This Row],[ID]],TableauProduit[ID],TableauProduit[Total (kg) N1],0,0,1)*TableauRecette[[#This Row],[fraction mélange]]</f>
        <v/>
      </c>
      <c r="M13">
        <f>_xlfn.XLOOKUP(TableauRecette[[#This Row],[ID]],TableauProduit[ID],TableauProduit[Total (kg) N2],0,0,1)*TableauRecette[[#This Row],[fraction mélange]]</f>
        <v/>
      </c>
      <c r="N13">
        <f>_xlfn.XLOOKUP(TableauRecette[[#This Row],[ID]],TableauProduit[ID],TableauProduit[Total (kg) N3],0,0,1)*TableauRecette[[#This Row],[fraction mélange]]</f>
        <v/>
      </c>
      <c r="O13">
        <f>_xlfn.XLOOKUP(TableauRecette[[#This Row],[ID]],TableauProduit[ID],TableauProduit[Total (kg) N4],0,0,1)*TableauRecette[[#This Row],[fraction mélange]]</f>
        <v/>
      </c>
      <c r="P13">
        <f>_xlfn.XLOOKUP(TableauRecette[[#This Row],[ID]],TableauProduit[ID],TableauProduit[Total (kg) N5],0,0,1)*TableauRecette[[#This Row],[fraction mélange]]</f>
        <v/>
      </c>
      <c r="Q13">
        <f>_xlfn.XLOOKUP(TableauRecette[[#This Row],[ID]],TableauProduit[ID],TableauProduit[Total (kg) N6],0,0,1)*TableauRecette[[#This Row],[fraction mélange]]</f>
        <v/>
      </c>
      <c r="R13">
        <f>_xlfn.XLOOKUP(TableauRecette[[#This Row],[ID]],TableauProduit[ID],TableauProduit[Total (kg) N7],0,0,1)*TableauRecette[[#This Row],[fraction mélange]]</f>
        <v/>
      </c>
      <c r="S13">
        <f>_xlfn.XLOOKUP(TableauRecette[[#This Row],[ID]],TableauProduit[ID],TableauProduit[Total (kg) N8],0,0,1)*TableauRecette[[#This Row],[fraction mélange]]</f>
        <v/>
      </c>
      <c r="T13">
        <f>_xlfn.XLOOKUP(TableauRecette[[#This Row],[ID]],TableauProduit[ID],TableauProduit[Total (kg) N9],0,0,1)*TableauRecette[[#This Row],[fraction mélange]]</f>
        <v/>
      </c>
    </row>
    <row r="14">
      <c r="A14" t="inlineStr">
        <is>
          <t>Baharat arabe</t>
        </is>
      </c>
      <c r="B14">
        <f>TableauRecette[[#This Row],[Recette]]&amp;TableauRecette[[#This Row],[Conditionnement]]</f>
        <v/>
      </c>
      <c r="C14" t="inlineStr">
        <is>
          <t>Muscade</t>
        </is>
      </c>
      <c r="D14" t="n">
        <v>1</v>
      </c>
      <c r="E14" t="inlineStr">
        <is>
          <t>Epice 100ml</t>
        </is>
      </c>
      <c r="F1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">
        <f>IFERROR(_xlfn.XLOOKUP(TableauRecette[[#This Row],[Ingredients]],TableauIngredients[Ingredients],TableauIngredients[Prix d''achat / kg],0)*TableauRecette[[#This Row],[fraction mélange]],0)</f>
        <v/>
      </c>
      <c r="H14">
        <f>IFERROR(SUMIFS(TableauRecette[Proportion],TableauRecette[Recette],TableauRecette[[#This Row],[Recette]],TableauRecette[Conditionnement],TableauRecette[[#This Row],[Conditionnement]]),0)</f>
        <v/>
      </c>
      <c r="I14">
        <f>IFERROR(TableauRecette[[#This Row],[Prix d''achat / kg]],0)</f>
        <v/>
      </c>
      <c r="J14" t="inlineStr">
        <is>
          <t>Turquie</t>
        </is>
      </c>
      <c r="K14" t="inlineStr">
        <is>
          <t>SEC</t>
        </is>
      </c>
      <c r="L14">
        <f>_xlfn.XLOOKUP(TableauRecette[[#This Row],[ID]],TableauProduit[ID],TableauProduit[Total (kg) N1],0,0,1)*TableauRecette[[#This Row],[fraction mélange]]</f>
        <v/>
      </c>
      <c r="M14">
        <f>_xlfn.XLOOKUP(TableauRecette[[#This Row],[ID]],TableauProduit[ID],TableauProduit[Total (kg) N2],0,0,1)*TableauRecette[[#This Row],[fraction mélange]]</f>
        <v/>
      </c>
      <c r="N14">
        <f>_xlfn.XLOOKUP(TableauRecette[[#This Row],[ID]],TableauProduit[ID],TableauProduit[Total (kg) N3],0,0,1)*TableauRecette[[#This Row],[fraction mélange]]</f>
        <v/>
      </c>
      <c r="O14">
        <f>_xlfn.XLOOKUP(TableauRecette[[#This Row],[ID]],TableauProduit[ID],TableauProduit[Total (kg) N4],0,0,1)*TableauRecette[[#This Row],[fraction mélange]]</f>
        <v/>
      </c>
      <c r="P14">
        <f>_xlfn.XLOOKUP(TableauRecette[[#This Row],[ID]],TableauProduit[ID],TableauProduit[Total (kg) N5],0,0,1)*TableauRecette[[#This Row],[fraction mélange]]</f>
        <v/>
      </c>
      <c r="Q14">
        <f>_xlfn.XLOOKUP(TableauRecette[[#This Row],[ID]],TableauProduit[ID],TableauProduit[Total (kg) N6],0,0,1)*TableauRecette[[#This Row],[fraction mélange]]</f>
        <v/>
      </c>
      <c r="R14">
        <f>_xlfn.XLOOKUP(TableauRecette[[#This Row],[ID]],TableauProduit[ID],TableauProduit[Total (kg) N7],0,0,1)*TableauRecette[[#This Row],[fraction mélange]]</f>
        <v/>
      </c>
      <c r="S14">
        <f>_xlfn.XLOOKUP(TableauRecette[[#This Row],[ID]],TableauProduit[ID],TableauProduit[Total (kg) N8],0,0,1)*TableauRecette[[#This Row],[fraction mélange]]</f>
        <v/>
      </c>
      <c r="T14">
        <f>_xlfn.XLOOKUP(TableauRecette[[#This Row],[ID]],TableauProduit[ID],TableauProduit[Total (kg) N9],0,0,1)*TableauRecette[[#This Row],[fraction mélange]]</f>
        <v/>
      </c>
    </row>
    <row r="15">
      <c r="A15" t="inlineStr">
        <is>
          <t>Baharat turc</t>
        </is>
      </c>
      <c r="B15">
        <f>TableauRecette[[#This Row],[Recette]]&amp;TableauRecette[[#This Row],[Conditionnement]]</f>
        <v/>
      </c>
      <c r="C15" t="inlineStr">
        <is>
          <t>Poivre Noir</t>
        </is>
      </c>
      <c r="D15" t="n">
        <v>2</v>
      </c>
      <c r="E15" t="inlineStr">
        <is>
          <t>Epice 100ml</t>
        </is>
      </c>
      <c r="F1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">
        <f>IFERROR(_xlfn.XLOOKUP(TableauRecette[[#This Row],[Ingredients]],TableauIngredients[Ingredients],TableauIngredients[Prix d''achat / kg],0)*TableauRecette[[#This Row],[fraction mélange]],0)</f>
        <v/>
      </c>
      <c r="H15">
        <f>IFERROR(SUMIFS(TableauRecette[Proportion],TableauRecette[Recette],TableauRecette[[#This Row],[Recette]],TableauRecette[Conditionnement],TableauRecette[[#This Row],[Conditionnement]]),0)</f>
        <v/>
      </c>
      <c r="I15">
        <f>IFERROR(TableauRecette[[#This Row],[Prix d''achat / kg]],0)</f>
        <v/>
      </c>
      <c r="J15" t="inlineStr">
        <is>
          <t>Liban</t>
        </is>
      </c>
      <c r="K15" t="inlineStr">
        <is>
          <t>en huile</t>
        </is>
      </c>
      <c r="L15">
        <f>_xlfn.XLOOKUP(TableauRecette[[#This Row],[ID]],TableauProduit[ID],TableauProduit[Total (kg) N1],0,0,1)*TableauRecette[[#This Row],[fraction mélange]]</f>
        <v/>
      </c>
      <c r="M15">
        <f>_xlfn.XLOOKUP(TableauRecette[[#This Row],[ID]],TableauProduit[ID],TableauProduit[Total (kg) N2],0,0,1)*TableauRecette[[#This Row],[fraction mélange]]</f>
        <v/>
      </c>
      <c r="N15">
        <f>_xlfn.XLOOKUP(TableauRecette[[#This Row],[ID]],TableauProduit[ID],TableauProduit[Total (kg) N3],0,0,1)*TableauRecette[[#This Row],[fraction mélange]]</f>
        <v/>
      </c>
      <c r="O15">
        <f>_xlfn.XLOOKUP(TableauRecette[[#This Row],[ID]],TableauProduit[ID],TableauProduit[Total (kg) N4],0,0,1)*TableauRecette[[#This Row],[fraction mélange]]</f>
        <v/>
      </c>
      <c r="P15">
        <f>_xlfn.XLOOKUP(TableauRecette[[#This Row],[ID]],TableauProduit[ID],TableauProduit[Total (kg) N5],0,0,1)*TableauRecette[[#This Row],[fraction mélange]]</f>
        <v/>
      </c>
      <c r="Q15">
        <f>_xlfn.XLOOKUP(TableauRecette[[#This Row],[ID]],TableauProduit[ID],TableauProduit[Total (kg) N6],0,0,1)*TableauRecette[[#This Row],[fraction mélange]]</f>
        <v/>
      </c>
      <c r="R15">
        <f>_xlfn.XLOOKUP(TableauRecette[[#This Row],[ID]],TableauProduit[ID],TableauProduit[Total (kg) N7],0,0,1)*TableauRecette[[#This Row],[fraction mélange]]</f>
        <v/>
      </c>
      <c r="S15">
        <f>_xlfn.XLOOKUP(TableauRecette[[#This Row],[ID]],TableauProduit[ID],TableauProduit[Total (kg) N8],0,0,1)*TableauRecette[[#This Row],[fraction mélange]]</f>
        <v/>
      </c>
      <c r="T15">
        <f>_xlfn.XLOOKUP(TableauRecette[[#This Row],[ID]],TableauProduit[ID],TableauProduit[Total (kg) N9],0,0,1)*TableauRecette[[#This Row],[fraction mélange]]</f>
        <v/>
      </c>
    </row>
    <row r="16">
      <c r="A16" t="inlineStr">
        <is>
          <t>Baharat turc</t>
        </is>
      </c>
      <c r="B16">
        <f>TableauRecette[[#This Row],[Recette]]&amp;TableauRecette[[#This Row],[Conditionnement]]</f>
        <v/>
      </c>
      <c r="C16" t="inlineStr">
        <is>
          <t>Cumin Moulu</t>
        </is>
      </c>
      <c r="D16" t="n">
        <v>2</v>
      </c>
      <c r="E16" t="inlineStr">
        <is>
          <t>Epice 100ml</t>
        </is>
      </c>
      <c r="F1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">
        <f>IFERROR(_xlfn.XLOOKUP(TableauRecette[[#This Row],[Ingredients]],TableauIngredients[Ingredients],TableauIngredients[Prix d''achat / kg],0)*TableauRecette[[#This Row],[fraction mélange]],0)</f>
        <v/>
      </c>
      <c r="H16">
        <f>IFERROR(SUMIFS(TableauRecette[Proportion],TableauRecette[Recette],TableauRecette[[#This Row],[Recette]],TableauRecette[Conditionnement],TableauRecette[[#This Row],[Conditionnement]]),0)</f>
        <v/>
      </c>
      <c r="I16">
        <f>IFERROR(TableauRecette[[#This Row],[Prix d''achat / kg]],0)</f>
        <v/>
      </c>
      <c r="J16" t="inlineStr">
        <is>
          <t>Liban</t>
        </is>
      </c>
      <c r="K16" t="inlineStr">
        <is>
          <t>en huile</t>
        </is>
      </c>
      <c r="L16">
        <f>_xlfn.XLOOKUP(TableauRecette[[#This Row],[ID]],TableauProduit[ID],TableauProduit[Total (kg) N1],0,0,1)*TableauRecette[[#This Row],[fraction mélange]]</f>
        <v/>
      </c>
      <c r="M16">
        <f>_xlfn.XLOOKUP(TableauRecette[[#This Row],[ID]],TableauProduit[ID],TableauProduit[Total (kg) N2],0,0,1)*TableauRecette[[#This Row],[fraction mélange]]</f>
        <v/>
      </c>
      <c r="N16">
        <f>_xlfn.XLOOKUP(TableauRecette[[#This Row],[ID]],TableauProduit[ID],TableauProduit[Total (kg) N3],0,0,1)*TableauRecette[[#This Row],[fraction mélange]]</f>
        <v/>
      </c>
      <c r="O16">
        <f>_xlfn.XLOOKUP(TableauRecette[[#This Row],[ID]],TableauProduit[ID],TableauProduit[Total (kg) N4],0,0,1)*TableauRecette[[#This Row],[fraction mélange]]</f>
        <v/>
      </c>
      <c r="P16">
        <f>_xlfn.XLOOKUP(TableauRecette[[#This Row],[ID]],TableauProduit[ID],TableauProduit[Total (kg) N5],0,0,1)*TableauRecette[[#This Row],[fraction mélange]]</f>
        <v/>
      </c>
      <c r="Q16">
        <f>_xlfn.XLOOKUP(TableauRecette[[#This Row],[ID]],TableauProduit[ID],TableauProduit[Total (kg) N6],0,0,1)*TableauRecette[[#This Row],[fraction mélange]]</f>
        <v/>
      </c>
      <c r="R16">
        <f>_xlfn.XLOOKUP(TableauRecette[[#This Row],[ID]],TableauProduit[ID],TableauProduit[Total (kg) N7],0,0,1)*TableauRecette[[#This Row],[fraction mélange]]</f>
        <v/>
      </c>
      <c r="S16">
        <f>_xlfn.XLOOKUP(TableauRecette[[#This Row],[ID]],TableauProduit[ID],TableauProduit[Total (kg) N8],0,0,1)*TableauRecette[[#This Row],[fraction mélange]]</f>
        <v/>
      </c>
      <c r="T16">
        <f>_xlfn.XLOOKUP(TableauRecette[[#This Row],[ID]],TableauProduit[ID],TableauProduit[Total (kg) N9],0,0,1)*TableauRecette[[#This Row],[fraction mélange]]</f>
        <v/>
      </c>
    </row>
    <row r="17">
      <c r="A17" t="inlineStr">
        <is>
          <t>Baharat turc</t>
        </is>
      </c>
      <c r="B17">
        <f>TableauRecette[[#This Row],[Recette]]&amp;TableauRecette[[#This Row],[Conditionnement]]</f>
        <v/>
      </c>
      <c r="C17" t="inlineStr">
        <is>
          <t>Coriandre Graine</t>
        </is>
      </c>
      <c r="D17" t="n">
        <v>2</v>
      </c>
      <c r="E17" t="inlineStr">
        <is>
          <t>Epice 100ml</t>
        </is>
      </c>
      <c r="F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">
        <f>IFERROR(_xlfn.XLOOKUP(TableauRecette[[#This Row],[Ingredients]],TableauIngredients[Ingredients],TableauIngredients[Prix d''achat / kg],0)*TableauRecette[[#This Row],[fraction mélange]],0)</f>
        <v/>
      </c>
      <c r="H17">
        <f>IFERROR(SUMIFS(TableauRecette[Proportion],TableauRecette[Recette],TableauRecette[[#This Row],[Recette]],TableauRecette[Conditionnement],TableauRecette[[#This Row],[Conditionnement]]),0)</f>
        <v/>
      </c>
      <c r="I17">
        <f>IFERROR(TableauRecette[[#This Row],[Prix d''achat / kg]],0)</f>
        <v/>
      </c>
      <c r="J17" t="inlineStr">
        <is>
          <t>Liban</t>
        </is>
      </c>
      <c r="K17" t="inlineStr">
        <is>
          <t>en huile</t>
        </is>
      </c>
      <c r="L17">
        <f>_xlfn.XLOOKUP(TableauRecette[[#This Row],[ID]],TableauProduit[ID],TableauProduit[Total (kg) N1],0,0,1)*TableauRecette[[#This Row],[fraction mélange]]</f>
        <v/>
      </c>
      <c r="M17">
        <f>_xlfn.XLOOKUP(TableauRecette[[#This Row],[ID]],TableauProduit[ID],TableauProduit[Total (kg) N2],0,0,1)*TableauRecette[[#This Row],[fraction mélange]]</f>
        <v/>
      </c>
      <c r="N17">
        <f>_xlfn.XLOOKUP(TableauRecette[[#This Row],[ID]],TableauProduit[ID],TableauProduit[Total (kg) N3],0,0,1)*TableauRecette[[#This Row],[fraction mélange]]</f>
        <v/>
      </c>
      <c r="O17">
        <f>_xlfn.XLOOKUP(TableauRecette[[#This Row],[ID]],TableauProduit[ID],TableauProduit[Total (kg) N4],0,0,1)*TableauRecette[[#This Row],[fraction mélange]]</f>
        <v/>
      </c>
      <c r="P17">
        <f>_xlfn.XLOOKUP(TableauRecette[[#This Row],[ID]],TableauProduit[ID],TableauProduit[Total (kg) N5],0,0,1)*TableauRecette[[#This Row],[fraction mélange]]</f>
        <v/>
      </c>
      <c r="Q17">
        <f>_xlfn.XLOOKUP(TableauRecette[[#This Row],[ID]],TableauProduit[ID],TableauProduit[Total (kg) N6],0,0,1)*TableauRecette[[#This Row],[fraction mélange]]</f>
        <v/>
      </c>
      <c r="R17">
        <f>_xlfn.XLOOKUP(TableauRecette[[#This Row],[ID]],TableauProduit[ID],TableauProduit[Total (kg) N7],0,0,1)*TableauRecette[[#This Row],[fraction mélange]]</f>
        <v/>
      </c>
      <c r="S17">
        <f>_xlfn.XLOOKUP(TableauRecette[[#This Row],[ID]],TableauProduit[ID],TableauProduit[Total (kg) N8],0,0,1)*TableauRecette[[#This Row],[fraction mélange]]</f>
        <v/>
      </c>
      <c r="T17">
        <f>_xlfn.XLOOKUP(TableauRecette[[#This Row],[ID]],TableauProduit[ID],TableauProduit[Total (kg) N9],0,0,1)*TableauRecette[[#This Row],[fraction mélange]]</f>
        <v/>
      </c>
    </row>
    <row r="18">
      <c r="A18" t="inlineStr">
        <is>
          <t>Baharat turc</t>
        </is>
      </c>
      <c r="B18">
        <f>TableauRecette[[#This Row],[Recette]]&amp;TableauRecette[[#This Row],[Conditionnement]]</f>
        <v/>
      </c>
      <c r="C18" t="inlineStr">
        <is>
          <t>Clous De Girofle</t>
        </is>
      </c>
      <c r="D18" t="n">
        <v>1</v>
      </c>
      <c r="E18" t="inlineStr">
        <is>
          <t>Epice 100ml</t>
        </is>
      </c>
      <c r="F1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">
        <f>IFERROR(_xlfn.XLOOKUP(TableauRecette[[#This Row],[Ingredients]],TableauIngredients[Ingredients],TableauIngredients[Prix d''achat / kg],0)*TableauRecette[[#This Row],[fraction mélange]],0)</f>
        <v/>
      </c>
      <c r="H18">
        <f>IFERROR(SUMIFS(TableauRecette[Proportion],TableauRecette[Recette],TableauRecette[[#This Row],[Recette]],TableauRecette[Conditionnement],TableauRecette[[#This Row],[Conditionnement]]),0)</f>
        <v/>
      </c>
      <c r="I18">
        <f>IFERROR(TableauRecette[[#This Row],[Prix d''achat / kg]],0)</f>
        <v/>
      </c>
      <c r="J18" t="inlineStr">
        <is>
          <t>Liban</t>
        </is>
      </c>
      <c r="K18" t="inlineStr">
        <is>
          <t>en huile</t>
        </is>
      </c>
      <c r="L18">
        <f>_xlfn.XLOOKUP(TableauRecette[[#This Row],[ID]],TableauProduit[ID],TableauProduit[Total (kg) N1],0,0,1)*TableauRecette[[#This Row],[fraction mélange]]</f>
        <v/>
      </c>
      <c r="M18">
        <f>_xlfn.XLOOKUP(TableauRecette[[#This Row],[ID]],TableauProduit[ID],TableauProduit[Total (kg) N2],0,0,1)*TableauRecette[[#This Row],[fraction mélange]]</f>
        <v/>
      </c>
      <c r="N18">
        <f>_xlfn.XLOOKUP(TableauRecette[[#This Row],[ID]],TableauProduit[ID],TableauProduit[Total (kg) N3],0,0,1)*TableauRecette[[#This Row],[fraction mélange]]</f>
        <v/>
      </c>
      <c r="O18">
        <f>_xlfn.XLOOKUP(TableauRecette[[#This Row],[ID]],TableauProduit[ID],TableauProduit[Total (kg) N4],0,0,1)*TableauRecette[[#This Row],[fraction mélange]]</f>
        <v/>
      </c>
      <c r="P18">
        <f>_xlfn.XLOOKUP(TableauRecette[[#This Row],[ID]],TableauProduit[ID],TableauProduit[Total (kg) N5],0,0,1)*TableauRecette[[#This Row],[fraction mélange]]</f>
        <v/>
      </c>
      <c r="Q18">
        <f>_xlfn.XLOOKUP(TableauRecette[[#This Row],[ID]],TableauProduit[ID],TableauProduit[Total (kg) N6],0,0,1)*TableauRecette[[#This Row],[fraction mélange]]</f>
        <v/>
      </c>
      <c r="R18">
        <f>_xlfn.XLOOKUP(TableauRecette[[#This Row],[ID]],TableauProduit[ID],TableauProduit[Total (kg) N7],0,0,1)*TableauRecette[[#This Row],[fraction mélange]]</f>
        <v/>
      </c>
      <c r="S18">
        <f>_xlfn.XLOOKUP(TableauRecette[[#This Row],[ID]],TableauProduit[ID],TableauProduit[Total (kg) N8],0,0,1)*TableauRecette[[#This Row],[fraction mélange]]</f>
        <v/>
      </c>
      <c r="T18">
        <f>_xlfn.XLOOKUP(TableauRecette[[#This Row],[ID]],TableauProduit[ID],TableauProduit[Total (kg) N9],0,0,1)*TableauRecette[[#This Row],[fraction mélange]]</f>
        <v/>
      </c>
    </row>
    <row r="19">
      <c r="A19" t="inlineStr">
        <is>
          <t>Baharat turc</t>
        </is>
      </c>
      <c r="B19">
        <f>TableauRecette[[#This Row],[Recette]]&amp;TableauRecette[[#This Row],[Conditionnement]]</f>
        <v/>
      </c>
      <c r="C19" t="inlineStr">
        <is>
          <t>Graine De Cardamome</t>
        </is>
      </c>
      <c r="D19" t="n">
        <v>0.5</v>
      </c>
      <c r="E19" t="inlineStr">
        <is>
          <t>Epice 100ml</t>
        </is>
      </c>
      <c r="F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">
        <f>IFERROR(_xlfn.XLOOKUP(TableauRecette[[#This Row],[Ingredients]],TableauIngredients[Ingredients],TableauIngredients[Prix d''achat / kg],0)*TableauRecette[[#This Row],[fraction mélange]],0)</f>
        <v/>
      </c>
      <c r="H19">
        <f>IFERROR(SUMIFS(TableauRecette[Proportion],TableauRecette[Recette],TableauRecette[[#This Row],[Recette]],TableauRecette[Conditionnement],TableauRecette[[#This Row],[Conditionnement]]),0)</f>
        <v/>
      </c>
      <c r="I19">
        <f>IFERROR(TableauRecette[[#This Row],[Prix d''achat / kg]],0)</f>
        <v/>
      </c>
      <c r="J19" t="inlineStr">
        <is>
          <t>Liban</t>
        </is>
      </c>
      <c r="K19" t="inlineStr">
        <is>
          <t>en huile</t>
        </is>
      </c>
      <c r="L19">
        <f>_xlfn.XLOOKUP(TableauRecette[[#This Row],[ID]],TableauProduit[ID],TableauProduit[Total (kg) N1],0,0,1)*TableauRecette[[#This Row],[fraction mélange]]</f>
        <v/>
      </c>
      <c r="M19">
        <f>_xlfn.XLOOKUP(TableauRecette[[#This Row],[ID]],TableauProduit[ID],TableauProduit[Total (kg) N2],0,0,1)*TableauRecette[[#This Row],[fraction mélange]]</f>
        <v/>
      </c>
      <c r="N19">
        <f>_xlfn.XLOOKUP(TableauRecette[[#This Row],[ID]],TableauProduit[ID],TableauProduit[Total (kg) N3],0,0,1)*TableauRecette[[#This Row],[fraction mélange]]</f>
        <v/>
      </c>
      <c r="O19">
        <f>_xlfn.XLOOKUP(TableauRecette[[#This Row],[ID]],TableauProduit[ID],TableauProduit[Total (kg) N4],0,0,1)*TableauRecette[[#This Row],[fraction mélange]]</f>
        <v/>
      </c>
      <c r="P19">
        <f>_xlfn.XLOOKUP(TableauRecette[[#This Row],[ID]],TableauProduit[ID],TableauProduit[Total (kg) N5],0,0,1)*TableauRecette[[#This Row],[fraction mélange]]</f>
        <v/>
      </c>
      <c r="Q19">
        <f>_xlfn.XLOOKUP(TableauRecette[[#This Row],[ID]],TableauProduit[ID],TableauProduit[Total (kg) N6],0,0,1)*TableauRecette[[#This Row],[fraction mélange]]</f>
        <v/>
      </c>
      <c r="R19">
        <f>_xlfn.XLOOKUP(TableauRecette[[#This Row],[ID]],TableauProduit[ID],TableauProduit[Total (kg) N7],0,0,1)*TableauRecette[[#This Row],[fraction mélange]]</f>
        <v/>
      </c>
      <c r="S19">
        <f>_xlfn.XLOOKUP(TableauRecette[[#This Row],[ID]],TableauProduit[ID],TableauProduit[Total (kg) N8],0,0,1)*TableauRecette[[#This Row],[fraction mélange]]</f>
        <v/>
      </c>
      <c r="T19">
        <f>_xlfn.XLOOKUP(TableauRecette[[#This Row],[ID]],TableauProduit[ID],TableauProduit[Total (kg) N9],0,0,1)*TableauRecette[[#This Row],[fraction mélange]]</f>
        <v/>
      </c>
    </row>
    <row r="20">
      <c r="A20" t="inlineStr">
        <is>
          <t>Baharat turc</t>
        </is>
      </c>
      <c r="B20">
        <f>TableauRecette[[#This Row],[Recette]]&amp;TableauRecette[[#This Row],[Conditionnement]]</f>
        <v/>
      </c>
      <c r="C20" t="inlineStr">
        <is>
          <t>Muscade</t>
        </is>
      </c>
      <c r="D20" t="n">
        <v>1</v>
      </c>
      <c r="E20" t="inlineStr">
        <is>
          <t>Epice 100ml</t>
        </is>
      </c>
      <c r="F2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">
        <f>IFERROR(_xlfn.XLOOKUP(TableauRecette[[#This Row],[Ingredients]],TableauIngredients[Ingredients],TableauIngredients[Prix d''achat / kg],0)*TableauRecette[[#This Row],[fraction mélange]],0)</f>
        <v/>
      </c>
      <c r="H20">
        <f>IFERROR(SUMIFS(TableauRecette[Proportion],TableauRecette[Recette],TableauRecette[[#This Row],[Recette]],TableauRecette[Conditionnement],TableauRecette[[#This Row],[Conditionnement]]),0)</f>
        <v/>
      </c>
      <c r="I20">
        <f>IFERROR(TableauRecette[[#This Row],[Prix d''achat / kg]],0)</f>
        <v/>
      </c>
      <c r="J20" t="inlineStr">
        <is>
          <t>Liban</t>
        </is>
      </c>
      <c r="K20" t="inlineStr">
        <is>
          <t>en huile</t>
        </is>
      </c>
      <c r="L20">
        <f>_xlfn.XLOOKUP(TableauRecette[[#This Row],[ID]],TableauProduit[ID],TableauProduit[Total (kg) N1],0,0,1)*TableauRecette[[#This Row],[fraction mélange]]</f>
        <v/>
      </c>
      <c r="M20">
        <f>_xlfn.XLOOKUP(TableauRecette[[#This Row],[ID]],TableauProduit[ID],TableauProduit[Total (kg) N2],0,0,1)*TableauRecette[[#This Row],[fraction mélange]]</f>
        <v/>
      </c>
      <c r="N20">
        <f>_xlfn.XLOOKUP(TableauRecette[[#This Row],[ID]],TableauProduit[ID],TableauProduit[Total (kg) N3],0,0,1)*TableauRecette[[#This Row],[fraction mélange]]</f>
        <v/>
      </c>
      <c r="O20">
        <f>_xlfn.XLOOKUP(TableauRecette[[#This Row],[ID]],TableauProduit[ID],TableauProduit[Total (kg) N4],0,0,1)*TableauRecette[[#This Row],[fraction mélange]]</f>
        <v/>
      </c>
      <c r="P20">
        <f>_xlfn.XLOOKUP(TableauRecette[[#This Row],[ID]],TableauProduit[ID],TableauProduit[Total (kg) N5],0,0,1)*TableauRecette[[#This Row],[fraction mélange]]</f>
        <v/>
      </c>
      <c r="Q20">
        <f>_xlfn.XLOOKUP(TableauRecette[[#This Row],[ID]],TableauProduit[ID],TableauProduit[Total (kg) N6],0,0,1)*TableauRecette[[#This Row],[fraction mélange]]</f>
        <v/>
      </c>
      <c r="R20">
        <f>_xlfn.XLOOKUP(TableauRecette[[#This Row],[ID]],TableauProduit[ID],TableauProduit[Total (kg) N7],0,0,1)*TableauRecette[[#This Row],[fraction mélange]]</f>
        <v/>
      </c>
      <c r="S20">
        <f>_xlfn.XLOOKUP(TableauRecette[[#This Row],[ID]],TableauProduit[ID],TableauProduit[Total (kg) N8],0,0,1)*TableauRecette[[#This Row],[fraction mélange]]</f>
        <v/>
      </c>
      <c r="T20">
        <f>_xlfn.XLOOKUP(TableauRecette[[#This Row],[ID]],TableauProduit[ID],TableauProduit[Total (kg) N9],0,0,1)*TableauRecette[[#This Row],[fraction mélange]]</f>
        <v/>
      </c>
    </row>
    <row r="21">
      <c r="A21" t="inlineStr">
        <is>
          <t>Baharat turc</t>
        </is>
      </c>
      <c r="B21">
        <f>TableauRecette[[#This Row],[Recette]]&amp;TableauRecette[[#This Row],[Conditionnement]]</f>
        <v/>
      </c>
      <c r="C21" t="inlineStr">
        <is>
          <t>Cannelle</t>
        </is>
      </c>
      <c r="D21" t="n">
        <v>1</v>
      </c>
      <c r="E21" t="inlineStr">
        <is>
          <t>Epice 100ml</t>
        </is>
      </c>
      <c r="F2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">
        <f>IFERROR(_xlfn.XLOOKUP(TableauRecette[[#This Row],[Ingredients]],TableauIngredients[Ingredients],TableauIngredients[Prix d''achat / kg],0)*TableauRecette[[#This Row],[fraction mélange]],0)</f>
        <v/>
      </c>
      <c r="H21">
        <f>IFERROR(SUMIFS(TableauRecette[Proportion],TableauRecette[Recette],TableauRecette[[#This Row],[Recette]],TableauRecette[Conditionnement],TableauRecette[[#This Row],[Conditionnement]]),0)</f>
        <v/>
      </c>
      <c r="I21">
        <f>IFERROR(TableauRecette[[#This Row],[Prix d''achat / kg]],0)</f>
        <v/>
      </c>
      <c r="J21" t="inlineStr">
        <is>
          <t>Liban</t>
        </is>
      </c>
      <c r="K21" t="inlineStr">
        <is>
          <t>en huile</t>
        </is>
      </c>
      <c r="L21">
        <f>_xlfn.XLOOKUP(TableauRecette[[#This Row],[ID]],TableauProduit[ID],TableauProduit[Total (kg) N1],0,0,1)*TableauRecette[[#This Row],[fraction mélange]]</f>
        <v/>
      </c>
      <c r="M21">
        <f>_xlfn.XLOOKUP(TableauRecette[[#This Row],[ID]],TableauProduit[ID],TableauProduit[Total (kg) N2],0,0,1)*TableauRecette[[#This Row],[fraction mélange]]</f>
        <v/>
      </c>
      <c r="N21">
        <f>_xlfn.XLOOKUP(TableauRecette[[#This Row],[ID]],TableauProduit[ID],TableauProduit[Total (kg) N3],0,0,1)*TableauRecette[[#This Row],[fraction mélange]]</f>
        <v/>
      </c>
      <c r="O21">
        <f>_xlfn.XLOOKUP(TableauRecette[[#This Row],[ID]],TableauProduit[ID],TableauProduit[Total (kg) N4],0,0,1)*TableauRecette[[#This Row],[fraction mélange]]</f>
        <v/>
      </c>
      <c r="P21">
        <f>_xlfn.XLOOKUP(TableauRecette[[#This Row],[ID]],TableauProduit[ID],TableauProduit[Total (kg) N5],0,0,1)*TableauRecette[[#This Row],[fraction mélange]]</f>
        <v/>
      </c>
      <c r="Q21">
        <f>_xlfn.XLOOKUP(TableauRecette[[#This Row],[ID]],TableauProduit[ID],TableauProduit[Total (kg) N6],0,0,1)*TableauRecette[[#This Row],[fraction mélange]]</f>
        <v/>
      </c>
      <c r="R21">
        <f>_xlfn.XLOOKUP(TableauRecette[[#This Row],[ID]],TableauProduit[ID],TableauProduit[Total (kg) N7],0,0,1)*TableauRecette[[#This Row],[fraction mélange]]</f>
        <v/>
      </c>
      <c r="S21">
        <f>_xlfn.XLOOKUP(TableauRecette[[#This Row],[ID]],TableauProduit[ID],TableauProduit[Total (kg) N8],0,0,1)*TableauRecette[[#This Row],[fraction mélange]]</f>
        <v/>
      </c>
      <c r="T21">
        <f>_xlfn.XLOOKUP(TableauRecette[[#This Row],[ID]],TableauProduit[ID],TableauProduit[Total (kg) N9],0,0,1)*TableauRecette[[#This Row],[fraction mélange]]</f>
        <v/>
      </c>
    </row>
    <row r="22">
      <c r="A22" t="inlineStr">
        <is>
          <t>Baharat turc</t>
        </is>
      </c>
      <c r="B22">
        <f>TableauRecette[[#This Row],[Recette]]&amp;TableauRecette[[#This Row],[Conditionnement]]</f>
        <v/>
      </c>
      <c r="C22" t="inlineStr">
        <is>
          <t>Menthe Verte Séchée</t>
        </is>
      </c>
      <c r="D22" t="n">
        <v>1</v>
      </c>
      <c r="E22" t="inlineStr">
        <is>
          <t>Epice 100ml</t>
        </is>
      </c>
      <c r="F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">
        <f>IFERROR(_xlfn.XLOOKUP(TableauRecette[[#This Row],[Ingredients]],TableauIngredients[Ingredients],TableauIngredients[Prix d''achat / kg],0)*TableauRecette[[#This Row],[fraction mélange]],0)</f>
        <v/>
      </c>
      <c r="H22">
        <f>IFERROR(SUMIFS(TableauRecette[Proportion],TableauRecette[Recette],TableauRecette[[#This Row],[Recette]],TableauRecette[Conditionnement],TableauRecette[[#This Row],[Conditionnement]]),0)</f>
        <v/>
      </c>
      <c r="I22">
        <f>IFERROR(TableauRecette[[#This Row],[Prix d''achat / kg]],0)</f>
        <v/>
      </c>
      <c r="J22" t="inlineStr">
        <is>
          <t>Liban</t>
        </is>
      </c>
      <c r="K22" t="inlineStr">
        <is>
          <t>en huile</t>
        </is>
      </c>
      <c r="L22">
        <f>_xlfn.XLOOKUP(TableauRecette[[#This Row],[ID]],TableauProduit[ID],TableauProduit[Total (kg) N1],0,0,1)*TableauRecette[[#This Row],[fraction mélange]]</f>
        <v/>
      </c>
      <c r="M22">
        <f>_xlfn.XLOOKUP(TableauRecette[[#This Row],[ID]],TableauProduit[ID],TableauProduit[Total (kg) N2],0,0,1)*TableauRecette[[#This Row],[fraction mélange]]</f>
        <v/>
      </c>
      <c r="N22">
        <f>_xlfn.XLOOKUP(TableauRecette[[#This Row],[ID]],TableauProduit[ID],TableauProduit[Total (kg) N3],0,0,1)*TableauRecette[[#This Row],[fraction mélange]]</f>
        <v/>
      </c>
      <c r="O22">
        <f>_xlfn.XLOOKUP(TableauRecette[[#This Row],[ID]],TableauProduit[ID],TableauProduit[Total (kg) N4],0,0,1)*TableauRecette[[#This Row],[fraction mélange]]</f>
        <v/>
      </c>
      <c r="P22">
        <f>_xlfn.XLOOKUP(TableauRecette[[#This Row],[ID]],TableauProduit[ID],TableauProduit[Total (kg) N5],0,0,1)*TableauRecette[[#This Row],[fraction mélange]]</f>
        <v/>
      </c>
      <c r="Q22">
        <f>_xlfn.XLOOKUP(TableauRecette[[#This Row],[ID]],TableauProduit[ID],TableauProduit[Total (kg) N6],0,0,1)*TableauRecette[[#This Row],[fraction mélange]]</f>
        <v/>
      </c>
      <c r="R22">
        <f>_xlfn.XLOOKUP(TableauRecette[[#This Row],[ID]],TableauProduit[ID],TableauProduit[Total (kg) N7],0,0,1)*TableauRecette[[#This Row],[fraction mélange]]</f>
        <v/>
      </c>
      <c r="S22">
        <f>_xlfn.XLOOKUP(TableauRecette[[#This Row],[ID]],TableauProduit[ID],TableauProduit[Total (kg) N8],0,0,1)*TableauRecette[[#This Row],[fraction mélange]]</f>
        <v/>
      </c>
      <c r="T22">
        <f>_xlfn.XLOOKUP(TableauRecette[[#This Row],[ID]],TableauProduit[ID],TableauProduit[Total (kg) N9],0,0,1)*TableauRecette[[#This Row],[fraction mélange]]</f>
        <v/>
      </c>
    </row>
    <row r="23">
      <c r="A23" t="inlineStr">
        <is>
          <t>Carvi graine</t>
        </is>
      </c>
      <c r="B23">
        <f>TableauRecette[[#This Row],[Recette]]&amp;TableauRecette[[#This Row],[Conditionnement]]</f>
        <v/>
      </c>
      <c r="C23" t="inlineStr">
        <is>
          <t>Graine De Carvi</t>
        </is>
      </c>
      <c r="D23" t="n">
        <v>1</v>
      </c>
      <c r="E23" t="inlineStr">
        <is>
          <t>Epice 100ml</t>
        </is>
      </c>
      <c r="F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">
        <f>IFERROR(_xlfn.XLOOKUP(TableauRecette[[#This Row],[Ingredients]],TableauIngredients[Ingredients],TableauIngredients[Prix d''achat / kg],0)*TableauRecette[[#This Row],[fraction mélange]],0)</f>
        <v/>
      </c>
      <c r="H23">
        <f>IFERROR(SUMIFS(TableauRecette[Proportion],TableauRecette[Recette],TableauRecette[[#This Row],[Recette]],TableauRecette[Conditionnement],TableauRecette[[#This Row],[Conditionnement]]),0)</f>
        <v/>
      </c>
      <c r="I23">
        <f>IFERROR(TableauRecette[[#This Row],[Prix d''achat / kg]],0)</f>
        <v/>
      </c>
      <c r="J23" t="inlineStr">
        <is>
          <t>Liban</t>
        </is>
      </c>
      <c r="K23" t="inlineStr">
        <is>
          <t>en huile</t>
        </is>
      </c>
      <c r="L23">
        <f>_xlfn.XLOOKUP(TableauRecette[[#This Row],[ID]],TableauProduit[ID],TableauProduit[Total (kg) N1],0,0,1)*TableauRecette[[#This Row],[fraction mélange]]</f>
        <v/>
      </c>
      <c r="M23">
        <f>_xlfn.XLOOKUP(TableauRecette[[#This Row],[ID]],TableauProduit[ID],TableauProduit[Total (kg) N2],0,0,1)*TableauRecette[[#This Row],[fraction mélange]]</f>
        <v/>
      </c>
      <c r="N23">
        <f>_xlfn.XLOOKUP(TableauRecette[[#This Row],[ID]],TableauProduit[ID],TableauProduit[Total (kg) N3],0,0,1)*TableauRecette[[#This Row],[fraction mélange]]</f>
        <v/>
      </c>
      <c r="O23">
        <f>_xlfn.XLOOKUP(TableauRecette[[#This Row],[ID]],TableauProduit[ID],TableauProduit[Total (kg) N4],0,0,1)*TableauRecette[[#This Row],[fraction mélange]]</f>
        <v/>
      </c>
      <c r="P23">
        <f>_xlfn.XLOOKUP(TableauRecette[[#This Row],[ID]],TableauProduit[ID],TableauProduit[Total (kg) N5],0,0,1)*TableauRecette[[#This Row],[fraction mélange]]</f>
        <v/>
      </c>
      <c r="Q23">
        <f>_xlfn.XLOOKUP(TableauRecette[[#This Row],[ID]],TableauProduit[ID],TableauProduit[Total (kg) N6],0,0,1)*TableauRecette[[#This Row],[fraction mélange]]</f>
        <v/>
      </c>
      <c r="R23">
        <f>_xlfn.XLOOKUP(TableauRecette[[#This Row],[ID]],TableauProduit[ID],TableauProduit[Total (kg) N7],0,0,1)*TableauRecette[[#This Row],[fraction mélange]]</f>
        <v/>
      </c>
      <c r="S23">
        <f>_xlfn.XLOOKUP(TableauRecette[[#This Row],[ID]],TableauProduit[ID],TableauProduit[Total (kg) N8],0,0,1)*TableauRecette[[#This Row],[fraction mélange]]</f>
        <v/>
      </c>
      <c r="T23">
        <f>_xlfn.XLOOKUP(TableauRecette[[#This Row],[ID]],TableauProduit[ID],TableauProduit[Total (kg) N9],0,0,1)*TableauRecette[[#This Row],[fraction mélange]]</f>
        <v/>
      </c>
    </row>
    <row r="24">
      <c r="A24" t="inlineStr">
        <is>
          <t>Carvi moulu</t>
        </is>
      </c>
      <c r="B24">
        <f>TableauRecette[[#This Row],[Recette]]&amp;TableauRecette[[#This Row],[Conditionnement]]</f>
        <v/>
      </c>
      <c r="C24" t="inlineStr">
        <is>
          <t>Carvi Moule</t>
        </is>
      </c>
      <c r="D24" t="n">
        <v>1</v>
      </c>
      <c r="E24" t="inlineStr">
        <is>
          <t>Epice 100ml</t>
        </is>
      </c>
      <c r="F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">
        <f>IFERROR(_xlfn.XLOOKUP(TableauRecette[[#This Row],[Ingredients]],TableauIngredients[Ingredients],TableauIngredients[Prix d''achat / kg],0)*TableauRecette[[#This Row],[fraction mélange]],0)</f>
        <v/>
      </c>
      <c r="H24">
        <f>IFERROR(SUMIFS(TableauRecette[Proportion],TableauRecette[Recette],TableauRecette[[#This Row],[Recette]],TableauRecette[Conditionnement],TableauRecette[[#This Row],[Conditionnement]]),0)</f>
        <v/>
      </c>
      <c r="I24">
        <f>IFERROR(TableauRecette[[#This Row],[Prix d''achat / kg]],0)</f>
        <v/>
      </c>
      <c r="L24">
        <f>_xlfn.XLOOKUP(TableauRecette[[#This Row],[ID]],TableauProduit[ID],TableauProduit[Total (kg) N1],0,0,1)*TableauRecette[[#This Row],[fraction mélange]]</f>
        <v/>
      </c>
      <c r="M24">
        <f>_xlfn.XLOOKUP(TableauRecette[[#This Row],[ID]],TableauProduit[ID],TableauProduit[Total (kg) N2],0,0,1)*TableauRecette[[#This Row],[fraction mélange]]</f>
        <v/>
      </c>
      <c r="N24">
        <f>_xlfn.XLOOKUP(TableauRecette[[#This Row],[ID]],TableauProduit[ID],TableauProduit[Total (kg) N3],0,0,1)*TableauRecette[[#This Row],[fraction mélange]]</f>
        <v/>
      </c>
      <c r="O24">
        <f>_xlfn.XLOOKUP(TableauRecette[[#This Row],[ID]],TableauProduit[ID],TableauProduit[Total (kg) N4],0,0,1)*TableauRecette[[#This Row],[fraction mélange]]</f>
        <v/>
      </c>
      <c r="P24">
        <f>_xlfn.XLOOKUP(TableauRecette[[#This Row],[ID]],TableauProduit[ID],TableauProduit[Total (kg) N5],0,0,1)*TableauRecette[[#This Row],[fraction mélange]]</f>
        <v/>
      </c>
      <c r="Q24">
        <f>_xlfn.XLOOKUP(TableauRecette[[#This Row],[ID]],TableauProduit[ID],TableauProduit[Total (kg) N6],0,0,1)*TableauRecette[[#This Row],[fraction mélange]]</f>
        <v/>
      </c>
      <c r="R24">
        <f>_xlfn.XLOOKUP(TableauRecette[[#This Row],[ID]],TableauProduit[ID],TableauProduit[Total (kg) N7],0,0,1)*TableauRecette[[#This Row],[fraction mélange]]</f>
        <v/>
      </c>
      <c r="S24">
        <f>_xlfn.XLOOKUP(TableauRecette[[#This Row],[ID]],TableauProduit[ID],TableauProduit[Total (kg) N8],0,0,1)*TableauRecette[[#This Row],[fraction mélange]]</f>
        <v/>
      </c>
      <c r="T24">
        <f>_xlfn.XLOOKUP(TableauRecette[[#This Row],[ID]],TableauProduit[ID],TableauProduit[Total (kg) N9],0,0,1)*TableauRecette[[#This Row],[fraction mélange]]</f>
        <v/>
      </c>
    </row>
    <row r="25">
      <c r="A25" t="inlineStr">
        <is>
          <t>Chaat masala</t>
        </is>
      </c>
      <c r="B25">
        <f>TableauRecette[[#This Row],[Recette]]&amp;TableauRecette[[#This Row],[Conditionnement]]</f>
        <v/>
      </c>
      <c r="C25" t="inlineStr">
        <is>
          <t>Graine De Cumin</t>
        </is>
      </c>
      <c r="D25" t="n">
        <v>6</v>
      </c>
      <c r="E25" t="inlineStr">
        <is>
          <t>Epice 100ml</t>
        </is>
      </c>
      <c r="F2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">
        <f>IFERROR(_xlfn.XLOOKUP(TableauRecette[[#This Row],[Ingredients]],TableauIngredients[Ingredients],TableauIngredients[Prix d''achat / kg],0)*TableauRecette[[#This Row],[fraction mélange]],0)</f>
        <v/>
      </c>
      <c r="H25">
        <f>IFERROR(SUMIFS(TableauRecette[Proportion],TableauRecette[Recette],TableauRecette[[#This Row],[Recette]],TableauRecette[Conditionnement],TableauRecette[[#This Row],[Conditionnement]]),0)</f>
        <v/>
      </c>
      <c r="I25">
        <f>IFERROR(TableauRecette[[#This Row],[Prix d''achat / kg]],0)</f>
        <v/>
      </c>
      <c r="L25">
        <f>_xlfn.XLOOKUP(TableauRecette[[#This Row],[ID]],TableauProduit[ID],TableauProduit[Total (kg) N1],0,0,1)*TableauRecette[[#This Row],[fraction mélange]]</f>
        <v/>
      </c>
      <c r="M25">
        <f>_xlfn.XLOOKUP(TableauRecette[[#This Row],[ID]],TableauProduit[ID],TableauProduit[Total (kg) N2],0,0,1)*TableauRecette[[#This Row],[fraction mélange]]</f>
        <v/>
      </c>
      <c r="N25">
        <f>_xlfn.XLOOKUP(TableauRecette[[#This Row],[ID]],TableauProduit[ID],TableauProduit[Total (kg) N3],0,0,1)*TableauRecette[[#This Row],[fraction mélange]]</f>
        <v/>
      </c>
      <c r="O25">
        <f>_xlfn.XLOOKUP(TableauRecette[[#This Row],[ID]],TableauProduit[ID],TableauProduit[Total (kg) N4],0,0,1)*TableauRecette[[#This Row],[fraction mélange]]</f>
        <v/>
      </c>
      <c r="P25">
        <f>_xlfn.XLOOKUP(TableauRecette[[#This Row],[ID]],TableauProduit[ID],TableauProduit[Total (kg) N5],0,0,1)*TableauRecette[[#This Row],[fraction mélange]]</f>
        <v/>
      </c>
      <c r="Q25">
        <f>_xlfn.XLOOKUP(TableauRecette[[#This Row],[ID]],TableauProduit[ID],TableauProduit[Total (kg) N6],0,0,1)*TableauRecette[[#This Row],[fraction mélange]]</f>
        <v/>
      </c>
      <c r="R25">
        <f>_xlfn.XLOOKUP(TableauRecette[[#This Row],[ID]],TableauProduit[ID],TableauProduit[Total (kg) N7],0,0,1)*TableauRecette[[#This Row],[fraction mélange]]</f>
        <v/>
      </c>
      <c r="S25">
        <f>_xlfn.XLOOKUP(TableauRecette[[#This Row],[ID]],TableauProduit[ID],TableauProduit[Total (kg) N8],0,0,1)*TableauRecette[[#This Row],[fraction mélange]]</f>
        <v/>
      </c>
      <c r="T25">
        <f>_xlfn.XLOOKUP(TableauRecette[[#This Row],[ID]],TableauProduit[ID],TableauProduit[Total (kg) N9],0,0,1)*TableauRecette[[#This Row],[fraction mélange]]</f>
        <v/>
      </c>
    </row>
    <row r="26">
      <c r="A26" t="inlineStr">
        <is>
          <t>Chaat masala</t>
        </is>
      </c>
      <c r="B26">
        <f>TableauRecette[[#This Row],[Recette]]&amp;TableauRecette[[#This Row],[Conditionnement]]</f>
        <v/>
      </c>
      <c r="C26" t="inlineStr">
        <is>
          <t>Coriandre Graine</t>
        </is>
      </c>
      <c r="D26" t="n">
        <v>1</v>
      </c>
      <c r="E26" t="inlineStr">
        <is>
          <t>Epice 100ml</t>
        </is>
      </c>
      <c r="F2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">
        <f>IFERROR(_xlfn.XLOOKUP(TableauRecette[[#This Row],[Ingredients]],TableauIngredients[Ingredients],TableauIngredients[Prix d''achat / kg],0)*TableauRecette[[#This Row],[fraction mélange]],0)</f>
        <v/>
      </c>
      <c r="H26">
        <f>IFERROR(SUMIFS(TableauRecette[Proportion],TableauRecette[Recette],TableauRecette[[#This Row],[Recette]],TableauRecette[Conditionnement],TableauRecette[[#This Row],[Conditionnement]]),0)</f>
        <v/>
      </c>
      <c r="I26">
        <f>IFERROR(TableauRecette[[#This Row],[Prix d''achat / kg]],0)</f>
        <v/>
      </c>
      <c r="L26">
        <f>_xlfn.XLOOKUP(TableauRecette[[#This Row],[ID]],TableauProduit[ID],TableauProduit[Total (kg) N1],0,0,1)*TableauRecette[[#This Row],[fraction mélange]]</f>
        <v/>
      </c>
      <c r="M26">
        <f>_xlfn.XLOOKUP(TableauRecette[[#This Row],[ID]],TableauProduit[ID],TableauProduit[Total (kg) N2],0,0,1)*TableauRecette[[#This Row],[fraction mélange]]</f>
        <v/>
      </c>
      <c r="N26">
        <f>_xlfn.XLOOKUP(TableauRecette[[#This Row],[ID]],TableauProduit[ID],TableauProduit[Total (kg) N3],0,0,1)*TableauRecette[[#This Row],[fraction mélange]]</f>
        <v/>
      </c>
      <c r="O26">
        <f>_xlfn.XLOOKUP(TableauRecette[[#This Row],[ID]],TableauProduit[ID],TableauProduit[Total (kg) N4],0,0,1)*TableauRecette[[#This Row],[fraction mélange]]</f>
        <v/>
      </c>
      <c r="P26">
        <f>_xlfn.XLOOKUP(TableauRecette[[#This Row],[ID]],TableauProduit[ID],TableauProduit[Total (kg) N5],0,0,1)*TableauRecette[[#This Row],[fraction mélange]]</f>
        <v/>
      </c>
      <c r="Q26">
        <f>_xlfn.XLOOKUP(TableauRecette[[#This Row],[ID]],TableauProduit[ID],TableauProduit[Total (kg) N6],0,0,1)*TableauRecette[[#This Row],[fraction mélange]]</f>
        <v/>
      </c>
      <c r="R26">
        <f>_xlfn.XLOOKUP(TableauRecette[[#This Row],[ID]],TableauProduit[ID],TableauProduit[Total (kg) N7],0,0,1)*TableauRecette[[#This Row],[fraction mélange]]</f>
        <v/>
      </c>
      <c r="S26">
        <f>_xlfn.XLOOKUP(TableauRecette[[#This Row],[ID]],TableauProduit[ID],TableauProduit[Total (kg) N8],0,0,1)*TableauRecette[[#This Row],[fraction mélange]]</f>
        <v/>
      </c>
      <c r="T26">
        <f>_xlfn.XLOOKUP(TableauRecette[[#This Row],[ID]],TableauProduit[ID],TableauProduit[Total (kg) N9],0,0,1)*TableauRecette[[#This Row],[fraction mélange]]</f>
        <v/>
      </c>
    </row>
    <row r="27">
      <c r="A27" t="inlineStr">
        <is>
          <t>Chaat masala</t>
        </is>
      </c>
      <c r="B27">
        <f>TableauRecette[[#This Row],[Recette]]&amp;TableauRecette[[#This Row],[Conditionnement]]</f>
        <v/>
      </c>
      <c r="C27" t="inlineStr">
        <is>
          <t>Poivre Noir</t>
        </is>
      </c>
      <c r="D27" t="n">
        <v>3</v>
      </c>
      <c r="E27" t="inlineStr">
        <is>
          <t>Epice 100ml</t>
        </is>
      </c>
      <c r="F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">
        <f>IFERROR(_xlfn.XLOOKUP(TableauRecette[[#This Row],[Ingredients]],TableauIngredients[Ingredients],TableauIngredients[Prix d''achat / kg],0)*TableauRecette[[#This Row],[fraction mélange]],0)</f>
        <v/>
      </c>
      <c r="H27">
        <f>IFERROR(SUMIFS(TableauRecette[Proportion],TableauRecette[Recette],TableauRecette[[#This Row],[Recette]],TableauRecette[Conditionnement],TableauRecette[[#This Row],[Conditionnement]]),0)</f>
        <v/>
      </c>
      <c r="I27">
        <f>IFERROR(TableauRecette[[#This Row],[Prix d''achat / kg]],0)</f>
        <v/>
      </c>
      <c r="L27">
        <f>_xlfn.XLOOKUP(TableauRecette[[#This Row],[ID]],TableauProduit[ID],TableauProduit[Total (kg) N1],0,0,1)*TableauRecette[[#This Row],[fraction mélange]]</f>
        <v/>
      </c>
      <c r="M27">
        <f>_xlfn.XLOOKUP(TableauRecette[[#This Row],[ID]],TableauProduit[ID],TableauProduit[Total (kg) N2],0,0,1)*TableauRecette[[#This Row],[fraction mélange]]</f>
        <v/>
      </c>
      <c r="N27">
        <f>_xlfn.XLOOKUP(TableauRecette[[#This Row],[ID]],TableauProduit[ID],TableauProduit[Total (kg) N3],0,0,1)*TableauRecette[[#This Row],[fraction mélange]]</f>
        <v/>
      </c>
      <c r="O27">
        <f>_xlfn.XLOOKUP(TableauRecette[[#This Row],[ID]],TableauProduit[ID],TableauProduit[Total (kg) N4],0,0,1)*TableauRecette[[#This Row],[fraction mélange]]</f>
        <v/>
      </c>
      <c r="P27">
        <f>_xlfn.XLOOKUP(TableauRecette[[#This Row],[ID]],TableauProduit[ID],TableauProduit[Total (kg) N5],0,0,1)*TableauRecette[[#This Row],[fraction mélange]]</f>
        <v/>
      </c>
      <c r="Q27">
        <f>_xlfn.XLOOKUP(TableauRecette[[#This Row],[ID]],TableauProduit[ID],TableauProduit[Total (kg) N6],0,0,1)*TableauRecette[[#This Row],[fraction mélange]]</f>
        <v/>
      </c>
      <c r="R27">
        <f>_xlfn.XLOOKUP(TableauRecette[[#This Row],[ID]],TableauProduit[ID],TableauProduit[Total (kg) N7],0,0,1)*TableauRecette[[#This Row],[fraction mélange]]</f>
        <v/>
      </c>
      <c r="S27">
        <f>_xlfn.XLOOKUP(TableauRecette[[#This Row],[ID]],TableauProduit[ID],TableauProduit[Total (kg) N8],0,0,1)*TableauRecette[[#This Row],[fraction mélange]]</f>
        <v/>
      </c>
      <c r="T27">
        <f>_xlfn.XLOOKUP(TableauRecette[[#This Row],[ID]],TableauProduit[ID],TableauProduit[Total (kg) N9],0,0,1)*TableauRecette[[#This Row],[fraction mélange]]</f>
        <v/>
      </c>
    </row>
    <row r="28">
      <c r="A28" t="inlineStr">
        <is>
          <t>Chaat masala</t>
        </is>
      </c>
      <c r="B28">
        <f>TableauRecette[[#This Row],[Recette]]&amp;TableauRecette[[#This Row],[Conditionnement]]</f>
        <v/>
      </c>
      <c r="C28" t="inlineStr">
        <is>
          <t>Amchur</t>
        </is>
      </c>
      <c r="D28" t="n">
        <v>9</v>
      </c>
      <c r="E28" t="inlineStr">
        <is>
          <t>Epice 100ml</t>
        </is>
      </c>
      <c r="F2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">
        <f>IFERROR(_xlfn.XLOOKUP(TableauRecette[[#This Row],[Ingredients]],TableauIngredients[Ingredients],TableauIngredients[Prix d''achat / kg],0)*TableauRecette[[#This Row],[fraction mélange]],0)</f>
        <v/>
      </c>
      <c r="H28">
        <f>IFERROR(SUMIFS(TableauRecette[Proportion],TableauRecette[Recette],TableauRecette[[#This Row],[Recette]],TableauRecette[Conditionnement],TableauRecette[[#This Row],[Conditionnement]]),0)</f>
        <v/>
      </c>
      <c r="I28">
        <f>IFERROR(TableauRecette[[#This Row],[Prix d''achat / kg]],0)</f>
        <v/>
      </c>
      <c r="L28">
        <f>_xlfn.XLOOKUP(TableauRecette[[#This Row],[ID]],TableauProduit[ID],TableauProduit[Total (kg) N1],0,0,1)*TableauRecette[[#This Row],[fraction mélange]]</f>
        <v/>
      </c>
      <c r="M28">
        <f>_xlfn.XLOOKUP(TableauRecette[[#This Row],[ID]],TableauProduit[ID],TableauProduit[Total (kg) N2],0,0,1)*TableauRecette[[#This Row],[fraction mélange]]</f>
        <v/>
      </c>
      <c r="N28">
        <f>_xlfn.XLOOKUP(TableauRecette[[#This Row],[ID]],TableauProduit[ID],TableauProduit[Total (kg) N3],0,0,1)*TableauRecette[[#This Row],[fraction mélange]]</f>
        <v/>
      </c>
      <c r="O28">
        <f>_xlfn.XLOOKUP(TableauRecette[[#This Row],[ID]],TableauProduit[ID],TableauProduit[Total (kg) N4],0,0,1)*TableauRecette[[#This Row],[fraction mélange]]</f>
        <v/>
      </c>
      <c r="P28">
        <f>_xlfn.XLOOKUP(TableauRecette[[#This Row],[ID]],TableauProduit[ID],TableauProduit[Total (kg) N5],0,0,1)*TableauRecette[[#This Row],[fraction mélange]]</f>
        <v/>
      </c>
      <c r="Q28">
        <f>_xlfn.XLOOKUP(TableauRecette[[#This Row],[ID]],TableauProduit[ID],TableauProduit[Total (kg) N6],0,0,1)*TableauRecette[[#This Row],[fraction mélange]]</f>
        <v/>
      </c>
      <c r="R28">
        <f>_xlfn.XLOOKUP(TableauRecette[[#This Row],[ID]],TableauProduit[ID],TableauProduit[Total (kg) N7],0,0,1)*TableauRecette[[#This Row],[fraction mélange]]</f>
        <v/>
      </c>
      <c r="S28">
        <f>_xlfn.XLOOKUP(TableauRecette[[#This Row],[ID]],TableauProduit[ID],TableauProduit[Total (kg) N8],0,0,1)*TableauRecette[[#This Row],[fraction mélange]]</f>
        <v/>
      </c>
      <c r="T28">
        <f>_xlfn.XLOOKUP(TableauRecette[[#This Row],[ID]],TableauProduit[ID],TableauProduit[Total (kg) N9],0,0,1)*TableauRecette[[#This Row],[fraction mélange]]</f>
        <v/>
      </c>
    </row>
    <row r="29">
      <c r="A29" t="inlineStr">
        <is>
          <t>Chaat masala</t>
        </is>
      </c>
      <c r="B29">
        <f>TableauRecette[[#This Row],[Recette]]&amp;TableauRecette[[#This Row],[Conditionnement]]</f>
        <v/>
      </c>
      <c r="C29" t="inlineStr">
        <is>
          <t>Gingembre Sec</t>
        </is>
      </c>
      <c r="D29" t="n">
        <v>1</v>
      </c>
      <c r="E29" t="inlineStr">
        <is>
          <t>Epice 100ml</t>
        </is>
      </c>
      <c r="F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">
        <f>IFERROR(_xlfn.XLOOKUP(TableauRecette[[#This Row],[Ingredients]],TableauIngredients[Ingredients],TableauIngredients[Prix d''achat / kg],0)*TableauRecette[[#This Row],[fraction mélange]],0)</f>
        <v/>
      </c>
      <c r="H29">
        <f>IFERROR(SUMIFS(TableauRecette[Proportion],TableauRecette[Recette],TableauRecette[[#This Row],[Recette]],TableauRecette[Conditionnement],TableauRecette[[#This Row],[Conditionnement]]),0)</f>
        <v/>
      </c>
      <c r="I29">
        <f>IFERROR(TableauRecette[[#This Row],[Prix d''achat / kg]],0)</f>
        <v/>
      </c>
      <c r="J29" t="inlineStr">
        <is>
          <t>Iran</t>
        </is>
      </c>
      <c r="K29" t="inlineStr">
        <is>
          <t>SEC</t>
        </is>
      </c>
      <c r="L29">
        <f>_xlfn.XLOOKUP(TableauRecette[[#This Row],[ID]],TableauProduit[ID],TableauProduit[Total (kg) N1],0,0,1)*TableauRecette[[#This Row],[fraction mélange]]</f>
        <v/>
      </c>
      <c r="M29">
        <f>_xlfn.XLOOKUP(TableauRecette[[#This Row],[ID]],TableauProduit[ID],TableauProduit[Total (kg) N2],0,0,1)*TableauRecette[[#This Row],[fraction mélange]]</f>
        <v/>
      </c>
      <c r="N29">
        <f>_xlfn.XLOOKUP(TableauRecette[[#This Row],[ID]],TableauProduit[ID],TableauProduit[Total (kg) N3],0,0,1)*TableauRecette[[#This Row],[fraction mélange]]</f>
        <v/>
      </c>
      <c r="O29">
        <f>_xlfn.XLOOKUP(TableauRecette[[#This Row],[ID]],TableauProduit[ID],TableauProduit[Total (kg) N4],0,0,1)*TableauRecette[[#This Row],[fraction mélange]]</f>
        <v/>
      </c>
      <c r="P29">
        <f>_xlfn.XLOOKUP(TableauRecette[[#This Row],[ID]],TableauProduit[ID],TableauProduit[Total (kg) N5],0,0,1)*TableauRecette[[#This Row],[fraction mélange]]</f>
        <v/>
      </c>
      <c r="Q29">
        <f>_xlfn.XLOOKUP(TableauRecette[[#This Row],[ID]],TableauProduit[ID],TableauProduit[Total (kg) N6],0,0,1)*TableauRecette[[#This Row],[fraction mélange]]</f>
        <v/>
      </c>
      <c r="R29">
        <f>_xlfn.XLOOKUP(TableauRecette[[#This Row],[ID]],TableauProduit[ID],TableauProduit[Total (kg) N7],0,0,1)*TableauRecette[[#This Row],[fraction mélange]]</f>
        <v/>
      </c>
      <c r="S29">
        <f>_xlfn.XLOOKUP(TableauRecette[[#This Row],[ID]],TableauProduit[ID],TableauProduit[Total (kg) N8],0,0,1)*TableauRecette[[#This Row],[fraction mélange]]</f>
        <v/>
      </c>
      <c r="T29">
        <f>_xlfn.XLOOKUP(TableauRecette[[#This Row],[ID]],TableauProduit[ID],TableauProduit[Total (kg) N9],0,0,1)*TableauRecette[[#This Row],[fraction mélange]]</f>
        <v/>
      </c>
    </row>
    <row r="30">
      <c r="A30" t="inlineStr">
        <is>
          <t>Chaat masala</t>
        </is>
      </c>
      <c r="B30">
        <f>TableauRecette[[#This Row],[Recette]]&amp;TableauRecette[[#This Row],[Conditionnement]]</f>
        <v/>
      </c>
      <c r="C30" t="inlineStr">
        <is>
          <t>Asafoetida</t>
        </is>
      </c>
      <c r="D30" t="n">
        <v>0.5</v>
      </c>
      <c r="E30" t="inlineStr">
        <is>
          <t>Epice 100ml</t>
        </is>
      </c>
      <c r="F3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">
        <f>IFERROR(_xlfn.XLOOKUP(TableauRecette[[#This Row],[Ingredients]],TableauIngredients[Ingredients],TableauIngredients[Prix d''achat / kg],0)*TableauRecette[[#This Row],[fraction mélange]],0)</f>
        <v/>
      </c>
      <c r="H30">
        <f>IFERROR(SUMIFS(TableauRecette[Proportion],TableauRecette[Recette],TableauRecette[[#This Row],[Recette]],TableauRecette[Conditionnement],TableauRecette[[#This Row],[Conditionnement]]),0)</f>
        <v/>
      </c>
      <c r="I30">
        <f>IFERROR(TableauRecette[[#This Row],[Prix d''achat / kg]],0)</f>
        <v/>
      </c>
      <c r="J30" t="inlineStr">
        <is>
          <t>Iran</t>
        </is>
      </c>
      <c r="K30" t="inlineStr">
        <is>
          <t>SEC</t>
        </is>
      </c>
      <c r="L30">
        <f>_xlfn.XLOOKUP(TableauRecette[[#This Row],[ID]],TableauProduit[ID],TableauProduit[Total (kg) N1],0,0,1)*TableauRecette[[#This Row],[fraction mélange]]</f>
        <v/>
      </c>
      <c r="M30">
        <f>_xlfn.XLOOKUP(TableauRecette[[#This Row],[ID]],TableauProduit[ID],TableauProduit[Total (kg) N2],0,0,1)*TableauRecette[[#This Row],[fraction mélange]]</f>
        <v/>
      </c>
      <c r="N30">
        <f>_xlfn.XLOOKUP(TableauRecette[[#This Row],[ID]],TableauProduit[ID],TableauProduit[Total (kg) N3],0,0,1)*TableauRecette[[#This Row],[fraction mélange]]</f>
        <v/>
      </c>
      <c r="O30">
        <f>_xlfn.XLOOKUP(TableauRecette[[#This Row],[ID]],TableauProduit[ID],TableauProduit[Total (kg) N4],0,0,1)*TableauRecette[[#This Row],[fraction mélange]]</f>
        <v/>
      </c>
      <c r="P30">
        <f>_xlfn.XLOOKUP(TableauRecette[[#This Row],[ID]],TableauProduit[ID],TableauProduit[Total (kg) N5],0,0,1)*TableauRecette[[#This Row],[fraction mélange]]</f>
        <v/>
      </c>
      <c r="Q30">
        <f>_xlfn.XLOOKUP(TableauRecette[[#This Row],[ID]],TableauProduit[ID],TableauProduit[Total (kg) N6],0,0,1)*TableauRecette[[#This Row],[fraction mélange]]</f>
        <v/>
      </c>
      <c r="R30">
        <f>_xlfn.XLOOKUP(TableauRecette[[#This Row],[ID]],TableauProduit[ID],TableauProduit[Total (kg) N7],0,0,1)*TableauRecette[[#This Row],[fraction mélange]]</f>
        <v/>
      </c>
      <c r="S30">
        <f>_xlfn.XLOOKUP(TableauRecette[[#This Row],[ID]],TableauProduit[ID],TableauProduit[Total (kg) N8],0,0,1)*TableauRecette[[#This Row],[fraction mélange]]</f>
        <v/>
      </c>
      <c r="T30">
        <f>_xlfn.XLOOKUP(TableauRecette[[#This Row],[ID]],TableauProduit[ID],TableauProduit[Total (kg) N9],0,0,1)*TableauRecette[[#This Row],[fraction mélange]]</f>
        <v/>
      </c>
    </row>
    <row r="31">
      <c r="A31" t="inlineStr">
        <is>
          <t>Chaat masala</t>
        </is>
      </c>
      <c r="B31">
        <f>TableauRecette[[#This Row],[Recette]]&amp;TableauRecette[[#This Row],[Conditionnement]]</f>
        <v/>
      </c>
      <c r="C31" t="inlineStr">
        <is>
          <t>Kala Namak</t>
        </is>
      </c>
      <c r="D31" t="n">
        <v>3</v>
      </c>
      <c r="E31" t="inlineStr">
        <is>
          <t>Epice 100ml</t>
        </is>
      </c>
      <c r="F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">
        <f>IFERROR(_xlfn.XLOOKUP(TableauRecette[[#This Row],[Ingredients]],TableauIngredients[Ingredients],TableauIngredients[Prix d''achat / kg],0)*TableauRecette[[#This Row],[fraction mélange]],0)</f>
        <v/>
      </c>
      <c r="H31">
        <f>IFERROR(SUMIFS(TableauRecette[Proportion],TableauRecette[Recette],TableauRecette[[#This Row],[Recette]],TableauRecette[Conditionnement],TableauRecette[[#This Row],[Conditionnement]]),0)</f>
        <v/>
      </c>
      <c r="I31">
        <f>IFERROR(TableauRecette[[#This Row],[Prix d''achat / kg]],0)</f>
        <v/>
      </c>
      <c r="J31" t="inlineStr">
        <is>
          <t>Iran</t>
        </is>
      </c>
      <c r="K31" t="inlineStr">
        <is>
          <t>SEC</t>
        </is>
      </c>
      <c r="L31">
        <f>_xlfn.XLOOKUP(TableauRecette[[#This Row],[ID]],TableauProduit[ID],TableauProduit[Total (kg) N1],0,0,1)*TableauRecette[[#This Row],[fraction mélange]]</f>
        <v/>
      </c>
      <c r="M31">
        <f>_xlfn.XLOOKUP(TableauRecette[[#This Row],[ID]],TableauProduit[ID],TableauProduit[Total (kg) N2],0,0,1)*TableauRecette[[#This Row],[fraction mélange]]</f>
        <v/>
      </c>
      <c r="N31">
        <f>_xlfn.XLOOKUP(TableauRecette[[#This Row],[ID]],TableauProduit[ID],TableauProduit[Total (kg) N3],0,0,1)*TableauRecette[[#This Row],[fraction mélange]]</f>
        <v/>
      </c>
      <c r="O31">
        <f>_xlfn.XLOOKUP(TableauRecette[[#This Row],[ID]],TableauProduit[ID],TableauProduit[Total (kg) N4],0,0,1)*TableauRecette[[#This Row],[fraction mélange]]</f>
        <v/>
      </c>
      <c r="P31">
        <f>_xlfn.XLOOKUP(TableauRecette[[#This Row],[ID]],TableauProduit[ID],TableauProduit[Total (kg) N5],0,0,1)*TableauRecette[[#This Row],[fraction mélange]]</f>
        <v/>
      </c>
      <c r="Q31">
        <f>_xlfn.XLOOKUP(TableauRecette[[#This Row],[ID]],TableauProduit[ID],TableauProduit[Total (kg) N6],0,0,1)*TableauRecette[[#This Row],[fraction mélange]]</f>
        <v/>
      </c>
      <c r="R31">
        <f>_xlfn.XLOOKUP(TableauRecette[[#This Row],[ID]],TableauProduit[ID],TableauProduit[Total (kg) N7],0,0,1)*TableauRecette[[#This Row],[fraction mélange]]</f>
        <v/>
      </c>
      <c r="S31">
        <f>_xlfn.XLOOKUP(TableauRecette[[#This Row],[ID]],TableauProduit[ID],TableauProduit[Total (kg) N8],0,0,1)*TableauRecette[[#This Row],[fraction mélange]]</f>
        <v/>
      </c>
      <c r="T31">
        <f>_xlfn.XLOOKUP(TableauRecette[[#This Row],[ID]],TableauProduit[ID],TableauProduit[Total (kg) N9],0,0,1)*TableauRecette[[#This Row],[fraction mélange]]</f>
        <v/>
      </c>
    </row>
    <row r="32">
      <c r="A32" t="inlineStr">
        <is>
          <t>Chaat masala</t>
        </is>
      </c>
      <c r="B32">
        <f>TableauRecette[[#This Row],[Recette]]&amp;TableauRecette[[#This Row],[Conditionnement]]</f>
        <v/>
      </c>
      <c r="C32" t="inlineStr">
        <is>
          <t>Sel</t>
        </is>
      </c>
      <c r="D32" t="n">
        <v>1</v>
      </c>
      <c r="E32" t="inlineStr">
        <is>
          <t>Epice 100ml</t>
        </is>
      </c>
      <c r="F3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">
        <f>IFERROR(_xlfn.XLOOKUP(TableauRecette[[#This Row],[Ingredients]],TableauIngredients[Ingredients],TableauIngredients[Prix d''achat / kg],0)*TableauRecette[[#This Row],[fraction mélange]],0)</f>
        <v/>
      </c>
      <c r="H32">
        <f>IFERROR(SUMIFS(TableauRecette[Proportion],TableauRecette[Recette],TableauRecette[[#This Row],[Recette]],TableauRecette[Conditionnement],TableauRecette[[#This Row],[Conditionnement]]),0)</f>
        <v/>
      </c>
      <c r="I32">
        <f>IFERROR(TableauRecette[[#This Row],[Prix d''achat / kg]],0)</f>
        <v/>
      </c>
      <c r="J32" t="inlineStr">
        <is>
          <t>Iran</t>
        </is>
      </c>
      <c r="K32" t="inlineStr">
        <is>
          <t>SEC</t>
        </is>
      </c>
      <c r="L32">
        <f>_xlfn.XLOOKUP(TableauRecette[[#This Row],[ID]],TableauProduit[ID],TableauProduit[Total (kg) N1],0,0,1)*TableauRecette[[#This Row],[fraction mélange]]</f>
        <v/>
      </c>
      <c r="M32">
        <f>_xlfn.XLOOKUP(TableauRecette[[#This Row],[ID]],TableauProduit[ID],TableauProduit[Total (kg) N2],0,0,1)*TableauRecette[[#This Row],[fraction mélange]]</f>
        <v/>
      </c>
      <c r="N32">
        <f>_xlfn.XLOOKUP(TableauRecette[[#This Row],[ID]],TableauProduit[ID],TableauProduit[Total (kg) N3],0,0,1)*TableauRecette[[#This Row],[fraction mélange]]</f>
        <v/>
      </c>
      <c r="O32">
        <f>_xlfn.XLOOKUP(TableauRecette[[#This Row],[ID]],TableauProduit[ID],TableauProduit[Total (kg) N4],0,0,1)*TableauRecette[[#This Row],[fraction mélange]]</f>
        <v/>
      </c>
      <c r="P32">
        <f>_xlfn.XLOOKUP(TableauRecette[[#This Row],[ID]],TableauProduit[ID],TableauProduit[Total (kg) N5],0,0,1)*TableauRecette[[#This Row],[fraction mélange]]</f>
        <v/>
      </c>
      <c r="Q32">
        <f>_xlfn.XLOOKUP(TableauRecette[[#This Row],[ID]],TableauProduit[ID],TableauProduit[Total (kg) N6],0,0,1)*TableauRecette[[#This Row],[fraction mélange]]</f>
        <v/>
      </c>
      <c r="R32">
        <f>_xlfn.XLOOKUP(TableauRecette[[#This Row],[ID]],TableauProduit[ID],TableauProduit[Total (kg) N7],0,0,1)*TableauRecette[[#This Row],[fraction mélange]]</f>
        <v/>
      </c>
      <c r="S32">
        <f>_xlfn.XLOOKUP(TableauRecette[[#This Row],[ID]],TableauProduit[ID],TableauProduit[Total (kg) N8],0,0,1)*TableauRecette[[#This Row],[fraction mélange]]</f>
        <v/>
      </c>
      <c r="T32">
        <f>_xlfn.XLOOKUP(TableauRecette[[#This Row],[ID]],TableauProduit[ID],TableauProduit[Total (kg) N9],0,0,1)*TableauRecette[[#This Row],[fraction mélange]]</f>
        <v/>
      </c>
    </row>
    <row r="33">
      <c r="A33" t="inlineStr">
        <is>
          <t>Choucroute</t>
        </is>
      </c>
      <c r="B33">
        <f>TableauRecette[[#This Row],[Recette]]&amp;TableauRecette[[#This Row],[Conditionnement]]</f>
        <v/>
      </c>
      <c r="C33" t="inlineStr">
        <is>
          <t>Choux</t>
        </is>
      </c>
      <c r="D33" t="n">
        <v>1000</v>
      </c>
      <c r="E33" t="inlineStr">
        <is>
          <t>Seau 2,5 l, plastique</t>
        </is>
      </c>
      <c r="F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">
        <f>IFERROR(_xlfn.XLOOKUP(TableauRecette[[#This Row],[Ingredients]],TableauIngredients[Ingredients],TableauIngredients[Prix d''achat / kg],0)*TableauRecette[[#This Row],[fraction mélange]],0)</f>
        <v/>
      </c>
      <c r="H33">
        <f>IFERROR(SUMIFS(TableauRecette[Proportion],TableauRecette[Recette],TableauRecette[[#This Row],[Recette]],TableauRecette[Conditionnement],TableauRecette[[#This Row],[Conditionnement]]),0)</f>
        <v/>
      </c>
      <c r="I33">
        <f>IFERROR(TableauRecette[[#This Row],[Prix d''achat / kg]],0)</f>
        <v/>
      </c>
      <c r="L33">
        <f>_xlfn.XLOOKUP(TableauRecette[[#This Row],[ID]],TableauProduit[ID],TableauProduit[Total (kg) N1],0,0,1)*TableauRecette[[#This Row],[fraction mélange]]</f>
        <v/>
      </c>
      <c r="M33">
        <f>_xlfn.XLOOKUP(TableauRecette[[#This Row],[ID]],TableauProduit[ID],TableauProduit[Total (kg) N2],0,0,1)*TableauRecette[[#This Row],[fraction mélange]]</f>
        <v/>
      </c>
      <c r="N33">
        <f>_xlfn.XLOOKUP(TableauRecette[[#This Row],[ID]],TableauProduit[ID],TableauProduit[Total (kg) N3],0,0,1)*TableauRecette[[#This Row],[fraction mélange]]</f>
        <v/>
      </c>
      <c r="O33">
        <f>_xlfn.XLOOKUP(TableauRecette[[#This Row],[ID]],TableauProduit[ID],TableauProduit[Total (kg) N4],0,0,1)*TableauRecette[[#This Row],[fraction mélange]]</f>
        <v/>
      </c>
      <c r="P33">
        <f>_xlfn.XLOOKUP(TableauRecette[[#This Row],[ID]],TableauProduit[ID],TableauProduit[Total (kg) N5],0,0,1)*TableauRecette[[#This Row],[fraction mélange]]</f>
        <v/>
      </c>
      <c r="Q33">
        <f>_xlfn.XLOOKUP(TableauRecette[[#This Row],[ID]],TableauProduit[ID],TableauProduit[Total (kg) N6],0,0,1)*TableauRecette[[#This Row],[fraction mélange]]</f>
        <v/>
      </c>
      <c r="R33">
        <f>_xlfn.XLOOKUP(TableauRecette[[#This Row],[ID]],TableauProduit[ID],TableauProduit[Total (kg) N7],0,0,1)*TableauRecette[[#This Row],[fraction mélange]]</f>
        <v/>
      </c>
      <c r="S33">
        <f>_xlfn.XLOOKUP(TableauRecette[[#This Row],[ID]],TableauProduit[ID],TableauProduit[Total (kg) N8],0,0,1)*TableauRecette[[#This Row],[fraction mélange]]</f>
        <v/>
      </c>
      <c r="T33">
        <f>_xlfn.XLOOKUP(TableauRecette[[#This Row],[ID]],TableauProduit[ID],TableauProduit[Total (kg) N9],0,0,1)*TableauRecette[[#This Row],[fraction mélange]]</f>
        <v/>
      </c>
    </row>
    <row r="34">
      <c r="A34" t="inlineStr">
        <is>
          <t>Choucroute</t>
        </is>
      </c>
      <c r="B34">
        <f>TableauRecette[[#This Row],[Recette]]&amp;TableauRecette[[#This Row],[Conditionnement]]</f>
        <v/>
      </c>
      <c r="C34" t="inlineStr">
        <is>
          <t>Sel</t>
        </is>
      </c>
      <c r="D34" t="n">
        <v>20</v>
      </c>
      <c r="E34" t="inlineStr">
        <is>
          <t>Seau 2,5 l, plastique</t>
        </is>
      </c>
      <c r="F3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">
        <f>IFERROR(_xlfn.XLOOKUP(TableauRecette[[#This Row],[Ingredients]],TableauIngredients[Ingredients],TableauIngredients[Prix d''achat / kg],0)*TableauRecette[[#This Row],[fraction mélange]],0)</f>
        <v/>
      </c>
      <c r="H34">
        <f>IFERROR(SUMIFS(TableauRecette[Proportion],TableauRecette[Recette],TableauRecette[[#This Row],[Recette]],TableauRecette[Conditionnement],TableauRecette[[#This Row],[Conditionnement]]),0)</f>
        <v/>
      </c>
      <c r="I34">
        <f>IFERROR(TableauRecette[[#This Row],[Prix d''achat / kg]],0)</f>
        <v/>
      </c>
      <c r="L34">
        <f>_xlfn.XLOOKUP(TableauRecette[[#This Row],[ID]],TableauProduit[ID],TableauProduit[Total (kg) N1],0,0,1)*TableauRecette[[#This Row],[fraction mélange]]</f>
        <v/>
      </c>
      <c r="M34">
        <f>_xlfn.XLOOKUP(TableauRecette[[#This Row],[ID]],TableauProduit[ID],TableauProduit[Total (kg) N2],0,0,1)*TableauRecette[[#This Row],[fraction mélange]]</f>
        <v/>
      </c>
      <c r="N34">
        <f>_xlfn.XLOOKUP(TableauRecette[[#This Row],[ID]],TableauProduit[ID],TableauProduit[Total (kg) N3],0,0,1)*TableauRecette[[#This Row],[fraction mélange]]</f>
        <v/>
      </c>
      <c r="O34">
        <f>_xlfn.XLOOKUP(TableauRecette[[#This Row],[ID]],TableauProduit[ID],TableauProduit[Total (kg) N4],0,0,1)*TableauRecette[[#This Row],[fraction mélange]]</f>
        <v/>
      </c>
      <c r="P34">
        <f>_xlfn.XLOOKUP(TableauRecette[[#This Row],[ID]],TableauProduit[ID],TableauProduit[Total (kg) N5],0,0,1)*TableauRecette[[#This Row],[fraction mélange]]</f>
        <v/>
      </c>
      <c r="Q34">
        <f>_xlfn.XLOOKUP(TableauRecette[[#This Row],[ID]],TableauProduit[ID],TableauProduit[Total (kg) N6],0,0,1)*TableauRecette[[#This Row],[fraction mélange]]</f>
        <v/>
      </c>
      <c r="R34">
        <f>_xlfn.XLOOKUP(TableauRecette[[#This Row],[ID]],TableauProduit[ID],TableauProduit[Total (kg) N7],0,0,1)*TableauRecette[[#This Row],[fraction mélange]]</f>
        <v/>
      </c>
      <c r="S34">
        <f>_xlfn.XLOOKUP(TableauRecette[[#This Row],[ID]],TableauProduit[ID],TableauProduit[Total (kg) N8],0,0,1)*TableauRecette[[#This Row],[fraction mélange]]</f>
        <v/>
      </c>
      <c r="T34">
        <f>_xlfn.XLOOKUP(TableauRecette[[#This Row],[ID]],TableauProduit[ID],TableauProduit[Total (kg) N9],0,0,1)*TableauRecette[[#This Row],[fraction mélange]]</f>
        <v/>
      </c>
    </row>
    <row r="35">
      <c r="A35" t="inlineStr">
        <is>
          <t>Choucroute</t>
        </is>
      </c>
      <c r="B35">
        <f>TableauRecette[[#This Row],[Recette]]&amp;TableauRecette[[#This Row],[Conditionnement]]</f>
        <v/>
      </c>
      <c r="C35" t="inlineStr">
        <is>
          <t>Graine De Carvi</t>
        </is>
      </c>
      <c r="D35" t="n">
        <v>3</v>
      </c>
      <c r="E35" t="inlineStr">
        <is>
          <t>Seau 2,5 l, plastique</t>
        </is>
      </c>
      <c r="F3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">
        <f>IFERROR(_xlfn.XLOOKUP(TableauRecette[[#This Row],[Ingredients]],TableauIngredients[Ingredients],TableauIngredients[Prix d''achat / kg],0)*TableauRecette[[#This Row],[fraction mélange]],0)</f>
        <v/>
      </c>
      <c r="H35">
        <f>IFERROR(SUMIFS(TableauRecette[Proportion],TableauRecette[Recette],TableauRecette[[#This Row],[Recette]],TableauRecette[Conditionnement],TableauRecette[[#This Row],[Conditionnement]]),0)</f>
        <v/>
      </c>
      <c r="I35">
        <f>IFERROR(TableauRecette[[#This Row],[Prix d''achat / kg]],0)</f>
        <v/>
      </c>
      <c r="L35">
        <f>_xlfn.XLOOKUP(TableauRecette[[#This Row],[ID]],TableauProduit[ID],TableauProduit[Total (kg) N1],0,0,1)*TableauRecette[[#This Row],[fraction mélange]]</f>
        <v/>
      </c>
      <c r="M35">
        <f>_xlfn.XLOOKUP(TableauRecette[[#This Row],[ID]],TableauProduit[ID],TableauProduit[Total (kg) N2],0,0,1)*TableauRecette[[#This Row],[fraction mélange]]</f>
        <v/>
      </c>
      <c r="N35">
        <f>_xlfn.XLOOKUP(TableauRecette[[#This Row],[ID]],TableauProduit[ID],TableauProduit[Total (kg) N3],0,0,1)*TableauRecette[[#This Row],[fraction mélange]]</f>
        <v/>
      </c>
      <c r="O35">
        <f>_xlfn.XLOOKUP(TableauRecette[[#This Row],[ID]],TableauProduit[ID],TableauProduit[Total (kg) N4],0,0,1)*TableauRecette[[#This Row],[fraction mélange]]</f>
        <v/>
      </c>
      <c r="P35">
        <f>_xlfn.XLOOKUP(TableauRecette[[#This Row],[ID]],TableauProduit[ID],TableauProduit[Total (kg) N5],0,0,1)*TableauRecette[[#This Row],[fraction mélange]]</f>
        <v/>
      </c>
      <c r="Q35">
        <f>_xlfn.XLOOKUP(TableauRecette[[#This Row],[ID]],TableauProduit[ID],TableauProduit[Total (kg) N6],0,0,1)*TableauRecette[[#This Row],[fraction mélange]]</f>
        <v/>
      </c>
      <c r="R35">
        <f>_xlfn.XLOOKUP(TableauRecette[[#This Row],[ID]],TableauProduit[ID],TableauProduit[Total (kg) N7],0,0,1)*TableauRecette[[#This Row],[fraction mélange]]</f>
        <v/>
      </c>
      <c r="S35">
        <f>_xlfn.XLOOKUP(TableauRecette[[#This Row],[ID]],TableauProduit[ID],TableauProduit[Total (kg) N8],0,0,1)*TableauRecette[[#This Row],[fraction mélange]]</f>
        <v/>
      </c>
      <c r="T35">
        <f>_xlfn.XLOOKUP(TableauRecette[[#This Row],[ID]],TableauProduit[ID],TableauProduit[Total (kg) N9],0,0,1)*TableauRecette[[#This Row],[fraction mélange]]</f>
        <v/>
      </c>
    </row>
    <row r="36">
      <c r="A36" t="inlineStr">
        <is>
          <t>Choucroute</t>
        </is>
      </c>
      <c r="B36">
        <f>TableauRecette[[#This Row],[Recette]]&amp;TableauRecette[[#This Row],[Conditionnement]]</f>
        <v/>
      </c>
      <c r="C36" t="inlineStr">
        <is>
          <t>Poivre Des Moines</t>
        </is>
      </c>
      <c r="D36" t="n">
        <v>3</v>
      </c>
      <c r="E36" t="inlineStr">
        <is>
          <t>Seau 2,5 l, plastique</t>
        </is>
      </c>
      <c r="F3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">
        <f>IFERROR(_xlfn.XLOOKUP(TableauRecette[[#This Row],[Ingredients]],TableauIngredients[Ingredients],TableauIngredients[Prix d''achat / kg],0)*TableauRecette[[#This Row],[fraction mélange]],0)</f>
        <v/>
      </c>
      <c r="H36">
        <f>IFERROR(SUMIFS(TableauRecette[Proportion],TableauRecette[Recette],TableauRecette[[#This Row],[Recette]],TableauRecette[Conditionnement],TableauRecette[[#This Row],[Conditionnement]]),0)</f>
        <v/>
      </c>
      <c r="I36">
        <f>IFERROR(TableauRecette[[#This Row],[Prix d''achat / kg]],0)</f>
        <v/>
      </c>
      <c r="L36">
        <f>_xlfn.XLOOKUP(TableauRecette[[#This Row],[ID]],TableauProduit[ID],TableauProduit[Total (kg) N1],0,0,1)*TableauRecette[[#This Row],[fraction mélange]]</f>
        <v/>
      </c>
      <c r="M36">
        <f>_xlfn.XLOOKUP(TableauRecette[[#This Row],[ID]],TableauProduit[ID],TableauProduit[Total (kg) N2],0,0,1)*TableauRecette[[#This Row],[fraction mélange]]</f>
        <v/>
      </c>
      <c r="N36">
        <f>_xlfn.XLOOKUP(TableauRecette[[#This Row],[ID]],TableauProduit[ID],TableauProduit[Total (kg) N3],0,0,1)*TableauRecette[[#This Row],[fraction mélange]]</f>
        <v/>
      </c>
      <c r="O36">
        <f>_xlfn.XLOOKUP(TableauRecette[[#This Row],[ID]],TableauProduit[ID],TableauProduit[Total (kg) N4],0,0,1)*TableauRecette[[#This Row],[fraction mélange]]</f>
        <v/>
      </c>
      <c r="P36">
        <f>_xlfn.XLOOKUP(TableauRecette[[#This Row],[ID]],TableauProduit[ID],TableauProduit[Total (kg) N5],0,0,1)*TableauRecette[[#This Row],[fraction mélange]]</f>
        <v/>
      </c>
      <c r="Q36">
        <f>_xlfn.XLOOKUP(TableauRecette[[#This Row],[ID]],TableauProduit[ID],TableauProduit[Total (kg) N6],0,0,1)*TableauRecette[[#This Row],[fraction mélange]]</f>
        <v/>
      </c>
      <c r="R36">
        <f>_xlfn.XLOOKUP(TableauRecette[[#This Row],[ID]],TableauProduit[ID],TableauProduit[Total (kg) N7],0,0,1)*TableauRecette[[#This Row],[fraction mélange]]</f>
        <v/>
      </c>
      <c r="S36">
        <f>_xlfn.XLOOKUP(TableauRecette[[#This Row],[ID]],TableauProduit[ID],TableauProduit[Total (kg) N8],0,0,1)*TableauRecette[[#This Row],[fraction mélange]]</f>
        <v/>
      </c>
      <c r="T36">
        <f>_xlfn.XLOOKUP(TableauRecette[[#This Row],[ID]],TableauProduit[ID],TableauProduit[Total (kg) N9],0,0,1)*TableauRecette[[#This Row],[fraction mélange]]</f>
        <v/>
      </c>
    </row>
    <row r="37">
      <c r="A37" t="inlineStr">
        <is>
          <t>Colombo</t>
        </is>
      </c>
      <c r="B37">
        <f>TableauRecette[[#This Row],[Recette]]&amp;TableauRecette[[#This Row],[Conditionnement]]</f>
        <v/>
      </c>
      <c r="C37" t="inlineStr">
        <is>
          <t>Curcuma Moulu</t>
        </is>
      </c>
      <c r="D37" t="n">
        <v>30</v>
      </c>
      <c r="E37" t="inlineStr">
        <is>
          <t>Epice 100ml</t>
        </is>
      </c>
      <c r="F3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">
        <f>IFERROR(_xlfn.XLOOKUP(TableauRecette[[#This Row],[Ingredients]],TableauIngredients[Ingredients],TableauIngredients[Prix d''achat / kg],0)*TableauRecette[[#This Row],[fraction mélange]],0)</f>
        <v/>
      </c>
      <c r="H37">
        <f>IFERROR(SUMIFS(TableauRecette[Proportion],TableauRecette[Recette],TableauRecette[[#This Row],[Recette]],TableauRecette[Conditionnement],TableauRecette[[#This Row],[Conditionnement]]),0)</f>
        <v/>
      </c>
      <c r="I37">
        <f>IFERROR(TableauRecette[[#This Row],[Prix d''achat / kg]],0)</f>
        <v/>
      </c>
      <c r="L37">
        <f>_xlfn.XLOOKUP(TableauRecette[[#This Row],[ID]],TableauProduit[ID],TableauProduit[Total (kg) N1],0,0,1)*TableauRecette[[#This Row],[fraction mélange]]</f>
        <v/>
      </c>
      <c r="M37">
        <f>_xlfn.XLOOKUP(TableauRecette[[#This Row],[ID]],TableauProduit[ID],TableauProduit[Total (kg) N2],0,0,1)*TableauRecette[[#This Row],[fraction mélange]]</f>
        <v/>
      </c>
      <c r="N37">
        <f>_xlfn.XLOOKUP(TableauRecette[[#This Row],[ID]],TableauProduit[ID],TableauProduit[Total (kg) N3],0,0,1)*TableauRecette[[#This Row],[fraction mélange]]</f>
        <v/>
      </c>
      <c r="O37">
        <f>_xlfn.XLOOKUP(TableauRecette[[#This Row],[ID]],TableauProduit[ID],TableauProduit[Total (kg) N4],0,0,1)*TableauRecette[[#This Row],[fraction mélange]]</f>
        <v/>
      </c>
      <c r="P37">
        <f>_xlfn.XLOOKUP(TableauRecette[[#This Row],[ID]],TableauProduit[ID],TableauProduit[Total (kg) N5],0,0,1)*TableauRecette[[#This Row],[fraction mélange]]</f>
        <v/>
      </c>
      <c r="Q37">
        <f>_xlfn.XLOOKUP(TableauRecette[[#This Row],[ID]],TableauProduit[ID],TableauProduit[Total (kg) N6],0,0,1)*TableauRecette[[#This Row],[fraction mélange]]</f>
        <v/>
      </c>
      <c r="R37">
        <f>_xlfn.XLOOKUP(TableauRecette[[#This Row],[ID]],TableauProduit[ID],TableauProduit[Total (kg) N7],0,0,1)*TableauRecette[[#This Row],[fraction mélange]]</f>
        <v/>
      </c>
      <c r="S37">
        <f>_xlfn.XLOOKUP(TableauRecette[[#This Row],[ID]],TableauProduit[ID],TableauProduit[Total (kg) N8],0,0,1)*TableauRecette[[#This Row],[fraction mélange]]</f>
        <v/>
      </c>
      <c r="T37">
        <f>_xlfn.XLOOKUP(TableauRecette[[#This Row],[ID]],TableauProduit[ID],TableauProduit[Total (kg) N9],0,0,1)*TableauRecette[[#This Row],[fraction mélange]]</f>
        <v/>
      </c>
    </row>
    <row r="38">
      <c r="A38" t="inlineStr">
        <is>
          <t>Colombo</t>
        </is>
      </c>
      <c r="B38">
        <f>TableauRecette[[#This Row],[Recette]]&amp;TableauRecette[[#This Row],[Conditionnement]]</f>
        <v/>
      </c>
      <c r="C38" t="inlineStr">
        <is>
          <t>Coriandre Graine</t>
        </is>
      </c>
      <c r="D38" t="n">
        <v>20</v>
      </c>
      <c r="E38" t="inlineStr">
        <is>
          <t>Epice 100ml</t>
        </is>
      </c>
      <c r="F3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">
        <f>IFERROR(_xlfn.XLOOKUP(TableauRecette[[#This Row],[Ingredients]],TableauIngredients[Ingredients],TableauIngredients[Prix d''achat / kg],0)*TableauRecette[[#This Row],[fraction mélange]],0)</f>
        <v/>
      </c>
      <c r="H38">
        <f>IFERROR(SUMIFS(TableauRecette[Proportion],TableauRecette[Recette],TableauRecette[[#This Row],[Recette]],TableauRecette[Conditionnement],TableauRecette[[#This Row],[Conditionnement]]),0)</f>
        <v/>
      </c>
      <c r="I38">
        <f>IFERROR(TableauRecette[[#This Row],[Prix d''achat / kg]],0)</f>
        <v/>
      </c>
      <c r="L38">
        <f>_xlfn.XLOOKUP(TableauRecette[[#This Row],[ID]],TableauProduit[ID],TableauProduit[Total (kg) N1],0,0,1)*TableauRecette[[#This Row],[fraction mélange]]</f>
        <v/>
      </c>
      <c r="M38">
        <f>_xlfn.XLOOKUP(TableauRecette[[#This Row],[ID]],TableauProduit[ID],TableauProduit[Total (kg) N2],0,0,1)*TableauRecette[[#This Row],[fraction mélange]]</f>
        <v/>
      </c>
      <c r="N38">
        <f>_xlfn.XLOOKUP(TableauRecette[[#This Row],[ID]],TableauProduit[ID],TableauProduit[Total (kg) N3],0,0,1)*TableauRecette[[#This Row],[fraction mélange]]</f>
        <v/>
      </c>
      <c r="O38">
        <f>_xlfn.XLOOKUP(TableauRecette[[#This Row],[ID]],TableauProduit[ID],TableauProduit[Total (kg) N4],0,0,1)*TableauRecette[[#This Row],[fraction mélange]]</f>
        <v/>
      </c>
      <c r="P38">
        <f>_xlfn.XLOOKUP(TableauRecette[[#This Row],[ID]],TableauProduit[ID],TableauProduit[Total (kg) N5],0,0,1)*TableauRecette[[#This Row],[fraction mélange]]</f>
        <v/>
      </c>
      <c r="Q38">
        <f>_xlfn.XLOOKUP(TableauRecette[[#This Row],[ID]],TableauProduit[ID],TableauProduit[Total (kg) N6],0,0,1)*TableauRecette[[#This Row],[fraction mélange]]</f>
        <v/>
      </c>
      <c r="R38">
        <f>_xlfn.XLOOKUP(TableauRecette[[#This Row],[ID]],TableauProduit[ID],TableauProduit[Total (kg) N7],0,0,1)*TableauRecette[[#This Row],[fraction mélange]]</f>
        <v/>
      </c>
      <c r="S38">
        <f>_xlfn.XLOOKUP(TableauRecette[[#This Row],[ID]],TableauProduit[ID],TableauProduit[Total (kg) N8],0,0,1)*TableauRecette[[#This Row],[fraction mélange]]</f>
        <v/>
      </c>
      <c r="T38">
        <f>_xlfn.XLOOKUP(TableauRecette[[#This Row],[ID]],TableauProduit[ID],TableauProduit[Total (kg) N9],0,0,1)*TableauRecette[[#This Row],[fraction mélange]]</f>
        <v/>
      </c>
    </row>
    <row r="39">
      <c r="A39" t="inlineStr">
        <is>
          <t>Colombo</t>
        </is>
      </c>
      <c r="B39">
        <f>TableauRecette[[#This Row],[Recette]]&amp;TableauRecette[[#This Row],[Conditionnement]]</f>
        <v/>
      </c>
      <c r="C39" t="inlineStr">
        <is>
          <t>Graine De Moutarde</t>
        </is>
      </c>
      <c r="D39" t="n">
        <v>20</v>
      </c>
      <c r="E39" t="inlineStr">
        <is>
          <t>Epice 100ml</t>
        </is>
      </c>
      <c r="F3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">
        <f>IFERROR(_xlfn.XLOOKUP(TableauRecette[[#This Row],[Ingredients]],TableauIngredients[Ingredients],TableauIngredients[Prix d''achat / kg],0)*TableauRecette[[#This Row],[fraction mélange]],0)</f>
        <v/>
      </c>
      <c r="H39">
        <f>IFERROR(SUMIFS(TableauRecette[Proportion],TableauRecette[Recette],TableauRecette[[#This Row],[Recette]],TableauRecette[Conditionnement],TableauRecette[[#This Row],[Conditionnement]]),0)</f>
        <v/>
      </c>
      <c r="I39">
        <f>IFERROR(TableauRecette[[#This Row],[Prix d''achat / kg]],0)</f>
        <v/>
      </c>
      <c r="L39">
        <f>_xlfn.XLOOKUP(TableauRecette[[#This Row],[ID]],TableauProduit[ID],TableauProduit[Total (kg) N1],0,0,1)*TableauRecette[[#This Row],[fraction mélange]]</f>
        <v/>
      </c>
      <c r="M39">
        <f>_xlfn.XLOOKUP(TableauRecette[[#This Row],[ID]],TableauProduit[ID],TableauProduit[Total (kg) N2],0,0,1)*TableauRecette[[#This Row],[fraction mélange]]</f>
        <v/>
      </c>
      <c r="N39">
        <f>_xlfn.XLOOKUP(TableauRecette[[#This Row],[ID]],TableauProduit[ID],TableauProduit[Total (kg) N3],0,0,1)*TableauRecette[[#This Row],[fraction mélange]]</f>
        <v/>
      </c>
      <c r="O39">
        <f>_xlfn.XLOOKUP(TableauRecette[[#This Row],[ID]],TableauProduit[ID],TableauProduit[Total (kg) N4],0,0,1)*TableauRecette[[#This Row],[fraction mélange]]</f>
        <v/>
      </c>
      <c r="P39">
        <f>_xlfn.XLOOKUP(TableauRecette[[#This Row],[ID]],TableauProduit[ID],TableauProduit[Total (kg) N5],0,0,1)*TableauRecette[[#This Row],[fraction mélange]]</f>
        <v/>
      </c>
      <c r="Q39">
        <f>_xlfn.XLOOKUP(TableauRecette[[#This Row],[ID]],TableauProduit[ID],TableauProduit[Total (kg) N6],0,0,1)*TableauRecette[[#This Row],[fraction mélange]]</f>
        <v/>
      </c>
      <c r="R39">
        <f>_xlfn.XLOOKUP(TableauRecette[[#This Row],[ID]],TableauProduit[ID],TableauProduit[Total (kg) N7],0,0,1)*TableauRecette[[#This Row],[fraction mélange]]</f>
        <v/>
      </c>
      <c r="S39">
        <f>_xlfn.XLOOKUP(TableauRecette[[#This Row],[ID]],TableauProduit[ID],TableauProduit[Total (kg) N8],0,0,1)*TableauRecette[[#This Row],[fraction mélange]]</f>
        <v/>
      </c>
      <c r="T39">
        <f>_xlfn.XLOOKUP(TableauRecette[[#This Row],[ID]],TableauProduit[ID],TableauProduit[Total (kg) N9],0,0,1)*TableauRecette[[#This Row],[fraction mélange]]</f>
        <v/>
      </c>
    </row>
    <row r="40">
      <c r="A40" t="inlineStr">
        <is>
          <t>Colombo</t>
        </is>
      </c>
      <c r="B40">
        <f>TableauRecette[[#This Row],[Recette]]&amp;TableauRecette[[#This Row],[Conditionnement]]</f>
        <v/>
      </c>
      <c r="C40" t="inlineStr">
        <is>
          <t>Cumin Moulu</t>
        </is>
      </c>
      <c r="D40" t="n">
        <v>10</v>
      </c>
      <c r="E40" t="inlineStr">
        <is>
          <t>Epice 100ml</t>
        </is>
      </c>
      <c r="F4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">
        <f>IFERROR(_xlfn.XLOOKUP(TableauRecette[[#This Row],[Ingredients]],TableauIngredients[Ingredients],TableauIngredients[Prix d''achat / kg],0)*TableauRecette[[#This Row],[fraction mélange]],0)</f>
        <v/>
      </c>
      <c r="H40">
        <f>IFERROR(SUMIFS(TableauRecette[Proportion],TableauRecette[Recette],TableauRecette[[#This Row],[Recette]],TableauRecette[Conditionnement],TableauRecette[[#This Row],[Conditionnement]]),0)</f>
        <v/>
      </c>
      <c r="I40">
        <f>IFERROR(TableauRecette[[#This Row],[Prix d''achat / kg]],0)</f>
        <v/>
      </c>
      <c r="L40">
        <f>_xlfn.XLOOKUP(TableauRecette[[#This Row],[ID]],TableauProduit[ID],TableauProduit[Total (kg) N1],0,0,1)*TableauRecette[[#This Row],[fraction mélange]]</f>
        <v/>
      </c>
      <c r="M40">
        <f>_xlfn.XLOOKUP(TableauRecette[[#This Row],[ID]],TableauProduit[ID],TableauProduit[Total (kg) N2],0,0,1)*TableauRecette[[#This Row],[fraction mélange]]</f>
        <v/>
      </c>
      <c r="N40">
        <f>_xlfn.XLOOKUP(TableauRecette[[#This Row],[ID]],TableauProduit[ID],TableauProduit[Total (kg) N3],0,0,1)*TableauRecette[[#This Row],[fraction mélange]]</f>
        <v/>
      </c>
      <c r="O40">
        <f>_xlfn.XLOOKUP(TableauRecette[[#This Row],[ID]],TableauProduit[ID],TableauProduit[Total (kg) N4],0,0,1)*TableauRecette[[#This Row],[fraction mélange]]</f>
        <v/>
      </c>
      <c r="P40">
        <f>_xlfn.XLOOKUP(TableauRecette[[#This Row],[ID]],TableauProduit[ID],TableauProduit[Total (kg) N5],0,0,1)*TableauRecette[[#This Row],[fraction mélange]]</f>
        <v/>
      </c>
      <c r="Q40">
        <f>_xlfn.XLOOKUP(TableauRecette[[#This Row],[ID]],TableauProduit[ID],TableauProduit[Total (kg) N6],0,0,1)*TableauRecette[[#This Row],[fraction mélange]]</f>
        <v/>
      </c>
      <c r="R40">
        <f>_xlfn.XLOOKUP(TableauRecette[[#This Row],[ID]],TableauProduit[ID],TableauProduit[Total (kg) N7],0,0,1)*TableauRecette[[#This Row],[fraction mélange]]</f>
        <v/>
      </c>
      <c r="S40">
        <f>_xlfn.XLOOKUP(TableauRecette[[#This Row],[ID]],TableauProduit[ID],TableauProduit[Total (kg) N8],0,0,1)*TableauRecette[[#This Row],[fraction mélange]]</f>
        <v/>
      </c>
      <c r="T40">
        <f>_xlfn.XLOOKUP(TableauRecette[[#This Row],[ID]],TableauProduit[ID],TableauProduit[Total (kg) N9],0,0,1)*TableauRecette[[#This Row],[fraction mélange]]</f>
        <v/>
      </c>
    </row>
    <row r="41">
      <c r="A41" t="inlineStr">
        <is>
          <t>Colombo</t>
        </is>
      </c>
      <c r="B41">
        <f>TableauRecette[[#This Row],[Recette]]&amp;TableauRecette[[#This Row],[Conditionnement]]</f>
        <v/>
      </c>
      <c r="C41" t="inlineStr">
        <is>
          <t>Gingembre Sec</t>
        </is>
      </c>
      <c r="D41" t="n">
        <v>10</v>
      </c>
      <c r="E41" t="inlineStr">
        <is>
          <t>Epice 100ml</t>
        </is>
      </c>
      <c r="F4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">
        <f>IFERROR(_xlfn.XLOOKUP(TableauRecette[[#This Row],[Ingredients]],TableauIngredients[Ingredients],TableauIngredients[Prix d''achat / kg],0)*TableauRecette[[#This Row],[fraction mélange]],0)</f>
        <v/>
      </c>
      <c r="H41">
        <f>IFERROR(SUMIFS(TableauRecette[Proportion],TableauRecette[Recette],TableauRecette[[#This Row],[Recette]],TableauRecette[Conditionnement],TableauRecette[[#This Row],[Conditionnement]]),0)</f>
        <v/>
      </c>
      <c r="I41">
        <f>IFERROR(TableauRecette[[#This Row],[Prix d''achat / kg]],0)</f>
        <v/>
      </c>
      <c r="K41" t="inlineStr">
        <is>
          <t>SEC</t>
        </is>
      </c>
      <c r="L41">
        <f>_xlfn.XLOOKUP(TableauRecette[[#This Row],[ID]],TableauProduit[ID],TableauProduit[Total (kg) N1],0,0,1)*TableauRecette[[#This Row],[fraction mélange]]</f>
        <v/>
      </c>
      <c r="M41">
        <f>_xlfn.XLOOKUP(TableauRecette[[#This Row],[ID]],TableauProduit[ID],TableauProduit[Total (kg) N2],0,0,1)*TableauRecette[[#This Row],[fraction mélange]]</f>
        <v/>
      </c>
      <c r="N41">
        <f>_xlfn.XLOOKUP(TableauRecette[[#This Row],[ID]],TableauProduit[ID],TableauProduit[Total (kg) N3],0,0,1)*TableauRecette[[#This Row],[fraction mélange]]</f>
        <v/>
      </c>
      <c r="O41">
        <f>_xlfn.XLOOKUP(TableauRecette[[#This Row],[ID]],TableauProduit[ID],TableauProduit[Total (kg) N4],0,0,1)*TableauRecette[[#This Row],[fraction mélange]]</f>
        <v/>
      </c>
      <c r="P41">
        <f>_xlfn.XLOOKUP(TableauRecette[[#This Row],[ID]],TableauProduit[ID],TableauProduit[Total (kg) N5],0,0,1)*TableauRecette[[#This Row],[fraction mélange]]</f>
        <v/>
      </c>
      <c r="Q41">
        <f>_xlfn.XLOOKUP(TableauRecette[[#This Row],[ID]],TableauProduit[ID],TableauProduit[Total (kg) N6],0,0,1)*TableauRecette[[#This Row],[fraction mélange]]</f>
        <v/>
      </c>
      <c r="R41">
        <f>_xlfn.XLOOKUP(TableauRecette[[#This Row],[ID]],TableauProduit[ID],TableauProduit[Total (kg) N7],0,0,1)*TableauRecette[[#This Row],[fraction mélange]]</f>
        <v/>
      </c>
      <c r="S41">
        <f>_xlfn.XLOOKUP(TableauRecette[[#This Row],[ID]],TableauProduit[ID],TableauProduit[Total (kg) N8],0,0,1)*TableauRecette[[#This Row],[fraction mélange]]</f>
        <v/>
      </c>
      <c r="T41">
        <f>_xlfn.XLOOKUP(TableauRecette[[#This Row],[ID]],TableauProduit[ID],TableauProduit[Total (kg) N9],0,0,1)*TableauRecette[[#This Row],[fraction mélange]]</f>
        <v/>
      </c>
    </row>
    <row r="42">
      <c r="A42" t="inlineStr">
        <is>
          <t>Colombo</t>
        </is>
      </c>
      <c r="B42">
        <f>TableauRecette[[#This Row],[Recette]]&amp;TableauRecette[[#This Row],[Conditionnement]]</f>
        <v/>
      </c>
      <c r="C42" t="inlineStr">
        <is>
          <t>Poivre Noir</t>
        </is>
      </c>
      <c r="D42" t="n">
        <v>10</v>
      </c>
      <c r="E42" t="inlineStr">
        <is>
          <t>Epice 100ml</t>
        </is>
      </c>
      <c r="F4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">
        <f>IFERROR(_xlfn.XLOOKUP(TableauRecette[[#This Row],[Ingredients]],TableauIngredients[Ingredients],TableauIngredients[Prix d''achat / kg],0)*TableauRecette[[#This Row],[fraction mélange]],0)</f>
        <v/>
      </c>
      <c r="H42">
        <f>IFERROR(SUMIFS(TableauRecette[Proportion],TableauRecette[Recette],TableauRecette[[#This Row],[Recette]],TableauRecette[Conditionnement],TableauRecette[[#This Row],[Conditionnement]]),0)</f>
        <v/>
      </c>
      <c r="I42">
        <f>IFERROR(TableauRecette[[#This Row],[Prix d''achat / kg]],0)</f>
        <v/>
      </c>
      <c r="L42">
        <f>_xlfn.XLOOKUP(TableauRecette[[#This Row],[ID]],TableauProduit[ID],TableauProduit[Total (kg) N1],0,0,1)*TableauRecette[[#This Row],[fraction mélange]]</f>
        <v/>
      </c>
      <c r="M42">
        <f>_xlfn.XLOOKUP(TableauRecette[[#This Row],[ID]],TableauProduit[ID],TableauProduit[Total (kg) N2],0,0,1)*TableauRecette[[#This Row],[fraction mélange]]</f>
        <v/>
      </c>
      <c r="N42">
        <f>_xlfn.XLOOKUP(TableauRecette[[#This Row],[ID]],TableauProduit[ID],TableauProduit[Total (kg) N3],0,0,1)*TableauRecette[[#This Row],[fraction mélange]]</f>
        <v/>
      </c>
      <c r="O42">
        <f>_xlfn.XLOOKUP(TableauRecette[[#This Row],[ID]],TableauProduit[ID],TableauProduit[Total (kg) N4],0,0,1)*TableauRecette[[#This Row],[fraction mélange]]</f>
        <v/>
      </c>
      <c r="P42">
        <f>_xlfn.XLOOKUP(TableauRecette[[#This Row],[ID]],TableauProduit[ID],TableauProduit[Total (kg) N5],0,0,1)*TableauRecette[[#This Row],[fraction mélange]]</f>
        <v/>
      </c>
      <c r="Q42">
        <f>_xlfn.XLOOKUP(TableauRecette[[#This Row],[ID]],TableauProduit[ID],TableauProduit[Total (kg) N6],0,0,1)*TableauRecette[[#This Row],[fraction mélange]]</f>
        <v/>
      </c>
      <c r="R42">
        <f>_xlfn.XLOOKUP(TableauRecette[[#This Row],[ID]],TableauProduit[ID],TableauProduit[Total (kg) N7],0,0,1)*TableauRecette[[#This Row],[fraction mélange]]</f>
        <v/>
      </c>
      <c r="S42">
        <f>_xlfn.XLOOKUP(TableauRecette[[#This Row],[ID]],TableauProduit[ID],TableauProduit[Total (kg) N8],0,0,1)*TableauRecette[[#This Row],[fraction mélange]]</f>
        <v/>
      </c>
      <c r="T42">
        <f>_xlfn.XLOOKUP(TableauRecette[[#This Row],[ID]],TableauProduit[ID],TableauProduit[Total (kg) N9],0,0,1)*TableauRecette[[#This Row],[fraction mélange]]</f>
        <v/>
      </c>
    </row>
    <row r="43">
      <c r="A43" t="inlineStr">
        <is>
          <t>Colombo</t>
        </is>
      </c>
      <c r="B43">
        <f>TableauRecette[[#This Row],[Recette]]&amp;TableauRecette[[#This Row],[Conditionnement]]</f>
        <v/>
      </c>
      <c r="C43" t="inlineStr">
        <is>
          <t>Graine De Fenugrec</t>
        </is>
      </c>
      <c r="D43" t="n">
        <v>5</v>
      </c>
      <c r="E43" t="inlineStr">
        <is>
          <t>Epice 100ml</t>
        </is>
      </c>
      <c r="F4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">
        <f>IFERROR(_xlfn.XLOOKUP(TableauRecette[[#This Row],[Ingredients]],TableauIngredients[Ingredients],TableauIngredients[Prix d''achat / kg],0)*TableauRecette[[#This Row],[fraction mélange]],0)</f>
        <v/>
      </c>
      <c r="H43">
        <f>IFERROR(SUMIFS(TableauRecette[Proportion],TableauRecette[Recette],TableauRecette[[#This Row],[Recette]],TableauRecette[Conditionnement],TableauRecette[[#This Row],[Conditionnement]]),0)</f>
        <v/>
      </c>
      <c r="I43">
        <f>IFERROR(TableauRecette[[#This Row],[Prix d''achat / kg]],0)</f>
        <v/>
      </c>
      <c r="L43">
        <f>_xlfn.XLOOKUP(TableauRecette[[#This Row],[ID]],TableauProduit[ID],TableauProduit[Total (kg) N1],0,0,1)*TableauRecette[[#This Row],[fraction mélange]]</f>
        <v/>
      </c>
      <c r="M43">
        <f>_xlfn.XLOOKUP(TableauRecette[[#This Row],[ID]],TableauProduit[ID],TableauProduit[Total (kg) N2],0,0,1)*TableauRecette[[#This Row],[fraction mélange]]</f>
        <v/>
      </c>
      <c r="N43">
        <f>_xlfn.XLOOKUP(TableauRecette[[#This Row],[ID]],TableauProduit[ID],TableauProduit[Total (kg) N3],0,0,1)*TableauRecette[[#This Row],[fraction mélange]]</f>
        <v/>
      </c>
      <c r="O43">
        <f>_xlfn.XLOOKUP(TableauRecette[[#This Row],[ID]],TableauProduit[ID],TableauProduit[Total (kg) N4],0,0,1)*TableauRecette[[#This Row],[fraction mélange]]</f>
        <v/>
      </c>
      <c r="P43">
        <f>_xlfn.XLOOKUP(TableauRecette[[#This Row],[ID]],TableauProduit[ID],TableauProduit[Total (kg) N5],0,0,1)*TableauRecette[[#This Row],[fraction mélange]]</f>
        <v/>
      </c>
      <c r="Q43">
        <f>_xlfn.XLOOKUP(TableauRecette[[#This Row],[ID]],TableauProduit[ID],TableauProduit[Total (kg) N6],0,0,1)*TableauRecette[[#This Row],[fraction mélange]]</f>
        <v/>
      </c>
      <c r="R43">
        <f>_xlfn.XLOOKUP(TableauRecette[[#This Row],[ID]],TableauProduit[ID],TableauProduit[Total (kg) N7],0,0,1)*TableauRecette[[#This Row],[fraction mélange]]</f>
        <v/>
      </c>
      <c r="S43">
        <f>_xlfn.XLOOKUP(TableauRecette[[#This Row],[ID]],TableauProduit[ID],TableauProduit[Total (kg) N8],0,0,1)*TableauRecette[[#This Row],[fraction mélange]]</f>
        <v/>
      </c>
      <c r="T43">
        <f>_xlfn.XLOOKUP(TableauRecette[[#This Row],[ID]],TableauProduit[ID],TableauProduit[Total (kg) N9],0,0,1)*TableauRecette[[#This Row],[fraction mélange]]</f>
        <v/>
      </c>
    </row>
    <row r="44">
      <c r="A44" t="inlineStr">
        <is>
          <t>Colombo</t>
        </is>
      </c>
      <c r="B44">
        <f>TableauRecette[[#This Row],[Recette]]&amp;TableauRecette[[#This Row],[Conditionnement]]</f>
        <v/>
      </c>
      <c r="C44" t="inlineStr">
        <is>
          <t>Graine De Cardamome</t>
        </is>
      </c>
      <c r="D44" t="n">
        <v>5</v>
      </c>
      <c r="E44" t="inlineStr">
        <is>
          <t>Epice 100ml</t>
        </is>
      </c>
      <c r="F4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">
        <f>IFERROR(_xlfn.XLOOKUP(TableauRecette[[#This Row],[Ingredients]],TableauIngredients[Ingredients],TableauIngredients[Prix d''achat / kg],0)*TableauRecette[[#This Row],[fraction mélange]],0)</f>
        <v/>
      </c>
      <c r="H44">
        <f>IFERROR(SUMIFS(TableauRecette[Proportion],TableauRecette[Recette],TableauRecette[[#This Row],[Recette]],TableauRecette[Conditionnement],TableauRecette[[#This Row],[Conditionnement]]),0)</f>
        <v/>
      </c>
      <c r="I44">
        <f>IFERROR(TableauRecette[[#This Row],[Prix d''achat / kg]],0)</f>
        <v/>
      </c>
      <c r="L44">
        <f>_xlfn.XLOOKUP(TableauRecette[[#This Row],[ID]],TableauProduit[ID],TableauProduit[Total (kg) N1],0,0,1)*TableauRecette[[#This Row],[fraction mélange]]</f>
        <v/>
      </c>
      <c r="M44">
        <f>_xlfn.XLOOKUP(TableauRecette[[#This Row],[ID]],TableauProduit[ID],TableauProduit[Total (kg) N2],0,0,1)*TableauRecette[[#This Row],[fraction mélange]]</f>
        <v/>
      </c>
      <c r="N44">
        <f>_xlfn.XLOOKUP(TableauRecette[[#This Row],[ID]],TableauProduit[ID],TableauProduit[Total (kg) N3],0,0,1)*TableauRecette[[#This Row],[fraction mélange]]</f>
        <v/>
      </c>
      <c r="O44">
        <f>_xlfn.XLOOKUP(TableauRecette[[#This Row],[ID]],TableauProduit[ID],TableauProduit[Total (kg) N4],0,0,1)*TableauRecette[[#This Row],[fraction mélange]]</f>
        <v/>
      </c>
      <c r="P44">
        <f>_xlfn.XLOOKUP(TableauRecette[[#This Row],[ID]],TableauProduit[ID],TableauProduit[Total (kg) N5],0,0,1)*TableauRecette[[#This Row],[fraction mélange]]</f>
        <v/>
      </c>
      <c r="Q44">
        <f>_xlfn.XLOOKUP(TableauRecette[[#This Row],[ID]],TableauProduit[ID],TableauProduit[Total (kg) N6],0,0,1)*TableauRecette[[#This Row],[fraction mélange]]</f>
        <v/>
      </c>
      <c r="R44">
        <f>_xlfn.XLOOKUP(TableauRecette[[#This Row],[ID]],TableauProduit[ID],TableauProduit[Total (kg) N7],0,0,1)*TableauRecette[[#This Row],[fraction mélange]]</f>
        <v/>
      </c>
      <c r="S44">
        <f>_xlfn.XLOOKUP(TableauRecette[[#This Row],[ID]],TableauProduit[ID],TableauProduit[Total (kg) N8],0,0,1)*TableauRecette[[#This Row],[fraction mélange]]</f>
        <v/>
      </c>
      <c r="T44">
        <f>_xlfn.XLOOKUP(TableauRecette[[#This Row],[ID]],TableauProduit[ID],TableauProduit[Total (kg) N9],0,0,1)*TableauRecette[[#This Row],[fraction mélange]]</f>
        <v/>
      </c>
    </row>
    <row r="45">
      <c r="A45" t="inlineStr">
        <is>
          <t>Colombo</t>
        </is>
      </c>
      <c r="B45">
        <f>TableauRecette[[#This Row],[Recette]]&amp;TableauRecette[[#This Row],[Conditionnement]]</f>
        <v/>
      </c>
      <c r="C45" t="inlineStr">
        <is>
          <t>Graine De Fenouil</t>
        </is>
      </c>
      <c r="D45" t="n">
        <v>4</v>
      </c>
      <c r="E45" t="inlineStr">
        <is>
          <t>Epice 100ml</t>
        </is>
      </c>
      <c r="F4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">
        <f>IFERROR(_xlfn.XLOOKUP(TableauRecette[[#This Row],[Ingredients]],TableauIngredients[Ingredients],TableauIngredients[Prix d''achat / kg],0)*TableauRecette[[#This Row],[fraction mélange]],0)</f>
        <v/>
      </c>
      <c r="H45">
        <f>IFERROR(SUMIFS(TableauRecette[Proportion],TableauRecette[Recette],TableauRecette[[#This Row],[Recette]],TableauRecette[Conditionnement],TableauRecette[[#This Row],[Conditionnement]]),0)</f>
        <v/>
      </c>
      <c r="I45">
        <f>IFERROR(TableauRecette[[#This Row],[Prix d''achat / kg]],0)</f>
        <v/>
      </c>
      <c r="L45">
        <f>_xlfn.XLOOKUP(TableauRecette[[#This Row],[ID]],TableauProduit[ID],TableauProduit[Total (kg) N1],0,0,1)*TableauRecette[[#This Row],[fraction mélange]]</f>
        <v/>
      </c>
      <c r="M45">
        <f>_xlfn.XLOOKUP(TableauRecette[[#This Row],[ID]],TableauProduit[ID],TableauProduit[Total (kg) N2],0,0,1)*TableauRecette[[#This Row],[fraction mélange]]</f>
        <v/>
      </c>
      <c r="N45">
        <f>_xlfn.XLOOKUP(TableauRecette[[#This Row],[ID]],TableauProduit[ID],TableauProduit[Total (kg) N3],0,0,1)*TableauRecette[[#This Row],[fraction mélange]]</f>
        <v/>
      </c>
      <c r="O45">
        <f>_xlfn.XLOOKUP(TableauRecette[[#This Row],[ID]],TableauProduit[ID],TableauProduit[Total (kg) N4],0,0,1)*TableauRecette[[#This Row],[fraction mélange]]</f>
        <v/>
      </c>
      <c r="P45">
        <f>_xlfn.XLOOKUP(TableauRecette[[#This Row],[ID]],TableauProduit[ID],TableauProduit[Total (kg) N5],0,0,1)*TableauRecette[[#This Row],[fraction mélange]]</f>
        <v/>
      </c>
      <c r="Q45">
        <f>_xlfn.XLOOKUP(TableauRecette[[#This Row],[ID]],TableauProduit[ID],TableauProduit[Total (kg) N6],0,0,1)*TableauRecette[[#This Row],[fraction mélange]]</f>
        <v/>
      </c>
      <c r="R45">
        <f>_xlfn.XLOOKUP(TableauRecette[[#This Row],[ID]],TableauProduit[ID],TableauProduit[Total (kg) N7],0,0,1)*TableauRecette[[#This Row],[fraction mélange]]</f>
        <v/>
      </c>
      <c r="S45">
        <f>_xlfn.XLOOKUP(TableauRecette[[#This Row],[ID]],TableauProduit[ID],TableauProduit[Total (kg) N8],0,0,1)*TableauRecette[[#This Row],[fraction mélange]]</f>
        <v/>
      </c>
      <c r="T45">
        <f>_xlfn.XLOOKUP(TableauRecette[[#This Row],[ID]],TableauProduit[ID],TableauProduit[Total (kg) N9],0,0,1)*TableauRecette[[#This Row],[fraction mélange]]</f>
        <v/>
      </c>
    </row>
    <row r="46">
      <c r="A46" t="inlineStr">
        <is>
          <t>Colombo</t>
        </is>
      </c>
      <c r="B46">
        <f>TableauRecette[[#This Row],[Recette]]&amp;TableauRecette[[#This Row],[Conditionnement]]</f>
        <v/>
      </c>
      <c r="C46" t="inlineStr">
        <is>
          <t>Anis Étoilé</t>
        </is>
      </c>
      <c r="D46" t="n">
        <v>3</v>
      </c>
      <c r="E46" t="inlineStr">
        <is>
          <t>Epice 100ml</t>
        </is>
      </c>
      <c r="F4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">
        <f>IFERROR(_xlfn.XLOOKUP(TableauRecette[[#This Row],[Ingredients]],TableauIngredients[Ingredients],TableauIngredients[Prix d''achat / kg],0)*TableauRecette[[#This Row],[fraction mélange]],0)</f>
        <v/>
      </c>
      <c r="H46">
        <f>IFERROR(SUMIFS(TableauRecette[Proportion],TableauRecette[Recette],TableauRecette[[#This Row],[Recette]],TableauRecette[Conditionnement],TableauRecette[[#This Row],[Conditionnement]]),0)</f>
        <v/>
      </c>
      <c r="I46">
        <f>IFERROR(TableauRecette[[#This Row],[Prix d''achat / kg]],0)</f>
        <v/>
      </c>
      <c r="L46">
        <f>_xlfn.XLOOKUP(TableauRecette[[#This Row],[ID]],TableauProduit[ID],TableauProduit[Total (kg) N1],0,0,1)*TableauRecette[[#This Row],[fraction mélange]]</f>
        <v/>
      </c>
      <c r="M46">
        <f>_xlfn.XLOOKUP(TableauRecette[[#This Row],[ID]],TableauProduit[ID],TableauProduit[Total (kg) N2],0,0,1)*TableauRecette[[#This Row],[fraction mélange]]</f>
        <v/>
      </c>
      <c r="N46">
        <f>_xlfn.XLOOKUP(TableauRecette[[#This Row],[ID]],TableauProduit[ID],TableauProduit[Total (kg) N3],0,0,1)*TableauRecette[[#This Row],[fraction mélange]]</f>
        <v/>
      </c>
      <c r="O46">
        <f>_xlfn.XLOOKUP(TableauRecette[[#This Row],[ID]],TableauProduit[ID],TableauProduit[Total (kg) N4],0,0,1)*TableauRecette[[#This Row],[fraction mélange]]</f>
        <v/>
      </c>
      <c r="P46">
        <f>_xlfn.XLOOKUP(TableauRecette[[#This Row],[ID]],TableauProduit[ID],TableauProduit[Total (kg) N5],0,0,1)*TableauRecette[[#This Row],[fraction mélange]]</f>
        <v/>
      </c>
      <c r="Q46">
        <f>_xlfn.XLOOKUP(TableauRecette[[#This Row],[ID]],TableauProduit[ID],TableauProduit[Total (kg) N6],0,0,1)*TableauRecette[[#This Row],[fraction mélange]]</f>
        <v/>
      </c>
      <c r="R46">
        <f>_xlfn.XLOOKUP(TableauRecette[[#This Row],[ID]],TableauProduit[ID],TableauProduit[Total (kg) N7],0,0,1)*TableauRecette[[#This Row],[fraction mélange]]</f>
        <v/>
      </c>
      <c r="S46">
        <f>_xlfn.XLOOKUP(TableauRecette[[#This Row],[ID]],TableauProduit[ID],TableauProduit[Total (kg) N8],0,0,1)*TableauRecette[[#This Row],[fraction mélange]]</f>
        <v/>
      </c>
      <c r="T46">
        <f>_xlfn.XLOOKUP(TableauRecette[[#This Row],[ID]],TableauProduit[ID],TableauProduit[Total (kg) N9],0,0,1)*TableauRecette[[#This Row],[fraction mélange]]</f>
        <v/>
      </c>
    </row>
    <row r="47">
      <c r="A47" t="inlineStr">
        <is>
          <t>Colombo</t>
        </is>
      </c>
      <c r="B47">
        <f>TableauRecette[[#This Row],[Recette]]&amp;TableauRecette[[#This Row],[Conditionnement]]</f>
        <v/>
      </c>
      <c r="C47" t="inlineStr">
        <is>
          <t>Muscade</t>
        </is>
      </c>
      <c r="D47" t="n">
        <v>1</v>
      </c>
      <c r="E47" t="inlineStr">
        <is>
          <t>Epice 100ml</t>
        </is>
      </c>
      <c r="F4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7">
        <f>IFERROR(_xlfn.XLOOKUP(TableauRecette[[#This Row],[Ingredients]],TableauIngredients[Ingredients],TableauIngredients[Prix d''achat / kg],0)*TableauRecette[[#This Row],[fraction mélange]],0)</f>
        <v/>
      </c>
      <c r="H47">
        <f>IFERROR(SUMIFS(TableauRecette[Proportion],TableauRecette[Recette],TableauRecette[[#This Row],[Recette]],TableauRecette[Conditionnement],TableauRecette[[#This Row],[Conditionnement]]),0)</f>
        <v/>
      </c>
      <c r="I47">
        <f>IFERROR(TableauRecette[[#This Row],[Prix d''achat / kg]],0)</f>
        <v/>
      </c>
      <c r="L47">
        <f>_xlfn.XLOOKUP(TableauRecette[[#This Row],[ID]],TableauProduit[ID],TableauProduit[Total (kg) N1],0,0,1)*TableauRecette[[#This Row],[fraction mélange]]</f>
        <v/>
      </c>
      <c r="M47">
        <f>_xlfn.XLOOKUP(TableauRecette[[#This Row],[ID]],TableauProduit[ID],TableauProduit[Total (kg) N2],0,0,1)*TableauRecette[[#This Row],[fraction mélange]]</f>
        <v/>
      </c>
      <c r="N47">
        <f>_xlfn.XLOOKUP(TableauRecette[[#This Row],[ID]],TableauProduit[ID],TableauProduit[Total (kg) N3],0,0,1)*TableauRecette[[#This Row],[fraction mélange]]</f>
        <v/>
      </c>
      <c r="O47">
        <f>_xlfn.XLOOKUP(TableauRecette[[#This Row],[ID]],TableauProduit[ID],TableauProduit[Total (kg) N4],0,0,1)*TableauRecette[[#This Row],[fraction mélange]]</f>
        <v/>
      </c>
      <c r="P47">
        <f>_xlfn.XLOOKUP(TableauRecette[[#This Row],[ID]],TableauProduit[ID],TableauProduit[Total (kg) N5],0,0,1)*TableauRecette[[#This Row],[fraction mélange]]</f>
        <v/>
      </c>
      <c r="Q47">
        <f>_xlfn.XLOOKUP(TableauRecette[[#This Row],[ID]],TableauProduit[ID],TableauProduit[Total (kg) N6],0,0,1)*TableauRecette[[#This Row],[fraction mélange]]</f>
        <v/>
      </c>
      <c r="R47">
        <f>_xlfn.XLOOKUP(TableauRecette[[#This Row],[ID]],TableauProduit[ID],TableauProduit[Total (kg) N7],0,0,1)*TableauRecette[[#This Row],[fraction mélange]]</f>
        <v/>
      </c>
      <c r="S47">
        <f>_xlfn.XLOOKUP(TableauRecette[[#This Row],[ID]],TableauProduit[ID],TableauProduit[Total (kg) N8],0,0,1)*TableauRecette[[#This Row],[fraction mélange]]</f>
        <v/>
      </c>
      <c r="T47">
        <f>_xlfn.XLOOKUP(TableauRecette[[#This Row],[ID]],TableauProduit[ID],TableauProduit[Total (kg) N9],0,0,1)*TableauRecette[[#This Row],[fraction mélange]]</f>
        <v/>
      </c>
    </row>
    <row r="48">
      <c r="A48" t="inlineStr">
        <is>
          <t>Colombo</t>
        </is>
      </c>
      <c r="B48">
        <f>TableauRecette[[#This Row],[Recette]]&amp;TableauRecette[[#This Row],[Conditionnement]]</f>
        <v/>
      </c>
      <c r="C48" t="inlineStr">
        <is>
          <t>Piment Doux Rouge En Poudre</t>
        </is>
      </c>
      <c r="D48" t="n">
        <v>15</v>
      </c>
      <c r="E48" t="inlineStr">
        <is>
          <t>Epice 100ml</t>
        </is>
      </c>
      <c r="F4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8">
        <f>IFERROR(_xlfn.XLOOKUP(TableauRecette[[#This Row],[Ingredients]],TableauIngredients[Ingredients],TableauIngredients[Prix d''achat / kg],0)*TableauRecette[[#This Row],[fraction mélange]],0)</f>
        <v/>
      </c>
      <c r="H48">
        <f>IFERROR(SUMIFS(TableauRecette[Proportion],TableauRecette[Recette],TableauRecette[[#This Row],[Recette]],TableauRecette[Conditionnement],TableauRecette[[#This Row],[Conditionnement]]),0)</f>
        <v/>
      </c>
      <c r="I48">
        <f>IFERROR(TableauRecette[[#This Row],[Prix d''achat / kg]],0)</f>
        <v/>
      </c>
      <c r="L48">
        <f>_xlfn.XLOOKUP(TableauRecette[[#This Row],[ID]],TableauProduit[ID],TableauProduit[Total (kg) N1],0,0,1)*TableauRecette[[#This Row],[fraction mélange]]</f>
        <v/>
      </c>
      <c r="M48">
        <f>_xlfn.XLOOKUP(TableauRecette[[#This Row],[ID]],TableauProduit[ID],TableauProduit[Total (kg) N2],0,0,1)*TableauRecette[[#This Row],[fraction mélange]]</f>
        <v/>
      </c>
      <c r="N48">
        <f>_xlfn.XLOOKUP(TableauRecette[[#This Row],[ID]],TableauProduit[ID],TableauProduit[Total (kg) N3],0,0,1)*TableauRecette[[#This Row],[fraction mélange]]</f>
        <v/>
      </c>
      <c r="O48">
        <f>_xlfn.XLOOKUP(TableauRecette[[#This Row],[ID]],TableauProduit[ID],TableauProduit[Total (kg) N4],0,0,1)*TableauRecette[[#This Row],[fraction mélange]]</f>
        <v/>
      </c>
      <c r="P48">
        <f>_xlfn.XLOOKUP(TableauRecette[[#This Row],[ID]],TableauProduit[ID],TableauProduit[Total (kg) N5],0,0,1)*TableauRecette[[#This Row],[fraction mélange]]</f>
        <v/>
      </c>
      <c r="Q48">
        <f>_xlfn.XLOOKUP(TableauRecette[[#This Row],[ID]],TableauProduit[ID],TableauProduit[Total (kg) N6],0,0,1)*TableauRecette[[#This Row],[fraction mélange]]</f>
        <v/>
      </c>
      <c r="R48">
        <f>_xlfn.XLOOKUP(TableauRecette[[#This Row],[ID]],TableauProduit[ID],TableauProduit[Total (kg) N7],0,0,1)*TableauRecette[[#This Row],[fraction mélange]]</f>
        <v/>
      </c>
      <c r="S48">
        <f>_xlfn.XLOOKUP(TableauRecette[[#This Row],[ID]],TableauProduit[ID],TableauProduit[Total (kg) N8],0,0,1)*TableauRecette[[#This Row],[fraction mélange]]</f>
        <v/>
      </c>
      <c r="T48">
        <f>_xlfn.XLOOKUP(TableauRecette[[#This Row],[ID]],TableauProduit[ID],TableauProduit[Total (kg) N9],0,0,1)*TableauRecette[[#This Row],[fraction mélange]]</f>
        <v/>
      </c>
    </row>
    <row r="49">
      <c r="A49" t="inlineStr">
        <is>
          <t>Cumin graine</t>
        </is>
      </c>
      <c r="B49">
        <f>TableauRecette[[#This Row],[Recette]]&amp;TableauRecette[[#This Row],[Conditionnement]]</f>
        <v/>
      </c>
      <c r="C49" t="inlineStr">
        <is>
          <t>Graine De Cumin</t>
        </is>
      </c>
      <c r="D49" t="n">
        <v>1</v>
      </c>
      <c r="E49" t="inlineStr">
        <is>
          <t>Epice 100ml</t>
        </is>
      </c>
      <c r="F4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9">
        <f>IFERROR(_xlfn.XLOOKUP(TableauRecette[[#This Row],[Ingredients]],TableauIngredients[Ingredients],TableauIngredients[Prix d''achat / kg],0)*TableauRecette[[#This Row],[fraction mélange]],0)</f>
        <v/>
      </c>
      <c r="H49">
        <f>IFERROR(SUMIFS(TableauRecette[Proportion],TableauRecette[Recette],TableauRecette[[#This Row],[Recette]],TableauRecette[Conditionnement],TableauRecette[[#This Row],[Conditionnement]]),0)</f>
        <v/>
      </c>
      <c r="I49">
        <f>IFERROR(TableauRecette[[#This Row],[Prix d''achat / kg]],0)</f>
        <v/>
      </c>
      <c r="J49" t="inlineStr">
        <is>
          <t>Iran</t>
        </is>
      </c>
      <c r="K49" t="inlineStr">
        <is>
          <t>SEC</t>
        </is>
      </c>
      <c r="L49">
        <f>_xlfn.XLOOKUP(TableauRecette[[#This Row],[ID]],TableauProduit[ID],TableauProduit[Total (kg) N1],0,0,1)*TableauRecette[[#This Row],[fraction mélange]]</f>
        <v/>
      </c>
      <c r="M49">
        <f>_xlfn.XLOOKUP(TableauRecette[[#This Row],[ID]],TableauProduit[ID],TableauProduit[Total (kg) N2],0,0,1)*TableauRecette[[#This Row],[fraction mélange]]</f>
        <v/>
      </c>
      <c r="N49">
        <f>_xlfn.XLOOKUP(TableauRecette[[#This Row],[ID]],TableauProduit[ID],TableauProduit[Total (kg) N3],0,0,1)*TableauRecette[[#This Row],[fraction mélange]]</f>
        <v/>
      </c>
      <c r="O49">
        <f>_xlfn.XLOOKUP(TableauRecette[[#This Row],[ID]],TableauProduit[ID],TableauProduit[Total (kg) N4],0,0,1)*TableauRecette[[#This Row],[fraction mélange]]</f>
        <v/>
      </c>
      <c r="P49">
        <f>_xlfn.XLOOKUP(TableauRecette[[#This Row],[ID]],TableauProduit[ID],TableauProduit[Total (kg) N5],0,0,1)*TableauRecette[[#This Row],[fraction mélange]]</f>
        <v/>
      </c>
      <c r="Q49">
        <f>_xlfn.XLOOKUP(TableauRecette[[#This Row],[ID]],TableauProduit[ID],TableauProduit[Total (kg) N6],0,0,1)*TableauRecette[[#This Row],[fraction mélange]]</f>
        <v/>
      </c>
      <c r="R49">
        <f>_xlfn.XLOOKUP(TableauRecette[[#This Row],[ID]],TableauProduit[ID],TableauProduit[Total (kg) N7],0,0,1)*TableauRecette[[#This Row],[fraction mélange]]</f>
        <v/>
      </c>
      <c r="S49">
        <f>_xlfn.XLOOKUP(TableauRecette[[#This Row],[ID]],TableauProduit[ID],TableauProduit[Total (kg) N8],0,0,1)*TableauRecette[[#This Row],[fraction mélange]]</f>
        <v/>
      </c>
      <c r="T49">
        <f>_xlfn.XLOOKUP(TableauRecette[[#This Row],[ID]],TableauProduit[ID],TableauProduit[Total (kg) N9],0,0,1)*TableauRecette[[#This Row],[fraction mélange]]</f>
        <v/>
      </c>
    </row>
    <row r="50">
      <c r="A50" t="inlineStr">
        <is>
          <t>Cumin moulu</t>
        </is>
      </c>
      <c r="B50">
        <f>TableauRecette[[#This Row],[Recette]]&amp;TableauRecette[[#This Row],[Conditionnement]]</f>
        <v/>
      </c>
      <c r="C50" t="inlineStr">
        <is>
          <t>Cumin Moulu</t>
        </is>
      </c>
      <c r="D50" t="n">
        <v>1</v>
      </c>
      <c r="E50" t="inlineStr">
        <is>
          <t>Epice 100ml</t>
        </is>
      </c>
      <c r="F5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0">
        <f>IFERROR(_xlfn.XLOOKUP(TableauRecette[[#This Row],[Ingredients]],TableauIngredients[Ingredients],TableauIngredients[Prix d''achat / kg],0)*TableauRecette[[#This Row],[fraction mélange]],0)</f>
        <v/>
      </c>
      <c r="H50">
        <f>IFERROR(SUMIFS(TableauRecette[Proportion],TableauRecette[Recette],TableauRecette[[#This Row],[Recette]],TableauRecette[Conditionnement],TableauRecette[[#This Row],[Conditionnement]]),0)</f>
        <v/>
      </c>
      <c r="I50">
        <f>IFERROR(TableauRecette[[#This Row],[Prix d''achat / kg]],0)</f>
        <v/>
      </c>
      <c r="J50" t="inlineStr">
        <is>
          <t>Irak</t>
        </is>
      </c>
      <c r="K50" t="inlineStr">
        <is>
          <t>SEC</t>
        </is>
      </c>
      <c r="L50">
        <f>_xlfn.XLOOKUP(TableauRecette[[#This Row],[ID]],TableauProduit[ID],TableauProduit[Total (kg) N1],0,0,1)*TableauRecette[[#This Row],[fraction mélange]]</f>
        <v/>
      </c>
      <c r="M50">
        <f>_xlfn.XLOOKUP(TableauRecette[[#This Row],[ID]],TableauProduit[ID],TableauProduit[Total (kg) N2],0,0,1)*TableauRecette[[#This Row],[fraction mélange]]</f>
        <v/>
      </c>
      <c r="N50">
        <f>_xlfn.XLOOKUP(TableauRecette[[#This Row],[ID]],TableauProduit[ID],TableauProduit[Total (kg) N3],0,0,1)*TableauRecette[[#This Row],[fraction mélange]]</f>
        <v/>
      </c>
      <c r="O50">
        <f>_xlfn.XLOOKUP(TableauRecette[[#This Row],[ID]],TableauProduit[ID],TableauProduit[Total (kg) N4],0,0,1)*TableauRecette[[#This Row],[fraction mélange]]</f>
        <v/>
      </c>
      <c r="P50">
        <f>_xlfn.XLOOKUP(TableauRecette[[#This Row],[ID]],TableauProduit[ID],TableauProduit[Total (kg) N5],0,0,1)*TableauRecette[[#This Row],[fraction mélange]]</f>
        <v/>
      </c>
      <c r="Q50">
        <f>_xlfn.XLOOKUP(TableauRecette[[#This Row],[ID]],TableauProduit[ID],TableauProduit[Total (kg) N6],0,0,1)*TableauRecette[[#This Row],[fraction mélange]]</f>
        <v/>
      </c>
      <c r="R50">
        <f>_xlfn.XLOOKUP(TableauRecette[[#This Row],[ID]],TableauProduit[ID],TableauProduit[Total (kg) N7],0,0,1)*TableauRecette[[#This Row],[fraction mélange]]</f>
        <v/>
      </c>
      <c r="S50">
        <f>_xlfn.XLOOKUP(TableauRecette[[#This Row],[ID]],TableauProduit[ID],TableauProduit[Total (kg) N8],0,0,1)*TableauRecette[[#This Row],[fraction mélange]]</f>
        <v/>
      </c>
      <c r="T50">
        <f>_xlfn.XLOOKUP(TableauRecette[[#This Row],[ID]],TableauProduit[ID],TableauProduit[Total (kg) N9],0,0,1)*TableauRecette[[#This Row],[fraction mélange]]</f>
        <v/>
      </c>
    </row>
    <row r="51">
      <c r="A51" t="inlineStr">
        <is>
          <t>Curcuma</t>
        </is>
      </c>
      <c r="B51">
        <f>TableauRecette[[#This Row],[Recette]]&amp;TableauRecette[[#This Row],[Conditionnement]]</f>
        <v/>
      </c>
      <c r="C51" t="inlineStr">
        <is>
          <t>Curcuma Moulu</t>
        </is>
      </c>
      <c r="D51" t="n">
        <v>1</v>
      </c>
      <c r="E51" t="inlineStr">
        <is>
          <t>Epice 100ml</t>
        </is>
      </c>
      <c r="F5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1">
        <f>IFERROR(_xlfn.XLOOKUP(TableauRecette[[#This Row],[Ingredients]],TableauIngredients[Ingredients],TableauIngredients[Prix d''achat / kg],0)*TableauRecette[[#This Row],[fraction mélange]],0)</f>
        <v/>
      </c>
      <c r="H51">
        <f>IFERROR(SUMIFS(TableauRecette[Proportion],TableauRecette[Recette],TableauRecette[[#This Row],[Recette]],TableauRecette[Conditionnement],TableauRecette[[#This Row],[Conditionnement]]),0)</f>
        <v/>
      </c>
      <c r="I51">
        <f>IFERROR(TableauRecette[[#This Row],[Prix d''achat / kg]],0)</f>
        <v/>
      </c>
      <c r="J51" t="inlineStr">
        <is>
          <t>Irak</t>
        </is>
      </c>
      <c r="K51" t="inlineStr">
        <is>
          <t>SEC</t>
        </is>
      </c>
      <c r="L51">
        <f>_xlfn.XLOOKUP(TableauRecette[[#This Row],[ID]],TableauProduit[ID],TableauProduit[Total (kg) N1],0,0,1)*TableauRecette[[#This Row],[fraction mélange]]</f>
        <v/>
      </c>
      <c r="M51">
        <f>_xlfn.XLOOKUP(TableauRecette[[#This Row],[ID]],TableauProduit[ID],TableauProduit[Total (kg) N2],0,0,1)*TableauRecette[[#This Row],[fraction mélange]]</f>
        <v/>
      </c>
      <c r="N51">
        <f>_xlfn.XLOOKUP(TableauRecette[[#This Row],[ID]],TableauProduit[ID],TableauProduit[Total (kg) N3],0,0,1)*TableauRecette[[#This Row],[fraction mélange]]</f>
        <v/>
      </c>
      <c r="O51">
        <f>_xlfn.XLOOKUP(TableauRecette[[#This Row],[ID]],TableauProduit[ID],TableauProduit[Total (kg) N4],0,0,1)*TableauRecette[[#This Row],[fraction mélange]]</f>
        <v/>
      </c>
      <c r="P51">
        <f>_xlfn.XLOOKUP(TableauRecette[[#This Row],[ID]],TableauProduit[ID],TableauProduit[Total (kg) N5],0,0,1)*TableauRecette[[#This Row],[fraction mélange]]</f>
        <v/>
      </c>
      <c r="Q51">
        <f>_xlfn.XLOOKUP(TableauRecette[[#This Row],[ID]],TableauProduit[ID],TableauProduit[Total (kg) N6],0,0,1)*TableauRecette[[#This Row],[fraction mélange]]</f>
        <v/>
      </c>
      <c r="R51">
        <f>_xlfn.XLOOKUP(TableauRecette[[#This Row],[ID]],TableauProduit[ID],TableauProduit[Total (kg) N7],0,0,1)*TableauRecette[[#This Row],[fraction mélange]]</f>
        <v/>
      </c>
      <c r="S51">
        <f>_xlfn.XLOOKUP(TableauRecette[[#This Row],[ID]],TableauProduit[ID],TableauProduit[Total (kg) N8],0,0,1)*TableauRecette[[#This Row],[fraction mélange]]</f>
        <v/>
      </c>
      <c r="T51">
        <f>_xlfn.XLOOKUP(TableauRecette[[#This Row],[ID]],TableauProduit[ID],TableauProduit[Total (kg) N9],0,0,1)*TableauRecette[[#This Row],[fraction mélange]]</f>
        <v/>
      </c>
    </row>
    <row r="52">
      <c r="A52" t="inlineStr">
        <is>
          <t>Curry</t>
        </is>
      </c>
      <c r="B52">
        <f>TableauRecette[[#This Row],[Recette]]&amp;TableauRecette[[#This Row],[Conditionnement]]</f>
        <v/>
      </c>
      <c r="C52" t="inlineStr">
        <is>
          <t>Coriandre Graine</t>
        </is>
      </c>
      <c r="D52" t="n">
        <v>0.75</v>
      </c>
      <c r="E52" t="inlineStr">
        <is>
          <t>Epice 100ml</t>
        </is>
      </c>
      <c r="F5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2">
        <f>IFERROR(_xlfn.XLOOKUP(TableauRecette[[#This Row],[Ingredients]],TableauIngredients[Ingredients],TableauIngredients[Prix d''achat / kg],0)*TableauRecette[[#This Row],[fraction mélange]],0)</f>
        <v/>
      </c>
      <c r="H52">
        <f>IFERROR(SUMIFS(TableauRecette[Proportion],TableauRecette[Recette],TableauRecette[[#This Row],[Recette]],TableauRecette[Conditionnement],TableauRecette[[#This Row],[Conditionnement]]),0)</f>
        <v/>
      </c>
      <c r="I52">
        <f>IFERROR(TableauRecette[[#This Row],[Prix d''achat / kg]],0)</f>
        <v/>
      </c>
      <c r="J52" t="inlineStr">
        <is>
          <t>Irak</t>
        </is>
      </c>
      <c r="K52" t="inlineStr">
        <is>
          <t>SEC</t>
        </is>
      </c>
      <c r="L52">
        <f>_xlfn.XLOOKUP(TableauRecette[[#This Row],[ID]],TableauProduit[ID],TableauProduit[Total (kg) N1],0,0,1)*TableauRecette[[#This Row],[fraction mélange]]</f>
        <v/>
      </c>
      <c r="M52">
        <f>_xlfn.XLOOKUP(TableauRecette[[#This Row],[ID]],TableauProduit[ID],TableauProduit[Total (kg) N2],0,0,1)*TableauRecette[[#This Row],[fraction mélange]]</f>
        <v/>
      </c>
      <c r="N52">
        <f>_xlfn.XLOOKUP(TableauRecette[[#This Row],[ID]],TableauProduit[ID],TableauProduit[Total (kg) N3],0,0,1)*TableauRecette[[#This Row],[fraction mélange]]</f>
        <v/>
      </c>
      <c r="O52">
        <f>_xlfn.XLOOKUP(TableauRecette[[#This Row],[ID]],TableauProduit[ID],TableauProduit[Total (kg) N4],0,0,1)*TableauRecette[[#This Row],[fraction mélange]]</f>
        <v/>
      </c>
      <c r="P52">
        <f>_xlfn.XLOOKUP(TableauRecette[[#This Row],[ID]],TableauProduit[ID],TableauProduit[Total (kg) N5],0,0,1)*TableauRecette[[#This Row],[fraction mélange]]</f>
        <v/>
      </c>
      <c r="Q52">
        <f>_xlfn.XLOOKUP(TableauRecette[[#This Row],[ID]],TableauProduit[ID],TableauProduit[Total (kg) N6],0,0,1)*TableauRecette[[#This Row],[fraction mélange]]</f>
        <v/>
      </c>
      <c r="R52">
        <f>_xlfn.XLOOKUP(TableauRecette[[#This Row],[ID]],TableauProduit[ID],TableauProduit[Total (kg) N7],0,0,1)*TableauRecette[[#This Row],[fraction mélange]]</f>
        <v/>
      </c>
      <c r="S52">
        <f>_xlfn.XLOOKUP(TableauRecette[[#This Row],[ID]],TableauProduit[ID],TableauProduit[Total (kg) N8],0,0,1)*TableauRecette[[#This Row],[fraction mélange]]</f>
        <v/>
      </c>
      <c r="T52">
        <f>_xlfn.XLOOKUP(TableauRecette[[#This Row],[ID]],TableauProduit[ID],TableauProduit[Total (kg) N9],0,0,1)*TableauRecette[[#This Row],[fraction mélange]]</f>
        <v/>
      </c>
    </row>
    <row r="53">
      <c r="A53" t="inlineStr">
        <is>
          <t>Curry</t>
        </is>
      </c>
      <c r="B53">
        <f>TableauRecette[[#This Row],[Recette]]&amp;TableauRecette[[#This Row],[Conditionnement]]</f>
        <v/>
      </c>
      <c r="C53" t="inlineStr">
        <is>
          <t>Curcuma Moulu</t>
        </is>
      </c>
      <c r="D53" t="n">
        <v>1</v>
      </c>
      <c r="E53" t="inlineStr">
        <is>
          <t>Epice 100ml</t>
        </is>
      </c>
      <c r="F5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3">
        <f>IFERROR(_xlfn.XLOOKUP(TableauRecette[[#This Row],[Ingredients]],TableauIngredients[Ingredients],TableauIngredients[Prix d''achat / kg],0)*TableauRecette[[#This Row],[fraction mélange]],0)</f>
        <v/>
      </c>
      <c r="H53">
        <f>IFERROR(SUMIFS(TableauRecette[Proportion],TableauRecette[Recette],TableauRecette[[#This Row],[Recette]],TableauRecette[Conditionnement],TableauRecette[[#This Row],[Conditionnement]]),0)</f>
        <v/>
      </c>
      <c r="I53">
        <f>IFERROR(TableauRecette[[#This Row],[Prix d''achat / kg]],0)</f>
        <v/>
      </c>
      <c r="J53" t="inlineStr">
        <is>
          <t>Irak</t>
        </is>
      </c>
      <c r="K53" t="inlineStr">
        <is>
          <t>SEC</t>
        </is>
      </c>
      <c r="L53">
        <f>_xlfn.XLOOKUP(TableauRecette[[#This Row],[ID]],TableauProduit[ID],TableauProduit[Total (kg) N1],0,0,1)*TableauRecette[[#This Row],[fraction mélange]]</f>
        <v/>
      </c>
      <c r="M53">
        <f>_xlfn.XLOOKUP(TableauRecette[[#This Row],[ID]],TableauProduit[ID],TableauProduit[Total (kg) N2],0,0,1)*TableauRecette[[#This Row],[fraction mélange]]</f>
        <v/>
      </c>
      <c r="N53">
        <f>_xlfn.XLOOKUP(TableauRecette[[#This Row],[ID]],TableauProduit[ID],TableauProduit[Total (kg) N3],0,0,1)*TableauRecette[[#This Row],[fraction mélange]]</f>
        <v/>
      </c>
      <c r="O53">
        <f>_xlfn.XLOOKUP(TableauRecette[[#This Row],[ID]],TableauProduit[ID],TableauProduit[Total (kg) N4],0,0,1)*TableauRecette[[#This Row],[fraction mélange]]</f>
        <v/>
      </c>
      <c r="P53">
        <f>_xlfn.XLOOKUP(TableauRecette[[#This Row],[ID]],TableauProduit[ID],TableauProduit[Total (kg) N5],0,0,1)*TableauRecette[[#This Row],[fraction mélange]]</f>
        <v/>
      </c>
      <c r="Q53">
        <f>_xlfn.XLOOKUP(TableauRecette[[#This Row],[ID]],TableauProduit[ID],TableauProduit[Total (kg) N6],0,0,1)*TableauRecette[[#This Row],[fraction mélange]]</f>
        <v/>
      </c>
      <c r="R53">
        <f>_xlfn.XLOOKUP(TableauRecette[[#This Row],[ID]],TableauProduit[ID],TableauProduit[Total (kg) N7],0,0,1)*TableauRecette[[#This Row],[fraction mélange]]</f>
        <v/>
      </c>
      <c r="S53">
        <f>_xlfn.XLOOKUP(TableauRecette[[#This Row],[ID]],TableauProduit[ID],TableauProduit[Total (kg) N8],0,0,1)*TableauRecette[[#This Row],[fraction mélange]]</f>
        <v/>
      </c>
      <c r="T53">
        <f>_xlfn.XLOOKUP(TableauRecette[[#This Row],[ID]],TableauProduit[ID],TableauProduit[Total (kg) N9],0,0,1)*TableauRecette[[#This Row],[fraction mélange]]</f>
        <v/>
      </c>
    </row>
    <row r="54">
      <c r="A54" t="inlineStr">
        <is>
          <t>Curry</t>
        </is>
      </c>
      <c r="B54">
        <f>TableauRecette[[#This Row],[Recette]]&amp;TableauRecette[[#This Row],[Conditionnement]]</f>
        <v/>
      </c>
      <c r="C54" t="inlineStr">
        <is>
          <t>Graine De Moutarde</t>
        </is>
      </c>
      <c r="D54" t="n">
        <v>0.5</v>
      </c>
      <c r="E54" t="inlineStr">
        <is>
          <t>Epice 100ml</t>
        </is>
      </c>
      <c r="F5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4">
        <f>IFERROR(_xlfn.XLOOKUP(TableauRecette[[#This Row],[Ingredients]],TableauIngredients[Ingredients],TableauIngredients[Prix d''achat / kg],0)*TableauRecette[[#This Row],[fraction mélange]],0)</f>
        <v/>
      </c>
      <c r="H54">
        <f>IFERROR(SUMIFS(TableauRecette[Proportion],TableauRecette[Recette],TableauRecette[[#This Row],[Recette]],TableauRecette[Conditionnement],TableauRecette[[#This Row],[Conditionnement]]),0)</f>
        <v/>
      </c>
      <c r="I54">
        <f>IFERROR(TableauRecette[[#This Row],[Prix d''achat / kg]],0)</f>
        <v/>
      </c>
      <c r="J54" t="inlineStr">
        <is>
          <t>Irak</t>
        </is>
      </c>
      <c r="K54" t="inlineStr">
        <is>
          <t>SEC</t>
        </is>
      </c>
      <c r="L54">
        <f>_xlfn.XLOOKUP(TableauRecette[[#This Row],[ID]],TableauProduit[ID],TableauProduit[Total (kg) N1],0,0,1)*TableauRecette[[#This Row],[fraction mélange]]</f>
        <v/>
      </c>
      <c r="M54">
        <f>_xlfn.XLOOKUP(TableauRecette[[#This Row],[ID]],TableauProduit[ID],TableauProduit[Total (kg) N2],0,0,1)*TableauRecette[[#This Row],[fraction mélange]]</f>
        <v/>
      </c>
      <c r="N54">
        <f>_xlfn.XLOOKUP(TableauRecette[[#This Row],[ID]],TableauProduit[ID],TableauProduit[Total (kg) N3],0,0,1)*TableauRecette[[#This Row],[fraction mélange]]</f>
        <v/>
      </c>
      <c r="O54">
        <f>_xlfn.XLOOKUP(TableauRecette[[#This Row],[ID]],TableauProduit[ID],TableauProduit[Total (kg) N4],0,0,1)*TableauRecette[[#This Row],[fraction mélange]]</f>
        <v/>
      </c>
      <c r="P54">
        <f>_xlfn.XLOOKUP(TableauRecette[[#This Row],[ID]],TableauProduit[ID],TableauProduit[Total (kg) N5],0,0,1)*TableauRecette[[#This Row],[fraction mélange]]</f>
        <v/>
      </c>
      <c r="Q54">
        <f>_xlfn.XLOOKUP(TableauRecette[[#This Row],[ID]],TableauProduit[ID],TableauProduit[Total (kg) N6],0,0,1)*TableauRecette[[#This Row],[fraction mélange]]</f>
        <v/>
      </c>
      <c r="R54">
        <f>_xlfn.XLOOKUP(TableauRecette[[#This Row],[ID]],TableauProduit[ID],TableauProduit[Total (kg) N7],0,0,1)*TableauRecette[[#This Row],[fraction mélange]]</f>
        <v/>
      </c>
      <c r="S54">
        <f>_xlfn.XLOOKUP(TableauRecette[[#This Row],[ID]],TableauProduit[ID],TableauProduit[Total (kg) N8],0,0,1)*TableauRecette[[#This Row],[fraction mélange]]</f>
        <v/>
      </c>
      <c r="T54">
        <f>_xlfn.XLOOKUP(TableauRecette[[#This Row],[ID]],TableauProduit[ID],TableauProduit[Total (kg) N9],0,0,1)*TableauRecette[[#This Row],[fraction mélange]]</f>
        <v/>
      </c>
    </row>
    <row r="55">
      <c r="A55" t="inlineStr">
        <is>
          <t>Curry</t>
        </is>
      </c>
      <c r="B55">
        <f>TableauRecette[[#This Row],[Recette]]&amp;TableauRecette[[#This Row],[Conditionnement]]</f>
        <v/>
      </c>
      <c r="C55" t="inlineStr">
        <is>
          <t>Cumin Moulu</t>
        </is>
      </c>
      <c r="D55" t="n">
        <v>0.5</v>
      </c>
      <c r="E55" t="inlineStr">
        <is>
          <t>Epice 100ml</t>
        </is>
      </c>
      <c r="F5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5">
        <f>IFERROR(_xlfn.XLOOKUP(TableauRecette[[#This Row],[Ingredients]],TableauIngredients[Ingredients],TableauIngredients[Prix d''achat / kg],0)*TableauRecette[[#This Row],[fraction mélange]],0)</f>
        <v/>
      </c>
      <c r="H55">
        <f>IFERROR(SUMIFS(TableauRecette[Proportion],TableauRecette[Recette],TableauRecette[[#This Row],[Recette]],TableauRecette[Conditionnement],TableauRecette[[#This Row],[Conditionnement]]),0)</f>
        <v/>
      </c>
      <c r="I55">
        <f>IFERROR(TableauRecette[[#This Row],[Prix d''achat / kg]],0)</f>
        <v/>
      </c>
      <c r="J55" t="inlineStr">
        <is>
          <t>Irak</t>
        </is>
      </c>
      <c r="K55" t="inlineStr">
        <is>
          <t>SEC</t>
        </is>
      </c>
      <c r="L55">
        <f>_xlfn.XLOOKUP(TableauRecette[[#This Row],[ID]],TableauProduit[ID],TableauProduit[Total (kg) N1],0,0,1)*TableauRecette[[#This Row],[fraction mélange]]</f>
        <v/>
      </c>
      <c r="M55">
        <f>_xlfn.XLOOKUP(TableauRecette[[#This Row],[ID]],TableauProduit[ID],TableauProduit[Total (kg) N2],0,0,1)*TableauRecette[[#This Row],[fraction mélange]]</f>
        <v/>
      </c>
      <c r="N55">
        <f>_xlfn.XLOOKUP(TableauRecette[[#This Row],[ID]],TableauProduit[ID],TableauProduit[Total (kg) N3],0,0,1)*TableauRecette[[#This Row],[fraction mélange]]</f>
        <v/>
      </c>
      <c r="O55">
        <f>_xlfn.XLOOKUP(TableauRecette[[#This Row],[ID]],TableauProduit[ID],TableauProduit[Total (kg) N4],0,0,1)*TableauRecette[[#This Row],[fraction mélange]]</f>
        <v/>
      </c>
      <c r="P55">
        <f>_xlfn.XLOOKUP(TableauRecette[[#This Row],[ID]],TableauProduit[ID],TableauProduit[Total (kg) N5],0,0,1)*TableauRecette[[#This Row],[fraction mélange]]</f>
        <v/>
      </c>
      <c r="Q55">
        <f>_xlfn.XLOOKUP(TableauRecette[[#This Row],[ID]],TableauProduit[ID],TableauProduit[Total (kg) N6],0,0,1)*TableauRecette[[#This Row],[fraction mélange]]</f>
        <v/>
      </c>
      <c r="R55">
        <f>_xlfn.XLOOKUP(TableauRecette[[#This Row],[ID]],TableauProduit[ID],TableauProduit[Total (kg) N7],0,0,1)*TableauRecette[[#This Row],[fraction mélange]]</f>
        <v/>
      </c>
      <c r="S55">
        <f>_xlfn.XLOOKUP(TableauRecette[[#This Row],[ID]],TableauProduit[ID],TableauProduit[Total (kg) N8],0,0,1)*TableauRecette[[#This Row],[fraction mélange]]</f>
        <v/>
      </c>
      <c r="T55">
        <f>_xlfn.XLOOKUP(TableauRecette[[#This Row],[ID]],TableauProduit[ID],TableauProduit[Total (kg) N9],0,0,1)*TableauRecette[[#This Row],[fraction mélange]]</f>
        <v/>
      </c>
    </row>
    <row r="56">
      <c r="A56" t="inlineStr">
        <is>
          <t>Curry</t>
        </is>
      </c>
      <c r="B56">
        <f>TableauRecette[[#This Row],[Recette]]&amp;TableauRecette[[#This Row],[Conditionnement]]</f>
        <v/>
      </c>
      <c r="C56" t="inlineStr">
        <is>
          <t>Sel</t>
        </is>
      </c>
      <c r="D56" t="n">
        <v>1</v>
      </c>
      <c r="E56" t="inlineStr">
        <is>
          <t>Epice 100ml</t>
        </is>
      </c>
      <c r="F5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6">
        <f>IFERROR(_xlfn.XLOOKUP(TableauRecette[[#This Row],[Ingredients]],TableauIngredients[Ingredients],TableauIngredients[Prix d''achat / kg],0)*TableauRecette[[#This Row],[fraction mélange]],0)</f>
        <v/>
      </c>
      <c r="H56">
        <f>IFERROR(SUMIFS(TableauRecette[Proportion],TableauRecette[Recette],TableauRecette[[#This Row],[Recette]],TableauRecette[Conditionnement],TableauRecette[[#This Row],[Conditionnement]]),0)</f>
        <v/>
      </c>
      <c r="I56">
        <f>IFERROR(TableauRecette[[#This Row],[Prix d''achat / kg]],0)</f>
        <v/>
      </c>
      <c r="J56" t="inlineStr">
        <is>
          <t>Égypte</t>
        </is>
      </c>
      <c r="K56" t="inlineStr">
        <is>
          <t>SEC</t>
        </is>
      </c>
      <c r="L56">
        <f>_xlfn.XLOOKUP(TableauRecette[[#This Row],[ID]],TableauProduit[ID],TableauProduit[Total (kg) N1],0,0,1)*TableauRecette[[#This Row],[fraction mélange]]</f>
        <v/>
      </c>
      <c r="M56">
        <f>_xlfn.XLOOKUP(TableauRecette[[#This Row],[ID]],TableauProduit[ID],TableauProduit[Total (kg) N2],0,0,1)*TableauRecette[[#This Row],[fraction mélange]]</f>
        <v/>
      </c>
      <c r="N56">
        <f>_xlfn.XLOOKUP(TableauRecette[[#This Row],[ID]],TableauProduit[ID],TableauProduit[Total (kg) N3],0,0,1)*TableauRecette[[#This Row],[fraction mélange]]</f>
        <v/>
      </c>
      <c r="O56">
        <f>_xlfn.XLOOKUP(TableauRecette[[#This Row],[ID]],TableauProduit[ID],TableauProduit[Total (kg) N4],0,0,1)*TableauRecette[[#This Row],[fraction mélange]]</f>
        <v/>
      </c>
      <c r="P56">
        <f>_xlfn.XLOOKUP(TableauRecette[[#This Row],[ID]],TableauProduit[ID],TableauProduit[Total (kg) N5],0,0,1)*TableauRecette[[#This Row],[fraction mélange]]</f>
        <v/>
      </c>
      <c r="Q56">
        <f>_xlfn.XLOOKUP(TableauRecette[[#This Row],[ID]],TableauProduit[ID],TableauProduit[Total (kg) N6],0,0,1)*TableauRecette[[#This Row],[fraction mélange]]</f>
        <v/>
      </c>
      <c r="R56">
        <f>_xlfn.XLOOKUP(TableauRecette[[#This Row],[ID]],TableauProduit[ID],TableauProduit[Total (kg) N7],0,0,1)*TableauRecette[[#This Row],[fraction mélange]]</f>
        <v/>
      </c>
      <c r="S56">
        <f>_xlfn.XLOOKUP(TableauRecette[[#This Row],[ID]],TableauProduit[ID],TableauProduit[Total (kg) N8],0,0,1)*TableauRecette[[#This Row],[fraction mélange]]</f>
        <v/>
      </c>
      <c r="T56">
        <f>_xlfn.XLOOKUP(TableauRecette[[#This Row],[ID]],TableauProduit[ID],TableauProduit[Total (kg) N9],0,0,1)*TableauRecette[[#This Row],[fraction mélange]]</f>
        <v/>
      </c>
    </row>
    <row r="57">
      <c r="A57" t="inlineStr">
        <is>
          <t>Curry</t>
        </is>
      </c>
      <c r="B57">
        <f>TableauRecette[[#This Row],[Recette]]&amp;TableauRecette[[#This Row],[Conditionnement]]</f>
        <v/>
      </c>
      <c r="C57" t="inlineStr">
        <is>
          <t>Poivre Noir</t>
        </is>
      </c>
      <c r="D57" t="n">
        <v>0.75</v>
      </c>
      <c r="E57" t="inlineStr">
        <is>
          <t>Epice 100ml</t>
        </is>
      </c>
      <c r="F5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7">
        <f>IFERROR(_xlfn.XLOOKUP(TableauRecette[[#This Row],[Ingredients]],TableauIngredients[Ingredients],TableauIngredients[Prix d''achat / kg],0)*TableauRecette[[#This Row],[fraction mélange]],0)</f>
        <v/>
      </c>
      <c r="H57">
        <f>IFERROR(SUMIFS(TableauRecette[Proportion],TableauRecette[Recette],TableauRecette[[#This Row],[Recette]],TableauRecette[Conditionnement],TableauRecette[[#This Row],[Conditionnement]]),0)</f>
        <v/>
      </c>
      <c r="I57">
        <f>IFERROR(TableauRecette[[#This Row],[Prix d''achat / kg]],0)</f>
        <v/>
      </c>
      <c r="J57" t="inlineStr">
        <is>
          <t>Égypte</t>
        </is>
      </c>
      <c r="K57" t="inlineStr">
        <is>
          <t>SEC</t>
        </is>
      </c>
      <c r="L57">
        <f>_xlfn.XLOOKUP(TableauRecette[[#This Row],[ID]],TableauProduit[ID],TableauProduit[Total (kg) N1],0,0,1)*TableauRecette[[#This Row],[fraction mélange]]</f>
        <v/>
      </c>
      <c r="M57">
        <f>_xlfn.XLOOKUP(TableauRecette[[#This Row],[ID]],TableauProduit[ID],TableauProduit[Total (kg) N2],0,0,1)*TableauRecette[[#This Row],[fraction mélange]]</f>
        <v/>
      </c>
      <c r="N57">
        <f>_xlfn.XLOOKUP(TableauRecette[[#This Row],[ID]],TableauProduit[ID],TableauProduit[Total (kg) N3],0,0,1)*TableauRecette[[#This Row],[fraction mélange]]</f>
        <v/>
      </c>
      <c r="O57">
        <f>_xlfn.XLOOKUP(TableauRecette[[#This Row],[ID]],TableauProduit[ID],TableauProduit[Total (kg) N4],0,0,1)*TableauRecette[[#This Row],[fraction mélange]]</f>
        <v/>
      </c>
      <c r="P57">
        <f>_xlfn.XLOOKUP(TableauRecette[[#This Row],[ID]],TableauProduit[ID],TableauProduit[Total (kg) N5],0,0,1)*TableauRecette[[#This Row],[fraction mélange]]</f>
        <v/>
      </c>
      <c r="Q57">
        <f>_xlfn.XLOOKUP(TableauRecette[[#This Row],[ID]],TableauProduit[ID],TableauProduit[Total (kg) N6],0,0,1)*TableauRecette[[#This Row],[fraction mélange]]</f>
        <v/>
      </c>
      <c r="R57">
        <f>_xlfn.XLOOKUP(TableauRecette[[#This Row],[ID]],TableauProduit[ID],TableauProduit[Total (kg) N7],0,0,1)*TableauRecette[[#This Row],[fraction mélange]]</f>
        <v/>
      </c>
      <c r="S57">
        <f>_xlfn.XLOOKUP(TableauRecette[[#This Row],[ID]],TableauProduit[ID],TableauProduit[Total (kg) N8],0,0,1)*TableauRecette[[#This Row],[fraction mélange]]</f>
        <v/>
      </c>
      <c r="T57">
        <f>_xlfn.XLOOKUP(TableauRecette[[#This Row],[ID]],TableauProduit[ID],TableauProduit[Total (kg) N9],0,0,1)*TableauRecette[[#This Row],[fraction mélange]]</f>
        <v/>
      </c>
    </row>
    <row r="58">
      <c r="A58" t="inlineStr">
        <is>
          <t>Curry</t>
        </is>
      </c>
      <c r="B58">
        <f>TableauRecette[[#This Row],[Recette]]&amp;TableauRecette[[#This Row],[Conditionnement]]</f>
        <v/>
      </c>
      <c r="C58" t="inlineStr">
        <is>
          <t>Gingembre Sec</t>
        </is>
      </c>
      <c r="D58" t="n">
        <v>0.5</v>
      </c>
      <c r="E58" t="inlineStr">
        <is>
          <t>Epice 100ml</t>
        </is>
      </c>
      <c r="F5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8">
        <f>IFERROR(_xlfn.XLOOKUP(TableauRecette[[#This Row],[Ingredients]],TableauIngredients[Ingredients],TableauIngredients[Prix d''achat / kg],0)*TableauRecette[[#This Row],[fraction mélange]],0)</f>
        <v/>
      </c>
      <c r="H58">
        <f>IFERROR(SUMIFS(TableauRecette[Proportion],TableauRecette[Recette],TableauRecette[[#This Row],[Recette]],TableauRecette[Conditionnement],TableauRecette[[#This Row],[Conditionnement]]),0)</f>
        <v/>
      </c>
      <c r="I58">
        <f>IFERROR(TableauRecette[[#This Row],[Prix d''achat / kg]],0)</f>
        <v/>
      </c>
      <c r="J58" t="inlineStr">
        <is>
          <t>Égypte</t>
        </is>
      </c>
      <c r="K58" t="inlineStr">
        <is>
          <t>SEC</t>
        </is>
      </c>
      <c r="L58">
        <f>_xlfn.XLOOKUP(TableauRecette[[#This Row],[ID]],TableauProduit[ID],TableauProduit[Total (kg) N1],0,0,1)*TableauRecette[[#This Row],[fraction mélange]]</f>
        <v/>
      </c>
      <c r="M58">
        <f>_xlfn.XLOOKUP(TableauRecette[[#This Row],[ID]],TableauProduit[ID],TableauProduit[Total (kg) N2],0,0,1)*TableauRecette[[#This Row],[fraction mélange]]</f>
        <v/>
      </c>
      <c r="N58">
        <f>_xlfn.XLOOKUP(TableauRecette[[#This Row],[ID]],TableauProduit[ID],TableauProduit[Total (kg) N3],0,0,1)*TableauRecette[[#This Row],[fraction mélange]]</f>
        <v/>
      </c>
      <c r="O58">
        <f>_xlfn.XLOOKUP(TableauRecette[[#This Row],[ID]],TableauProduit[ID],TableauProduit[Total (kg) N4],0,0,1)*TableauRecette[[#This Row],[fraction mélange]]</f>
        <v/>
      </c>
      <c r="P58">
        <f>_xlfn.XLOOKUP(TableauRecette[[#This Row],[ID]],TableauProduit[ID],TableauProduit[Total (kg) N5],0,0,1)*TableauRecette[[#This Row],[fraction mélange]]</f>
        <v/>
      </c>
      <c r="Q58">
        <f>_xlfn.XLOOKUP(TableauRecette[[#This Row],[ID]],TableauProduit[ID],TableauProduit[Total (kg) N6],0,0,1)*TableauRecette[[#This Row],[fraction mélange]]</f>
        <v/>
      </c>
      <c r="R58">
        <f>_xlfn.XLOOKUP(TableauRecette[[#This Row],[ID]],TableauProduit[ID],TableauProduit[Total (kg) N7],0,0,1)*TableauRecette[[#This Row],[fraction mélange]]</f>
        <v/>
      </c>
      <c r="S58">
        <f>_xlfn.XLOOKUP(TableauRecette[[#This Row],[ID]],TableauProduit[ID],TableauProduit[Total (kg) N8],0,0,1)*TableauRecette[[#This Row],[fraction mélange]]</f>
        <v/>
      </c>
      <c r="T58">
        <f>_xlfn.XLOOKUP(TableauRecette[[#This Row],[ID]],TableauProduit[ID],TableauProduit[Total (kg) N9],0,0,1)*TableauRecette[[#This Row],[fraction mélange]]</f>
        <v/>
      </c>
    </row>
    <row r="59">
      <c r="A59" t="inlineStr">
        <is>
          <t>Curry</t>
        </is>
      </c>
      <c r="B59">
        <f>TableauRecette[[#This Row],[Recette]]&amp;TableauRecette[[#This Row],[Conditionnement]]</f>
        <v/>
      </c>
      <c r="C59" t="inlineStr">
        <is>
          <t>Curcuma Moulu</t>
        </is>
      </c>
      <c r="D59" t="n">
        <v>3</v>
      </c>
      <c r="E59" t="inlineStr">
        <is>
          <t>Epice 100ml</t>
        </is>
      </c>
      <c r="F5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9">
        <f>IFERROR(_xlfn.XLOOKUP(TableauRecette[[#This Row],[Ingredients]],TableauIngredients[Ingredients],TableauIngredients[Prix d''achat / kg],0)*TableauRecette[[#This Row],[fraction mélange]],0)</f>
        <v/>
      </c>
      <c r="H59">
        <f>IFERROR(SUMIFS(TableauRecette[Proportion],TableauRecette[Recette],TableauRecette[[#This Row],[Recette]],TableauRecette[Conditionnement],TableauRecette[[#This Row],[Conditionnement]]),0)</f>
        <v/>
      </c>
      <c r="I59">
        <f>IFERROR(TableauRecette[[#This Row],[Prix d''achat / kg]],0)</f>
        <v/>
      </c>
      <c r="L59">
        <f>_xlfn.XLOOKUP(TableauRecette[[#This Row],[ID]],TableauProduit[ID],TableauProduit[Total (kg) N1],0,0,1)*TableauRecette[[#This Row],[fraction mélange]]</f>
        <v/>
      </c>
      <c r="M59">
        <f>_xlfn.XLOOKUP(TableauRecette[[#This Row],[ID]],TableauProduit[ID],TableauProduit[Total (kg) N2],0,0,1)*TableauRecette[[#This Row],[fraction mélange]]</f>
        <v/>
      </c>
      <c r="N59">
        <f>_xlfn.XLOOKUP(TableauRecette[[#This Row],[ID]],TableauProduit[ID],TableauProduit[Total (kg) N3],0,0,1)*TableauRecette[[#This Row],[fraction mélange]]</f>
        <v/>
      </c>
      <c r="O59">
        <f>_xlfn.XLOOKUP(TableauRecette[[#This Row],[ID]],TableauProduit[ID],TableauProduit[Total (kg) N4],0,0,1)*TableauRecette[[#This Row],[fraction mélange]]</f>
        <v/>
      </c>
      <c r="P59">
        <f>_xlfn.XLOOKUP(TableauRecette[[#This Row],[ID]],TableauProduit[ID],TableauProduit[Total (kg) N5],0,0,1)*TableauRecette[[#This Row],[fraction mélange]]</f>
        <v/>
      </c>
      <c r="Q59">
        <f>_xlfn.XLOOKUP(TableauRecette[[#This Row],[ID]],TableauProduit[ID],TableauProduit[Total (kg) N6],0,0,1)*TableauRecette[[#This Row],[fraction mélange]]</f>
        <v/>
      </c>
      <c r="R59">
        <f>_xlfn.XLOOKUP(TableauRecette[[#This Row],[ID]],TableauProduit[ID],TableauProduit[Total (kg) N7],0,0,1)*TableauRecette[[#This Row],[fraction mélange]]</f>
        <v/>
      </c>
      <c r="S59">
        <f>_xlfn.XLOOKUP(TableauRecette[[#This Row],[ID]],TableauProduit[ID],TableauProduit[Total (kg) N8],0,0,1)*TableauRecette[[#This Row],[fraction mélange]]</f>
        <v/>
      </c>
      <c r="T59">
        <f>_xlfn.XLOOKUP(TableauRecette[[#This Row],[ID]],TableauProduit[ID],TableauProduit[Total (kg) N9],0,0,1)*TableauRecette[[#This Row],[fraction mélange]]</f>
        <v/>
      </c>
    </row>
    <row r="60">
      <c r="A60" t="inlineStr">
        <is>
          <t>Curry</t>
        </is>
      </c>
      <c r="B60">
        <f>TableauRecette[[#This Row],[Recette]]&amp;TableauRecette[[#This Row],[Conditionnement]]</f>
        <v/>
      </c>
      <c r="C60" t="inlineStr">
        <is>
          <t>Cumin Moulu</t>
        </is>
      </c>
      <c r="D60" t="n">
        <v>6</v>
      </c>
      <c r="E60" t="inlineStr">
        <is>
          <t>Epice 100ml</t>
        </is>
      </c>
      <c r="F6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0">
        <f>IFERROR(_xlfn.XLOOKUP(TableauRecette[[#This Row],[Ingredients]],TableauIngredients[Ingredients],TableauIngredients[Prix d''achat / kg],0)*TableauRecette[[#This Row],[fraction mélange]],0)</f>
        <v/>
      </c>
      <c r="H60">
        <f>IFERROR(SUMIFS(TableauRecette[Proportion],TableauRecette[Recette],TableauRecette[[#This Row],[Recette]],TableauRecette[Conditionnement],TableauRecette[[#This Row],[Conditionnement]]),0)</f>
        <v/>
      </c>
      <c r="I60">
        <f>IFERROR(TableauRecette[[#This Row],[Prix d''achat / kg]],0)</f>
        <v/>
      </c>
      <c r="L60">
        <f>_xlfn.XLOOKUP(TableauRecette[[#This Row],[ID]],TableauProduit[ID],TableauProduit[Total (kg) N1],0,0,1)*TableauRecette[[#This Row],[fraction mélange]]</f>
        <v/>
      </c>
      <c r="M60">
        <f>_xlfn.XLOOKUP(TableauRecette[[#This Row],[ID]],TableauProduit[ID],TableauProduit[Total (kg) N2],0,0,1)*TableauRecette[[#This Row],[fraction mélange]]</f>
        <v/>
      </c>
      <c r="N60">
        <f>_xlfn.XLOOKUP(TableauRecette[[#This Row],[ID]],TableauProduit[ID],TableauProduit[Total (kg) N3],0,0,1)*TableauRecette[[#This Row],[fraction mélange]]</f>
        <v/>
      </c>
      <c r="O60">
        <f>_xlfn.XLOOKUP(TableauRecette[[#This Row],[ID]],TableauProduit[ID],TableauProduit[Total (kg) N4],0,0,1)*TableauRecette[[#This Row],[fraction mélange]]</f>
        <v/>
      </c>
      <c r="P60">
        <f>_xlfn.XLOOKUP(TableauRecette[[#This Row],[ID]],TableauProduit[ID],TableauProduit[Total (kg) N5],0,0,1)*TableauRecette[[#This Row],[fraction mélange]]</f>
        <v/>
      </c>
      <c r="Q60">
        <f>_xlfn.XLOOKUP(TableauRecette[[#This Row],[ID]],TableauProduit[ID],TableauProduit[Total (kg) N6],0,0,1)*TableauRecette[[#This Row],[fraction mélange]]</f>
        <v/>
      </c>
      <c r="R60">
        <f>_xlfn.XLOOKUP(TableauRecette[[#This Row],[ID]],TableauProduit[ID],TableauProduit[Total (kg) N7],0,0,1)*TableauRecette[[#This Row],[fraction mélange]]</f>
        <v/>
      </c>
      <c r="S60">
        <f>_xlfn.XLOOKUP(TableauRecette[[#This Row],[ID]],TableauProduit[ID],TableauProduit[Total (kg) N8],0,0,1)*TableauRecette[[#This Row],[fraction mélange]]</f>
        <v/>
      </c>
      <c r="T60">
        <f>_xlfn.XLOOKUP(TableauRecette[[#This Row],[ID]],TableauProduit[ID],TableauProduit[Total (kg) N9],0,0,1)*TableauRecette[[#This Row],[fraction mélange]]</f>
        <v/>
      </c>
    </row>
    <row r="61">
      <c r="A61" t="inlineStr">
        <is>
          <t>Curry</t>
        </is>
      </c>
      <c r="B61">
        <f>TableauRecette[[#This Row],[Recette]]&amp;TableauRecette[[#This Row],[Conditionnement]]</f>
        <v/>
      </c>
      <c r="C61" t="inlineStr">
        <is>
          <t>Coriandre Moulue</t>
        </is>
      </c>
      <c r="D61" t="n">
        <v>6</v>
      </c>
      <c r="E61" t="inlineStr">
        <is>
          <t>Epice 100ml</t>
        </is>
      </c>
      <c r="F6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1">
        <f>IFERROR(_xlfn.XLOOKUP(TableauRecette[[#This Row],[Ingredients]],TableauIngredients[Ingredients],TableauIngredients[Prix d''achat / kg],0)*TableauRecette[[#This Row],[fraction mélange]],0)</f>
        <v/>
      </c>
      <c r="H61">
        <f>IFERROR(SUMIFS(TableauRecette[Proportion],TableauRecette[Recette],TableauRecette[[#This Row],[Recette]],TableauRecette[Conditionnement],TableauRecette[[#This Row],[Conditionnement]]),0)</f>
        <v/>
      </c>
      <c r="I61">
        <f>IFERROR(TableauRecette[[#This Row],[Prix d''achat / kg]],0)</f>
        <v/>
      </c>
      <c r="L61">
        <f>_xlfn.XLOOKUP(TableauRecette[[#This Row],[ID]],TableauProduit[ID],TableauProduit[Total (kg) N1],0,0,1)*TableauRecette[[#This Row],[fraction mélange]]</f>
        <v/>
      </c>
      <c r="M61">
        <f>_xlfn.XLOOKUP(TableauRecette[[#This Row],[ID]],TableauProduit[ID],TableauProduit[Total (kg) N2],0,0,1)*TableauRecette[[#This Row],[fraction mélange]]</f>
        <v/>
      </c>
      <c r="N61">
        <f>_xlfn.XLOOKUP(TableauRecette[[#This Row],[ID]],TableauProduit[ID],TableauProduit[Total (kg) N3],0,0,1)*TableauRecette[[#This Row],[fraction mélange]]</f>
        <v/>
      </c>
      <c r="O61">
        <f>_xlfn.XLOOKUP(TableauRecette[[#This Row],[ID]],TableauProduit[ID],TableauProduit[Total (kg) N4],0,0,1)*TableauRecette[[#This Row],[fraction mélange]]</f>
        <v/>
      </c>
      <c r="P61">
        <f>_xlfn.XLOOKUP(TableauRecette[[#This Row],[ID]],TableauProduit[ID],TableauProduit[Total (kg) N5],0,0,1)*TableauRecette[[#This Row],[fraction mélange]]</f>
        <v/>
      </c>
      <c r="Q61">
        <f>_xlfn.XLOOKUP(TableauRecette[[#This Row],[ID]],TableauProduit[ID],TableauProduit[Total (kg) N6],0,0,1)*TableauRecette[[#This Row],[fraction mélange]]</f>
        <v/>
      </c>
      <c r="R61">
        <f>_xlfn.XLOOKUP(TableauRecette[[#This Row],[ID]],TableauProduit[ID],TableauProduit[Total (kg) N7],0,0,1)*TableauRecette[[#This Row],[fraction mélange]]</f>
        <v/>
      </c>
      <c r="S61">
        <f>_xlfn.XLOOKUP(TableauRecette[[#This Row],[ID]],TableauProduit[ID],TableauProduit[Total (kg) N8],0,0,1)*TableauRecette[[#This Row],[fraction mélange]]</f>
        <v/>
      </c>
      <c r="T61">
        <f>_xlfn.XLOOKUP(TableauRecette[[#This Row],[ID]],TableauProduit[ID],TableauProduit[Total (kg) N9],0,0,1)*TableauRecette[[#This Row],[fraction mélange]]</f>
        <v/>
      </c>
    </row>
    <row r="62">
      <c r="A62" t="inlineStr">
        <is>
          <t>Curry</t>
        </is>
      </c>
      <c r="B62">
        <f>TableauRecette[[#This Row],[Recette]]&amp;TableauRecette[[#This Row],[Conditionnement]]</f>
        <v/>
      </c>
      <c r="C62" t="inlineStr">
        <is>
          <t>Graine De Moutarde</t>
        </is>
      </c>
      <c r="D62" t="n">
        <v>0.5</v>
      </c>
      <c r="E62" t="inlineStr">
        <is>
          <t>Epice 100ml</t>
        </is>
      </c>
      <c r="F6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2">
        <f>IFERROR(_xlfn.XLOOKUP(TableauRecette[[#This Row],[Ingredients]],TableauIngredients[Ingredients],TableauIngredients[Prix d''achat / kg],0)*TableauRecette[[#This Row],[fraction mélange]],0)</f>
        <v/>
      </c>
      <c r="H62">
        <f>IFERROR(SUMIFS(TableauRecette[Proportion],TableauRecette[Recette],TableauRecette[[#This Row],[Recette]],TableauRecette[Conditionnement],TableauRecette[[#This Row],[Conditionnement]]),0)</f>
        <v/>
      </c>
      <c r="I62">
        <f>IFERROR(TableauRecette[[#This Row],[Prix d''achat / kg]],0)</f>
        <v/>
      </c>
      <c r="L62">
        <f>_xlfn.XLOOKUP(TableauRecette[[#This Row],[ID]],TableauProduit[ID],TableauProduit[Total (kg) N1],0,0,1)*TableauRecette[[#This Row],[fraction mélange]]</f>
        <v/>
      </c>
      <c r="M62">
        <f>_xlfn.XLOOKUP(TableauRecette[[#This Row],[ID]],TableauProduit[ID],TableauProduit[Total (kg) N2],0,0,1)*TableauRecette[[#This Row],[fraction mélange]]</f>
        <v/>
      </c>
      <c r="N62">
        <f>_xlfn.XLOOKUP(TableauRecette[[#This Row],[ID]],TableauProduit[ID],TableauProduit[Total (kg) N3],0,0,1)*TableauRecette[[#This Row],[fraction mélange]]</f>
        <v/>
      </c>
      <c r="O62">
        <f>_xlfn.XLOOKUP(TableauRecette[[#This Row],[ID]],TableauProduit[ID],TableauProduit[Total (kg) N4],0,0,1)*TableauRecette[[#This Row],[fraction mélange]]</f>
        <v/>
      </c>
      <c r="P62">
        <f>_xlfn.XLOOKUP(TableauRecette[[#This Row],[ID]],TableauProduit[ID],TableauProduit[Total (kg) N5],0,0,1)*TableauRecette[[#This Row],[fraction mélange]]</f>
        <v/>
      </c>
      <c r="Q62">
        <f>_xlfn.XLOOKUP(TableauRecette[[#This Row],[ID]],TableauProduit[ID],TableauProduit[Total (kg) N6],0,0,1)*TableauRecette[[#This Row],[fraction mélange]]</f>
        <v/>
      </c>
      <c r="R62">
        <f>_xlfn.XLOOKUP(TableauRecette[[#This Row],[ID]],TableauProduit[ID],TableauProduit[Total (kg) N7],0,0,1)*TableauRecette[[#This Row],[fraction mélange]]</f>
        <v/>
      </c>
      <c r="S62">
        <f>_xlfn.XLOOKUP(TableauRecette[[#This Row],[ID]],TableauProduit[ID],TableauProduit[Total (kg) N8],0,0,1)*TableauRecette[[#This Row],[fraction mélange]]</f>
        <v/>
      </c>
      <c r="T62">
        <f>_xlfn.XLOOKUP(TableauRecette[[#This Row],[ID]],TableauProduit[ID],TableauProduit[Total (kg) N9],0,0,1)*TableauRecette[[#This Row],[fraction mélange]]</f>
        <v/>
      </c>
    </row>
    <row r="63">
      <c r="A63" t="inlineStr">
        <is>
          <t>Curry</t>
        </is>
      </c>
      <c r="B63">
        <f>TableauRecette[[#This Row],[Recette]]&amp;TableauRecette[[#This Row],[Conditionnement]]</f>
        <v/>
      </c>
      <c r="C63" t="inlineStr">
        <is>
          <t>Gingembre Sec</t>
        </is>
      </c>
      <c r="D63" t="n">
        <v>0.5</v>
      </c>
      <c r="E63" t="inlineStr">
        <is>
          <t>Epice 100ml</t>
        </is>
      </c>
      <c r="F6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3">
        <f>IFERROR(_xlfn.XLOOKUP(TableauRecette[[#This Row],[Ingredients]],TableauIngredients[Ingredients],TableauIngredients[Prix d''achat / kg],0)*TableauRecette[[#This Row],[fraction mélange]],0)</f>
        <v/>
      </c>
      <c r="H63">
        <f>IFERROR(SUMIFS(TableauRecette[Proportion],TableauRecette[Recette],TableauRecette[[#This Row],[Recette]],TableauRecette[Conditionnement],TableauRecette[[#This Row],[Conditionnement]]),0)</f>
        <v/>
      </c>
      <c r="I63">
        <f>IFERROR(TableauRecette[[#This Row],[Prix d''achat / kg]],0)</f>
        <v/>
      </c>
      <c r="K63" t="inlineStr">
        <is>
          <t>SEC</t>
        </is>
      </c>
      <c r="L63">
        <f>_xlfn.XLOOKUP(TableauRecette[[#This Row],[ID]],TableauProduit[ID],TableauProduit[Total (kg) N1],0,0,1)*TableauRecette[[#This Row],[fraction mélange]]</f>
        <v/>
      </c>
      <c r="M63">
        <f>_xlfn.XLOOKUP(TableauRecette[[#This Row],[ID]],TableauProduit[ID],TableauProduit[Total (kg) N2],0,0,1)*TableauRecette[[#This Row],[fraction mélange]]</f>
        <v/>
      </c>
      <c r="N63">
        <f>_xlfn.XLOOKUP(TableauRecette[[#This Row],[ID]],TableauProduit[ID],TableauProduit[Total (kg) N3],0,0,1)*TableauRecette[[#This Row],[fraction mélange]]</f>
        <v/>
      </c>
      <c r="O63">
        <f>_xlfn.XLOOKUP(TableauRecette[[#This Row],[ID]],TableauProduit[ID],TableauProduit[Total (kg) N4],0,0,1)*TableauRecette[[#This Row],[fraction mélange]]</f>
        <v/>
      </c>
      <c r="P63">
        <f>_xlfn.XLOOKUP(TableauRecette[[#This Row],[ID]],TableauProduit[ID],TableauProduit[Total (kg) N5],0,0,1)*TableauRecette[[#This Row],[fraction mélange]]</f>
        <v/>
      </c>
      <c r="Q63">
        <f>_xlfn.XLOOKUP(TableauRecette[[#This Row],[ID]],TableauProduit[ID],TableauProduit[Total (kg) N6],0,0,1)*TableauRecette[[#This Row],[fraction mélange]]</f>
        <v/>
      </c>
      <c r="R63">
        <f>_xlfn.XLOOKUP(TableauRecette[[#This Row],[ID]],TableauProduit[ID],TableauProduit[Total (kg) N7],0,0,1)*TableauRecette[[#This Row],[fraction mélange]]</f>
        <v/>
      </c>
      <c r="S63">
        <f>_xlfn.XLOOKUP(TableauRecette[[#This Row],[ID]],TableauProduit[ID],TableauProduit[Total (kg) N8],0,0,1)*TableauRecette[[#This Row],[fraction mélange]]</f>
        <v/>
      </c>
      <c r="T63">
        <f>_xlfn.XLOOKUP(TableauRecette[[#This Row],[ID]],TableauProduit[ID],TableauProduit[Total (kg) N9],0,0,1)*TableauRecette[[#This Row],[fraction mélange]]</f>
        <v/>
      </c>
    </row>
    <row r="64">
      <c r="A64" t="inlineStr">
        <is>
          <t>Curry</t>
        </is>
      </c>
      <c r="B64">
        <f>TableauRecette[[#This Row],[Recette]]&amp;TableauRecette[[#This Row],[Conditionnement]]</f>
        <v/>
      </c>
      <c r="C64" t="inlineStr">
        <is>
          <t>Paprika Fumé</t>
        </is>
      </c>
      <c r="D64" t="n">
        <v>0.25</v>
      </c>
      <c r="E64" t="inlineStr">
        <is>
          <t>Epice 100ml</t>
        </is>
      </c>
      <c r="F6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4">
        <f>IFERROR(_xlfn.XLOOKUP(TableauRecette[[#This Row],[Ingredients]],TableauIngredients[Ingredients],TableauIngredients[Prix d''achat / kg],0)*TableauRecette[[#This Row],[fraction mélange]],0)</f>
        <v/>
      </c>
      <c r="H64">
        <f>IFERROR(SUMIFS(TableauRecette[Proportion],TableauRecette[Recette],TableauRecette[[#This Row],[Recette]],TableauRecette[Conditionnement],TableauRecette[[#This Row],[Conditionnement]]),0)</f>
        <v/>
      </c>
      <c r="I64">
        <f>IFERROR(TableauRecette[[#This Row],[Prix d''achat / kg]],0)</f>
        <v/>
      </c>
      <c r="J64" t="inlineStr">
        <is>
          <t>Égypte</t>
        </is>
      </c>
      <c r="K64" t="inlineStr">
        <is>
          <t>SEC</t>
        </is>
      </c>
      <c r="L64">
        <f>_xlfn.XLOOKUP(TableauRecette[[#This Row],[ID]],TableauProduit[ID],TableauProduit[Total (kg) N1],0,0,1)*TableauRecette[[#This Row],[fraction mélange]]</f>
        <v/>
      </c>
      <c r="M64">
        <f>_xlfn.XLOOKUP(TableauRecette[[#This Row],[ID]],TableauProduit[ID],TableauProduit[Total (kg) N2],0,0,1)*TableauRecette[[#This Row],[fraction mélange]]</f>
        <v/>
      </c>
      <c r="N64">
        <f>_xlfn.XLOOKUP(TableauRecette[[#This Row],[ID]],TableauProduit[ID],TableauProduit[Total (kg) N3],0,0,1)*TableauRecette[[#This Row],[fraction mélange]]</f>
        <v/>
      </c>
      <c r="O64">
        <f>_xlfn.XLOOKUP(TableauRecette[[#This Row],[ID]],TableauProduit[ID],TableauProduit[Total (kg) N4],0,0,1)*TableauRecette[[#This Row],[fraction mélange]]</f>
        <v/>
      </c>
      <c r="P64">
        <f>_xlfn.XLOOKUP(TableauRecette[[#This Row],[ID]],TableauProduit[ID],TableauProduit[Total (kg) N5],0,0,1)*TableauRecette[[#This Row],[fraction mélange]]</f>
        <v/>
      </c>
      <c r="Q64">
        <f>_xlfn.XLOOKUP(TableauRecette[[#This Row],[ID]],TableauProduit[ID],TableauProduit[Total (kg) N6],0,0,1)*TableauRecette[[#This Row],[fraction mélange]]</f>
        <v/>
      </c>
      <c r="R64">
        <f>_xlfn.XLOOKUP(TableauRecette[[#This Row],[ID]],TableauProduit[ID],TableauProduit[Total (kg) N7],0,0,1)*TableauRecette[[#This Row],[fraction mélange]]</f>
        <v/>
      </c>
      <c r="S64">
        <f>_xlfn.XLOOKUP(TableauRecette[[#This Row],[ID]],TableauProduit[ID],TableauProduit[Total (kg) N8],0,0,1)*TableauRecette[[#This Row],[fraction mélange]]</f>
        <v/>
      </c>
      <c r="T64">
        <f>_xlfn.XLOOKUP(TableauRecette[[#This Row],[ID]],TableauProduit[ID],TableauProduit[Total (kg) N9],0,0,1)*TableauRecette[[#This Row],[fraction mélange]]</f>
        <v/>
      </c>
    </row>
    <row r="65">
      <c r="A65" t="inlineStr">
        <is>
          <t>Curry</t>
        </is>
      </c>
      <c r="B65">
        <f>TableauRecette[[#This Row],[Recette]]&amp;TableauRecette[[#This Row],[Conditionnement]]</f>
        <v/>
      </c>
      <c r="C65" t="inlineStr">
        <is>
          <t>Piment Doux Rouge En Poudre</t>
        </is>
      </c>
      <c r="D65" t="n">
        <v>0.75</v>
      </c>
      <c r="E65" t="inlineStr">
        <is>
          <t>Epice 100ml</t>
        </is>
      </c>
      <c r="F6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5">
        <f>IFERROR(_xlfn.XLOOKUP(TableauRecette[[#This Row],[Ingredients]],TableauIngredients[Ingredients],TableauIngredients[Prix d''achat / kg],0)*TableauRecette[[#This Row],[fraction mélange]],0)</f>
        <v/>
      </c>
      <c r="H65">
        <f>IFERROR(SUMIFS(TableauRecette[Proportion],TableauRecette[Recette],TableauRecette[[#This Row],[Recette]],TableauRecette[Conditionnement],TableauRecette[[#This Row],[Conditionnement]]),0)</f>
        <v/>
      </c>
      <c r="I65">
        <f>IFERROR(TableauRecette[[#This Row],[Prix d''achat / kg]],0)</f>
        <v/>
      </c>
      <c r="J65" t="inlineStr">
        <is>
          <t>Irak</t>
        </is>
      </c>
      <c r="K65" t="inlineStr">
        <is>
          <t>SEC</t>
        </is>
      </c>
      <c r="L65">
        <f>_xlfn.XLOOKUP(TableauRecette[[#This Row],[ID]],TableauProduit[ID],TableauProduit[Total (kg) N1],0,0,1)*TableauRecette[[#This Row],[fraction mélange]]</f>
        <v/>
      </c>
      <c r="M65">
        <f>_xlfn.XLOOKUP(TableauRecette[[#This Row],[ID]],TableauProduit[ID],TableauProduit[Total (kg) N2],0,0,1)*TableauRecette[[#This Row],[fraction mélange]]</f>
        <v/>
      </c>
      <c r="N65">
        <f>_xlfn.XLOOKUP(TableauRecette[[#This Row],[ID]],TableauProduit[ID],TableauProduit[Total (kg) N3],0,0,1)*TableauRecette[[#This Row],[fraction mélange]]</f>
        <v/>
      </c>
      <c r="O65">
        <f>_xlfn.XLOOKUP(TableauRecette[[#This Row],[ID]],TableauProduit[ID],TableauProduit[Total (kg) N4],0,0,1)*TableauRecette[[#This Row],[fraction mélange]]</f>
        <v/>
      </c>
      <c r="P65">
        <f>_xlfn.XLOOKUP(TableauRecette[[#This Row],[ID]],TableauProduit[ID],TableauProduit[Total (kg) N5],0,0,1)*TableauRecette[[#This Row],[fraction mélange]]</f>
        <v/>
      </c>
      <c r="Q65">
        <f>_xlfn.XLOOKUP(TableauRecette[[#This Row],[ID]],TableauProduit[ID],TableauProduit[Total (kg) N6],0,0,1)*TableauRecette[[#This Row],[fraction mélange]]</f>
        <v/>
      </c>
      <c r="R65">
        <f>_xlfn.XLOOKUP(TableauRecette[[#This Row],[ID]],TableauProduit[ID],TableauProduit[Total (kg) N7],0,0,1)*TableauRecette[[#This Row],[fraction mélange]]</f>
        <v/>
      </c>
      <c r="S65">
        <f>_xlfn.XLOOKUP(TableauRecette[[#This Row],[ID]],TableauProduit[ID],TableauProduit[Total (kg) N8],0,0,1)*TableauRecette[[#This Row],[fraction mélange]]</f>
        <v/>
      </c>
      <c r="T65">
        <f>_xlfn.XLOOKUP(TableauRecette[[#This Row],[ID]],TableauProduit[ID],TableauProduit[Total (kg) N9],0,0,1)*TableauRecette[[#This Row],[fraction mélange]]</f>
        <v/>
      </c>
    </row>
    <row r="66">
      <c r="A66" t="inlineStr">
        <is>
          <t>Curry japonais</t>
        </is>
      </c>
      <c r="B66">
        <f>TableauRecette[[#This Row],[Recette]]&amp;TableauRecette[[#This Row],[Conditionnement]]</f>
        <v/>
      </c>
      <c r="C66" t="inlineStr">
        <is>
          <t>Curcuma Moulu</t>
        </is>
      </c>
      <c r="D66" t="n">
        <v>10</v>
      </c>
      <c r="E66" t="inlineStr">
        <is>
          <t>Epice 100ml</t>
        </is>
      </c>
      <c r="F6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6">
        <f>IFERROR(_xlfn.XLOOKUP(TableauRecette[[#This Row],[Ingredients]],TableauIngredients[Ingredients],TableauIngredients[Prix d''achat / kg],0)*TableauRecette[[#This Row],[fraction mélange]],0)</f>
        <v/>
      </c>
      <c r="H66">
        <f>IFERROR(SUMIFS(TableauRecette[Proportion],TableauRecette[Recette],TableauRecette[[#This Row],[Recette]],TableauRecette[Conditionnement],TableauRecette[[#This Row],[Conditionnement]]),0)</f>
        <v/>
      </c>
      <c r="I66">
        <f>IFERROR(TableauRecette[[#This Row],[Prix d''achat / kg]],0)</f>
        <v/>
      </c>
      <c r="L66">
        <f>_xlfn.XLOOKUP(TableauRecette[[#This Row],[ID]],TableauProduit[ID],TableauProduit[Total (kg) N1],0,0,1)*TableauRecette[[#This Row],[fraction mélange]]</f>
        <v/>
      </c>
      <c r="M66">
        <f>_xlfn.XLOOKUP(TableauRecette[[#This Row],[ID]],TableauProduit[ID],TableauProduit[Total (kg) N2],0,0,1)*TableauRecette[[#This Row],[fraction mélange]]</f>
        <v/>
      </c>
      <c r="N66">
        <f>_xlfn.XLOOKUP(TableauRecette[[#This Row],[ID]],TableauProduit[ID],TableauProduit[Total (kg) N3],0,0,1)*TableauRecette[[#This Row],[fraction mélange]]</f>
        <v/>
      </c>
      <c r="O66">
        <f>_xlfn.XLOOKUP(TableauRecette[[#This Row],[ID]],TableauProduit[ID],TableauProduit[Total (kg) N4],0,0,1)*TableauRecette[[#This Row],[fraction mélange]]</f>
        <v/>
      </c>
      <c r="P66">
        <f>_xlfn.XLOOKUP(TableauRecette[[#This Row],[ID]],TableauProduit[ID],TableauProduit[Total (kg) N5],0,0,1)*TableauRecette[[#This Row],[fraction mélange]]</f>
        <v/>
      </c>
      <c r="Q66">
        <f>_xlfn.XLOOKUP(TableauRecette[[#This Row],[ID]],TableauProduit[ID],TableauProduit[Total (kg) N6],0,0,1)*TableauRecette[[#This Row],[fraction mélange]]</f>
        <v/>
      </c>
      <c r="R66">
        <f>_xlfn.XLOOKUP(TableauRecette[[#This Row],[ID]],TableauProduit[ID],TableauProduit[Total (kg) N7],0,0,1)*TableauRecette[[#This Row],[fraction mélange]]</f>
        <v/>
      </c>
      <c r="S66">
        <f>_xlfn.XLOOKUP(TableauRecette[[#This Row],[ID]],TableauProduit[ID],TableauProduit[Total (kg) N8],0,0,1)*TableauRecette[[#This Row],[fraction mélange]]</f>
        <v/>
      </c>
      <c r="T66">
        <f>_xlfn.XLOOKUP(TableauRecette[[#This Row],[ID]],TableauProduit[ID],TableauProduit[Total (kg) N9],0,0,1)*TableauRecette[[#This Row],[fraction mélange]]</f>
        <v/>
      </c>
    </row>
    <row r="67">
      <c r="A67" t="inlineStr">
        <is>
          <t>Curry japonais</t>
        </is>
      </c>
      <c r="B67">
        <f>TableauRecette[[#This Row],[Recette]]&amp;TableauRecette[[#This Row],[Conditionnement]]</f>
        <v/>
      </c>
      <c r="C67" t="inlineStr">
        <is>
          <t>Cumin Moulu</t>
        </is>
      </c>
      <c r="D67" t="n">
        <v>7</v>
      </c>
      <c r="E67" t="inlineStr">
        <is>
          <t>Epice 100ml</t>
        </is>
      </c>
      <c r="F6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7">
        <f>IFERROR(_xlfn.XLOOKUP(TableauRecette[[#This Row],[Ingredients]],TableauIngredients[Ingredients],TableauIngredients[Prix d''achat / kg],0)*TableauRecette[[#This Row],[fraction mélange]],0)</f>
        <v/>
      </c>
      <c r="H67">
        <f>IFERROR(SUMIFS(TableauRecette[Proportion],TableauRecette[Recette],TableauRecette[[#This Row],[Recette]],TableauRecette[Conditionnement],TableauRecette[[#This Row],[Conditionnement]]),0)</f>
        <v/>
      </c>
      <c r="I67">
        <f>IFERROR(TableauRecette[[#This Row],[Prix d''achat / kg]],0)</f>
        <v/>
      </c>
      <c r="L67">
        <f>_xlfn.XLOOKUP(TableauRecette[[#This Row],[ID]],TableauProduit[ID],TableauProduit[Total (kg) N1],0,0,1)*TableauRecette[[#This Row],[fraction mélange]]</f>
        <v/>
      </c>
      <c r="M67">
        <f>_xlfn.XLOOKUP(TableauRecette[[#This Row],[ID]],TableauProduit[ID],TableauProduit[Total (kg) N2],0,0,1)*TableauRecette[[#This Row],[fraction mélange]]</f>
        <v/>
      </c>
      <c r="N67">
        <f>_xlfn.XLOOKUP(TableauRecette[[#This Row],[ID]],TableauProduit[ID],TableauProduit[Total (kg) N3],0,0,1)*TableauRecette[[#This Row],[fraction mélange]]</f>
        <v/>
      </c>
      <c r="O67">
        <f>_xlfn.XLOOKUP(TableauRecette[[#This Row],[ID]],TableauProduit[ID],TableauProduit[Total (kg) N4],0,0,1)*TableauRecette[[#This Row],[fraction mélange]]</f>
        <v/>
      </c>
      <c r="P67">
        <f>_xlfn.XLOOKUP(TableauRecette[[#This Row],[ID]],TableauProduit[ID],TableauProduit[Total (kg) N5],0,0,1)*TableauRecette[[#This Row],[fraction mélange]]</f>
        <v/>
      </c>
      <c r="Q67">
        <f>_xlfn.XLOOKUP(TableauRecette[[#This Row],[ID]],TableauProduit[ID],TableauProduit[Total (kg) N6],0,0,1)*TableauRecette[[#This Row],[fraction mélange]]</f>
        <v/>
      </c>
      <c r="R67">
        <f>_xlfn.XLOOKUP(TableauRecette[[#This Row],[ID]],TableauProduit[ID],TableauProduit[Total (kg) N7],0,0,1)*TableauRecette[[#This Row],[fraction mélange]]</f>
        <v/>
      </c>
      <c r="S67">
        <f>_xlfn.XLOOKUP(TableauRecette[[#This Row],[ID]],TableauProduit[ID],TableauProduit[Total (kg) N8],0,0,1)*TableauRecette[[#This Row],[fraction mélange]]</f>
        <v/>
      </c>
      <c r="T67">
        <f>_xlfn.XLOOKUP(TableauRecette[[#This Row],[ID]],TableauProduit[ID],TableauProduit[Total (kg) N9],0,0,1)*TableauRecette[[#This Row],[fraction mélange]]</f>
        <v/>
      </c>
    </row>
    <row r="68">
      <c r="A68" t="inlineStr">
        <is>
          <t>Curry japonais</t>
        </is>
      </c>
      <c r="B68">
        <f>TableauRecette[[#This Row],[Recette]]&amp;TableauRecette[[#This Row],[Conditionnement]]</f>
        <v/>
      </c>
      <c r="C68" t="inlineStr">
        <is>
          <t>Coriandre Graine</t>
        </is>
      </c>
      <c r="D68" t="n">
        <v>6</v>
      </c>
      <c r="E68" t="inlineStr">
        <is>
          <t>Epice 100ml</t>
        </is>
      </c>
      <c r="F6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8">
        <f>IFERROR(_xlfn.XLOOKUP(TableauRecette[[#This Row],[Ingredients]],TableauIngredients[Ingredients],TableauIngredients[Prix d''achat / kg],0)*TableauRecette[[#This Row],[fraction mélange]],0)</f>
        <v/>
      </c>
      <c r="H68">
        <f>IFERROR(SUMIFS(TableauRecette[Proportion],TableauRecette[Recette],TableauRecette[[#This Row],[Recette]],TableauRecette[Conditionnement],TableauRecette[[#This Row],[Conditionnement]]),0)</f>
        <v/>
      </c>
      <c r="I68">
        <f>IFERROR(TableauRecette[[#This Row],[Prix d''achat / kg]],0)</f>
        <v/>
      </c>
      <c r="L68">
        <f>_xlfn.XLOOKUP(TableauRecette[[#This Row],[ID]],TableauProduit[ID],TableauProduit[Total (kg) N1],0,0,1)*TableauRecette[[#This Row],[fraction mélange]]</f>
        <v/>
      </c>
      <c r="M68">
        <f>_xlfn.XLOOKUP(TableauRecette[[#This Row],[ID]],TableauProduit[ID],TableauProduit[Total (kg) N2],0,0,1)*TableauRecette[[#This Row],[fraction mélange]]</f>
        <v/>
      </c>
      <c r="N68">
        <f>_xlfn.XLOOKUP(TableauRecette[[#This Row],[ID]],TableauProduit[ID],TableauProduit[Total (kg) N3],0,0,1)*TableauRecette[[#This Row],[fraction mélange]]</f>
        <v/>
      </c>
      <c r="O68">
        <f>_xlfn.XLOOKUP(TableauRecette[[#This Row],[ID]],TableauProduit[ID],TableauProduit[Total (kg) N4],0,0,1)*TableauRecette[[#This Row],[fraction mélange]]</f>
        <v/>
      </c>
      <c r="P68">
        <f>_xlfn.XLOOKUP(TableauRecette[[#This Row],[ID]],TableauProduit[ID],TableauProduit[Total (kg) N5],0,0,1)*TableauRecette[[#This Row],[fraction mélange]]</f>
        <v/>
      </c>
      <c r="Q68">
        <f>_xlfn.XLOOKUP(TableauRecette[[#This Row],[ID]],TableauProduit[ID],TableauProduit[Total (kg) N6],0,0,1)*TableauRecette[[#This Row],[fraction mélange]]</f>
        <v/>
      </c>
      <c r="R68">
        <f>_xlfn.XLOOKUP(TableauRecette[[#This Row],[ID]],TableauProduit[ID],TableauProduit[Total (kg) N7],0,0,1)*TableauRecette[[#This Row],[fraction mélange]]</f>
        <v/>
      </c>
      <c r="S68">
        <f>_xlfn.XLOOKUP(TableauRecette[[#This Row],[ID]],TableauProduit[ID],TableauProduit[Total (kg) N8],0,0,1)*TableauRecette[[#This Row],[fraction mélange]]</f>
        <v/>
      </c>
      <c r="T68">
        <f>_xlfn.XLOOKUP(TableauRecette[[#This Row],[ID]],TableauProduit[ID],TableauProduit[Total (kg) N9],0,0,1)*TableauRecette[[#This Row],[fraction mélange]]</f>
        <v/>
      </c>
    </row>
    <row r="69">
      <c r="A69" t="inlineStr">
        <is>
          <t>Curry japonais</t>
        </is>
      </c>
      <c r="B69">
        <f>TableauRecette[[#This Row],[Recette]]&amp;TableauRecette[[#This Row],[Conditionnement]]</f>
        <v/>
      </c>
      <c r="C69" t="inlineStr">
        <is>
          <t>Chenpi (Peau De Mandarine Séchée)</t>
        </is>
      </c>
      <c r="D69" t="n">
        <v>5</v>
      </c>
      <c r="E69" t="inlineStr">
        <is>
          <t>Epice 100ml</t>
        </is>
      </c>
      <c r="F6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9">
        <f>IFERROR(_xlfn.XLOOKUP(TableauRecette[[#This Row],[Ingredients]],TableauIngredients[Ingredients],TableauIngredients[Prix d''achat / kg],0)*TableauRecette[[#This Row],[fraction mélange]],0)</f>
        <v/>
      </c>
      <c r="H69">
        <f>IFERROR(SUMIFS(TableauRecette[Proportion],TableauRecette[Recette],TableauRecette[[#This Row],[Recette]],TableauRecette[Conditionnement],TableauRecette[[#This Row],[Conditionnement]]),0)</f>
        <v/>
      </c>
      <c r="I69">
        <f>IFERROR(TableauRecette[[#This Row],[Prix d''achat / kg]],0)</f>
        <v/>
      </c>
      <c r="L69">
        <f>_xlfn.XLOOKUP(TableauRecette[[#This Row],[ID]],TableauProduit[ID],TableauProduit[Total (kg) N1],0,0,1)*TableauRecette[[#This Row],[fraction mélange]]</f>
        <v/>
      </c>
      <c r="M69">
        <f>_xlfn.XLOOKUP(TableauRecette[[#This Row],[ID]],TableauProduit[ID],TableauProduit[Total (kg) N2],0,0,1)*TableauRecette[[#This Row],[fraction mélange]]</f>
        <v/>
      </c>
      <c r="N69">
        <f>_xlfn.XLOOKUP(TableauRecette[[#This Row],[ID]],TableauProduit[ID],TableauProduit[Total (kg) N3],0,0,1)*TableauRecette[[#This Row],[fraction mélange]]</f>
        <v/>
      </c>
      <c r="O69">
        <f>_xlfn.XLOOKUP(TableauRecette[[#This Row],[ID]],TableauProduit[ID],TableauProduit[Total (kg) N4],0,0,1)*TableauRecette[[#This Row],[fraction mélange]]</f>
        <v/>
      </c>
      <c r="P69">
        <f>_xlfn.XLOOKUP(TableauRecette[[#This Row],[ID]],TableauProduit[ID],TableauProduit[Total (kg) N5],0,0,1)*TableauRecette[[#This Row],[fraction mélange]]</f>
        <v/>
      </c>
      <c r="Q69">
        <f>_xlfn.XLOOKUP(TableauRecette[[#This Row],[ID]],TableauProduit[ID],TableauProduit[Total (kg) N6],0,0,1)*TableauRecette[[#This Row],[fraction mélange]]</f>
        <v/>
      </c>
      <c r="R69">
        <f>_xlfn.XLOOKUP(TableauRecette[[#This Row],[ID]],TableauProduit[ID],TableauProduit[Total (kg) N7],0,0,1)*TableauRecette[[#This Row],[fraction mélange]]</f>
        <v/>
      </c>
      <c r="S69">
        <f>_xlfn.XLOOKUP(TableauRecette[[#This Row],[ID]],TableauProduit[ID],TableauProduit[Total (kg) N8],0,0,1)*TableauRecette[[#This Row],[fraction mélange]]</f>
        <v/>
      </c>
      <c r="T69">
        <f>_xlfn.XLOOKUP(TableauRecette[[#This Row],[ID]],TableauProduit[ID],TableauProduit[Total (kg) N9],0,0,1)*TableauRecette[[#This Row],[fraction mélange]]</f>
        <v/>
      </c>
    </row>
    <row r="70">
      <c r="A70" t="inlineStr">
        <is>
          <t>Curry japonais</t>
        </is>
      </c>
      <c r="B70">
        <f>TableauRecette[[#This Row],[Recette]]&amp;TableauRecette[[#This Row],[Conditionnement]]</f>
        <v/>
      </c>
      <c r="C70" t="inlineStr">
        <is>
          <t>Fenugrec</t>
        </is>
      </c>
      <c r="D70" t="n">
        <v>2.5</v>
      </c>
      <c r="E70" t="inlineStr">
        <is>
          <t>Epice 100ml</t>
        </is>
      </c>
      <c r="F7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0">
        <f>IFERROR(_xlfn.XLOOKUP(TableauRecette[[#This Row],[Ingredients]],TableauIngredients[Ingredients],TableauIngredients[Prix d''achat / kg],0)*TableauRecette[[#This Row],[fraction mélange]],0)</f>
        <v/>
      </c>
      <c r="H70">
        <f>IFERROR(SUMIFS(TableauRecette[Proportion],TableauRecette[Recette],TableauRecette[[#This Row],[Recette]],TableauRecette[Conditionnement],TableauRecette[[#This Row],[Conditionnement]]),0)</f>
        <v/>
      </c>
      <c r="I70">
        <f>IFERROR(TableauRecette[[#This Row],[Prix d''achat / kg]],0)</f>
        <v/>
      </c>
      <c r="L70">
        <f>_xlfn.XLOOKUP(TableauRecette[[#This Row],[ID]],TableauProduit[ID],TableauProduit[Total (kg) N1],0,0,1)*TableauRecette[[#This Row],[fraction mélange]]</f>
        <v/>
      </c>
      <c r="M70">
        <f>_xlfn.XLOOKUP(TableauRecette[[#This Row],[ID]],TableauProduit[ID],TableauProduit[Total (kg) N2],0,0,1)*TableauRecette[[#This Row],[fraction mélange]]</f>
        <v/>
      </c>
      <c r="N70">
        <f>_xlfn.XLOOKUP(TableauRecette[[#This Row],[ID]],TableauProduit[ID],TableauProduit[Total (kg) N3],0,0,1)*TableauRecette[[#This Row],[fraction mélange]]</f>
        <v/>
      </c>
      <c r="O70">
        <f>_xlfn.XLOOKUP(TableauRecette[[#This Row],[ID]],TableauProduit[ID],TableauProduit[Total (kg) N4],0,0,1)*TableauRecette[[#This Row],[fraction mélange]]</f>
        <v/>
      </c>
      <c r="P70">
        <f>_xlfn.XLOOKUP(TableauRecette[[#This Row],[ID]],TableauProduit[ID],TableauProduit[Total (kg) N5],0,0,1)*TableauRecette[[#This Row],[fraction mélange]]</f>
        <v/>
      </c>
      <c r="Q70">
        <f>_xlfn.XLOOKUP(TableauRecette[[#This Row],[ID]],TableauProduit[ID],TableauProduit[Total (kg) N6],0,0,1)*TableauRecette[[#This Row],[fraction mélange]]</f>
        <v/>
      </c>
      <c r="R70">
        <f>_xlfn.XLOOKUP(TableauRecette[[#This Row],[ID]],TableauProduit[ID],TableauProduit[Total (kg) N7],0,0,1)*TableauRecette[[#This Row],[fraction mélange]]</f>
        <v/>
      </c>
      <c r="S70">
        <f>_xlfn.XLOOKUP(TableauRecette[[#This Row],[ID]],TableauProduit[ID],TableauProduit[Total (kg) N8],0,0,1)*TableauRecette[[#This Row],[fraction mélange]]</f>
        <v/>
      </c>
      <c r="T70">
        <f>_xlfn.XLOOKUP(TableauRecette[[#This Row],[ID]],TableauProduit[ID],TableauProduit[Total (kg) N9],0,0,1)*TableauRecette[[#This Row],[fraction mélange]]</f>
        <v/>
      </c>
    </row>
    <row r="71">
      <c r="A71" t="inlineStr">
        <is>
          <t>Curry japonais</t>
        </is>
      </c>
      <c r="B71">
        <f>TableauRecette[[#This Row],[Recette]]&amp;TableauRecette[[#This Row],[Conditionnement]]</f>
        <v/>
      </c>
      <c r="C71" t="inlineStr">
        <is>
          <t>Graine De Fenouil</t>
        </is>
      </c>
      <c r="D71" t="n">
        <v>2.5</v>
      </c>
      <c r="E71" t="inlineStr">
        <is>
          <t>Epice 100ml</t>
        </is>
      </c>
      <c r="F7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1">
        <f>IFERROR(_xlfn.XLOOKUP(TableauRecette[[#This Row],[Ingredients]],TableauIngredients[Ingredients],TableauIngredients[Prix d''achat / kg],0)*TableauRecette[[#This Row],[fraction mélange]],0)</f>
        <v/>
      </c>
      <c r="H71">
        <f>IFERROR(SUMIFS(TableauRecette[Proportion],TableauRecette[Recette],TableauRecette[[#This Row],[Recette]],TableauRecette[Conditionnement],TableauRecette[[#This Row],[Conditionnement]]),0)</f>
        <v/>
      </c>
      <c r="I71">
        <f>IFERROR(TableauRecette[[#This Row],[Prix d''achat / kg]],0)</f>
        <v/>
      </c>
      <c r="L71">
        <f>_xlfn.XLOOKUP(TableauRecette[[#This Row],[ID]],TableauProduit[ID],TableauProduit[Total (kg) N1],0,0,1)*TableauRecette[[#This Row],[fraction mélange]]</f>
        <v/>
      </c>
      <c r="M71">
        <f>_xlfn.XLOOKUP(TableauRecette[[#This Row],[ID]],TableauProduit[ID],TableauProduit[Total (kg) N2],0,0,1)*TableauRecette[[#This Row],[fraction mélange]]</f>
        <v/>
      </c>
      <c r="N71">
        <f>_xlfn.XLOOKUP(TableauRecette[[#This Row],[ID]],TableauProduit[ID],TableauProduit[Total (kg) N3],0,0,1)*TableauRecette[[#This Row],[fraction mélange]]</f>
        <v/>
      </c>
      <c r="O71">
        <f>_xlfn.XLOOKUP(TableauRecette[[#This Row],[ID]],TableauProduit[ID],TableauProduit[Total (kg) N4],0,0,1)*TableauRecette[[#This Row],[fraction mélange]]</f>
        <v/>
      </c>
      <c r="P71">
        <f>_xlfn.XLOOKUP(TableauRecette[[#This Row],[ID]],TableauProduit[ID],TableauProduit[Total (kg) N5],0,0,1)*TableauRecette[[#This Row],[fraction mélange]]</f>
        <v/>
      </c>
      <c r="Q71">
        <f>_xlfn.XLOOKUP(TableauRecette[[#This Row],[ID]],TableauProduit[ID],TableauProduit[Total (kg) N6],0,0,1)*TableauRecette[[#This Row],[fraction mélange]]</f>
        <v/>
      </c>
      <c r="R71">
        <f>_xlfn.XLOOKUP(TableauRecette[[#This Row],[ID]],TableauProduit[ID],TableauProduit[Total (kg) N7],0,0,1)*TableauRecette[[#This Row],[fraction mélange]]</f>
        <v/>
      </c>
      <c r="S71">
        <f>_xlfn.XLOOKUP(TableauRecette[[#This Row],[ID]],TableauProduit[ID],TableauProduit[Total (kg) N8],0,0,1)*TableauRecette[[#This Row],[fraction mélange]]</f>
        <v/>
      </c>
      <c r="T71">
        <f>_xlfn.XLOOKUP(TableauRecette[[#This Row],[ID]],TableauProduit[ID],TableauProduit[Total (kg) N9],0,0,1)*TableauRecette[[#This Row],[fraction mélange]]</f>
        <v/>
      </c>
    </row>
    <row r="72">
      <c r="A72" t="inlineStr">
        <is>
          <t>Curry japonais</t>
        </is>
      </c>
      <c r="B72">
        <f>TableauRecette[[#This Row],[Recette]]&amp;TableauRecette[[#This Row],[Conditionnement]]</f>
        <v/>
      </c>
      <c r="C72" t="inlineStr">
        <is>
          <t>Cannelle</t>
        </is>
      </c>
      <c r="D72" t="n">
        <v>2</v>
      </c>
      <c r="E72" t="inlineStr">
        <is>
          <t>Epice 100ml</t>
        </is>
      </c>
      <c r="F7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2">
        <f>IFERROR(_xlfn.XLOOKUP(TableauRecette[[#This Row],[Ingredients]],TableauIngredients[Ingredients],TableauIngredients[Prix d''achat / kg],0)*TableauRecette[[#This Row],[fraction mélange]],0)</f>
        <v/>
      </c>
      <c r="H72">
        <f>IFERROR(SUMIFS(TableauRecette[Proportion],TableauRecette[Recette],TableauRecette[[#This Row],[Recette]],TableauRecette[Conditionnement],TableauRecette[[#This Row],[Conditionnement]]),0)</f>
        <v/>
      </c>
      <c r="I72">
        <f>IFERROR(TableauRecette[[#This Row],[Prix d''achat / kg]],0)</f>
        <v/>
      </c>
      <c r="L72">
        <f>_xlfn.XLOOKUP(TableauRecette[[#This Row],[ID]],TableauProduit[ID],TableauProduit[Total (kg) N1],0,0,1)*TableauRecette[[#This Row],[fraction mélange]]</f>
        <v/>
      </c>
      <c r="M72">
        <f>_xlfn.XLOOKUP(TableauRecette[[#This Row],[ID]],TableauProduit[ID],TableauProduit[Total (kg) N2],0,0,1)*TableauRecette[[#This Row],[fraction mélange]]</f>
        <v/>
      </c>
      <c r="N72">
        <f>_xlfn.XLOOKUP(TableauRecette[[#This Row],[ID]],TableauProduit[ID],TableauProduit[Total (kg) N3],0,0,1)*TableauRecette[[#This Row],[fraction mélange]]</f>
        <v/>
      </c>
      <c r="O72">
        <f>_xlfn.XLOOKUP(TableauRecette[[#This Row],[ID]],TableauProduit[ID],TableauProduit[Total (kg) N4],0,0,1)*TableauRecette[[#This Row],[fraction mélange]]</f>
        <v/>
      </c>
      <c r="P72">
        <f>_xlfn.XLOOKUP(TableauRecette[[#This Row],[ID]],TableauProduit[ID],TableauProduit[Total (kg) N5],0,0,1)*TableauRecette[[#This Row],[fraction mélange]]</f>
        <v/>
      </c>
      <c r="Q72">
        <f>_xlfn.XLOOKUP(TableauRecette[[#This Row],[ID]],TableauProduit[ID],TableauProduit[Total (kg) N6],0,0,1)*TableauRecette[[#This Row],[fraction mélange]]</f>
        <v/>
      </c>
      <c r="R72">
        <f>_xlfn.XLOOKUP(TableauRecette[[#This Row],[ID]],TableauProduit[ID],TableauProduit[Total (kg) N7],0,0,1)*TableauRecette[[#This Row],[fraction mélange]]</f>
        <v/>
      </c>
      <c r="S72">
        <f>_xlfn.XLOOKUP(TableauRecette[[#This Row],[ID]],TableauProduit[ID],TableauProduit[Total (kg) N8],0,0,1)*TableauRecette[[#This Row],[fraction mélange]]</f>
        <v/>
      </c>
      <c r="T72">
        <f>_xlfn.XLOOKUP(TableauRecette[[#This Row],[ID]],TableauProduit[ID],TableauProduit[Total (kg) N9],0,0,1)*TableauRecette[[#This Row],[fraction mélange]]</f>
        <v/>
      </c>
    </row>
    <row r="73">
      <c r="A73" t="inlineStr">
        <is>
          <t>Curry japonais</t>
        </is>
      </c>
      <c r="B73">
        <f>TableauRecette[[#This Row],[Recette]]&amp;TableauRecette[[#This Row],[Conditionnement]]</f>
        <v/>
      </c>
      <c r="C73" t="inlineStr">
        <is>
          <t>Piment De Cayenne Rouge SEC</t>
        </is>
      </c>
      <c r="D73" t="n">
        <v>1.5</v>
      </c>
      <c r="E73" t="inlineStr">
        <is>
          <t>Epice 100ml</t>
        </is>
      </c>
      <c r="F7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3">
        <f>IFERROR(_xlfn.XLOOKUP(TableauRecette[[#This Row],[Ingredients]],TableauIngredients[Ingredients],TableauIngredients[Prix d''achat / kg],0)*TableauRecette[[#This Row],[fraction mélange]],0)</f>
        <v/>
      </c>
      <c r="H73">
        <f>IFERROR(SUMIFS(TableauRecette[Proportion],TableauRecette[Recette],TableauRecette[[#This Row],[Recette]],TableauRecette[Conditionnement],TableauRecette[[#This Row],[Conditionnement]]),0)</f>
        <v/>
      </c>
      <c r="I73">
        <f>IFERROR(TableauRecette[[#This Row],[Prix d''achat / kg]],0)</f>
        <v/>
      </c>
      <c r="K73" t="inlineStr">
        <is>
          <t>SEC</t>
        </is>
      </c>
      <c r="L73">
        <f>_xlfn.XLOOKUP(TableauRecette[[#This Row],[ID]],TableauProduit[ID],TableauProduit[Total (kg) N1],0,0,1)*TableauRecette[[#This Row],[fraction mélange]]</f>
        <v/>
      </c>
      <c r="M73">
        <f>_xlfn.XLOOKUP(TableauRecette[[#This Row],[ID]],TableauProduit[ID],TableauProduit[Total (kg) N2],0,0,1)*TableauRecette[[#This Row],[fraction mélange]]</f>
        <v/>
      </c>
      <c r="N73">
        <f>_xlfn.XLOOKUP(TableauRecette[[#This Row],[ID]],TableauProduit[ID],TableauProduit[Total (kg) N3],0,0,1)*TableauRecette[[#This Row],[fraction mélange]]</f>
        <v/>
      </c>
      <c r="O73">
        <f>_xlfn.XLOOKUP(TableauRecette[[#This Row],[ID]],TableauProduit[ID],TableauProduit[Total (kg) N4],0,0,1)*TableauRecette[[#This Row],[fraction mélange]]</f>
        <v/>
      </c>
      <c r="P73">
        <f>_xlfn.XLOOKUP(TableauRecette[[#This Row],[ID]],TableauProduit[ID],TableauProduit[Total (kg) N5],0,0,1)*TableauRecette[[#This Row],[fraction mélange]]</f>
        <v/>
      </c>
      <c r="Q73">
        <f>_xlfn.XLOOKUP(TableauRecette[[#This Row],[ID]],TableauProduit[ID],TableauProduit[Total (kg) N6],0,0,1)*TableauRecette[[#This Row],[fraction mélange]]</f>
        <v/>
      </c>
      <c r="R73">
        <f>_xlfn.XLOOKUP(TableauRecette[[#This Row],[ID]],TableauProduit[ID],TableauProduit[Total (kg) N7],0,0,1)*TableauRecette[[#This Row],[fraction mélange]]</f>
        <v/>
      </c>
      <c r="S73">
        <f>_xlfn.XLOOKUP(TableauRecette[[#This Row],[ID]],TableauProduit[ID],TableauProduit[Total (kg) N8],0,0,1)*TableauRecette[[#This Row],[fraction mélange]]</f>
        <v/>
      </c>
      <c r="T73">
        <f>_xlfn.XLOOKUP(TableauRecette[[#This Row],[ID]],TableauProduit[ID],TableauProduit[Total (kg) N9],0,0,1)*TableauRecette[[#This Row],[fraction mélange]]</f>
        <v/>
      </c>
    </row>
    <row r="74">
      <c r="A74" t="inlineStr">
        <is>
          <t>Curry japonais</t>
        </is>
      </c>
      <c r="B74">
        <f>TableauRecette[[#This Row],[Recette]]&amp;TableauRecette[[#This Row],[Conditionnement]]</f>
        <v/>
      </c>
      <c r="C74" t="inlineStr">
        <is>
          <t>Gingembre Sec</t>
        </is>
      </c>
      <c r="D74" t="n">
        <v>1.5</v>
      </c>
      <c r="E74" t="inlineStr">
        <is>
          <t>Epice 100ml</t>
        </is>
      </c>
      <c r="F7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4">
        <f>IFERROR(_xlfn.XLOOKUP(TableauRecette[[#This Row],[Ingredients]],TableauIngredients[Ingredients],TableauIngredients[Prix d''achat / kg],0)*TableauRecette[[#This Row],[fraction mélange]],0)</f>
        <v/>
      </c>
      <c r="H74">
        <f>IFERROR(SUMIFS(TableauRecette[Proportion],TableauRecette[Recette],TableauRecette[[#This Row],[Recette]],TableauRecette[Conditionnement],TableauRecette[[#This Row],[Conditionnement]]),0)</f>
        <v/>
      </c>
      <c r="I74">
        <f>IFERROR(TableauRecette[[#This Row],[Prix d''achat / kg]],0)</f>
        <v/>
      </c>
      <c r="K74" t="inlineStr">
        <is>
          <t>SEC</t>
        </is>
      </c>
      <c r="L74">
        <f>_xlfn.XLOOKUP(TableauRecette[[#This Row],[ID]],TableauProduit[ID],TableauProduit[Total (kg) N1],0,0,1)*TableauRecette[[#This Row],[fraction mélange]]</f>
        <v/>
      </c>
      <c r="M74">
        <f>_xlfn.XLOOKUP(TableauRecette[[#This Row],[ID]],TableauProduit[ID],TableauProduit[Total (kg) N2],0,0,1)*TableauRecette[[#This Row],[fraction mélange]]</f>
        <v/>
      </c>
      <c r="N74">
        <f>_xlfn.XLOOKUP(TableauRecette[[#This Row],[ID]],TableauProduit[ID],TableauProduit[Total (kg) N3],0,0,1)*TableauRecette[[#This Row],[fraction mélange]]</f>
        <v/>
      </c>
      <c r="O74">
        <f>_xlfn.XLOOKUP(TableauRecette[[#This Row],[ID]],TableauProduit[ID],TableauProduit[Total (kg) N4],0,0,1)*TableauRecette[[#This Row],[fraction mélange]]</f>
        <v/>
      </c>
      <c r="P74">
        <f>_xlfn.XLOOKUP(TableauRecette[[#This Row],[ID]],TableauProduit[ID],TableauProduit[Total (kg) N5],0,0,1)*TableauRecette[[#This Row],[fraction mélange]]</f>
        <v/>
      </c>
      <c r="Q74">
        <f>_xlfn.XLOOKUP(TableauRecette[[#This Row],[ID]],TableauProduit[ID],TableauProduit[Total (kg) N6],0,0,1)*TableauRecette[[#This Row],[fraction mélange]]</f>
        <v/>
      </c>
      <c r="R74">
        <f>_xlfn.XLOOKUP(TableauRecette[[#This Row],[ID]],TableauProduit[ID],TableauProduit[Total (kg) N7],0,0,1)*TableauRecette[[#This Row],[fraction mélange]]</f>
        <v/>
      </c>
      <c r="S74">
        <f>_xlfn.XLOOKUP(TableauRecette[[#This Row],[ID]],TableauProduit[ID],TableauProduit[Total (kg) N8],0,0,1)*TableauRecette[[#This Row],[fraction mélange]]</f>
        <v/>
      </c>
      <c r="T74">
        <f>_xlfn.XLOOKUP(TableauRecette[[#This Row],[ID]],TableauProduit[ID],TableauProduit[Total (kg) N9],0,0,1)*TableauRecette[[#This Row],[fraction mélange]]</f>
        <v/>
      </c>
    </row>
    <row r="75">
      <c r="A75" t="inlineStr">
        <is>
          <t>Curry japonais</t>
        </is>
      </c>
      <c r="B75">
        <f>TableauRecette[[#This Row],[Recette]]&amp;TableauRecette[[#This Row],[Conditionnement]]</f>
        <v/>
      </c>
      <c r="C75" t="inlineStr">
        <is>
          <t>Graine De Cardamome</t>
        </is>
      </c>
      <c r="D75" t="n">
        <v>1</v>
      </c>
      <c r="E75" t="inlineStr">
        <is>
          <t>Epice 100ml</t>
        </is>
      </c>
      <c r="F7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5">
        <f>IFERROR(_xlfn.XLOOKUP(TableauRecette[[#This Row],[Ingredients]],TableauIngredients[Ingredients],TableauIngredients[Prix d''achat / kg],0)*TableauRecette[[#This Row],[fraction mélange]],0)</f>
        <v/>
      </c>
      <c r="H75">
        <f>IFERROR(SUMIFS(TableauRecette[Proportion],TableauRecette[Recette],TableauRecette[[#This Row],[Recette]],TableauRecette[Conditionnement],TableauRecette[[#This Row],[Conditionnement]]),0)</f>
        <v/>
      </c>
      <c r="I75">
        <f>IFERROR(TableauRecette[[#This Row],[Prix d''achat / kg]],0)</f>
        <v/>
      </c>
      <c r="L75">
        <f>_xlfn.XLOOKUP(TableauRecette[[#This Row],[ID]],TableauProduit[ID],TableauProduit[Total (kg) N1],0,0,1)*TableauRecette[[#This Row],[fraction mélange]]</f>
        <v/>
      </c>
      <c r="M75">
        <f>_xlfn.XLOOKUP(TableauRecette[[#This Row],[ID]],TableauProduit[ID],TableauProduit[Total (kg) N2],0,0,1)*TableauRecette[[#This Row],[fraction mélange]]</f>
        <v/>
      </c>
      <c r="N75">
        <f>_xlfn.XLOOKUP(TableauRecette[[#This Row],[ID]],TableauProduit[ID],TableauProduit[Total (kg) N3],0,0,1)*TableauRecette[[#This Row],[fraction mélange]]</f>
        <v/>
      </c>
      <c r="O75">
        <f>_xlfn.XLOOKUP(TableauRecette[[#This Row],[ID]],TableauProduit[ID],TableauProduit[Total (kg) N4],0,0,1)*TableauRecette[[#This Row],[fraction mélange]]</f>
        <v/>
      </c>
      <c r="P75">
        <f>_xlfn.XLOOKUP(TableauRecette[[#This Row],[ID]],TableauProduit[ID],TableauProduit[Total (kg) N5],0,0,1)*TableauRecette[[#This Row],[fraction mélange]]</f>
        <v/>
      </c>
      <c r="Q75">
        <f>_xlfn.XLOOKUP(TableauRecette[[#This Row],[ID]],TableauProduit[ID],TableauProduit[Total (kg) N6],0,0,1)*TableauRecette[[#This Row],[fraction mélange]]</f>
        <v/>
      </c>
      <c r="R75">
        <f>_xlfn.XLOOKUP(TableauRecette[[#This Row],[ID]],TableauProduit[ID],TableauProduit[Total (kg) N7],0,0,1)*TableauRecette[[#This Row],[fraction mélange]]</f>
        <v/>
      </c>
      <c r="S75">
        <f>_xlfn.XLOOKUP(TableauRecette[[#This Row],[ID]],TableauProduit[ID],TableauProduit[Total (kg) N8],0,0,1)*TableauRecette[[#This Row],[fraction mélange]]</f>
        <v/>
      </c>
      <c r="T75">
        <f>_xlfn.XLOOKUP(TableauRecette[[#This Row],[ID]],TableauProduit[ID],TableauProduit[Total (kg) N9],0,0,1)*TableauRecette[[#This Row],[fraction mélange]]</f>
        <v/>
      </c>
    </row>
    <row r="76">
      <c r="A76" t="inlineStr">
        <is>
          <t>Curry japonais</t>
        </is>
      </c>
      <c r="B76">
        <f>TableauRecette[[#This Row],[Recette]]&amp;TableauRecette[[#This Row],[Conditionnement]]</f>
        <v/>
      </c>
      <c r="C76" t="inlineStr">
        <is>
          <t>Clous De Girofle</t>
        </is>
      </c>
      <c r="D76" t="n">
        <v>1</v>
      </c>
      <c r="E76" t="inlineStr">
        <is>
          <t>Epice 100ml</t>
        </is>
      </c>
      <c r="F7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6">
        <f>IFERROR(_xlfn.XLOOKUP(TableauRecette[[#This Row],[Ingredients]],TableauIngredients[Ingredients],TableauIngredients[Prix d''achat / kg],0)*TableauRecette[[#This Row],[fraction mélange]],0)</f>
        <v/>
      </c>
      <c r="H76">
        <f>IFERROR(SUMIFS(TableauRecette[Proportion],TableauRecette[Recette],TableauRecette[[#This Row],[Recette]],TableauRecette[Conditionnement],TableauRecette[[#This Row],[Conditionnement]]),0)</f>
        <v/>
      </c>
      <c r="I76">
        <f>IFERROR(TableauRecette[[#This Row],[Prix d''achat / kg]],0)</f>
        <v/>
      </c>
      <c r="L76">
        <f>_xlfn.XLOOKUP(TableauRecette[[#This Row],[ID]],TableauProduit[ID],TableauProduit[Total (kg) N1],0,0,1)*TableauRecette[[#This Row],[fraction mélange]]</f>
        <v/>
      </c>
      <c r="M76">
        <f>_xlfn.XLOOKUP(TableauRecette[[#This Row],[ID]],TableauProduit[ID],TableauProduit[Total (kg) N2],0,0,1)*TableauRecette[[#This Row],[fraction mélange]]</f>
        <v/>
      </c>
      <c r="N76">
        <f>_xlfn.XLOOKUP(TableauRecette[[#This Row],[ID]],TableauProduit[ID],TableauProduit[Total (kg) N3],0,0,1)*TableauRecette[[#This Row],[fraction mélange]]</f>
        <v/>
      </c>
      <c r="O76">
        <f>_xlfn.XLOOKUP(TableauRecette[[#This Row],[ID]],TableauProduit[ID],TableauProduit[Total (kg) N4],0,0,1)*TableauRecette[[#This Row],[fraction mélange]]</f>
        <v/>
      </c>
      <c r="P76">
        <f>_xlfn.XLOOKUP(TableauRecette[[#This Row],[ID]],TableauProduit[ID],TableauProduit[Total (kg) N5],0,0,1)*TableauRecette[[#This Row],[fraction mélange]]</f>
        <v/>
      </c>
      <c r="Q76">
        <f>_xlfn.XLOOKUP(TableauRecette[[#This Row],[ID]],TableauProduit[ID],TableauProduit[Total (kg) N6],0,0,1)*TableauRecette[[#This Row],[fraction mélange]]</f>
        <v/>
      </c>
      <c r="R76">
        <f>_xlfn.XLOOKUP(TableauRecette[[#This Row],[ID]],TableauProduit[ID],TableauProduit[Total (kg) N7],0,0,1)*TableauRecette[[#This Row],[fraction mélange]]</f>
        <v/>
      </c>
      <c r="S76">
        <f>_xlfn.XLOOKUP(TableauRecette[[#This Row],[ID]],TableauProduit[ID],TableauProduit[Total (kg) N8],0,0,1)*TableauRecette[[#This Row],[fraction mélange]]</f>
        <v/>
      </c>
      <c r="T76">
        <f>_xlfn.XLOOKUP(TableauRecette[[#This Row],[ID]],TableauProduit[ID],TableauProduit[Total (kg) N9],0,0,1)*TableauRecette[[#This Row],[fraction mélange]]</f>
        <v/>
      </c>
    </row>
    <row r="77">
      <c r="A77" t="inlineStr">
        <is>
          <t>Curry japonais</t>
        </is>
      </c>
      <c r="B77">
        <f>TableauRecette[[#This Row],[Recette]]&amp;TableauRecette[[#This Row],[Conditionnement]]</f>
        <v/>
      </c>
      <c r="C77" t="inlineStr">
        <is>
          <t>Anis Étoilé</t>
        </is>
      </c>
      <c r="D77" t="n">
        <v>1</v>
      </c>
      <c r="E77" t="inlineStr">
        <is>
          <t>Epice 100ml</t>
        </is>
      </c>
      <c r="F7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7">
        <f>IFERROR(_xlfn.XLOOKUP(TableauRecette[[#This Row],[Ingredients]],TableauIngredients[Ingredients],TableauIngredients[Prix d''achat / kg],0)*TableauRecette[[#This Row],[fraction mélange]],0)</f>
        <v/>
      </c>
      <c r="H77">
        <f>IFERROR(SUMIFS(TableauRecette[Proportion],TableauRecette[Recette],TableauRecette[[#This Row],[Recette]],TableauRecette[Conditionnement],TableauRecette[[#This Row],[Conditionnement]]),0)</f>
        <v/>
      </c>
      <c r="I77">
        <f>IFERROR(TableauRecette[[#This Row],[Prix d''achat / kg]],0)</f>
        <v/>
      </c>
      <c r="L77">
        <f>_xlfn.XLOOKUP(TableauRecette[[#This Row],[ID]],TableauProduit[ID],TableauProduit[Total (kg) N1],0,0,1)*TableauRecette[[#This Row],[fraction mélange]]</f>
        <v/>
      </c>
      <c r="M77">
        <f>_xlfn.XLOOKUP(TableauRecette[[#This Row],[ID]],TableauProduit[ID],TableauProduit[Total (kg) N2],0,0,1)*TableauRecette[[#This Row],[fraction mélange]]</f>
        <v/>
      </c>
      <c r="N77">
        <f>_xlfn.XLOOKUP(TableauRecette[[#This Row],[ID]],TableauProduit[ID],TableauProduit[Total (kg) N3],0,0,1)*TableauRecette[[#This Row],[fraction mélange]]</f>
        <v/>
      </c>
      <c r="O77">
        <f>_xlfn.XLOOKUP(TableauRecette[[#This Row],[ID]],TableauProduit[ID],TableauProduit[Total (kg) N4],0,0,1)*TableauRecette[[#This Row],[fraction mélange]]</f>
        <v/>
      </c>
      <c r="P77">
        <f>_xlfn.XLOOKUP(TableauRecette[[#This Row],[ID]],TableauProduit[ID],TableauProduit[Total (kg) N5],0,0,1)*TableauRecette[[#This Row],[fraction mélange]]</f>
        <v/>
      </c>
      <c r="Q77">
        <f>_xlfn.XLOOKUP(TableauRecette[[#This Row],[ID]],TableauProduit[ID],TableauProduit[Total (kg) N6],0,0,1)*TableauRecette[[#This Row],[fraction mélange]]</f>
        <v/>
      </c>
      <c r="R77">
        <f>_xlfn.XLOOKUP(TableauRecette[[#This Row],[ID]],TableauProduit[ID],TableauProduit[Total (kg) N7],0,0,1)*TableauRecette[[#This Row],[fraction mélange]]</f>
        <v/>
      </c>
      <c r="S77">
        <f>_xlfn.XLOOKUP(TableauRecette[[#This Row],[ID]],TableauProduit[ID],TableauProduit[Total (kg) N8],0,0,1)*TableauRecette[[#This Row],[fraction mélange]]</f>
        <v/>
      </c>
      <c r="T77">
        <f>_xlfn.XLOOKUP(TableauRecette[[#This Row],[ID]],TableauProduit[ID],TableauProduit[Total (kg) N9],0,0,1)*TableauRecette[[#This Row],[fraction mélange]]</f>
        <v/>
      </c>
    </row>
    <row r="78">
      <c r="A78" t="inlineStr">
        <is>
          <t>Curry japonais</t>
        </is>
      </c>
      <c r="B78">
        <f>TableauRecette[[#This Row],[Recette]]&amp;TableauRecette[[#This Row],[Conditionnement]]</f>
        <v/>
      </c>
      <c r="C78" t="inlineStr">
        <is>
          <t>Sauge</t>
        </is>
      </c>
      <c r="D78" t="n">
        <v>1</v>
      </c>
      <c r="E78" t="inlineStr">
        <is>
          <t>Epice 100ml</t>
        </is>
      </c>
      <c r="F7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8">
        <f>IFERROR(_xlfn.XLOOKUP(TableauRecette[[#This Row],[Ingredients]],TableauIngredients[Ingredients],TableauIngredients[Prix d''achat / kg],0)*TableauRecette[[#This Row],[fraction mélange]],0)</f>
        <v/>
      </c>
      <c r="H78">
        <f>IFERROR(SUMIFS(TableauRecette[Proportion],TableauRecette[Recette],TableauRecette[[#This Row],[Recette]],TableauRecette[Conditionnement],TableauRecette[[#This Row],[Conditionnement]]),0)</f>
        <v/>
      </c>
      <c r="I78">
        <f>IFERROR(TableauRecette[[#This Row],[Prix d''achat / kg]],0)</f>
        <v/>
      </c>
      <c r="L78">
        <f>_xlfn.XLOOKUP(TableauRecette[[#This Row],[ID]],TableauProduit[ID],TableauProduit[Total (kg) N1],0,0,1)*TableauRecette[[#This Row],[fraction mélange]]</f>
        <v/>
      </c>
      <c r="M78">
        <f>_xlfn.XLOOKUP(TableauRecette[[#This Row],[ID]],TableauProduit[ID],TableauProduit[Total (kg) N2],0,0,1)*TableauRecette[[#This Row],[fraction mélange]]</f>
        <v/>
      </c>
      <c r="N78">
        <f>_xlfn.XLOOKUP(TableauRecette[[#This Row],[ID]],TableauProduit[ID],TableauProduit[Total (kg) N3],0,0,1)*TableauRecette[[#This Row],[fraction mélange]]</f>
        <v/>
      </c>
      <c r="O78">
        <f>_xlfn.XLOOKUP(TableauRecette[[#This Row],[ID]],TableauProduit[ID],TableauProduit[Total (kg) N4],0,0,1)*TableauRecette[[#This Row],[fraction mélange]]</f>
        <v/>
      </c>
      <c r="P78">
        <f>_xlfn.XLOOKUP(TableauRecette[[#This Row],[ID]],TableauProduit[ID],TableauProduit[Total (kg) N5],0,0,1)*TableauRecette[[#This Row],[fraction mélange]]</f>
        <v/>
      </c>
      <c r="Q78">
        <f>_xlfn.XLOOKUP(TableauRecette[[#This Row],[ID]],TableauProduit[ID],TableauProduit[Total (kg) N6],0,0,1)*TableauRecette[[#This Row],[fraction mélange]]</f>
        <v/>
      </c>
      <c r="R78">
        <f>_xlfn.XLOOKUP(TableauRecette[[#This Row],[ID]],TableauProduit[ID],TableauProduit[Total (kg) N7],0,0,1)*TableauRecette[[#This Row],[fraction mélange]]</f>
        <v/>
      </c>
      <c r="S78">
        <f>_xlfn.XLOOKUP(TableauRecette[[#This Row],[ID]],TableauProduit[ID],TableauProduit[Total (kg) N8],0,0,1)*TableauRecette[[#This Row],[fraction mélange]]</f>
        <v/>
      </c>
      <c r="T78">
        <f>_xlfn.XLOOKUP(TableauRecette[[#This Row],[ID]],TableauProduit[ID],TableauProduit[Total (kg) N9],0,0,1)*TableauRecette[[#This Row],[fraction mélange]]</f>
        <v/>
      </c>
    </row>
    <row r="79">
      <c r="A79" t="inlineStr">
        <is>
          <t>Curry japonais</t>
        </is>
      </c>
      <c r="B79">
        <f>TableauRecette[[#This Row],[Recette]]&amp;TableauRecette[[#This Row],[Conditionnement]]</f>
        <v/>
      </c>
      <c r="C79" t="inlineStr">
        <is>
          <t>Thym</t>
        </is>
      </c>
      <c r="D79" t="n">
        <v>1</v>
      </c>
      <c r="E79" t="inlineStr">
        <is>
          <t>Epice 100ml</t>
        </is>
      </c>
      <c r="F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9">
        <f>IFERROR(_xlfn.XLOOKUP(TableauRecette[[#This Row],[Ingredients]],TableauIngredients[Ingredients],TableauIngredients[Prix d''achat / kg],0)*TableauRecette[[#This Row],[fraction mélange]],0)</f>
        <v/>
      </c>
      <c r="H79">
        <f>IFERROR(SUMIFS(TableauRecette[Proportion],TableauRecette[Recette],TableauRecette[[#This Row],[Recette]],TableauRecette[Conditionnement],TableauRecette[[#This Row],[Conditionnement]]),0)</f>
        <v/>
      </c>
      <c r="I79">
        <f>IFERROR(TableauRecette[[#This Row],[Prix d''achat / kg]],0)</f>
        <v/>
      </c>
      <c r="L79">
        <f>_xlfn.XLOOKUP(TableauRecette[[#This Row],[ID]],TableauProduit[ID],TableauProduit[Total (kg) N1],0,0,1)*TableauRecette[[#This Row],[fraction mélange]]</f>
        <v/>
      </c>
      <c r="M79">
        <f>_xlfn.XLOOKUP(TableauRecette[[#This Row],[ID]],TableauProduit[ID],TableauProduit[Total (kg) N2],0,0,1)*TableauRecette[[#This Row],[fraction mélange]]</f>
        <v/>
      </c>
      <c r="N79">
        <f>_xlfn.XLOOKUP(TableauRecette[[#This Row],[ID]],TableauProduit[ID],TableauProduit[Total (kg) N3],0,0,1)*TableauRecette[[#This Row],[fraction mélange]]</f>
        <v/>
      </c>
      <c r="O79">
        <f>_xlfn.XLOOKUP(TableauRecette[[#This Row],[ID]],TableauProduit[ID],TableauProduit[Total (kg) N4],0,0,1)*TableauRecette[[#This Row],[fraction mélange]]</f>
        <v/>
      </c>
      <c r="P79">
        <f>_xlfn.XLOOKUP(TableauRecette[[#This Row],[ID]],TableauProduit[ID],TableauProduit[Total (kg) N5],0,0,1)*TableauRecette[[#This Row],[fraction mélange]]</f>
        <v/>
      </c>
      <c r="Q79">
        <f>_xlfn.XLOOKUP(TableauRecette[[#This Row],[ID]],TableauProduit[ID],TableauProduit[Total (kg) N6],0,0,1)*TableauRecette[[#This Row],[fraction mélange]]</f>
        <v/>
      </c>
      <c r="R79">
        <f>_xlfn.XLOOKUP(TableauRecette[[#This Row],[ID]],TableauProduit[ID],TableauProduit[Total (kg) N7],0,0,1)*TableauRecette[[#This Row],[fraction mélange]]</f>
        <v/>
      </c>
      <c r="S79">
        <f>_xlfn.XLOOKUP(TableauRecette[[#This Row],[ID]],TableauProduit[ID],TableauProduit[Total (kg) N8],0,0,1)*TableauRecette[[#This Row],[fraction mélange]]</f>
        <v/>
      </c>
      <c r="T79">
        <f>_xlfn.XLOOKUP(TableauRecette[[#This Row],[ID]],TableauProduit[ID],TableauProduit[Total (kg) N9],0,0,1)*TableauRecette[[#This Row],[fraction mélange]]</f>
        <v/>
      </c>
    </row>
    <row r="80">
      <c r="A80" t="inlineStr">
        <is>
          <t>Curry japonais</t>
        </is>
      </c>
      <c r="B80">
        <f>TableauRecette[[#This Row],[Recette]]&amp;TableauRecette[[#This Row],[Conditionnement]]</f>
        <v/>
      </c>
      <c r="C80" t="inlineStr">
        <is>
          <t>Muscade</t>
        </is>
      </c>
      <c r="D80" t="n">
        <v>1</v>
      </c>
      <c r="E80" t="inlineStr">
        <is>
          <t>Epice 100ml</t>
        </is>
      </c>
      <c r="F8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0">
        <f>IFERROR(_xlfn.XLOOKUP(TableauRecette[[#This Row],[Ingredients]],TableauIngredients[Ingredients],TableauIngredients[Prix d''achat / kg],0)*TableauRecette[[#This Row],[fraction mélange]],0)</f>
        <v/>
      </c>
      <c r="H80">
        <f>IFERROR(SUMIFS(TableauRecette[Proportion],TableauRecette[Recette],TableauRecette[[#This Row],[Recette]],TableauRecette[Conditionnement],TableauRecette[[#This Row],[Conditionnement]]),0)</f>
        <v/>
      </c>
      <c r="I80">
        <f>IFERROR(TableauRecette[[#This Row],[Prix d''achat / kg]],0)</f>
        <v/>
      </c>
      <c r="L80">
        <f>_xlfn.XLOOKUP(TableauRecette[[#This Row],[ID]],TableauProduit[ID],TableauProduit[Total (kg) N1],0,0,1)*TableauRecette[[#This Row],[fraction mélange]]</f>
        <v/>
      </c>
      <c r="M80">
        <f>_xlfn.XLOOKUP(TableauRecette[[#This Row],[ID]],TableauProduit[ID],TableauProduit[Total (kg) N2],0,0,1)*TableauRecette[[#This Row],[fraction mélange]]</f>
        <v/>
      </c>
      <c r="N80">
        <f>_xlfn.XLOOKUP(TableauRecette[[#This Row],[ID]],TableauProduit[ID],TableauProduit[Total (kg) N3],0,0,1)*TableauRecette[[#This Row],[fraction mélange]]</f>
        <v/>
      </c>
      <c r="O80">
        <f>_xlfn.XLOOKUP(TableauRecette[[#This Row],[ID]],TableauProduit[ID],TableauProduit[Total (kg) N4],0,0,1)*TableauRecette[[#This Row],[fraction mélange]]</f>
        <v/>
      </c>
      <c r="P80">
        <f>_xlfn.XLOOKUP(TableauRecette[[#This Row],[ID]],TableauProduit[ID],TableauProduit[Total (kg) N5],0,0,1)*TableauRecette[[#This Row],[fraction mélange]]</f>
        <v/>
      </c>
      <c r="Q80">
        <f>_xlfn.XLOOKUP(TableauRecette[[#This Row],[ID]],TableauProduit[ID],TableauProduit[Total (kg) N6],0,0,1)*TableauRecette[[#This Row],[fraction mélange]]</f>
        <v/>
      </c>
      <c r="R80">
        <f>_xlfn.XLOOKUP(TableauRecette[[#This Row],[ID]],TableauProduit[ID],TableauProduit[Total (kg) N7],0,0,1)*TableauRecette[[#This Row],[fraction mélange]]</f>
        <v/>
      </c>
      <c r="S80">
        <f>_xlfn.XLOOKUP(TableauRecette[[#This Row],[ID]],TableauProduit[ID],TableauProduit[Total (kg) N8],0,0,1)*TableauRecette[[#This Row],[fraction mélange]]</f>
        <v/>
      </c>
      <c r="T80">
        <f>_xlfn.XLOOKUP(TableauRecette[[#This Row],[ID]],TableauProduit[ID],TableauProduit[Total (kg) N9],0,0,1)*TableauRecette[[#This Row],[fraction mélange]]</f>
        <v/>
      </c>
    </row>
    <row r="81">
      <c r="A81" t="inlineStr">
        <is>
          <t>Curry japonais</t>
        </is>
      </c>
      <c r="B81">
        <f>TableauRecette[[#This Row],[Recette]]&amp;TableauRecette[[#This Row],[Conditionnement]]</f>
        <v/>
      </c>
      <c r="C81" t="inlineStr">
        <is>
          <t>Poivre Noir</t>
        </is>
      </c>
      <c r="D81" t="n">
        <v>1</v>
      </c>
      <c r="E81" t="inlineStr">
        <is>
          <t>Epice 100ml</t>
        </is>
      </c>
      <c r="F8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1">
        <f>IFERROR(_xlfn.XLOOKUP(TableauRecette[[#This Row],[Ingredients]],TableauIngredients[Ingredients],TableauIngredients[Prix d''achat / kg],0)*TableauRecette[[#This Row],[fraction mélange]],0)</f>
        <v/>
      </c>
      <c r="H81">
        <f>IFERROR(SUMIFS(TableauRecette[Proportion],TableauRecette[Recette],TableauRecette[[#This Row],[Recette]],TableauRecette[Conditionnement],TableauRecette[[#This Row],[Conditionnement]]),0)</f>
        <v/>
      </c>
      <c r="I81">
        <f>IFERROR(TableauRecette[[#This Row],[Prix d''achat / kg]],0)</f>
        <v/>
      </c>
      <c r="L81">
        <f>_xlfn.XLOOKUP(TableauRecette[[#This Row],[ID]],TableauProduit[ID],TableauProduit[Total (kg) N1],0,0,1)*TableauRecette[[#This Row],[fraction mélange]]</f>
        <v/>
      </c>
      <c r="M81">
        <f>_xlfn.XLOOKUP(TableauRecette[[#This Row],[ID]],TableauProduit[ID],TableauProduit[Total (kg) N2],0,0,1)*TableauRecette[[#This Row],[fraction mélange]]</f>
        <v/>
      </c>
      <c r="N81">
        <f>_xlfn.XLOOKUP(TableauRecette[[#This Row],[ID]],TableauProduit[ID],TableauProduit[Total (kg) N3],0,0,1)*TableauRecette[[#This Row],[fraction mélange]]</f>
        <v/>
      </c>
      <c r="O81">
        <f>_xlfn.XLOOKUP(TableauRecette[[#This Row],[ID]],TableauProduit[ID],TableauProduit[Total (kg) N4],0,0,1)*TableauRecette[[#This Row],[fraction mélange]]</f>
        <v/>
      </c>
      <c r="P81">
        <f>_xlfn.XLOOKUP(TableauRecette[[#This Row],[ID]],TableauProduit[ID],TableauProduit[Total (kg) N5],0,0,1)*TableauRecette[[#This Row],[fraction mélange]]</f>
        <v/>
      </c>
      <c r="Q81">
        <f>_xlfn.XLOOKUP(TableauRecette[[#This Row],[ID]],TableauProduit[ID],TableauProduit[Total (kg) N6],0,0,1)*TableauRecette[[#This Row],[fraction mélange]]</f>
        <v/>
      </c>
      <c r="R81">
        <f>_xlfn.XLOOKUP(TableauRecette[[#This Row],[ID]],TableauProduit[ID],TableauProduit[Total (kg) N7],0,0,1)*TableauRecette[[#This Row],[fraction mélange]]</f>
        <v/>
      </c>
      <c r="S81">
        <f>_xlfn.XLOOKUP(TableauRecette[[#This Row],[ID]],TableauProduit[ID],TableauProduit[Total (kg) N8],0,0,1)*TableauRecette[[#This Row],[fraction mélange]]</f>
        <v/>
      </c>
      <c r="T81">
        <f>_xlfn.XLOOKUP(TableauRecette[[#This Row],[ID]],TableauProduit[ID],TableauProduit[Total (kg) N9],0,0,1)*TableauRecette[[#This Row],[fraction mélange]]</f>
        <v/>
      </c>
    </row>
    <row r="82">
      <c r="A82" t="inlineStr">
        <is>
          <t>Curry japonais</t>
        </is>
      </c>
      <c r="B82">
        <f>TableauRecette[[#This Row],[Recette]]&amp;TableauRecette[[#This Row],[Conditionnement]]</f>
        <v/>
      </c>
      <c r="C82" t="inlineStr">
        <is>
          <t>Feuilles De Laurier</t>
        </is>
      </c>
      <c r="D82" t="n">
        <v>1</v>
      </c>
      <c r="E82" t="inlineStr">
        <is>
          <t>Epice 100ml</t>
        </is>
      </c>
      <c r="F8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2">
        <f>IFERROR(_xlfn.XLOOKUP(TableauRecette[[#This Row],[Ingredients]],TableauIngredients[Ingredients],TableauIngredients[Prix d''achat / kg],0)*TableauRecette[[#This Row],[fraction mélange]],0)</f>
        <v/>
      </c>
      <c r="H82">
        <f>IFERROR(SUMIFS(TableauRecette[Proportion],TableauRecette[Recette],TableauRecette[[#This Row],[Recette]],TableauRecette[Conditionnement],TableauRecette[[#This Row],[Conditionnement]]),0)</f>
        <v/>
      </c>
      <c r="I82">
        <f>IFERROR(TableauRecette[[#This Row],[Prix d''achat / kg]],0)</f>
        <v/>
      </c>
      <c r="L82">
        <f>_xlfn.XLOOKUP(TableauRecette[[#This Row],[ID]],TableauProduit[ID],TableauProduit[Total (kg) N1],0,0,1)*TableauRecette[[#This Row],[fraction mélange]]</f>
        <v/>
      </c>
      <c r="M82">
        <f>_xlfn.XLOOKUP(TableauRecette[[#This Row],[ID]],TableauProduit[ID],TableauProduit[Total (kg) N2],0,0,1)*TableauRecette[[#This Row],[fraction mélange]]</f>
        <v/>
      </c>
      <c r="N82">
        <f>_xlfn.XLOOKUP(TableauRecette[[#This Row],[ID]],TableauProduit[ID],TableauProduit[Total (kg) N3],0,0,1)*TableauRecette[[#This Row],[fraction mélange]]</f>
        <v/>
      </c>
      <c r="O82">
        <f>_xlfn.XLOOKUP(TableauRecette[[#This Row],[ID]],TableauProduit[ID],TableauProduit[Total (kg) N4],0,0,1)*TableauRecette[[#This Row],[fraction mélange]]</f>
        <v/>
      </c>
      <c r="P82">
        <f>_xlfn.XLOOKUP(TableauRecette[[#This Row],[ID]],TableauProduit[ID],TableauProduit[Total (kg) N5],0,0,1)*TableauRecette[[#This Row],[fraction mélange]]</f>
        <v/>
      </c>
      <c r="Q82">
        <f>_xlfn.XLOOKUP(TableauRecette[[#This Row],[ID]],TableauProduit[ID],TableauProduit[Total (kg) N6],0,0,1)*TableauRecette[[#This Row],[fraction mélange]]</f>
        <v/>
      </c>
      <c r="R82">
        <f>_xlfn.XLOOKUP(TableauRecette[[#This Row],[ID]],TableauProduit[ID],TableauProduit[Total (kg) N7],0,0,1)*TableauRecette[[#This Row],[fraction mélange]]</f>
        <v/>
      </c>
      <c r="S82">
        <f>_xlfn.XLOOKUP(TableauRecette[[#This Row],[ID]],TableauProduit[ID],TableauProduit[Total (kg) N8],0,0,1)*TableauRecette[[#This Row],[fraction mélange]]</f>
        <v/>
      </c>
      <c r="T82">
        <f>_xlfn.XLOOKUP(TableauRecette[[#This Row],[ID]],TableauProduit[ID],TableauProduit[Total (kg) N9],0,0,1)*TableauRecette[[#This Row],[fraction mélange]]</f>
        <v/>
      </c>
    </row>
    <row r="83">
      <c r="A83" t="inlineStr">
        <is>
          <t>Curry japonais</t>
        </is>
      </c>
      <c r="B83">
        <f>TableauRecette[[#This Row],[Recette]]&amp;TableauRecette[[#This Row],[Conditionnement]]</f>
        <v/>
      </c>
      <c r="C83" t="inlineStr">
        <is>
          <t>Ail Sec</t>
        </is>
      </c>
      <c r="D83" t="n">
        <v>1.5</v>
      </c>
      <c r="E83" t="inlineStr">
        <is>
          <t>Epice 100ml</t>
        </is>
      </c>
      <c r="F8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3">
        <f>IFERROR(_xlfn.XLOOKUP(TableauRecette[[#This Row],[Ingredients]],TableauIngredients[Ingredients],TableauIngredients[Prix d''achat / kg],0)*TableauRecette[[#This Row],[fraction mélange]],0)</f>
        <v/>
      </c>
      <c r="H83">
        <f>IFERROR(SUMIFS(TableauRecette[Proportion],TableauRecette[Recette],TableauRecette[[#This Row],[Recette]],TableauRecette[Conditionnement],TableauRecette[[#This Row],[Conditionnement]]),0)</f>
        <v/>
      </c>
      <c r="I83">
        <f>IFERROR(TableauRecette[[#This Row],[Prix d''achat / kg]],0)</f>
        <v/>
      </c>
      <c r="K83" t="inlineStr">
        <is>
          <t>SEC</t>
        </is>
      </c>
      <c r="L83">
        <f>_xlfn.XLOOKUP(TableauRecette[[#This Row],[ID]],TableauProduit[ID],TableauProduit[Total (kg) N1],0,0,1)*TableauRecette[[#This Row],[fraction mélange]]</f>
        <v/>
      </c>
      <c r="M83">
        <f>_xlfn.XLOOKUP(TableauRecette[[#This Row],[ID]],TableauProduit[ID],TableauProduit[Total (kg) N2],0,0,1)*TableauRecette[[#This Row],[fraction mélange]]</f>
        <v/>
      </c>
      <c r="N83">
        <f>_xlfn.XLOOKUP(TableauRecette[[#This Row],[ID]],TableauProduit[ID],TableauProduit[Total (kg) N3],0,0,1)*TableauRecette[[#This Row],[fraction mélange]]</f>
        <v/>
      </c>
      <c r="O83">
        <f>_xlfn.XLOOKUP(TableauRecette[[#This Row],[ID]],TableauProduit[ID],TableauProduit[Total (kg) N4],0,0,1)*TableauRecette[[#This Row],[fraction mélange]]</f>
        <v/>
      </c>
      <c r="P83">
        <f>_xlfn.XLOOKUP(TableauRecette[[#This Row],[ID]],TableauProduit[ID],TableauProduit[Total (kg) N5],0,0,1)*TableauRecette[[#This Row],[fraction mélange]]</f>
        <v/>
      </c>
      <c r="Q83">
        <f>_xlfn.XLOOKUP(TableauRecette[[#This Row],[ID]],TableauProduit[ID],TableauProduit[Total (kg) N6],0,0,1)*TableauRecette[[#This Row],[fraction mélange]]</f>
        <v/>
      </c>
      <c r="R83">
        <f>_xlfn.XLOOKUP(TableauRecette[[#This Row],[ID]],TableauProduit[ID],TableauProduit[Total (kg) N7],0,0,1)*TableauRecette[[#This Row],[fraction mélange]]</f>
        <v/>
      </c>
      <c r="S83">
        <f>_xlfn.XLOOKUP(TableauRecette[[#This Row],[ID]],TableauProduit[ID],TableauProduit[Total (kg) N8],0,0,1)*TableauRecette[[#This Row],[fraction mélange]]</f>
        <v/>
      </c>
      <c r="T83">
        <f>_xlfn.XLOOKUP(TableauRecette[[#This Row],[ID]],TableauProduit[ID],TableauProduit[Total (kg) N9],0,0,1)*TableauRecette[[#This Row],[fraction mélange]]</f>
        <v/>
      </c>
    </row>
    <row r="84">
      <c r="A84" t="inlineStr">
        <is>
          <t>Curry Madras</t>
        </is>
      </c>
      <c r="B84">
        <f>TableauRecette[[#This Row],[Recette]]&amp;TableauRecette[[#This Row],[Conditionnement]]</f>
        <v/>
      </c>
      <c r="C84" t="inlineStr">
        <is>
          <t>Coriandre Graine</t>
        </is>
      </c>
      <c r="D84" t="n">
        <v>0.75</v>
      </c>
      <c r="E84" t="inlineStr">
        <is>
          <t>Epice 100ml</t>
        </is>
      </c>
      <c r="F8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4">
        <f>IFERROR(_xlfn.XLOOKUP(TableauRecette[[#This Row],[Ingredients]],TableauIngredients[Ingredients],TableauIngredients[Prix d''achat / kg],0)*TableauRecette[[#This Row],[fraction mélange]],0)</f>
        <v/>
      </c>
      <c r="H84">
        <f>IFERROR(SUMIFS(TableauRecette[Proportion],TableauRecette[Recette],TableauRecette[[#This Row],[Recette]],TableauRecette[Conditionnement],TableauRecette[[#This Row],[Conditionnement]]),0)</f>
        <v/>
      </c>
      <c r="I84">
        <f>IFERROR(TableauRecette[[#This Row],[Prix d''achat / kg]],0)</f>
        <v/>
      </c>
      <c r="J84" t="inlineStr">
        <is>
          <t>Égypte</t>
        </is>
      </c>
      <c r="K84" t="inlineStr">
        <is>
          <t>SEC</t>
        </is>
      </c>
      <c r="L84">
        <f>_xlfn.XLOOKUP(TableauRecette[[#This Row],[ID]],TableauProduit[ID],TableauProduit[Total (kg) N1],0,0,1)*TableauRecette[[#This Row],[fraction mélange]]</f>
        <v/>
      </c>
      <c r="M84">
        <f>_xlfn.XLOOKUP(TableauRecette[[#This Row],[ID]],TableauProduit[ID],TableauProduit[Total (kg) N2],0,0,1)*TableauRecette[[#This Row],[fraction mélange]]</f>
        <v/>
      </c>
      <c r="N84">
        <f>_xlfn.XLOOKUP(TableauRecette[[#This Row],[ID]],TableauProduit[ID],TableauProduit[Total (kg) N3],0,0,1)*TableauRecette[[#This Row],[fraction mélange]]</f>
        <v/>
      </c>
      <c r="O84">
        <f>_xlfn.XLOOKUP(TableauRecette[[#This Row],[ID]],TableauProduit[ID],TableauProduit[Total (kg) N4],0,0,1)*TableauRecette[[#This Row],[fraction mélange]]</f>
        <v/>
      </c>
      <c r="P84">
        <f>_xlfn.XLOOKUP(TableauRecette[[#This Row],[ID]],TableauProduit[ID],TableauProduit[Total (kg) N5],0,0,1)*TableauRecette[[#This Row],[fraction mélange]]</f>
        <v/>
      </c>
      <c r="Q84">
        <f>_xlfn.XLOOKUP(TableauRecette[[#This Row],[ID]],TableauProduit[ID],TableauProduit[Total (kg) N6],0,0,1)*TableauRecette[[#This Row],[fraction mélange]]</f>
        <v/>
      </c>
      <c r="R84">
        <f>_xlfn.XLOOKUP(TableauRecette[[#This Row],[ID]],TableauProduit[ID],TableauProduit[Total (kg) N7],0,0,1)*TableauRecette[[#This Row],[fraction mélange]]</f>
        <v/>
      </c>
      <c r="S84">
        <f>_xlfn.XLOOKUP(TableauRecette[[#This Row],[ID]],TableauProduit[ID],TableauProduit[Total (kg) N8],0,0,1)*TableauRecette[[#This Row],[fraction mélange]]</f>
        <v/>
      </c>
      <c r="T84">
        <f>_xlfn.XLOOKUP(TableauRecette[[#This Row],[ID]],TableauProduit[ID],TableauProduit[Total (kg) N9],0,0,1)*TableauRecette[[#This Row],[fraction mélange]]</f>
        <v/>
      </c>
    </row>
    <row r="85">
      <c r="A85" t="inlineStr">
        <is>
          <t>Curry Madras</t>
        </is>
      </c>
      <c r="B85">
        <f>TableauRecette[[#This Row],[Recette]]&amp;TableauRecette[[#This Row],[Conditionnement]]</f>
        <v/>
      </c>
      <c r="C85" t="inlineStr">
        <is>
          <t>Curcuma Moulu</t>
        </is>
      </c>
      <c r="D85" t="n">
        <v>1</v>
      </c>
      <c r="E85" t="inlineStr">
        <is>
          <t>Epice 100ml</t>
        </is>
      </c>
      <c r="F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5">
        <f>IFERROR(_xlfn.XLOOKUP(TableauRecette[[#This Row],[Ingredients]],TableauIngredients[Ingredients],TableauIngredients[Prix d''achat / kg],0)*TableauRecette[[#This Row],[fraction mélange]],0)</f>
        <v/>
      </c>
      <c r="H85">
        <f>IFERROR(SUMIFS(TableauRecette[Proportion],TableauRecette[Recette],TableauRecette[[#This Row],[Recette]],TableauRecette[Conditionnement],TableauRecette[[#This Row],[Conditionnement]]),0)</f>
        <v/>
      </c>
      <c r="I85">
        <f>IFERROR(TableauRecette[[#This Row],[Prix d''achat / kg]],0)</f>
        <v/>
      </c>
      <c r="J85" t="inlineStr">
        <is>
          <t>Égypte</t>
        </is>
      </c>
      <c r="K85" t="inlineStr">
        <is>
          <t>SEC</t>
        </is>
      </c>
      <c r="L85">
        <f>_xlfn.XLOOKUP(TableauRecette[[#This Row],[ID]],TableauProduit[ID],TableauProduit[Total (kg) N1],0,0,1)*TableauRecette[[#This Row],[fraction mélange]]</f>
        <v/>
      </c>
      <c r="M85">
        <f>_xlfn.XLOOKUP(TableauRecette[[#This Row],[ID]],TableauProduit[ID],TableauProduit[Total (kg) N2],0,0,1)*TableauRecette[[#This Row],[fraction mélange]]</f>
        <v/>
      </c>
      <c r="N85">
        <f>_xlfn.XLOOKUP(TableauRecette[[#This Row],[ID]],TableauProduit[ID],TableauProduit[Total (kg) N3],0,0,1)*TableauRecette[[#This Row],[fraction mélange]]</f>
        <v/>
      </c>
      <c r="O85">
        <f>_xlfn.XLOOKUP(TableauRecette[[#This Row],[ID]],TableauProduit[ID],TableauProduit[Total (kg) N4],0,0,1)*TableauRecette[[#This Row],[fraction mélange]]</f>
        <v/>
      </c>
      <c r="P85">
        <f>_xlfn.XLOOKUP(TableauRecette[[#This Row],[ID]],TableauProduit[ID],TableauProduit[Total (kg) N5],0,0,1)*TableauRecette[[#This Row],[fraction mélange]]</f>
        <v/>
      </c>
      <c r="Q85">
        <f>_xlfn.XLOOKUP(TableauRecette[[#This Row],[ID]],TableauProduit[ID],TableauProduit[Total (kg) N6],0,0,1)*TableauRecette[[#This Row],[fraction mélange]]</f>
        <v/>
      </c>
      <c r="R85">
        <f>_xlfn.XLOOKUP(TableauRecette[[#This Row],[ID]],TableauProduit[ID],TableauProduit[Total (kg) N7],0,0,1)*TableauRecette[[#This Row],[fraction mélange]]</f>
        <v/>
      </c>
      <c r="S85">
        <f>_xlfn.XLOOKUP(TableauRecette[[#This Row],[ID]],TableauProduit[ID],TableauProduit[Total (kg) N8],0,0,1)*TableauRecette[[#This Row],[fraction mélange]]</f>
        <v/>
      </c>
      <c r="T85">
        <f>_xlfn.XLOOKUP(TableauRecette[[#This Row],[ID]],TableauProduit[ID],TableauProduit[Total (kg) N9],0,0,1)*TableauRecette[[#This Row],[fraction mélange]]</f>
        <v/>
      </c>
    </row>
    <row r="86">
      <c r="A86" t="inlineStr">
        <is>
          <t>Curry Madras</t>
        </is>
      </c>
      <c r="B86">
        <f>TableauRecette[[#This Row],[Recette]]&amp;TableauRecette[[#This Row],[Conditionnement]]</f>
        <v/>
      </c>
      <c r="C86" t="inlineStr">
        <is>
          <t>Graine De Moutarde</t>
        </is>
      </c>
      <c r="D86" t="n">
        <v>0.5</v>
      </c>
      <c r="E86" t="inlineStr">
        <is>
          <t>Epice 100ml</t>
        </is>
      </c>
      <c r="F8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6">
        <f>IFERROR(_xlfn.XLOOKUP(TableauRecette[[#This Row],[Ingredients]],TableauIngredients[Ingredients],TableauIngredients[Prix d''achat / kg],0)*TableauRecette[[#This Row],[fraction mélange]],0)</f>
        <v/>
      </c>
      <c r="H86">
        <f>IFERROR(SUMIFS(TableauRecette[Proportion],TableauRecette[Recette],TableauRecette[[#This Row],[Recette]],TableauRecette[Conditionnement],TableauRecette[[#This Row],[Conditionnement]]),0)</f>
        <v/>
      </c>
      <c r="I86">
        <f>IFERROR(TableauRecette[[#This Row],[Prix d''achat / kg]],0)</f>
        <v/>
      </c>
      <c r="J86" t="inlineStr">
        <is>
          <t>Péninsule arabique</t>
        </is>
      </c>
      <c r="K86" t="inlineStr">
        <is>
          <t>SEC</t>
        </is>
      </c>
      <c r="L86">
        <f>_xlfn.XLOOKUP(TableauRecette[[#This Row],[ID]],TableauProduit[ID],TableauProduit[Total (kg) N1],0,0,1)*TableauRecette[[#This Row],[fraction mélange]]</f>
        <v/>
      </c>
      <c r="M86">
        <f>_xlfn.XLOOKUP(TableauRecette[[#This Row],[ID]],TableauProduit[ID],TableauProduit[Total (kg) N2],0,0,1)*TableauRecette[[#This Row],[fraction mélange]]</f>
        <v/>
      </c>
      <c r="N86">
        <f>_xlfn.XLOOKUP(TableauRecette[[#This Row],[ID]],TableauProduit[ID],TableauProduit[Total (kg) N3],0,0,1)*TableauRecette[[#This Row],[fraction mélange]]</f>
        <v/>
      </c>
      <c r="O86">
        <f>_xlfn.XLOOKUP(TableauRecette[[#This Row],[ID]],TableauProduit[ID],TableauProduit[Total (kg) N4],0,0,1)*TableauRecette[[#This Row],[fraction mélange]]</f>
        <v/>
      </c>
      <c r="P86">
        <f>_xlfn.XLOOKUP(TableauRecette[[#This Row],[ID]],TableauProduit[ID],TableauProduit[Total (kg) N5],0,0,1)*TableauRecette[[#This Row],[fraction mélange]]</f>
        <v/>
      </c>
      <c r="Q86">
        <f>_xlfn.XLOOKUP(TableauRecette[[#This Row],[ID]],TableauProduit[ID],TableauProduit[Total (kg) N6],0,0,1)*TableauRecette[[#This Row],[fraction mélange]]</f>
        <v/>
      </c>
      <c r="R86">
        <f>_xlfn.XLOOKUP(TableauRecette[[#This Row],[ID]],TableauProduit[ID],TableauProduit[Total (kg) N7],0,0,1)*TableauRecette[[#This Row],[fraction mélange]]</f>
        <v/>
      </c>
      <c r="S86">
        <f>_xlfn.XLOOKUP(TableauRecette[[#This Row],[ID]],TableauProduit[ID],TableauProduit[Total (kg) N8],0,0,1)*TableauRecette[[#This Row],[fraction mélange]]</f>
        <v/>
      </c>
      <c r="T86">
        <f>_xlfn.XLOOKUP(TableauRecette[[#This Row],[ID]],TableauProduit[ID],TableauProduit[Total (kg) N9],0,0,1)*TableauRecette[[#This Row],[fraction mélange]]</f>
        <v/>
      </c>
    </row>
    <row r="87">
      <c r="A87" t="inlineStr">
        <is>
          <t>Curry Madras</t>
        </is>
      </c>
      <c r="B87">
        <f>TableauRecette[[#This Row],[Recette]]&amp;TableauRecette[[#This Row],[Conditionnement]]</f>
        <v/>
      </c>
      <c r="C87" t="inlineStr">
        <is>
          <t>Cumin Moulu</t>
        </is>
      </c>
      <c r="D87" t="n">
        <v>0.5</v>
      </c>
      <c r="E87" t="inlineStr">
        <is>
          <t>Epice 100ml</t>
        </is>
      </c>
      <c r="F8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7">
        <f>IFERROR(_xlfn.XLOOKUP(TableauRecette[[#This Row],[Ingredients]],TableauIngredients[Ingredients],TableauIngredients[Prix d''achat / kg],0)*TableauRecette[[#This Row],[fraction mélange]],0)</f>
        <v/>
      </c>
      <c r="H87">
        <f>IFERROR(SUMIFS(TableauRecette[Proportion],TableauRecette[Recette],TableauRecette[[#This Row],[Recette]],TableauRecette[Conditionnement],TableauRecette[[#This Row],[Conditionnement]]),0)</f>
        <v/>
      </c>
      <c r="I87">
        <f>IFERROR(TableauRecette[[#This Row],[Prix d''achat / kg]],0)</f>
        <v/>
      </c>
      <c r="J87" t="inlineStr">
        <is>
          <t>Péninsule arabique</t>
        </is>
      </c>
      <c r="K87" t="inlineStr">
        <is>
          <t>SEC</t>
        </is>
      </c>
      <c r="L87">
        <f>_xlfn.XLOOKUP(TableauRecette[[#This Row],[ID]],TableauProduit[ID],TableauProduit[Total (kg) N1],0,0,1)*TableauRecette[[#This Row],[fraction mélange]]</f>
        <v/>
      </c>
      <c r="M87">
        <f>_xlfn.XLOOKUP(TableauRecette[[#This Row],[ID]],TableauProduit[ID],TableauProduit[Total (kg) N2],0,0,1)*TableauRecette[[#This Row],[fraction mélange]]</f>
        <v/>
      </c>
      <c r="N87">
        <f>_xlfn.XLOOKUP(TableauRecette[[#This Row],[ID]],TableauProduit[ID],TableauProduit[Total (kg) N3],0,0,1)*TableauRecette[[#This Row],[fraction mélange]]</f>
        <v/>
      </c>
      <c r="O87">
        <f>_xlfn.XLOOKUP(TableauRecette[[#This Row],[ID]],TableauProduit[ID],TableauProduit[Total (kg) N4],0,0,1)*TableauRecette[[#This Row],[fraction mélange]]</f>
        <v/>
      </c>
      <c r="P87">
        <f>_xlfn.XLOOKUP(TableauRecette[[#This Row],[ID]],TableauProduit[ID],TableauProduit[Total (kg) N5],0,0,1)*TableauRecette[[#This Row],[fraction mélange]]</f>
        <v/>
      </c>
      <c r="Q87">
        <f>_xlfn.XLOOKUP(TableauRecette[[#This Row],[ID]],TableauProduit[ID],TableauProduit[Total (kg) N6],0,0,1)*TableauRecette[[#This Row],[fraction mélange]]</f>
        <v/>
      </c>
      <c r="R87">
        <f>_xlfn.XLOOKUP(TableauRecette[[#This Row],[ID]],TableauProduit[ID],TableauProduit[Total (kg) N7],0,0,1)*TableauRecette[[#This Row],[fraction mélange]]</f>
        <v/>
      </c>
      <c r="S87">
        <f>_xlfn.XLOOKUP(TableauRecette[[#This Row],[ID]],TableauProduit[ID],TableauProduit[Total (kg) N8],0,0,1)*TableauRecette[[#This Row],[fraction mélange]]</f>
        <v/>
      </c>
      <c r="T87">
        <f>_xlfn.XLOOKUP(TableauRecette[[#This Row],[ID]],TableauProduit[ID],TableauProduit[Total (kg) N9],0,0,1)*TableauRecette[[#This Row],[fraction mélange]]</f>
        <v/>
      </c>
    </row>
    <row r="88">
      <c r="A88" t="inlineStr">
        <is>
          <t>Curry Madras</t>
        </is>
      </c>
      <c r="B88">
        <f>TableauRecette[[#This Row],[Recette]]&amp;TableauRecette[[#This Row],[Conditionnement]]</f>
        <v/>
      </c>
      <c r="C88" t="inlineStr">
        <is>
          <t>Sel</t>
        </is>
      </c>
      <c r="D88" t="n">
        <v>1</v>
      </c>
      <c r="E88" t="inlineStr">
        <is>
          <t>Epice 100ml</t>
        </is>
      </c>
      <c r="F8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8">
        <f>IFERROR(_xlfn.XLOOKUP(TableauRecette[[#This Row],[Ingredients]],TableauIngredients[Ingredients],TableauIngredients[Prix d''achat / kg],0)*TableauRecette[[#This Row],[fraction mélange]],0)</f>
        <v/>
      </c>
      <c r="H88">
        <f>IFERROR(SUMIFS(TableauRecette[Proportion],TableauRecette[Recette],TableauRecette[[#This Row],[Recette]],TableauRecette[Conditionnement],TableauRecette[[#This Row],[Conditionnement]]),0)</f>
        <v/>
      </c>
      <c r="I88">
        <f>IFERROR(TableauRecette[[#This Row],[Prix d''achat / kg]],0)</f>
        <v/>
      </c>
      <c r="J88" t="inlineStr">
        <is>
          <t>Péninsule arabique</t>
        </is>
      </c>
      <c r="K88" t="inlineStr">
        <is>
          <t>SEC</t>
        </is>
      </c>
      <c r="L88">
        <f>_xlfn.XLOOKUP(TableauRecette[[#This Row],[ID]],TableauProduit[ID],TableauProduit[Total (kg) N1],0,0,1)*TableauRecette[[#This Row],[fraction mélange]]</f>
        <v/>
      </c>
      <c r="M88">
        <f>_xlfn.XLOOKUP(TableauRecette[[#This Row],[ID]],TableauProduit[ID],TableauProduit[Total (kg) N2],0,0,1)*TableauRecette[[#This Row],[fraction mélange]]</f>
        <v/>
      </c>
      <c r="N88">
        <f>_xlfn.XLOOKUP(TableauRecette[[#This Row],[ID]],TableauProduit[ID],TableauProduit[Total (kg) N3],0,0,1)*TableauRecette[[#This Row],[fraction mélange]]</f>
        <v/>
      </c>
      <c r="O88">
        <f>_xlfn.XLOOKUP(TableauRecette[[#This Row],[ID]],TableauProduit[ID],TableauProduit[Total (kg) N4],0,0,1)*TableauRecette[[#This Row],[fraction mélange]]</f>
        <v/>
      </c>
      <c r="P88">
        <f>_xlfn.XLOOKUP(TableauRecette[[#This Row],[ID]],TableauProduit[ID],TableauProduit[Total (kg) N5],0,0,1)*TableauRecette[[#This Row],[fraction mélange]]</f>
        <v/>
      </c>
      <c r="Q88">
        <f>_xlfn.XLOOKUP(TableauRecette[[#This Row],[ID]],TableauProduit[ID],TableauProduit[Total (kg) N6],0,0,1)*TableauRecette[[#This Row],[fraction mélange]]</f>
        <v/>
      </c>
      <c r="R88">
        <f>_xlfn.XLOOKUP(TableauRecette[[#This Row],[ID]],TableauProduit[ID],TableauProduit[Total (kg) N7],0,0,1)*TableauRecette[[#This Row],[fraction mélange]]</f>
        <v/>
      </c>
      <c r="S88">
        <f>_xlfn.XLOOKUP(TableauRecette[[#This Row],[ID]],TableauProduit[ID],TableauProduit[Total (kg) N8],0,0,1)*TableauRecette[[#This Row],[fraction mélange]]</f>
        <v/>
      </c>
      <c r="T88">
        <f>_xlfn.XLOOKUP(TableauRecette[[#This Row],[ID]],TableauProduit[ID],TableauProduit[Total (kg) N9],0,0,1)*TableauRecette[[#This Row],[fraction mélange]]</f>
        <v/>
      </c>
    </row>
    <row r="89">
      <c r="A89" t="inlineStr">
        <is>
          <t>Curry Madras</t>
        </is>
      </c>
      <c r="B89">
        <f>TableauRecette[[#This Row],[Recette]]&amp;TableauRecette[[#This Row],[Conditionnement]]</f>
        <v/>
      </c>
      <c r="C89" t="inlineStr">
        <is>
          <t>Poivre Noir</t>
        </is>
      </c>
      <c r="D89" t="n">
        <v>0.75</v>
      </c>
      <c r="E89" t="inlineStr">
        <is>
          <t>Epice 100ml</t>
        </is>
      </c>
      <c r="F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9">
        <f>IFERROR(_xlfn.XLOOKUP(TableauRecette[[#This Row],[Ingredients]],TableauIngredients[Ingredients],TableauIngredients[Prix d''achat / kg],0)*TableauRecette[[#This Row],[fraction mélange]],0)</f>
        <v/>
      </c>
      <c r="H89">
        <f>IFERROR(SUMIFS(TableauRecette[Proportion],TableauRecette[Recette],TableauRecette[[#This Row],[Recette]],TableauRecette[Conditionnement],TableauRecette[[#This Row],[Conditionnement]]),0)</f>
        <v/>
      </c>
      <c r="I89">
        <f>IFERROR(TableauRecette[[#This Row],[Prix d''achat / kg]],0)</f>
        <v/>
      </c>
      <c r="J89" t="inlineStr">
        <is>
          <t>Péninsule arabique</t>
        </is>
      </c>
      <c r="K89" t="inlineStr">
        <is>
          <t>SEC</t>
        </is>
      </c>
      <c r="L89">
        <f>_xlfn.XLOOKUP(TableauRecette[[#This Row],[ID]],TableauProduit[ID],TableauProduit[Total (kg) N1],0,0,1)*TableauRecette[[#This Row],[fraction mélange]]</f>
        <v/>
      </c>
      <c r="M89">
        <f>_xlfn.XLOOKUP(TableauRecette[[#This Row],[ID]],TableauProduit[ID],TableauProduit[Total (kg) N2],0,0,1)*TableauRecette[[#This Row],[fraction mélange]]</f>
        <v/>
      </c>
      <c r="N89">
        <f>_xlfn.XLOOKUP(TableauRecette[[#This Row],[ID]],TableauProduit[ID],TableauProduit[Total (kg) N3],0,0,1)*TableauRecette[[#This Row],[fraction mélange]]</f>
        <v/>
      </c>
      <c r="O89">
        <f>_xlfn.XLOOKUP(TableauRecette[[#This Row],[ID]],TableauProduit[ID],TableauProduit[Total (kg) N4],0,0,1)*TableauRecette[[#This Row],[fraction mélange]]</f>
        <v/>
      </c>
      <c r="P89">
        <f>_xlfn.XLOOKUP(TableauRecette[[#This Row],[ID]],TableauProduit[ID],TableauProduit[Total (kg) N5],0,0,1)*TableauRecette[[#This Row],[fraction mélange]]</f>
        <v/>
      </c>
      <c r="Q89">
        <f>_xlfn.XLOOKUP(TableauRecette[[#This Row],[ID]],TableauProduit[ID],TableauProduit[Total (kg) N6],0,0,1)*TableauRecette[[#This Row],[fraction mélange]]</f>
        <v/>
      </c>
      <c r="R89">
        <f>_xlfn.XLOOKUP(TableauRecette[[#This Row],[ID]],TableauProduit[ID],TableauProduit[Total (kg) N7],0,0,1)*TableauRecette[[#This Row],[fraction mélange]]</f>
        <v/>
      </c>
      <c r="S89">
        <f>_xlfn.XLOOKUP(TableauRecette[[#This Row],[ID]],TableauProduit[ID],TableauProduit[Total (kg) N8],0,0,1)*TableauRecette[[#This Row],[fraction mélange]]</f>
        <v/>
      </c>
      <c r="T89">
        <f>_xlfn.XLOOKUP(TableauRecette[[#This Row],[ID]],TableauProduit[ID],TableauProduit[Total (kg) N9],0,0,1)*TableauRecette[[#This Row],[fraction mélange]]</f>
        <v/>
      </c>
    </row>
    <row r="90">
      <c r="A90" t="inlineStr">
        <is>
          <t>Curry Madras</t>
        </is>
      </c>
      <c r="B90">
        <f>TableauRecette[[#This Row],[Recette]]&amp;TableauRecette[[#This Row],[Conditionnement]]</f>
        <v/>
      </c>
      <c r="C90" t="inlineStr">
        <is>
          <t>Gingembre Sec</t>
        </is>
      </c>
      <c r="D90" t="n">
        <v>0.5</v>
      </c>
      <c r="E90" t="inlineStr">
        <is>
          <t>Epice 100ml</t>
        </is>
      </c>
      <c r="F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0">
        <f>IFERROR(_xlfn.XLOOKUP(TableauRecette[[#This Row],[Ingredients]],TableauIngredients[Ingredients],TableauIngredients[Prix d''achat / kg],0)*TableauRecette[[#This Row],[fraction mélange]],0)</f>
        <v/>
      </c>
      <c r="H90">
        <f>IFERROR(SUMIFS(TableauRecette[Proportion],TableauRecette[Recette],TableauRecette[[#This Row],[Recette]],TableauRecette[Conditionnement],TableauRecette[[#This Row],[Conditionnement]]),0)</f>
        <v/>
      </c>
      <c r="I90">
        <f>IFERROR(TableauRecette[[#This Row],[Prix d''achat / kg]],0)</f>
        <v/>
      </c>
      <c r="J90" t="inlineStr">
        <is>
          <t>Maghreb</t>
        </is>
      </c>
      <c r="K90" t="inlineStr">
        <is>
          <t>en huile</t>
        </is>
      </c>
      <c r="L90">
        <f>_xlfn.XLOOKUP(TableauRecette[[#This Row],[ID]],TableauProduit[ID],TableauProduit[Total (kg) N1],0,0,1)*TableauRecette[[#This Row],[fraction mélange]]</f>
        <v/>
      </c>
      <c r="M90">
        <f>_xlfn.XLOOKUP(TableauRecette[[#This Row],[ID]],TableauProduit[ID],TableauProduit[Total (kg) N2],0,0,1)*TableauRecette[[#This Row],[fraction mélange]]</f>
        <v/>
      </c>
      <c r="N90">
        <f>_xlfn.XLOOKUP(TableauRecette[[#This Row],[ID]],TableauProduit[ID],TableauProduit[Total (kg) N3],0,0,1)*TableauRecette[[#This Row],[fraction mélange]]</f>
        <v/>
      </c>
      <c r="O90">
        <f>_xlfn.XLOOKUP(TableauRecette[[#This Row],[ID]],TableauProduit[ID],TableauProduit[Total (kg) N4],0,0,1)*TableauRecette[[#This Row],[fraction mélange]]</f>
        <v/>
      </c>
      <c r="P90">
        <f>_xlfn.XLOOKUP(TableauRecette[[#This Row],[ID]],TableauProduit[ID],TableauProduit[Total (kg) N5],0,0,1)*TableauRecette[[#This Row],[fraction mélange]]</f>
        <v/>
      </c>
      <c r="Q90">
        <f>_xlfn.XLOOKUP(TableauRecette[[#This Row],[ID]],TableauProduit[ID],TableauProduit[Total (kg) N6],0,0,1)*TableauRecette[[#This Row],[fraction mélange]]</f>
        <v/>
      </c>
      <c r="R90">
        <f>_xlfn.XLOOKUP(TableauRecette[[#This Row],[ID]],TableauProduit[ID],TableauProduit[Total (kg) N7],0,0,1)*TableauRecette[[#This Row],[fraction mélange]]</f>
        <v/>
      </c>
      <c r="S90">
        <f>_xlfn.XLOOKUP(TableauRecette[[#This Row],[ID]],TableauProduit[ID],TableauProduit[Total (kg) N8],0,0,1)*TableauRecette[[#This Row],[fraction mélange]]</f>
        <v/>
      </c>
      <c r="T90">
        <f>_xlfn.XLOOKUP(TableauRecette[[#This Row],[ID]],TableauProduit[ID],TableauProduit[Total (kg) N9],0,0,1)*TableauRecette[[#This Row],[fraction mélange]]</f>
        <v/>
      </c>
    </row>
    <row r="91">
      <c r="A91" t="inlineStr">
        <is>
          <t>Curry Madras</t>
        </is>
      </c>
      <c r="B91">
        <f>TableauRecette[[#This Row],[Recette]]&amp;TableauRecette[[#This Row],[Conditionnement]]</f>
        <v/>
      </c>
      <c r="C91" t="inlineStr">
        <is>
          <t>Oignon Séché</t>
        </is>
      </c>
      <c r="D91" t="n">
        <v>0.25</v>
      </c>
      <c r="E91" t="inlineStr">
        <is>
          <t>Epice 100ml</t>
        </is>
      </c>
      <c r="F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1">
        <f>IFERROR(_xlfn.XLOOKUP(TableauRecette[[#This Row],[Ingredients]],TableauIngredients[Ingredients],TableauIngredients[Prix d''achat / kg],0)*TableauRecette[[#This Row],[fraction mélange]],0)</f>
        <v/>
      </c>
      <c r="H91">
        <f>IFERROR(SUMIFS(TableauRecette[Proportion],TableauRecette[Recette],TableauRecette[[#This Row],[Recette]],TableauRecette[Conditionnement],TableauRecette[[#This Row],[Conditionnement]]),0)</f>
        <v/>
      </c>
      <c r="I91">
        <f>IFERROR(TableauRecette[[#This Row],[Prix d''achat / kg]],0)</f>
        <v/>
      </c>
      <c r="J91" t="inlineStr">
        <is>
          <t>Maghreb</t>
        </is>
      </c>
      <c r="K91" t="inlineStr">
        <is>
          <t>en huile</t>
        </is>
      </c>
      <c r="L91">
        <f>_xlfn.XLOOKUP(TableauRecette[[#This Row],[ID]],TableauProduit[ID],TableauProduit[Total (kg) N1],0,0,1)*TableauRecette[[#This Row],[fraction mélange]]</f>
        <v/>
      </c>
      <c r="M91">
        <f>_xlfn.XLOOKUP(TableauRecette[[#This Row],[ID]],TableauProduit[ID],TableauProduit[Total (kg) N2],0,0,1)*TableauRecette[[#This Row],[fraction mélange]]</f>
        <v/>
      </c>
      <c r="N91">
        <f>_xlfn.XLOOKUP(TableauRecette[[#This Row],[ID]],TableauProduit[ID],TableauProduit[Total (kg) N3],0,0,1)*TableauRecette[[#This Row],[fraction mélange]]</f>
        <v/>
      </c>
      <c r="O91">
        <f>_xlfn.XLOOKUP(TableauRecette[[#This Row],[ID]],TableauProduit[ID],TableauProduit[Total (kg) N4],0,0,1)*TableauRecette[[#This Row],[fraction mélange]]</f>
        <v/>
      </c>
      <c r="P91">
        <f>_xlfn.XLOOKUP(TableauRecette[[#This Row],[ID]],TableauProduit[ID],TableauProduit[Total (kg) N5],0,0,1)*TableauRecette[[#This Row],[fraction mélange]]</f>
        <v/>
      </c>
      <c r="Q91">
        <f>_xlfn.XLOOKUP(TableauRecette[[#This Row],[ID]],TableauProduit[ID],TableauProduit[Total (kg) N6],0,0,1)*TableauRecette[[#This Row],[fraction mélange]]</f>
        <v/>
      </c>
      <c r="R91">
        <f>_xlfn.XLOOKUP(TableauRecette[[#This Row],[ID]],TableauProduit[ID],TableauProduit[Total (kg) N7],0,0,1)*TableauRecette[[#This Row],[fraction mélange]]</f>
        <v/>
      </c>
      <c r="S91">
        <f>_xlfn.XLOOKUP(TableauRecette[[#This Row],[ID]],TableauProduit[ID],TableauProduit[Total (kg) N8],0,0,1)*TableauRecette[[#This Row],[fraction mélange]]</f>
        <v/>
      </c>
      <c r="T91">
        <f>_xlfn.XLOOKUP(TableauRecette[[#This Row],[ID]],TableauProduit[ID],TableauProduit[Total (kg) N9],0,0,1)*TableauRecette[[#This Row],[fraction mélange]]</f>
        <v/>
      </c>
    </row>
    <row r="92">
      <c r="A92" t="inlineStr">
        <is>
          <t>Curry Madras</t>
        </is>
      </c>
      <c r="B92">
        <f>TableauRecette[[#This Row],[Recette]]&amp;TableauRecette[[#This Row],[Conditionnement]]</f>
        <v/>
      </c>
      <c r="C92" t="inlineStr">
        <is>
          <t>Fenugrec</t>
        </is>
      </c>
      <c r="D92" t="n">
        <v>0.25</v>
      </c>
      <c r="E92" t="inlineStr">
        <is>
          <t>Epice 100ml</t>
        </is>
      </c>
      <c r="F9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2">
        <f>IFERROR(_xlfn.XLOOKUP(TableauRecette[[#This Row],[Ingredients]],TableauIngredients[Ingredients],TableauIngredients[Prix d''achat / kg],0)*TableauRecette[[#This Row],[fraction mélange]],0)</f>
        <v/>
      </c>
      <c r="H92">
        <f>IFERROR(SUMIFS(TableauRecette[Proportion],TableauRecette[Recette],TableauRecette[[#This Row],[Recette]],TableauRecette[Conditionnement],TableauRecette[[#This Row],[Conditionnement]]),0)</f>
        <v/>
      </c>
      <c r="I92">
        <f>IFERROR(TableauRecette[[#This Row],[Prix d''achat / kg]],0)</f>
        <v/>
      </c>
      <c r="J92" t="inlineStr">
        <is>
          <t>Maghreb</t>
        </is>
      </c>
      <c r="K92" t="inlineStr">
        <is>
          <t>en huile</t>
        </is>
      </c>
      <c r="L92">
        <f>_xlfn.XLOOKUP(TableauRecette[[#This Row],[ID]],TableauProduit[ID],TableauProduit[Total (kg) N1],0,0,1)*TableauRecette[[#This Row],[fraction mélange]]</f>
        <v/>
      </c>
      <c r="M92">
        <f>_xlfn.XLOOKUP(TableauRecette[[#This Row],[ID]],TableauProduit[ID],TableauProduit[Total (kg) N2],0,0,1)*TableauRecette[[#This Row],[fraction mélange]]</f>
        <v/>
      </c>
      <c r="N92">
        <f>_xlfn.XLOOKUP(TableauRecette[[#This Row],[ID]],TableauProduit[ID],TableauProduit[Total (kg) N3],0,0,1)*TableauRecette[[#This Row],[fraction mélange]]</f>
        <v/>
      </c>
      <c r="O92">
        <f>_xlfn.XLOOKUP(TableauRecette[[#This Row],[ID]],TableauProduit[ID],TableauProduit[Total (kg) N4],0,0,1)*TableauRecette[[#This Row],[fraction mélange]]</f>
        <v/>
      </c>
      <c r="P92">
        <f>_xlfn.XLOOKUP(TableauRecette[[#This Row],[ID]],TableauProduit[ID],TableauProduit[Total (kg) N5],0,0,1)*TableauRecette[[#This Row],[fraction mélange]]</f>
        <v/>
      </c>
      <c r="Q92">
        <f>_xlfn.XLOOKUP(TableauRecette[[#This Row],[ID]],TableauProduit[ID],TableauProduit[Total (kg) N6],0,0,1)*TableauRecette[[#This Row],[fraction mélange]]</f>
        <v/>
      </c>
      <c r="R92">
        <f>_xlfn.XLOOKUP(TableauRecette[[#This Row],[ID]],TableauProduit[ID],TableauProduit[Total (kg) N7],0,0,1)*TableauRecette[[#This Row],[fraction mélange]]</f>
        <v/>
      </c>
      <c r="S92">
        <f>_xlfn.XLOOKUP(TableauRecette[[#This Row],[ID]],TableauProduit[ID],TableauProduit[Total (kg) N8],0,0,1)*TableauRecette[[#This Row],[fraction mélange]]</f>
        <v/>
      </c>
      <c r="T92">
        <f>_xlfn.XLOOKUP(TableauRecette[[#This Row],[ID]],TableauProduit[ID],TableauProduit[Total (kg) N9],0,0,1)*TableauRecette[[#This Row],[fraction mélange]]</f>
        <v/>
      </c>
    </row>
    <row r="93">
      <c r="A93" t="inlineStr">
        <is>
          <t>Curry Madras</t>
        </is>
      </c>
      <c r="B93">
        <f>TableauRecette[[#This Row],[Recette]]&amp;TableauRecette[[#This Row],[Conditionnement]]</f>
        <v/>
      </c>
      <c r="C93" t="inlineStr">
        <is>
          <t>Piment Œil D'Oiseau</t>
        </is>
      </c>
      <c r="D93" t="n">
        <v>0.25</v>
      </c>
      <c r="E93" t="inlineStr">
        <is>
          <t>Epice 100ml</t>
        </is>
      </c>
      <c r="F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3">
        <f>IFERROR(_xlfn.XLOOKUP(TableauRecette[[#This Row],[Ingredients]],TableauIngredients[Ingredients],TableauIngredients[Prix d''achat / kg],0)*TableauRecette[[#This Row],[fraction mélange]],0)</f>
        <v/>
      </c>
      <c r="H93">
        <f>IFERROR(SUMIFS(TableauRecette[Proportion],TableauRecette[Recette],TableauRecette[[#This Row],[Recette]],TableauRecette[Conditionnement],TableauRecette[[#This Row],[Conditionnement]]),0)</f>
        <v/>
      </c>
      <c r="I93">
        <f>IFERROR(TableauRecette[[#This Row],[Prix d''achat / kg]],0)</f>
        <v/>
      </c>
      <c r="J93" t="inlineStr">
        <is>
          <t>Maghreb</t>
        </is>
      </c>
      <c r="K93" t="inlineStr">
        <is>
          <t>en huile</t>
        </is>
      </c>
      <c r="L93">
        <f>_xlfn.XLOOKUP(TableauRecette[[#This Row],[ID]],TableauProduit[ID],TableauProduit[Total (kg) N1],0,0,1)*TableauRecette[[#This Row],[fraction mélange]]</f>
        <v/>
      </c>
      <c r="M93">
        <f>_xlfn.XLOOKUP(TableauRecette[[#This Row],[ID]],TableauProduit[ID],TableauProduit[Total (kg) N2],0,0,1)*TableauRecette[[#This Row],[fraction mélange]]</f>
        <v/>
      </c>
      <c r="N93">
        <f>_xlfn.XLOOKUP(TableauRecette[[#This Row],[ID]],TableauProduit[ID],TableauProduit[Total (kg) N3],0,0,1)*TableauRecette[[#This Row],[fraction mélange]]</f>
        <v/>
      </c>
      <c r="O93">
        <f>_xlfn.XLOOKUP(TableauRecette[[#This Row],[ID]],TableauProduit[ID],TableauProduit[Total (kg) N4],0,0,1)*TableauRecette[[#This Row],[fraction mélange]]</f>
        <v/>
      </c>
      <c r="P93">
        <f>_xlfn.XLOOKUP(TableauRecette[[#This Row],[ID]],TableauProduit[ID],TableauProduit[Total (kg) N5],0,0,1)*TableauRecette[[#This Row],[fraction mélange]]</f>
        <v/>
      </c>
      <c r="Q93">
        <f>_xlfn.XLOOKUP(TableauRecette[[#This Row],[ID]],TableauProduit[ID],TableauProduit[Total (kg) N6],0,0,1)*TableauRecette[[#This Row],[fraction mélange]]</f>
        <v/>
      </c>
      <c r="R93">
        <f>_xlfn.XLOOKUP(TableauRecette[[#This Row],[ID]],TableauProduit[ID],TableauProduit[Total (kg) N7],0,0,1)*TableauRecette[[#This Row],[fraction mélange]]</f>
        <v/>
      </c>
      <c r="S93">
        <f>_xlfn.XLOOKUP(TableauRecette[[#This Row],[ID]],TableauProduit[ID],TableauProduit[Total (kg) N8],0,0,1)*TableauRecette[[#This Row],[fraction mélange]]</f>
        <v/>
      </c>
      <c r="T93">
        <f>_xlfn.XLOOKUP(TableauRecette[[#This Row],[ID]],TableauProduit[ID],TableauProduit[Total (kg) N9],0,0,1)*TableauRecette[[#This Row],[fraction mélange]]</f>
        <v/>
      </c>
    </row>
    <row r="94">
      <c r="A94" t="inlineStr">
        <is>
          <t>Curry Madras</t>
        </is>
      </c>
      <c r="B94">
        <f>TableauRecette[[#This Row],[Recette]]&amp;TableauRecette[[#This Row],[Conditionnement]]</f>
        <v/>
      </c>
      <c r="C94" t="inlineStr">
        <is>
          <t>Paprika Fumé</t>
        </is>
      </c>
      <c r="D94" t="n">
        <v>0.25</v>
      </c>
      <c r="E94" t="inlineStr">
        <is>
          <t>Epice 100ml</t>
        </is>
      </c>
      <c r="F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4">
        <f>IFERROR(_xlfn.XLOOKUP(TableauRecette[[#This Row],[Ingredients]],TableauIngredients[Ingredients],TableauIngredients[Prix d''achat / kg],0)*TableauRecette[[#This Row],[fraction mélange]],0)</f>
        <v/>
      </c>
      <c r="H94">
        <f>IFERROR(SUMIFS(TableauRecette[Proportion],TableauRecette[Recette],TableauRecette[[#This Row],[Recette]],TableauRecette[Conditionnement],TableauRecette[[#This Row],[Conditionnement]]),0)</f>
        <v/>
      </c>
      <c r="I94">
        <f>IFERROR(TableauRecette[[#This Row],[Prix d''achat / kg]],0)</f>
        <v/>
      </c>
      <c r="J94" t="inlineStr">
        <is>
          <t>Maghreb</t>
        </is>
      </c>
      <c r="K94" t="inlineStr">
        <is>
          <t>en huile</t>
        </is>
      </c>
      <c r="L94">
        <f>_xlfn.XLOOKUP(TableauRecette[[#This Row],[ID]],TableauProduit[ID],TableauProduit[Total (kg) N1],0,0,1)*TableauRecette[[#This Row],[fraction mélange]]</f>
        <v/>
      </c>
      <c r="M94">
        <f>_xlfn.XLOOKUP(TableauRecette[[#This Row],[ID]],TableauProduit[ID],TableauProduit[Total (kg) N2],0,0,1)*TableauRecette[[#This Row],[fraction mélange]]</f>
        <v/>
      </c>
      <c r="N94">
        <f>_xlfn.XLOOKUP(TableauRecette[[#This Row],[ID]],TableauProduit[ID],TableauProduit[Total (kg) N3],0,0,1)*TableauRecette[[#This Row],[fraction mélange]]</f>
        <v/>
      </c>
      <c r="O94">
        <f>_xlfn.XLOOKUP(TableauRecette[[#This Row],[ID]],TableauProduit[ID],TableauProduit[Total (kg) N4],0,0,1)*TableauRecette[[#This Row],[fraction mélange]]</f>
        <v/>
      </c>
      <c r="P94">
        <f>_xlfn.XLOOKUP(TableauRecette[[#This Row],[ID]],TableauProduit[ID],TableauProduit[Total (kg) N5],0,0,1)*TableauRecette[[#This Row],[fraction mélange]]</f>
        <v/>
      </c>
      <c r="Q94">
        <f>_xlfn.XLOOKUP(TableauRecette[[#This Row],[ID]],TableauProduit[ID],TableauProduit[Total (kg) N6],0,0,1)*TableauRecette[[#This Row],[fraction mélange]]</f>
        <v/>
      </c>
      <c r="R94">
        <f>_xlfn.XLOOKUP(TableauRecette[[#This Row],[ID]],TableauProduit[ID],TableauProduit[Total (kg) N7],0,0,1)*TableauRecette[[#This Row],[fraction mélange]]</f>
        <v/>
      </c>
      <c r="S94">
        <f>_xlfn.XLOOKUP(TableauRecette[[#This Row],[ID]],TableauProduit[ID],TableauProduit[Total (kg) N8],0,0,1)*TableauRecette[[#This Row],[fraction mélange]]</f>
        <v/>
      </c>
      <c r="T94">
        <f>_xlfn.XLOOKUP(TableauRecette[[#This Row],[ID]],TableauProduit[ID],TableauProduit[Total (kg) N9],0,0,1)*TableauRecette[[#This Row],[fraction mélange]]</f>
        <v/>
      </c>
    </row>
    <row r="95">
      <c r="A95" t="inlineStr">
        <is>
          <t>Curry Madras</t>
        </is>
      </c>
      <c r="B95">
        <f>TableauRecette[[#This Row],[Recette]]&amp;TableauRecette[[#This Row],[Conditionnement]]</f>
        <v/>
      </c>
      <c r="C95" t="inlineStr">
        <is>
          <t>Piment Doux Rouge En Poudre</t>
        </is>
      </c>
      <c r="D95" t="n">
        <v>0.75</v>
      </c>
      <c r="E95" t="inlineStr">
        <is>
          <t>Epice 100ml</t>
        </is>
      </c>
      <c r="F9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5">
        <f>IFERROR(_xlfn.XLOOKUP(TableauRecette[[#This Row],[Ingredients]],TableauIngredients[Ingredients],TableauIngredients[Prix d''achat / kg],0)*TableauRecette[[#This Row],[fraction mélange]],0)</f>
        <v/>
      </c>
      <c r="H95">
        <f>IFERROR(SUMIFS(TableauRecette[Proportion],TableauRecette[Recette],TableauRecette[[#This Row],[Recette]],TableauRecette[Conditionnement],TableauRecette[[#This Row],[Conditionnement]]),0)</f>
        <v/>
      </c>
      <c r="I95">
        <f>IFERROR(TableauRecette[[#This Row],[Prix d''achat / kg]],0)</f>
        <v/>
      </c>
      <c r="J95" t="inlineStr">
        <is>
          <t>Péninsule arabique</t>
        </is>
      </c>
      <c r="K95" t="inlineStr">
        <is>
          <t>SEC</t>
        </is>
      </c>
      <c r="L95">
        <f>_xlfn.XLOOKUP(TableauRecette[[#This Row],[ID]],TableauProduit[ID],TableauProduit[Total (kg) N1],0,0,1)*TableauRecette[[#This Row],[fraction mélange]]</f>
        <v/>
      </c>
      <c r="M95">
        <f>_xlfn.XLOOKUP(TableauRecette[[#This Row],[ID]],TableauProduit[ID],TableauProduit[Total (kg) N2],0,0,1)*TableauRecette[[#This Row],[fraction mélange]]</f>
        <v/>
      </c>
      <c r="N95">
        <f>_xlfn.XLOOKUP(TableauRecette[[#This Row],[ID]],TableauProduit[ID],TableauProduit[Total (kg) N3],0,0,1)*TableauRecette[[#This Row],[fraction mélange]]</f>
        <v/>
      </c>
      <c r="O95">
        <f>_xlfn.XLOOKUP(TableauRecette[[#This Row],[ID]],TableauProduit[ID],TableauProduit[Total (kg) N4],0,0,1)*TableauRecette[[#This Row],[fraction mélange]]</f>
        <v/>
      </c>
      <c r="P95">
        <f>_xlfn.XLOOKUP(TableauRecette[[#This Row],[ID]],TableauProduit[ID],TableauProduit[Total (kg) N5],0,0,1)*TableauRecette[[#This Row],[fraction mélange]]</f>
        <v/>
      </c>
      <c r="Q95">
        <f>_xlfn.XLOOKUP(TableauRecette[[#This Row],[ID]],TableauProduit[ID],TableauProduit[Total (kg) N6],0,0,1)*TableauRecette[[#This Row],[fraction mélange]]</f>
        <v/>
      </c>
      <c r="R95">
        <f>_xlfn.XLOOKUP(TableauRecette[[#This Row],[ID]],TableauProduit[ID],TableauProduit[Total (kg) N7],0,0,1)*TableauRecette[[#This Row],[fraction mélange]]</f>
        <v/>
      </c>
      <c r="S95">
        <f>_xlfn.XLOOKUP(TableauRecette[[#This Row],[ID]],TableauProduit[ID],TableauProduit[Total (kg) N8],0,0,1)*TableauRecette[[#This Row],[fraction mélange]]</f>
        <v/>
      </c>
      <c r="T95">
        <f>_xlfn.XLOOKUP(TableauRecette[[#This Row],[ID]],TableauProduit[ID],TableauProduit[Total (kg) N9],0,0,1)*TableauRecette[[#This Row],[fraction mélange]]</f>
        <v/>
      </c>
    </row>
    <row r="96">
      <c r="A96" t="inlineStr">
        <is>
          <t>Curry Madras</t>
        </is>
      </c>
      <c r="B96">
        <f>TableauRecette[[#This Row],[Recette]]&amp;TableauRecette[[#This Row],[Conditionnement]]</f>
        <v/>
      </c>
      <c r="C96" t="inlineStr">
        <is>
          <t>Ail Sec</t>
        </is>
      </c>
      <c r="D96" t="n">
        <v>0.25</v>
      </c>
      <c r="E96" t="inlineStr">
        <is>
          <t>Epice 100ml</t>
        </is>
      </c>
      <c r="F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6">
        <f>IFERROR(_xlfn.XLOOKUP(TableauRecette[[#This Row],[Ingredients]],TableauIngredients[Ingredients],TableauIngredients[Prix d''achat / kg],0)*TableauRecette[[#This Row],[fraction mélange]],0)</f>
        <v/>
      </c>
      <c r="H96">
        <f>IFERROR(SUMIFS(TableauRecette[Proportion],TableauRecette[Recette],TableauRecette[[#This Row],[Recette]],TableauRecette[Conditionnement],TableauRecette[[#This Row],[Conditionnement]]),0)</f>
        <v/>
      </c>
      <c r="I96">
        <f>IFERROR(TableauRecette[[#This Row],[Prix d''achat / kg]],0)</f>
        <v/>
      </c>
      <c r="J96" t="inlineStr">
        <is>
          <t>Maghreb</t>
        </is>
      </c>
      <c r="K96" t="inlineStr">
        <is>
          <t>en huile</t>
        </is>
      </c>
      <c r="L96">
        <f>_xlfn.XLOOKUP(TableauRecette[[#This Row],[ID]],TableauProduit[ID],TableauProduit[Total (kg) N1],0,0,1)*TableauRecette[[#This Row],[fraction mélange]]</f>
        <v/>
      </c>
      <c r="M96">
        <f>_xlfn.XLOOKUP(TableauRecette[[#This Row],[ID]],TableauProduit[ID],TableauProduit[Total (kg) N2],0,0,1)*TableauRecette[[#This Row],[fraction mélange]]</f>
        <v/>
      </c>
      <c r="N96">
        <f>_xlfn.XLOOKUP(TableauRecette[[#This Row],[ID]],TableauProduit[ID],TableauProduit[Total (kg) N3],0,0,1)*TableauRecette[[#This Row],[fraction mélange]]</f>
        <v/>
      </c>
      <c r="O96">
        <f>_xlfn.XLOOKUP(TableauRecette[[#This Row],[ID]],TableauProduit[ID],TableauProduit[Total (kg) N4],0,0,1)*TableauRecette[[#This Row],[fraction mélange]]</f>
        <v/>
      </c>
      <c r="P96">
        <f>_xlfn.XLOOKUP(TableauRecette[[#This Row],[ID]],TableauProduit[ID],TableauProduit[Total (kg) N5],0,0,1)*TableauRecette[[#This Row],[fraction mélange]]</f>
        <v/>
      </c>
      <c r="Q96">
        <f>_xlfn.XLOOKUP(TableauRecette[[#This Row],[ID]],TableauProduit[ID],TableauProduit[Total (kg) N6],0,0,1)*TableauRecette[[#This Row],[fraction mélange]]</f>
        <v/>
      </c>
      <c r="R96">
        <f>_xlfn.XLOOKUP(TableauRecette[[#This Row],[ID]],TableauProduit[ID],TableauProduit[Total (kg) N7],0,0,1)*TableauRecette[[#This Row],[fraction mélange]]</f>
        <v/>
      </c>
      <c r="S96">
        <f>_xlfn.XLOOKUP(TableauRecette[[#This Row],[ID]],TableauProduit[ID],TableauProduit[Total (kg) N8],0,0,1)*TableauRecette[[#This Row],[fraction mélange]]</f>
        <v/>
      </c>
      <c r="T96">
        <f>_xlfn.XLOOKUP(TableauRecette[[#This Row],[ID]],TableauProduit[ID],TableauProduit[Total (kg) N9],0,0,1)*TableauRecette[[#This Row],[fraction mélange]]</f>
        <v/>
      </c>
    </row>
    <row r="97">
      <c r="A97" t="inlineStr">
        <is>
          <t>Dukkah</t>
        </is>
      </c>
      <c r="B97">
        <f>TableauRecette[[#This Row],[Recette]]&amp;TableauRecette[[#This Row],[Conditionnement]]</f>
        <v/>
      </c>
      <c r="C97" t="inlineStr">
        <is>
          <t>Noisette Entière</t>
        </is>
      </c>
      <c r="D97" t="n">
        <v>150</v>
      </c>
      <c r="E97" t="inlineStr">
        <is>
          <t>Epice 100ml</t>
        </is>
      </c>
      <c r="F9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7">
        <f>IFERROR(_xlfn.XLOOKUP(TableauRecette[[#This Row],[Ingredients]],TableauIngredients[Ingredients],TableauIngredients[Prix d''achat / kg],0)*TableauRecette[[#This Row],[fraction mélange]],0)</f>
        <v/>
      </c>
      <c r="H97">
        <f>IFERROR(SUMIFS(TableauRecette[Proportion],TableauRecette[Recette],TableauRecette[[#This Row],[Recette]],TableauRecette[Conditionnement],TableauRecette[[#This Row],[Conditionnement]]),0)</f>
        <v/>
      </c>
      <c r="I97">
        <f>IFERROR(TableauRecette[[#This Row],[Prix d''achat / kg]],0)</f>
        <v/>
      </c>
      <c r="J97" t="inlineStr">
        <is>
          <t>Maghreb</t>
        </is>
      </c>
      <c r="K97" t="inlineStr">
        <is>
          <t>en huile</t>
        </is>
      </c>
      <c r="L97">
        <f>_xlfn.XLOOKUP(TableauRecette[[#This Row],[ID]],TableauProduit[ID],TableauProduit[Total (kg) N1],0,0,1)*TableauRecette[[#This Row],[fraction mélange]]</f>
        <v/>
      </c>
      <c r="M97">
        <f>_xlfn.XLOOKUP(TableauRecette[[#This Row],[ID]],TableauProduit[ID],TableauProduit[Total (kg) N2],0,0,1)*TableauRecette[[#This Row],[fraction mélange]]</f>
        <v/>
      </c>
      <c r="N97">
        <f>_xlfn.XLOOKUP(TableauRecette[[#This Row],[ID]],TableauProduit[ID],TableauProduit[Total (kg) N3],0,0,1)*TableauRecette[[#This Row],[fraction mélange]]</f>
        <v/>
      </c>
      <c r="O97">
        <f>_xlfn.XLOOKUP(TableauRecette[[#This Row],[ID]],TableauProduit[ID],TableauProduit[Total (kg) N4],0,0,1)*TableauRecette[[#This Row],[fraction mélange]]</f>
        <v/>
      </c>
      <c r="P97">
        <f>_xlfn.XLOOKUP(TableauRecette[[#This Row],[ID]],TableauProduit[ID],TableauProduit[Total (kg) N5],0,0,1)*TableauRecette[[#This Row],[fraction mélange]]</f>
        <v/>
      </c>
      <c r="Q97">
        <f>_xlfn.XLOOKUP(TableauRecette[[#This Row],[ID]],TableauProduit[ID],TableauProduit[Total (kg) N6],0,0,1)*TableauRecette[[#This Row],[fraction mélange]]</f>
        <v/>
      </c>
      <c r="R97">
        <f>_xlfn.XLOOKUP(TableauRecette[[#This Row],[ID]],TableauProduit[ID],TableauProduit[Total (kg) N7],0,0,1)*TableauRecette[[#This Row],[fraction mélange]]</f>
        <v/>
      </c>
      <c r="S97">
        <f>_xlfn.XLOOKUP(TableauRecette[[#This Row],[ID]],TableauProduit[ID],TableauProduit[Total (kg) N8],0,0,1)*TableauRecette[[#This Row],[fraction mélange]]</f>
        <v/>
      </c>
      <c r="T97">
        <f>_xlfn.XLOOKUP(TableauRecette[[#This Row],[ID]],TableauProduit[ID],TableauProduit[Total (kg) N9],0,0,1)*TableauRecette[[#This Row],[fraction mélange]]</f>
        <v/>
      </c>
    </row>
    <row r="98">
      <c r="A98" t="inlineStr">
        <is>
          <t>Dukkah</t>
        </is>
      </c>
      <c r="B98">
        <f>TableauRecette[[#This Row],[Recette]]&amp;TableauRecette[[#This Row],[Conditionnement]]</f>
        <v/>
      </c>
      <c r="C98" t="inlineStr">
        <is>
          <t>Amande Douce</t>
        </is>
      </c>
      <c r="D98" t="n">
        <v>150</v>
      </c>
      <c r="E98" t="inlineStr">
        <is>
          <t>Epice 100ml</t>
        </is>
      </c>
      <c r="F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8">
        <f>IFERROR(_xlfn.XLOOKUP(TableauRecette[[#This Row],[Ingredients]],TableauIngredients[Ingredients],TableauIngredients[Prix d''achat / kg],0)*TableauRecette[[#This Row],[fraction mélange]],0)</f>
        <v/>
      </c>
      <c r="H98">
        <f>IFERROR(SUMIFS(TableauRecette[Proportion],TableauRecette[Recette],TableauRecette[[#This Row],[Recette]],TableauRecette[Conditionnement],TableauRecette[[#This Row],[Conditionnement]]),0)</f>
        <v/>
      </c>
      <c r="I98">
        <f>IFERROR(TableauRecette[[#This Row],[Prix d''achat / kg]],0)</f>
        <v/>
      </c>
      <c r="J98" t="inlineStr">
        <is>
          <t>Maghreb</t>
        </is>
      </c>
      <c r="K98" t="inlineStr">
        <is>
          <t>en huile</t>
        </is>
      </c>
      <c r="L98">
        <f>_xlfn.XLOOKUP(TableauRecette[[#This Row],[ID]],TableauProduit[ID],TableauProduit[Total (kg) N1],0,0,1)*TableauRecette[[#This Row],[fraction mélange]]</f>
        <v/>
      </c>
      <c r="M98">
        <f>_xlfn.XLOOKUP(TableauRecette[[#This Row],[ID]],TableauProduit[ID],TableauProduit[Total (kg) N2],0,0,1)*TableauRecette[[#This Row],[fraction mélange]]</f>
        <v/>
      </c>
      <c r="N98">
        <f>_xlfn.XLOOKUP(TableauRecette[[#This Row],[ID]],TableauProduit[ID],TableauProduit[Total (kg) N3],0,0,1)*TableauRecette[[#This Row],[fraction mélange]]</f>
        <v/>
      </c>
      <c r="O98">
        <f>_xlfn.XLOOKUP(TableauRecette[[#This Row],[ID]],TableauProduit[ID],TableauProduit[Total (kg) N4],0,0,1)*TableauRecette[[#This Row],[fraction mélange]]</f>
        <v/>
      </c>
      <c r="P98">
        <f>_xlfn.XLOOKUP(TableauRecette[[#This Row],[ID]],TableauProduit[ID],TableauProduit[Total (kg) N5],0,0,1)*TableauRecette[[#This Row],[fraction mélange]]</f>
        <v/>
      </c>
      <c r="Q98">
        <f>_xlfn.XLOOKUP(TableauRecette[[#This Row],[ID]],TableauProduit[ID],TableauProduit[Total (kg) N6],0,0,1)*TableauRecette[[#This Row],[fraction mélange]]</f>
        <v/>
      </c>
      <c r="R98">
        <f>_xlfn.XLOOKUP(TableauRecette[[#This Row],[ID]],TableauProduit[ID],TableauProduit[Total (kg) N7],0,0,1)*TableauRecette[[#This Row],[fraction mélange]]</f>
        <v/>
      </c>
      <c r="S98">
        <f>_xlfn.XLOOKUP(TableauRecette[[#This Row],[ID]],TableauProduit[ID],TableauProduit[Total (kg) N8],0,0,1)*TableauRecette[[#This Row],[fraction mélange]]</f>
        <v/>
      </c>
      <c r="T98">
        <f>_xlfn.XLOOKUP(TableauRecette[[#This Row],[ID]],TableauProduit[ID],TableauProduit[Total (kg) N9],0,0,1)*TableauRecette[[#This Row],[fraction mélange]]</f>
        <v/>
      </c>
    </row>
    <row r="99">
      <c r="A99" t="inlineStr">
        <is>
          <t>Dukkah</t>
        </is>
      </c>
      <c r="B99">
        <f>TableauRecette[[#This Row],[Recette]]&amp;TableauRecette[[#This Row],[Conditionnement]]</f>
        <v/>
      </c>
      <c r="C99" t="inlineStr">
        <is>
          <t>Coriandre Graine</t>
        </is>
      </c>
      <c r="D99" t="n">
        <v>4</v>
      </c>
      <c r="E99" t="inlineStr">
        <is>
          <t>Epice 100ml</t>
        </is>
      </c>
      <c r="F9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9">
        <f>IFERROR(_xlfn.XLOOKUP(TableauRecette[[#This Row],[Ingredients]],TableauIngredients[Ingredients],TableauIngredients[Prix d''achat / kg],0)*TableauRecette[[#This Row],[fraction mélange]],0)</f>
        <v/>
      </c>
      <c r="H99">
        <f>IFERROR(SUMIFS(TableauRecette[Proportion],TableauRecette[Recette],TableauRecette[[#This Row],[Recette]],TableauRecette[Conditionnement],TableauRecette[[#This Row],[Conditionnement]]),0)</f>
        <v/>
      </c>
      <c r="I99">
        <f>IFERROR(TableauRecette[[#This Row],[Prix d''achat / kg]],0)</f>
        <v/>
      </c>
      <c r="J99" t="inlineStr">
        <is>
          <t>Afrique australe</t>
        </is>
      </c>
      <c r="K99" t="inlineStr">
        <is>
          <t>SEC</t>
        </is>
      </c>
      <c r="L99">
        <f>_xlfn.XLOOKUP(TableauRecette[[#This Row],[ID]],TableauProduit[ID],TableauProduit[Total (kg) N1],0,0,1)*TableauRecette[[#This Row],[fraction mélange]]</f>
        <v/>
      </c>
      <c r="M99">
        <f>_xlfn.XLOOKUP(TableauRecette[[#This Row],[ID]],TableauProduit[ID],TableauProduit[Total (kg) N2],0,0,1)*TableauRecette[[#This Row],[fraction mélange]]</f>
        <v/>
      </c>
      <c r="N99">
        <f>_xlfn.XLOOKUP(TableauRecette[[#This Row],[ID]],TableauProduit[ID],TableauProduit[Total (kg) N3],0,0,1)*TableauRecette[[#This Row],[fraction mélange]]</f>
        <v/>
      </c>
      <c r="O99">
        <f>_xlfn.XLOOKUP(TableauRecette[[#This Row],[ID]],TableauProduit[ID],TableauProduit[Total (kg) N4],0,0,1)*TableauRecette[[#This Row],[fraction mélange]]</f>
        <v/>
      </c>
      <c r="P99">
        <f>_xlfn.XLOOKUP(TableauRecette[[#This Row],[ID]],TableauProduit[ID],TableauProduit[Total (kg) N5],0,0,1)*TableauRecette[[#This Row],[fraction mélange]]</f>
        <v/>
      </c>
      <c r="Q99">
        <f>_xlfn.XLOOKUP(TableauRecette[[#This Row],[ID]],TableauProduit[ID],TableauProduit[Total (kg) N6],0,0,1)*TableauRecette[[#This Row],[fraction mélange]]</f>
        <v/>
      </c>
      <c r="R99">
        <f>_xlfn.XLOOKUP(TableauRecette[[#This Row],[ID]],TableauProduit[ID],TableauProduit[Total (kg) N7],0,0,1)*TableauRecette[[#This Row],[fraction mélange]]</f>
        <v/>
      </c>
      <c r="S99">
        <f>_xlfn.XLOOKUP(TableauRecette[[#This Row],[ID]],TableauProduit[ID],TableauProduit[Total (kg) N8],0,0,1)*TableauRecette[[#This Row],[fraction mélange]]</f>
        <v/>
      </c>
      <c r="T99">
        <f>_xlfn.XLOOKUP(TableauRecette[[#This Row],[ID]],TableauProduit[ID],TableauProduit[Total (kg) N9],0,0,1)*TableauRecette[[#This Row],[fraction mélange]]</f>
        <v/>
      </c>
    </row>
    <row r="100">
      <c r="A100" t="inlineStr">
        <is>
          <t>Dukkah</t>
        </is>
      </c>
      <c r="B100">
        <f>TableauRecette[[#This Row],[Recette]]&amp;TableauRecette[[#This Row],[Conditionnement]]</f>
        <v/>
      </c>
      <c r="C100" t="inlineStr">
        <is>
          <t>Graine De Cumin</t>
        </is>
      </c>
      <c r="D100" t="n">
        <v>6</v>
      </c>
      <c r="E100" t="inlineStr">
        <is>
          <t>Epice 100ml</t>
        </is>
      </c>
      <c r="F10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0">
        <f>IFERROR(_xlfn.XLOOKUP(TableauRecette[[#This Row],[Ingredients]],TableauIngredients[Ingredients],TableauIngredients[Prix d''achat / kg],0)*TableauRecette[[#This Row],[fraction mélange]],0)</f>
        <v/>
      </c>
      <c r="H100">
        <f>IFERROR(SUMIFS(TableauRecette[Proportion],TableauRecette[Recette],TableauRecette[[#This Row],[Recette]],TableauRecette[Conditionnement],TableauRecette[[#This Row],[Conditionnement]]),0)</f>
        <v/>
      </c>
      <c r="I100">
        <f>IFERROR(TableauRecette[[#This Row],[Prix d''achat / kg]],0)</f>
        <v/>
      </c>
      <c r="J100" t="inlineStr">
        <is>
          <t>Afrique australe</t>
        </is>
      </c>
      <c r="K100" t="inlineStr">
        <is>
          <t>SEC</t>
        </is>
      </c>
      <c r="L100">
        <f>_xlfn.XLOOKUP(TableauRecette[[#This Row],[ID]],TableauProduit[ID],TableauProduit[Total (kg) N1],0,0,1)*TableauRecette[[#This Row],[fraction mélange]]</f>
        <v/>
      </c>
      <c r="M100">
        <f>_xlfn.XLOOKUP(TableauRecette[[#This Row],[ID]],TableauProduit[ID],TableauProduit[Total (kg) N2],0,0,1)*TableauRecette[[#This Row],[fraction mélange]]</f>
        <v/>
      </c>
      <c r="N100">
        <f>_xlfn.XLOOKUP(TableauRecette[[#This Row],[ID]],TableauProduit[ID],TableauProduit[Total (kg) N3],0,0,1)*TableauRecette[[#This Row],[fraction mélange]]</f>
        <v/>
      </c>
      <c r="O100">
        <f>_xlfn.XLOOKUP(TableauRecette[[#This Row],[ID]],TableauProduit[ID],TableauProduit[Total (kg) N4],0,0,1)*TableauRecette[[#This Row],[fraction mélange]]</f>
        <v/>
      </c>
      <c r="P100">
        <f>_xlfn.XLOOKUP(TableauRecette[[#This Row],[ID]],TableauProduit[ID],TableauProduit[Total (kg) N5],0,0,1)*TableauRecette[[#This Row],[fraction mélange]]</f>
        <v/>
      </c>
      <c r="Q100">
        <f>_xlfn.XLOOKUP(TableauRecette[[#This Row],[ID]],TableauProduit[ID],TableauProduit[Total (kg) N6],0,0,1)*TableauRecette[[#This Row],[fraction mélange]]</f>
        <v/>
      </c>
      <c r="R100">
        <f>_xlfn.XLOOKUP(TableauRecette[[#This Row],[ID]],TableauProduit[ID],TableauProduit[Total (kg) N7],0,0,1)*TableauRecette[[#This Row],[fraction mélange]]</f>
        <v/>
      </c>
      <c r="S100">
        <f>_xlfn.XLOOKUP(TableauRecette[[#This Row],[ID]],TableauProduit[ID],TableauProduit[Total (kg) N8],0,0,1)*TableauRecette[[#This Row],[fraction mélange]]</f>
        <v/>
      </c>
      <c r="T100">
        <f>_xlfn.XLOOKUP(TableauRecette[[#This Row],[ID]],TableauProduit[ID],TableauProduit[Total (kg) N9],0,0,1)*TableauRecette[[#This Row],[fraction mélange]]</f>
        <v/>
      </c>
    </row>
    <row r="101">
      <c r="A101" t="inlineStr">
        <is>
          <t>Dukkah</t>
        </is>
      </c>
      <c r="B101">
        <f>TableauRecette[[#This Row],[Recette]]&amp;TableauRecette[[#This Row],[Conditionnement]]</f>
        <v/>
      </c>
      <c r="C101" t="inlineStr">
        <is>
          <t>Ail Sec</t>
        </is>
      </c>
      <c r="D101" t="n">
        <v>12</v>
      </c>
      <c r="E101" t="inlineStr">
        <is>
          <t>Epice 100ml</t>
        </is>
      </c>
      <c r="F10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1">
        <f>IFERROR(_xlfn.XLOOKUP(TableauRecette[[#This Row],[Ingredients]],TableauIngredients[Ingredients],TableauIngredients[Prix d''achat / kg],0)*TableauRecette[[#This Row],[fraction mélange]],0)</f>
        <v/>
      </c>
      <c r="H101">
        <f>IFERROR(SUMIFS(TableauRecette[Proportion],TableauRecette[Recette],TableauRecette[[#This Row],[Recette]],TableauRecette[Conditionnement],TableauRecette[[#This Row],[Conditionnement]]),0)</f>
        <v/>
      </c>
      <c r="I101">
        <f>IFERROR(TableauRecette[[#This Row],[Prix d''achat / kg]],0)</f>
        <v/>
      </c>
      <c r="J101" t="inlineStr">
        <is>
          <t>Afrique australe</t>
        </is>
      </c>
      <c r="K101" t="inlineStr">
        <is>
          <t>SEC</t>
        </is>
      </c>
      <c r="L101">
        <f>_xlfn.XLOOKUP(TableauRecette[[#This Row],[ID]],TableauProduit[ID],TableauProduit[Total (kg) N1],0,0,1)*TableauRecette[[#This Row],[fraction mélange]]</f>
        <v/>
      </c>
      <c r="M101">
        <f>_xlfn.XLOOKUP(TableauRecette[[#This Row],[ID]],TableauProduit[ID],TableauProduit[Total (kg) N2],0,0,1)*TableauRecette[[#This Row],[fraction mélange]]</f>
        <v/>
      </c>
      <c r="N101">
        <f>_xlfn.XLOOKUP(TableauRecette[[#This Row],[ID]],TableauProduit[ID],TableauProduit[Total (kg) N3],0,0,1)*TableauRecette[[#This Row],[fraction mélange]]</f>
        <v/>
      </c>
      <c r="O101">
        <f>_xlfn.XLOOKUP(TableauRecette[[#This Row],[ID]],TableauProduit[ID],TableauProduit[Total (kg) N4],0,0,1)*TableauRecette[[#This Row],[fraction mélange]]</f>
        <v/>
      </c>
      <c r="P101">
        <f>_xlfn.XLOOKUP(TableauRecette[[#This Row],[ID]],TableauProduit[ID],TableauProduit[Total (kg) N5],0,0,1)*TableauRecette[[#This Row],[fraction mélange]]</f>
        <v/>
      </c>
      <c r="Q101">
        <f>_xlfn.XLOOKUP(TableauRecette[[#This Row],[ID]],TableauProduit[ID],TableauProduit[Total (kg) N6],0,0,1)*TableauRecette[[#This Row],[fraction mélange]]</f>
        <v/>
      </c>
      <c r="R101">
        <f>_xlfn.XLOOKUP(TableauRecette[[#This Row],[ID]],TableauProduit[ID],TableauProduit[Total (kg) N7],0,0,1)*TableauRecette[[#This Row],[fraction mélange]]</f>
        <v/>
      </c>
      <c r="S101">
        <f>_xlfn.XLOOKUP(TableauRecette[[#This Row],[ID]],TableauProduit[ID],TableauProduit[Total (kg) N8],0,0,1)*TableauRecette[[#This Row],[fraction mélange]]</f>
        <v/>
      </c>
      <c r="T101">
        <f>_xlfn.XLOOKUP(TableauRecette[[#This Row],[ID]],TableauProduit[ID],TableauProduit[Total (kg) N9],0,0,1)*TableauRecette[[#This Row],[fraction mélange]]</f>
        <v/>
      </c>
    </row>
    <row r="102">
      <c r="A102" t="inlineStr">
        <is>
          <t>Dukkah</t>
        </is>
      </c>
      <c r="B102">
        <f>TableauRecette[[#This Row],[Recette]]&amp;TableauRecette[[#This Row],[Conditionnement]]</f>
        <v/>
      </c>
      <c r="C102" t="inlineStr">
        <is>
          <t>Sel</t>
        </is>
      </c>
      <c r="D102" t="n">
        <v>1</v>
      </c>
      <c r="E102" t="inlineStr">
        <is>
          <t>Epice 100ml</t>
        </is>
      </c>
      <c r="F1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2">
        <f>IFERROR(_xlfn.XLOOKUP(TableauRecette[[#This Row],[Ingredients]],TableauIngredients[Ingredients],TableauIngredients[Prix d''achat / kg],0)*TableauRecette[[#This Row],[fraction mélange]],0)</f>
        <v/>
      </c>
      <c r="H102">
        <f>IFERROR(SUMIFS(TableauRecette[Proportion],TableauRecette[Recette],TableauRecette[[#This Row],[Recette]],TableauRecette[Conditionnement],TableauRecette[[#This Row],[Conditionnement]]),0)</f>
        <v/>
      </c>
      <c r="I102">
        <f>IFERROR(TableauRecette[[#This Row],[Prix d''achat / kg]],0)</f>
        <v/>
      </c>
      <c r="J102" t="inlineStr">
        <is>
          <t>Afrique australe</t>
        </is>
      </c>
      <c r="K102" t="inlineStr">
        <is>
          <t>SEC</t>
        </is>
      </c>
      <c r="L102">
        <f>_xlfn.XLOOKUP(TableauRecette[[#This Row],[ID]],TableauProduit[ID],TableauProduit[Total (kg) N1],0,0,1)*TableauRecette[[#This Row],[fraction mélange]]</f>
        <v/>
      </c>
      <c r="M102">
        <f>_xlfn.XLOOKUP(TableauRecette[[#This Row],[ID]],TableauProduit[ID],TableauProduit[Total (kg) N2],0,0,1)*TableauRecette[[#This Row],[fraction mélange]]</f>
        <v/>
      </c>
      <c r="N102">
        <f>_xlfn.XLOOKUP(TableauRecette[[#This Row],[ID]],TableauProduit[ID],TableauProduit[Total (kg) N3],0,0,1)*TableauRecette[[#This Row],[fraction mélange]]</f>
        <v/>
      </c>
      <c r="O102">
        <f>_xlfn.XLOOKUP(TableauRecette[[#This Row],[ID]],TableauProduit[ID],TableauProduit[Total (kg) N4],0,0,1)*TableauRecette[[#This Row],[fraction mélange]]</f>
        <v/>
      </c>
      <c r="P102">
        <f>_xlfn.XLOOKUP(TableauRecette[[#This Row],[ID]],TableauProduit[ID],TableauProduit[Total (kg) N5],0,0,1)*TableauRecette[[#This Row],[fraction mélange]]</f>
        <v/>
      </c>
      <c r="Q102">
        <f>_xlfn.XLOOKUP(TableauRecette[[#This Row],[ID]],TableauProduit[ID],TableauProduit[Total (kg) N6],0,0,1)*TableauRecette[[#This Row],[fraction mélange]]</f>
        <v/>
      </c>
      <c r="R102">
        <f>_xlfn.XLOOKUP(TableauRecette[[#This Row],[ID]],TableauProduit[ID],TableauProduit[Total (kg) N7],0,0,1)*TableauRecette[[#This Row],[fraction mélange]]</f>
        <v/>
      </c>
      <c r="S102">
        <f>_xlfn.XLOOKUP(TableauRecette[[#This Row],[ID]],TableauProduit[ID],TableauProduit[Total (kg) N8],0,0,1)*TableauRecette[[#This Row],[fraction mélange]]</f>
        <v/>
      </c>
      <c r="T102">
        <f>_xlfn.XLOOKUP(TableauRecette[[#This Row],[ID]],TableauProduit[ID],TableauProduit[Total (kg) N9],0,0,1)*TableauRecette[[#This Row],[fraction mélange]]</f>
        <v/>
      </c>
    </row>
    <row r="103">
      <c r="A103" t="inlineStr">
        <is>
          <t>Durban masala</t>
        </is>
      </c>
      <c r="B103">
        <f>TableauRecette[[#This Row],[Recette]]&amp;TableauRecette[[#This Row],[Conditionnement]]</f>
        <v/>
      </c>
      <c r="C103" t="inlineStr">
        <is>
          <t>Coriandre Graine</t>
        </is>
      </c>
      <c r="D103" t="n">
        <v>2</v>
      </c>
      <c r="E103" t="inlineStr">
        <is>
          <t>Epice 100ml</t>
        </is>
      </c>
      <c r="F10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3">
        <f>IFERROR(_xlfn.XLOOKUP(TableauRecette[[#This Row],[Ingredients]],TableauIngredients[Ingredients],TableauIngredients[Prix d''achat / kg],0)*TableauRecette[[#This Row],[fraction mélange]],0)</f>
        <v/>
      </c>
      <c r="H103">
        <f>IFERROR(SUMIFS(TableauRecette[Proportion],TableauRecette[Recette],TableauRecette[[#This Row],[Recette]],TableauRecette[Conditionnement],TableauRecette[[#This Row],[Conditionnement]]),0)</f>
        <v/>
      </c>
      <c r="I103">
        <f>IFERROR(TableauRecette[[#This Row],[Prix d''achat / kg]],0)</f>
        <v/>
      </c>
      <c r="J103" t="inlineStr">
        <is>
          <t>Afrique australe</t>
        </is>
      </c>
      <c r="K103" t="inlineStr">
        <is>
          <t>SEC</t>
        </is>
      </c>
      <c r="L103">
        <f>_xlfn.XLOOKUP(TableauRecette[[#This Row],[ID]],TableauProduit[ID],TableauProduit[Total (kg) N1],0,0,1)*TableauRecette[[#This Row],[fraction mélange]]</f>
        <v/>
      </c>
      <c r="M103">
        <f>_xlfn.XLOOKUP(TableauRecette[[#This Row],[ID]],TableauProduit[ID],TableauProduit[Total (kg) N2],0,0,1)*TableauRecette[[#This Row],[fraction mélange]]</f>
        <v/>
      </c>
      <c r="N103">
        <f>_xlfn.XLOOKUP(TableauRecette[[#This Row],[ID]],TableauProduit[ID],TableauProduit[Total (kg) N3],0,0,1)*TableauRecette[[#This Row],[fraction mélange]]</f>
        <v/>
      </c>
      <c r="O103">
        <f>_xlfn.XLOOKUP(TableauRecette[[#This Row],[ID]],TableauProduit[ID],TableauProduit[Total (kg) N4],0,0,1)*TableauRecette[[#This Row],[fraction mélange]]</f>
        <v/>
      </c>
      <c r="P103">
        <f>_xlfn.XLOOKUP(TableauRecette[[#This Row],[ID]],TableauProduit[ID],TableauProduit[Total (kg) N5],0,0,1)*TableauRecette[[#This Row],[fraction mélange]]</f>
        <v/>
      </c>
      <c r="Q103">
        <f>_xlfn.XLOOKUP(TableauRecette[[#This Row],[ID]],TableauProduit[ID],TableauProduit[Total (kg) N6],0,0,1)*TableauRecette[[#This Row],[fraction mélange]]</f>
        <v/>
      </c>
      <c r="R103">
        <f>_xlfn.XLOOKUP(TableauRecette[[#This Row],[ID]],TableauProduit[ID],TableauProduit[Total (kg) N7],0,0,1)*TableauRecette[[#This Row],[fraction mélange]]</f>
        <v/>
      </c>
      <c r="S103">
        <f>_xlfn.XLOOKUP(TableauRecette[[#This Row],[ID]],TableauProduit[ID],TableauProduit[Total (kg) N8],0,0,1)*TableauRecette[[#This Row],[fraction mélange]]</f>
        <v/>
      </c>
      <c r="T103">
        <f>_xlfn.XLOOKUP(TableauRecette[[#This Row],[ID]],TableauProduit[ID],TableauProduit[Total (kg) N9],0,0,1)*TableauRecette[[#This Row],[fraction mélange]]</f>
        <v/>
      </c>
    </row>
    <row r="104">
      <c r="A104" t="inlineStr">
        <is>
          <t>Durban masala</t>
        </is>
      </c>
      <c r="B104">
        <f>TableauRecette[[#This Row],[Recette]]&amp;TableauRecette[[#This Row],[Conditionnement]]</f>
        <v/>
      </c>
      <c r="C104" t="inlineStr">
        <is>
          <t>Graine De Cumin</t>
        </is>
      </c>
      <c r="D104" t="n">
        <v>2</v>
      </c>
      <c r="E104" t="inlineStr">
        <is>
          <t>Epice 100ml</t>
        </is>
      </c>
      <c r="F10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4">
        <f>IFERROR(_xlfn.XLOOKUP(TableauRecette[[#This Row],[Ingredients]],TableauIngredients[Ingredients],TableauIngredients[Prix d''achat / kg],0)*TableauRecette[[#This Row],[fraction mélange]],0)</f>
        <v/>
      </c>
      <c r="H104">
        <f>IFERROR(SUMIFS(TableauRecette[Proportion],TableauRecette[Recette],TableauRecette[[#This Row],[Recette]],TableauRecette[Conditionnement],TableauRecette[[#This Row],[Conditionnement]]),0)</f>
        <v/>
      </c>
      <c r="I104">
        <f>IFERROR(TableauRecette[[#This Row],[Prix d''achat / kg]],0)</f>
        <v/>
      </c>
      <c r="J104" t="inlineStr">
        <is>
          <t>Afrique australe</t>
        </is>
      </c>
      <c r="K104" t="inlineStr">
        <is>
          <t>SEC</t>
        </is>
      </c>
      <c r="L104">
        <f>_xlfn.XLOOKUP(TableauRecette[[#This Row],[ID]],TableauProduit[ID],TableauProduit[Total (kg) N1],0,0,1)*TableauRecette[[#This Row],[fraction mélange]]</f>
        <v/>
      </c>
      <c r="M104">
        <f>_xlfn.XLOOKUP(TableauRecette[[#This Row],[ID]],TableauProduit[ID],TableauProduit[Total (kg) N2],0,0,1)*TableauRecette[[#This Row],[fraction mélange]]</f>
        <v/>
      </c>
      <c r="N104">
        <f>_xlfn.XLOOKUP(TableauRecette[[#This Row],[ID]],TableauProduit[ID],TableauProduit[Total (kg) N3],0,0,1)*TableauRecette[[#This Row],[fraction mélange]]</f>
        <v/>
      </c>
      <c r="O104">
        <f>_xlfn.XLOOKUP(TableauRecette[[#This Row],[ID]],TableauProduit[ID],TableauProduit[Total (kg) N4],0,0,1)*TableauRecette[[#This Row],[fraction mélange]]</f>
        <v/>
      </c>
      <c r="P104">
        <f>_xlfn.XLOOKUP(TableauRecette[[#This Row],[ID]],TableauProduit[ID],TableauProduit[Total (kg) N5],0,0,1)*TableauRecette[[#This Row],[fraction mélange]]</f>
        <v/>
      </c>
      <c r="Q104">
        <f>_xlfn.XLOOKUP(TableauRecette[[#This Row],[ID]],TableauProduit[ID],TableauProduit[Total (kg) N6],0,0,1)*TableauRecette[[#This Row],[fraction mélange]]</f>
        <v/>
      </c>
      <c r="R104">
        <f>_xlfn.XLOOKUP(TableauRecette[[#This Row],[ID]],TableauProduit[ID],TableauProduit[Total (kg) N7],0,0,1)*TableauRecette[[#This Row],[fraction mélange]]</f>
        <v/>
      </c>
      <c r="S104">
        <f>_xlfn.XLOOKUP(TableauRecette[[#This Row],[ID]],TableauProduit[ID],TableauProduit[Total (kg) N8],0,0,1)*TableauRecette[[#This Row],[fraction mélange]]</f>
        <v/>
      </c>
      <c r="T104">
        <f>_xlfn.XLOOKUP(TableauRecette[[#This Row],[ID]],TableauProduit[ID],TableauProduit[Total (kg) N9],0,0,1)*TableauRecette[[#This Row],[fraction mélange]]</f>
        <v/>
      </c>
    </row>
    <row r="105">
      <c r="A105" t="inlineStr">
        <is>
          <t>Durban masala</t>
        </is>
      </c>
      <c r="B105">
        <f>TableauRecette[[#This Row],[Recette]]&amp;TableauRecette[[#This Row],[Conditionnement]]</f>
        <v/>
      </c>
      <c r="C105" t="inlineStr">
        <is>
          <t>Graine De Cardamome</t>
        </is>
      </c>
      <c r="D105" t="n">
        <v>1</v>
      </c>
      <c r="E105" t="inlineStr">
        <is>
          <t>Epice 100ml</t>
        </is>
      </c>
      <c r="F10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5">
        <f>IFERROR(_xlfn.XLOOKUP(TableauRecette[[#This Row],[Ingredients]],TableauIngredients[Ingredients],TableauIngredients[Prix d''achat / kg],0)*TableauRecette[[#This Row],[fraction mélange]],0)</f>
        <v/>
      </c>
      <c r="H105">
        <f>IFERROR(SUMIFS(TableauRecette[Proportion],TableauRecette[Recette],TableauRecette[[#This Row],[Recette]],TableauRecette[Conditionnement],TableauRecette[[#This Row],[Conditionnement]]),0)</f>
        <v/>
      </c>
      <c r="I105">
        <f>IFERROR(TableauRecette[[#This Row],[Prix d''achat / kg]],0)</f>
        <v/>
      </c>
      <c r="J105" t="inlineStr">
        <is>
          <t>Afrique australe</t>
        </is>
      </c>
      <c r="K105" t="inlineStr">
        <is>
          <t>SEC</t>
        </is>
      </c>
      <c r="L105">
        <f>_xlfn.XLOOKUP(TableauRecette[[#This Row],[ID]],TableauProduit[ID],TableauProduit[Total (kg) N1],0,0,1)*TableauRecette[[#This Row],[fraction mélange]]</f>
        <v/>
      </c>
      <c r="M105">
        <f>_xlfn.XLOOKUP(TableauRecette[[#This Row],[ID]],TableauProduit[ID],TableauProduit[Total (kg) N2],0,0,1)*TableauRecette[[#This Row],[fraction mélange]]</f>
        <v/>
      </c>
      <c r="N105">
        <f>_xlfn.XLOOKUP(TableauRecette[[#This Row],[ID]],TableauProduit[ID],TableauProduit[Total (kg) N3],0,0,1)*TableauRecette[[#This Row],[fraction mélange]]</f>
        <v/>
      </c>
      <c r="O105">
        <f>_xlfn.XLOOKUP(TableauRecette[[#This Row],[ID]],TableauProduit[ID],TableauProduit[Total (kg) N4],0,0,1)*TableauRecette[[#This Row],[fraction mélange]]</f>
        <v/>
      </c>
      <c r="P105">
        <f>_xlfn.XLOOKUP(TableauRecette[[#This Row],[ID]],TableauProduit[ID],TableauProduit[Total (kg) N5],0,0,1)*TableauRecette[[#This Row],[fraction mélange]]</f>
        <v/>
      </c>
      <c r="Q105">
        <f>_xlfn.XLOOKUP(TableauRecette[[#This Row],[ID]],TableauProduit[ID],TableauProduit[Total (kg) N6],0,0,1)*TableauRecette[[#This Row],[fraction mélange]]</f>
        <v/>
      </c>
      <c r="R105">
        <f>_xlfn.XLOOKUP(TableauRecette[[#This Row],[ID]],TableauProduit[ID],TableauProduit[Total (kg) N7],0,0,1)*TableauRecette[[#This Row],[fraction mélange]]</f>
        <v/>
      </c>
      <c r="S105">
        <f>_xlfn.XLOOKUP(TableauRecette[[#This Row],[ID]],TableauProduit[ID],TableauProduit[Total (kg) N8],0,0,1)*TableauRecette[[#This Row],[fraction mélange]]</f>
        <v/>
      </c>
      <c r="T105">
        <f>_xlfn.XLOOKUP(TableauRecette[[#This Row],[ID]],TableauProduit[ID],TableauProduit[Total (kg) N9],0,0,1)*TableauRecette[[#This Row],[fraction mélange]]</f>
        <v/>
      </c>
    </row>
    <row r="106">
      <c r="A106" t="inlineStr">
        <is>
          <t>Durban masala</t>
        </is>
      </c>
      <c r="B106">
        <f>TableauRecette[[#This Row],[Recette]]&amp;TableauRecette[[#This Row],[Conditionnement]]</f>
        <v/>
      </c>
      <c r="C106" t="inlineStr">
        <is>
          <t>Graine De Fenugrec</t>
        </is>
      </c>
      <c r="D106" t="n">
        <v>0.5</v>
      </c>
      <c r="E106" t="inlineStr">
        <is>
          <t>Epice 100ml</t>
        </is>
      </c>
      <c r="F10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6">
        <f>IFERROR(_xlfn.XLOOKUP(TableauRecette[[#This Row],[Ingredients]],TableauIngredients[Ingredients],TableauIngredients[Prix d''achat / kg],0)*TableauRecette[[#This Row],[fraction mélange]],0)</f>
        <v/>
      </c>
      <c r="H106">
        <f>IFERROR(SUMIFS(TableauRecette[Proportion],TableauRecette[Recette],TableauRecette[[#This Row],[Recette]],TableauRecette[Conditionnement],TableauRecette[[#This Row],[Conditionnement]]),0)</f>
        <v/>
      </c>
      <c r="I106">
        <f>IFERROR(TableauRecette[[#This Row],[Prix d''achat / kg]],0)</f>
        <v/>
      </c>
      <c r="J106" t="inlineStr">
        <is>
          <t>Afrique australe</t>
        </is>
      </c>
      <c r="K106" t="inlineStr">
        <is>
          <t>SEC</t>
        </is>
      </c>
      <c r="L106">
        <f>_xlfn.XLOOKUP(TableauRecette[[#This Row],[ID]],TableauProduit[ID],TableauProduit[Total (kg) N1],0,0,1)*TableauRecette[[#This Row],[fraction mélange]]</f>
        <v/>
      </c>
      <c r="M106">
        <f>_xlfn.XLOOKUP(TableauRecette[[#This Row],[ID]],TableauProduit[ID],TableauProduit[Total (kg) N2],0,0,1)*TableauRecette[[#This Row],[fraction mélange]]</f>
        <v/>
      </c>
      <c r="N106">
        <f>_xlfn.XLOOKUP(TableauRecette[[#This Row],[ID]],TableauProduit[ID],TableauProduit[Total (kg) N3],0,0,1)*TableauRecette[[#This Row],[fraction mélange]]</f>
        <v/>
      </c>
      <c r="O106">
        <f>_xlfn.XLOOKUP(TableauRecette[[#This Row],[ID]],TableauProduit[ID],TableauProduit[Total (kg) N4],0,0,1)*TableauRecette[[#This Row],[fraction mélange]]</f>
        <v/>
      </c>
      <c r="P106">
        <f>_xlfn.XLOOKUP(TableauRecette[[#This Row],[ID]],TableauProduit[ID],TableauProduit[Total (kg) N5],0,0,1)*TableauRecette[[#This Row],[fraction mélange]]</f>
        <v/>
      </c>
      <c r="Q106">
        <f>_xlfn.XLOOKUP(TableauRecette[[#This Row],[ID]],TableauProduit[ID],TableauProduit[Total (kg) N6],0,0,1)*TableauRecette[[#This Row],[fraction mélange]]</f>
        <v/>
      </c>
      <c r="R106">
        <f>_xlfn.XLOOKUP(TableauRecette[[#This Row],[ID]],TableauProduit[ID],TableauProduit[Total (kg) N7],0,0,1)*TableauRecette[[#This Row],[fraction mélange]]</f>
        <v/>
      </c>
      <c r="S106">
        <f>_xlfn.XLOOKUP(TableauRecette[[#This Row],[ID]],TableauProduit[ID],TableauProduit[Total (kg) N8],0,0,1)*TableauRecette[[#This Row],[fraction mélange]]</f>
        <v/>
      </c>
      <c r="T106">
        <f>_xlfn.XLOOKUP(TableauRecette[[#This Row],[ID]],TableauProduit[ID],TableauProduit[Total (kg) N9],0,0,1)*TableauRecette[[#This Row],[fraction mélange]]</f>
        <v/>
      </c>
    </row>
    <row r="107">
      <c r="A107" t="inlineStr">
        <is>
          <t>Durban masala</t>
        </is>
      </c>
      <c r="B107">
        <f>TableauRecette[[#This Row],[Recette]]&amp;TableauRecette[[#This Row],[Conditionnement]]</f>
        <v/>
      </c>
      <c r="C107" t="inlineStr">
        <is>
          <t>Clous De Girofle</t>
        </is>
      </c>
      <c r="D107" t="n">
        <v>0.1</v>
      </c>
      <c r="E107" t="inlineStr">
        <is>
          <t>Epice 100ml</t>
        </is>
      </c>
      <c r="F10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7">
        <f>IFERROR(_xlfn.XLOOKUP(TableauRecette[[#This Row],[Ingredients]],TableauIngredients[Ingredients],TableauIngredients[Prix d''achat / kg],0)*TableauRecette[[#This Row],[fraction mélange]],0)</f>
        <v/>
      </c>
      <c r="H107">
        <f>IFERROR(SUMIFS(TableauRecette[Proportion],TableauRecette[Recette],TableauRecette[[#This Row],[Recette]],TableauRecette[Conditionnement],TableauRecette[[#This Row],[Conditionnement]]),0)</f>
        <v/>
      </c>
      <c r="I107">
        <f>IFERROR(TableauRecette[[#This Row],[Prix d''achat / kg]],0)</f>
        <v/>
      </c>
      <c r="J107" t="inlineStr">
        <is>
          <t>Afrique australe</t>
        </is>
      </c>
      <c r="K107" t="inlineStr">
        <is>
          <t>SEC</t>
        </is>
      </c>
      <c r="L107">
        <f>_xlfn.XLOOKUP(TableauRecette[[#This Row],[ID]],TableauProduit[ID],TableauProduit[Total (kg) N1],0,0,1)*TableauRecette[[#This Row],[fraction mélange]]</f>
        <v/>
      </c>
      <c r="M107">
        <f>_xlfn.XLOOKUP(TableauRecette[[#This Row],[ID]],TableauProduit[ID],TableauProduit[Total (kg) N2],0,0,1)*TableauRecette[[#This Row],[fraction mélange]]</f>
        <v/>
      </c>
      <c r="N107">
        <f>_xlfn.XLOOKUP(TableauRecette[[#This Row],[ID]],TableauProduit[ID],TableauProduit[Total (kg) N3],0,0,1)*TableauRecette[[#This Row],[fraction mélange]]</f>
        <v/>
      </c>
      <c r="O107">
        <f>_xlfn.XLOOKUP(TableauRecette[[#This Row],[ID]],TableauProduit[ID],TableauProduit[Total (kg) N4],0,0,1)*TableauRecette[[#This Row],[fraction mélange]]</f>
        <v/>
      </c>
      <c r="P107">
        <f>_xlfn.XLOOKUP(TableauRecette[[#This Row],[ID]],TableauProduit[ID],TableauProduit[Total (kg) N5],0,0,1)*TableauRecette[[#This Row],[fraction mélange]]</f>
        <v/>
      </c>
      <c r="Q107">
        <f>_xlfn.XLOOKUP(TableauRecette[[#This Row],[ID]],TableauProduit[ID],TableauProduit[Total (kg) N6],0,0,1)*TableauRecette[[#This Row],[fraction mélange]]</f>
        <v/>
      </c>
      <c r="R107">
        <f>_xlfn.XLOOKUP(TableauRecette[[#This Row],[ID]],TableauProduit[ID],TableauProduit[Total (kg) N7],0,0,1)*TableauRecette[[#This Row],[fraction mélange]]</f>
        <v/>
      </c>
      <c r="S107">
        <f>_xlfn.XLOOKUP(TableauRecette[[#This Row],[ID]],TableauProduit[ID],TableauProduit[Total (kg) N8],0,0,1)*TableauRecette[[#This Row],[fraction mélange]]</f>
        <v/>
      </c>
      <c r="T107">
        <f>_xlfn.XLOOKUP(TableauRecette[[#This Row],[ID]],TableauProduit[ID],TableauProduit[Total (kg) N9],0,0,1)*TableauRecette[[#This Row],[fraction mélange]]</f>
        <v/>
      </c>
    </row>
    <row r="108">
      <c r="A108" t="inlineStr">
        <is>
          <t>Durban masala</t>
        </is>
      </c>
      <c r="B108">
        <f>TableauRecette[[#This Row],[Recette]]&amp;TableauRecette[[#This Row],[Conditionnement]]</f>
        <v/>
      </c>
      <c r="C108" t="inlineStr">
        <is>
          <t>Cannelle Moulue</t>
        </is>
      </c>
      <c r="D108" t="n">
        <v>3</v>
      </c>
      <c r="E108" t="inlineStr">
        <is>
          <t>Epice 100ml</t>
        </is>
      </c>
      <c r="F10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8">
        <f>IFERROR(_xlfn.XLOOKUP(TableauRecette[[#This Row],[Ingredients]],TableauIngredients[Ingredients],TableauIngredients[Prix d''achat / kg],0)*TableauRecette[[#This Row],[fraction mélange]],0)</f>
        <v/>
      </c>
      <c r="H108">
        <f>IFERROR(SUMIFS(TableauRecette[Proportion],TableauRecette[Recette],TableauRecette[[#This Row],[Recette]],TableauRecette[Conditionnement],TableauRecette[[#This Row],[Conditionnement]]),0)</f>
        <v/>
      </c>
      <c r="I108">
        <f>IFERROR(TableauRecette[[#This Row],[Prix d''achat / kg]],0)</f>
        <v/>
      </c>
      <c r="J108" t="inlineStr">
        <is>
          <t>Inde du nord</t>
        </is>
      </c>
      <c r="K108" t="inlineStr">
        <is>
          <t>SEC</t>
        </is>
      </c>
      <c r="L108">
        <f>_xlfn.XLOOKUP(TableauRecette[[#This Row],[ID]],TableauProduit[ID],TableauProduit[Total (kg) N1],0,0,1)*TableauRecette[[#This Row],[fraction mélange]]</f>
        <v/>
      </c>
      <c r="M108">
        <f>_xlfn.XLOOKUP(TableauRecette[[#This Row],[ID]],TableauProduit[ID],TableauProduit[Total (kg) N2],0,0,1)*TableauRecette[[#This Row],[fraction mélange]]</f>
        <v/>
      </c>
      <c r="N108">
        <f>_xlfn.XLOOKUP(TableauRecette[[#This Row],[ID]],TableauProduit[ID],TableauProduit[Total (kg) N3],0,0,1)*TableauRecette[[#This Row],[fraction mélange]]</f>
        <v/>
      </c>
      <c r="O108">
        <f>_xlfn.XLOOKUP(TableauRecette[[#This Row],[ID]],TableauProduit[ID],TableauProduit[Total (kg) N4],0,0,1)*TableauRecette[[#This Row],[fraction mélange]]</f>
        <v/>
      </c>
      <c r="P108">
        <f>_xlfn.XLOOKUP(TableauRecette[[#This Row],[ID]],TableauProduit[ID],TableauProduit[Total (kg) N5],0,0,1)*TableauRecette[[#This Row],[fraction mélange]]</f>
        <v/>
      </c>
      <c r="Q108">
        <f>_xlfn.XLOOKUP(TableauRecette[[#This Row],[ID]],TableauProduit[ID],TableauProduit[Total (kg) N6],0,0,1)*TableauRecette[[#This Row],[fraction mélange]]</f>
        <v/>
      </c>
      <c r="R108">
        <f>_xlfn.XLOOKUP(TableauRecette[[#This Row],[ID]],TableauProduit[ID],TableauProduit[Total (kg) N7],0,0,1)*TableauRecette[[#This Row],[fraction mélange]]</f>
        <v/>
      </c>
      <c r="S108">
        <f>_xlfn.XLOOKUP(TableauRecette[[#This Row],[ID]],TableauProduit[ID],TableauProduit[Total (kg) N8],0,0,1)*TableauRecette[[#This Row],[fraction mélange]]</f>
        <v/>
      </c>
      <c r="T108">
        <f>_xlfn.XLOOKUP(TableauRecette[[#This Row],[ID]],TableauProduit[ID],TableauProduit[Total (kg) N9],0,0,1)*TableauRecette[[#This Row],[fraction mélange]]</f>
        <v/>
      </c>
    </row>
    <row r="109">
      <c r="A109" t="inlineStr">
        <is>
          <t>Durban masala</t>
        </is>
      </c>
      <c r="B109">
        <f>TableauRecette[[#This Row],[Recette]]&amp;TableauRecette[[#This Row],[Conditionnement]]</f>
        <v/>
      </c>
      <c r="C109" t="inlineStr">
        <is>
          <t>Piment De Cayenne Jaune</t>
        </is>
      </c>
      <c r="D109" t="n">
        <v>1</v>
      </c>
      <c r="E109" t="inlineStr">
        <is>
          <t>Epice 100ml</t>
        </is>
      </c>
      <c r="F1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9">
        <f>IFERROR(_xlfn.XLOOKUP(TableauRecette[[#This Row],[Ingredients]],TableauIngredients[Ingredients],TableauIngredients[Prix d''achat / kg],0)*TableauRecette[[#This Row],[fraction mélange]],0)</f>
        <v/>
      </c>
      <c r="H109">
        <f>IFERROR(SUMIFS(TableauRecette[Proportion],TableauRecette[Recette],TableauRecette[[#This Row],[Recette]],TableauRecette[Conditionnement],TableauRecette[[#This Row],[Conditionnement]]),0)</f>
        <v/>
      </c>
      <c r="I109">
        <f>IFERROR(TableauRecette[[#This Row],[Prix d''achat / kg]],0)</f>
        <v/>
      </c>
      <c r="J109" t="inlineStr">
        <is>
          <t>Inde du nord</t>
        </is>
      </c>
      <c r="K109" t="inlineStr">
        <is>
          <t>SEC</t>
        </is>
      </c>
      <c r="L109">
        <f>_xlfn.XLOOKUP(TableauRecette[[#This Row],[ID]],TableauProduit[ID],TableauProduit[Total (kg) N1],0,0,1)*TableauRecette[[#This Row],[fraction mélange]]</f>
        <v/>
      </c>
      <c r="M109">
        <f>_xlfn.XLOOKUP(TableauRecette[[#This Row],[ID]],TableauProduit[ID],TableauProduit[Total (kg) N2],0,0,1)*TableauRecette[[#This Row],[fraction mélange]]</f>
        <v/>
      </c>
      <c r="N109">
        <f>_xlfn.XLOOKUP(TableauRecette[[#This Row],[ID]],TableauProduit[ID],TableauProduit[Total (kg) N3],0,0,1)*TableauRecette[[#This Row],[fraction mélange]]</f>
        <v/>
      </c>
      <c r="O109">
        <f>_xlfn.XLOOKUP(TableauRecette[[#This Row],[ID]],TableauProduit[ID],TableauProduit[Total (kg) N4],0,0,1)*TableauRecette[[#This Row],[fraction mélange]]</f>
        <v/>
      </c>
      <c r="P109">
        <f>_xlfn.XLOOKUP(TableauRecette[[#This Row],[ID]],TableauProduit[ID],TableauProduit[Total (kg) N5],0,0,1)*TableauRecette[[#This Row],[fraction mélange]]</f>
        <v/>
      </c>
      <c r="Q109">
        <f>_xlfn.XLOOKUP(TableauRecette[[#This Row],[ID]],TableauProduit[ID],TableauProduit[Total (kg) N6],0,0,1)*TableauRecette[[#This Row],[fraction mélange]]</f>
        <v/>
      </c>
      <c r="R109">
        <f>_xlfn.XLOOKUP(TableauRecette[[#This Row],[ID]],TableauProduit[ID],TableauProduit[Total (kg) N7],0,0,1)*TableauRecette[[#This Row],[fraction mélange]]</f>
        <v/>
      </c>
      <c r="S109">
        <f>_xlfn.XLOOKUP(TableauRecette[[#This Row],[ID]],TableauProduit[ID],TableauProduit[Total (kg) N8],0,0,1)*TableauRecette[[#This Row],[fraction mélange]]</f>
        <v/>
      </c>
      <c r="T109">
        <f>_xlfn.XLOOKUP(TableauRecette[[#This Row],[ID]],TableauProduit[ID],TableauProduit[Total (kg) N9],0,0,1)*TableauRecette[[#This Row],[fraction mélange]]</f>
        <v/>
      </c>
    </row>
    <row r="110">
      <c r="A110" t="inlineStr">
        <is>
          <t>Durban masala</t>
        </is>
      </c>
      <c r="B110">
        <f>TableauRecette[[#This Row],[Recette]]&amp;TableauRecette[[#This Row],[Conditionnement]]</f>
        <v/>
      </c>
      <c r="C110" t="inlineStr">
        <is>
          <t>Gingembre Sec</t>
        </is>
      </c>
      <c r="D110" t="n">
        <v>0.5</v>
      </c>
      <c r="E110" t="inlineStr">
        <is>
          <t>Epice 100ml</t>
        </is>
      </c>
      <c r="F11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0">
        <f>IFERROR(_xlfn.XLOOKUP(TableauRecette[[#This Row],[Ingredients]],TableauIngredients[Ingredients],TableauIngredients[Prix d''achat / kg],0)*TableauRecette[[#This Row],[fraction mélange]],0)</f>
        <v/>
      </c>
      <c r="H110">
        <f>IFERROR(SUMIFS(TableauRecette[Proportion],TableauRecette[Recette],TableauRecette[[#This Row],[Recette]],TableauRecette[Conditionnement],TableauRecette[[#This Row],[Conditionnement]]),0)</f>
        <v/>
      </c>
      <c r="I110">
        <f>IFERROR(TableauRecette[[#This Row],[Prix d''achat / kg]],0)</f>
        <v/>
      </c>
      <c r="J110" t="inlineStr">
        <is>
          <t>Inde du nord</t>
        </is>
      </c>
      <c r="K110" t="inlineStr">
        <is>
          <t>SEC</t>
        </is>
      </c>
      <c r="L110">
        <f>_xlfn.XLOOKUP(TableauRecette[[#This Row],[ID]],TableauProduit[ID],TableauProduit[Total (kg) N1],0,0,1)*TableauRecette[[#This Row],[fraction mélange]]</f>
        <v/>
      </c>
      <c r="M110">
        <f>_xlfn.XLOOKUP(TableauRecette[[#This Row],[ID]],TableauProduit[ID],TableauProduit[Total (kg) N2],0,0,1)*TableauRecette[[#This Row],[fraction mélange]]</f>
        <v/>
      </c>
      <c r="N110">
        <f>_xlfn.XLOOKUP(TableauRecette[[#This Row],[ID]],TableauProduit[ID],TableauProduit[Total (kg) N3],0,0,1)*TableauRecette[[#This Row],[fraction mélange]]</f>
        <v/>
      </c>
      <c r="O110">
        <f>_xlfn.XLOOKUP(TableauRecette[[#This Row],[ID]],TableauProduit[ID],TableauProduit[Total (kg) N4],0,0,1)*TableauRecette[[#This Row],[fraction mélange]]</f>
        <v/>
      </c>
      <c r="P110">
        <f>_xlfn.XLOOKUP(TableauRecette[[#This Row],[ID]],TableauProduit[ID],TableauProduit[Total (kg) N5],0,0,1)*TableauRecette[[#This Row],[fraction mélange]]</f>
        <v/>
      </c>
      <c r="Q110">
        <f>_xlfn.XLOOKUP(TableauRecette[[#This Row],[ID]],TableauProduit[ID],TableauProduit[Total (kg) N6],0,0,1)*TableauRecette[[#This Row],[fraction mélange]]</f>
        <v/>
      </c>
      <c r="R110">
        <f>_xlfn.XLOOKUP(TableauRecette[[#This Row],[ID]],TableauProduit[ID],TableauProduit[Total (kg) N7],0,0,1)*TableauRecette[[#This Row],[fraction mélange]]</f>
        <v/>
      </c>
      <c r="S110">
        <f>_xlfn.XLOOKUP(TableauRecette[[#This Row],[ID]],TableauProduit[ID],TableauProduit[Total (kg) N8],0,0,1)*TableauRecette[[#This Row],[fraction mélange]]</f>
        <v/>
      </c>
      <c r="T110">
        <f>_xlfn.XLOOKUP(TableauRecette[[#This Row],[ID]],TableauProduit[ID],TableauProduit[Total (kg) N9],0,0,1)*TableauRecette[[#This Row],[fraction mélange]]</f>
        <v/>
      </c>
    </row>
    <row r="111">
      <c r="A111" t="inlineStr">
        <is>
          <t>Durban masala</t>
        </is>
      </c>
      <c r="B111">
        <f>TableauRecette[[#This Row],[Recette]]&amp;TableauRecette[[#This Row],[Conditionnement]]</f>
        <v/>
      </c>
      <c r="C111" t="inlineStr">
        <is>
          <t>Piment Doux Rouge En Poudre</t>
        </is>
      </c>
      <c r="D111" t="n">
        <v>6</v>
      </c>
      <c r="E111" t="inlineStr">
        <is>
          <t>Epice 100ml</t>
        </is>
      </c>
      <c r="F1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1">
        <f>IFERROR(_xlfn.XLOOKUP(TableauRecette[[#This Row],[Ingredients]],TableauIngredients[Ingredients],TableauIngredients[Prix d''achat / kg],0)*TableauRecette[[#This Row],[fraction mélange]],0)</f>
        <v/>
      </c>
      <c r="H111">
        <f>IFERROR(SUMIFS(TableauRecette[Proportion],TableauRecette[Recette],TableauRecette[[#This Row],[Recette]],TableauRecette[Conditionnement],TableauRecette[[#This Row],[Conditionnement]]),0)</f>
        <v/>
      </c>
      <c r="I111">
        <f>IFERROR(TableauRecette[[#This Row],[Prix d''achat / kg]],0)</f>
        <v/>
      </c>
      <c r="J111" t="inlineStr">
        <is>
          <t>Inde du nord</t>
        </is>
      </c>
      <c r="K111" t="inlineStr">
        <is>
          <t>SEC</t>
        </is>
      </c>
      <c r="L111">
        <f>_xlfn.XLOOKUP(TableauRecette[[#This Row],[ID]],TableauProduit[ID],TableauProduit[Total (kg) N1],0,0,1)*TableauRecette[[#This Row],[fraction mélange]]</f>
        <v/>
      </c>
      <c r="M111">
        <f>_xlfn.XLOOKUP(TableauRecette[[#This Row],[ID]],TableauProduit[ID],TableauProduit[Total (kg) N2],0,0,1)*TableauRecette[[#This Row],[fraction mélange]]</f>
        <v/>
      </c>
      <c r="N111">
        <f>_xlfn.XLOOKUP(TableauRecette[[#This Row],[ID]],TableauProduit[ID],TableauProduit[Total (kg) N3],0,0,1)*TableauRecette[[#This Row],[fraction mélange]]</f>
        <v/>
      </c>
      <c r="O111">
        <f>_xlfn.XLOOKUP(TableauRecette[[#This Row],[ID]],TableauProduit[ID],TableauProduit[Total (kg) N4],0,0,1)*TableauRecette[[#This Row],[fraction mélange]]</f>
        <v/>
      </c>
      <c r="P111">
        <f>_xlfn.XLOOKUP(TableauRecette[[#This Row],[ID]],TableauProduit[ID],TableauProduit[Total (kg) N5],0,0,1)*TableauRecette[[#This Row],[fraction mélange]]</f>
        <v/>
      </c>
      <c r="Q111">
        <f>_xlfn.XLOOKUP(TableauRecette[[#This Row],[ID]],TableauProduit[ID],TableauProduit[Total (kg) N6],0,0,1)*TableauRecette[[#This Row],[fraction mélange]]</f>
        <v/>
      </c>
      <c r="R111">
        <f>_xlfn.XLOOKUP(TableauRecette[[#This Row],[ID]],TableauProduit[ID],TableauProduit[Total (kg) N7],0,0,1)*TableauRecette[[#This Row],[fraction mélange]]</f>
        <v/>
      </c>
      <c r="S111">
        <f>_xlfn.XLOOKUP(TableauRecette[[#This Row],[ID]],TableauProduit[ID],TableauProduit[Total (kg) N8],0,0,1)*TableauRecette[[#This Row],[fraction mélange]]</f>
        <v/>
      </c>
      <c r="T111">
        <f>_xlfn.XLOOKUP(TableauRecette[[#This Row],[ID]],TableauProduit[ID],TableauProduit[Total (kg) N9],0,0,1)*TableauRecette[[#This Row],[fraction mélange]]</f>
        <v/>
      </c>
    </row>
    <row r="112">
      <c r="A112" t="inlineStr">
        <is>
          <t>Épices cajun</t>
        </is>
      </c>
      <c r="B112">
        <f>TableauRecette[[#This Row],[Recette]]&amp;TableauRecette[[#This Row],[Conditionnement]]</f>
        <v/>
      </c>
      <c r="C112" t="inlineStr">
        <is>
          <t>Paprika</t>
        </is>
      </c>
      <c r="D112" t="n">
        <v>3</v>
      </c>
      <c r="E112" t="inlineStr">
        <is>
          <t>Epice 100ml</t>
        </is>
      </c>
      <c r="F1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2">
        <f>IFERROR(_xlfn.XLOOKUP(TableauRecette[[#This Row],[Ingredients]],TableauIngredients[Ingredients],TableauIngredients[Prix d''achat / kg],0)*TableauRecette[[#This Row],[fraction mélange]],0)</f>
        <v/>
      </c>
      <c r="H112">
        <f>IFERROR(SUMIFS(TableauRecette[Proportion],TableauRecette[Recette],TableauRecette[[#This Row],[Recette]],TableauRecette[Conditionnement],TableauRecette[[#This Row],[Conditionnement]]),0)</f>
        <v/>
      </c>
      <c r="I112">
        <f>IFERROR(TableauRecette[[#This Row],[Prix d''achat / kg]],0)</f>
        <v/>
      </c>
      <c r="L112">
        <f>_xlfn.XLOOKUP(TableauRecette[[#This Row],[ID]],TableauProduit[ID],TableauProduit[Total (kg) N1],0,0,1)*TableauRecette[[#This Row],[fraction mélange]]</f>
        <v/>
      </c>
      <c r="M112">
        <f>_xlfn.XLOOKUP(TableauRecette[[#This Row],[ID]],TableauProduit[ID],TableauProduit[Total (kg) N2],0,0,1)*TableauRecette[[#This Row],[fraction mélange]]</f>
        <v/>
      </c>
      <c r="N112">
        <f>_xlfn.XLOOKUP(TableauRecette[[#This Row],[ID]],TableauProduit[ID],TableauProduit[Total (kg) N3],0,0,1)*TableauRecette[[#This Row],[fraction mélange]]</f>
        <v/>
      </c>
      <c r="O112">
        <f>_xlfn.XLOOKUP(TableauRecette[[#This Row],[ID]],TableauProduit[ID],TableauProduit[Total (kg) N4],0,0,1)*TableauRecette[[#This Row],[fraction mélange]]</f>
        <v/>
      </c>
      <c r="P112">
        <f>_xlfn.XLOOKUP(TableauRecette[[#This Row],[ID]],TableauProduit[ID],TableauProduit[Total (kg) N5],0,0,1)*TableauRecette[[#This Row],[fraction mélange]]</f>
        <v/>
      </c>
      <c r="Q112">
        <f>_xlfn.XLOOKUP(TableauRecette[[#This Row],[ID]],TableauProduit[ID],TableauProduit[Total (kg) N6],0,0,1)*TableauRecette[[#This Row],[fraction mélange]]</f>
        <v/>
      </c>
      <c r="R112">
        <f>_xlfn.XLOOKUP(TableauRecette[[#This Row],[ID]],TableauProduit[ID],TableauProduit[Total (kg) N7],0,0,1)*TableauRecette[[#This Row],[fraction mélange]]</f>
        <v/>
      </c>
      <c r="S112">
        <f>_xlfn.XLOOKUP(TableauRecette[[#This Row],[ID]],TableauProduit[ID],TableauProduit[Total (kg) N8],0,0,1)*TableauRecette[[#This Row],[fraction mélange]]</f>
        <v/>
      </c>
      <c r="T112">
        <f>_xlfn.XLOOKUP(TableauRecette[[#This Row],[ID]],TableauProduit[ID],TableauProduit[Total (kg) N9],0,0,1)*TableauRecette[[#This Row],[fraction mélange]]</f>
        <v/>
      </c>
    </row>
    <row r="113">
      <c r="A113" t="inlineStr">
        <is>
          <t>Épices cajun</t>
        </is>
      </c>
      <c r="B113">
        <f>TableauRecette[[#This Row],[Recette]]&amp;TableauRecette[[#This Row],[Conditionnement]]</f>
        <v/>
      </c>
      <c r="C113" t="inlineStr">
        <is>
          <t>Origan</t>
        </is>
      </c>
      <c r="D113" t="n">
        <v>3</v>
      </c>
      <c r="E113" t="inlineStr">
        <is>
          <t>Epice 100ml</t>
        </is>
      </c>
      <c r="F11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3">
        <f>IFERROR(_xlfn.XLOOKUP(TableauRecette[[#This Row],[Ingredients]],TableauIngredients[Ingredients],TableauIngredients[Prix d''achat / kg],0)*TableauRecette[[#This Row],[fraction mélange]],0)</f>
        <v/>
      </c>
      <c r="H113">
        <f>IFERROR(SUMIFS(TableauRecette[Proportion],TableauRecette[Recette],TableauRecette[[#This Row],[Recette]],TableauRecette[Conditionnement],TableauRecette[[#This Row],[Conditionnement]]),0)</f>
        <v/>
      </c>
      <c r="I113">
        <f>IFERROR(TableauRecette[[#This Row],[Prix d''achat / kg]],0)</f>
        <v/>
      </c>
      <c r="L113">
        <f>_xlfn.XLOOKUP(TableauRecette[[#This Row],[ID]],TableauProduit[ID],TableauProduit[Total (kg) N1],0,0,1)*TableauRecette[[#This Row],[fraction mélange]]</f>
        <v/>
      </c>
      <c r="M113">
        <f>_xlfn.XLOOKUP(TableauRecette[[#This Row],[ID]],TableauProduit[ID],TableauProduit[Total (kg) N2],0,0,1)*TableauRecette[[#This Row],[fraction mélange]]</f>
        <v/>
      </c>
      <c r="N113">
        <f>_xlfn.XLOOKUP(TableauRecette[[#This Row],[ID]],TableauProduit[ID],TableauProduit[Total (kg) N3],0,0,1)*TableauRecette[[#This Row],[fraction mélange]]</f>
        <v/>
      </c>
      <c r="O113">
        <f>_xlfn.XLOOKUP(TableauRecette[[#This Row],[ID]],TableauProduit[ID],TableauProduit[Total (kg) N4],0,0,1)*TableauRecette[[#This Row],[fraction mélange]]</f>
        <v/>
      </c>
      <c r="P113">
        <f>_xlfn.XLOOKUP(TableauRecette[[#This Row],[ID]],TableauProduit[ID],TableauProduit[Total (kg) N5],0,0,1)*TableauRecette[[#This Row],[fraction mélange]]</f>
        <v/>
      </c>
      <c r="Q113">
        <f>_xlfn.XLOOKUP(TableauRecette[[#This Row],[ID]],TableauProduit[ID],TableauProduit[Total (kg) N6],0,0,1)*TableauRecette[[#This Row],[fraction mélange]]</f>
        <v/>
      </c>
      <c r="R113">
        <f>_xlfn.XLOOKUP(TableauRecette[[#This Row],[ID]],TableauProduit[ID],TableauProduit[Total (kg) N7],0,0,1)*TableauRecette[[#This Row],[fraction mélange]]</f>
        <v/>
      </c>
      <c r="S113">
        <f>_xlfn.XLOOKUP(TableauRecette[[#This Row],[ID]],TableauProduit[ID],TableauProduit[Total (kg) N8],0,0,1)*TableauRecette[[#This Row],[fraction mélange]]</f>
        <v/>
      </c>
      <c r="T113">
        <f>_xlfn.XLOOKUP(TableauRecette[[#This Row],[ID]],TableauProduit[ID],TableauProduit[Total (kg) N9],0,0,1)*TableauRecette[[#This Row],[fraction mélange]]</f>
        <v/>
      </c>
    </row>
    <row r="114">
      <c r="A114" t="inlineStr">
        <is>
          <t>Épices cajun</t>
        </is>
      </c>
      <c r="B114">
        <f>TableauRecette[[#This Row],[Recette]]&amp;TableauRecette[[#This Row],[Conditionnement]]</f>
        <v/>
      </c>
      <c r="C114" t="inlineStr">
        <is>
          <t>Thym</t>
        </is>
      </c>
      <c r="D114" t="n">
        <v>3</v>
      </c>
      <c r="E114" t="inlineStr">
        <is>
          <t>Epice 100ml</t>
        </is>
      </c>
      <c r="F11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4">
        <f>IFERROR(_xlfn.XLOOKUP(TableauRecette[[#This Row],[Ingredients]],TableauIngredients[Ingredients],TableauIngredients[Prix d''achat / kg],0)*TableauRecette[[#This Row],[fraction mélange]],0)</f>
        <v/>
      </c>
      <c r="H114">
        <f>IFERROR(SUMIFS(TableauRecette[Proportion],TableauRecette[Recette],TableauRecette[[#This Row],[Recette]],TableauRecette[Conditionnement],TableauRecette[[#This Row],[Conditionnement]]),0)</f>
        <v/>
      </c>
      <c r="I114">
        <f>IFERROR(TableauRecette[[#This Row],[Prix d''achat / kg]],0)</f>
        <v/>
      </c>
      <c r="L114">
        <f>_xlfn.XLOOKUP(TableauRecette[[#This Row],[ID]],TableauProduit[ID],TableauProduit[Total (kg) N1],0,0,1)*TableauRecette[[#This Row],[fraction mélange]]</f>
        <v/>
      </c>
      <c r="M114">
        <f>_xlfn.XLOOKUP(TableauRecette[[#This Row],[ID]],TableauProduit[ID],TableauProduit[Total (kg) N2],0,0,1)*TableauRecette[[#This Row],[fraction mélange]]</f>
        <v/>
      </c>
      <c r="N114">
        <f>_xlfn.XLOOKUP(TableauRecette[[#This Row],[ID]],TableauProduit[ID],TableauProduit[Total (kg) N3],0,0,1)*TableauRecette[[#This Row],[fraction mélange]]</f>
        <v/>
      </c>
      <c r="O114">
        <f>_xlfn.XLOOKUP(TableauRecette[[#This Row],[ID]],TableauProduit[ID],TableauProduit[Total (kg) N4],0,0,1)*TableauRecette[[#This Row],[fraction mélange]]</f>
        <v/>
      </c>
      <c r="P114">
        <f>_xlfn.XLOOKUP(TableauRecette[[#This Row],[ID]],TableauProduit[ID],TableauProduit[Total (kg) N5],0,0,1)*TableauRecette[[#This Row],[fraction mélange]]</f>
        <v/>
      </c>
      <c r="Q114">
        <f>_xlfn.XLOOKUP(TableauRecette[[#This Row],[ID]],TableauProduit[ID],TableauProduit[Total (kg) N6],0,0,1)*TableauRecette[[#This Row],[fraction mélange]]</f>
        <v/>
      </c>
      <c r="R114">
        <f>_xlfn.XLOOKUP(TableauRecette[[#This Row],[ID]],TableauProduit[ID],TableauProduit[Total (kg) N7],0,0,1)*TableauRecette[[#This Row],[fraction mélange]]</f>
        <v/>
      </c>
      <c r="S114">
        <f>_xlfn.XLOOKUP(TableauRecette[[#This Row],[ID]],TableauProduit[ID],TableauProduit[Total (kg) N8],0,0,1)*TableauRecette[[#This Row],[fraction mélange]]</f>
        <v/>
      </c>
      <c r="T114">
        <f>_xlfn.XLOOKUP(TableauRecette[[#This Row],[ID]],TableauProduit[ID],TableauProduit[Total (kg) N9],0,0,1)*TableauRecette[[#This Row],[fraction mélange]]</f>
        <v/>
      </c>
    </row>
    <row r="115">
      <c r="A115" t="inlineStr">
        <is>
          <t>Épices cajun</t>
        </is>
      </c>
      <c r="B115">
        <f>TableauRecette[[#This Row],[Recette]]&amp;TableauRecette[[#This Row],[Conditionnement]]</f>
        <v/>
      </c>
      <c r="C115" t="inlineStr">
        <is>
          <t>Oignon Séché</t>
        </is>
      </c>
      <c r="D115" t="n">
        <v>3</v>
      </c>
      <c r="E115" t="inlineStr">
        <is>
          <t>Epice 100ml</t>
        </is>
      </c>
      <c r="F11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5">
        <f>IFERROR(_xlfn.XLOOKUP(TableauRecette[[#This Row],[Ingredients]],TableauIngredients[Ingredients],TableauIngredients[Prix d''achat / kg],0)*TableauRecette[[#This Row],[fraction mélange]],0)</f>
        <v/>
      </c>
      <c r="H115">
        <f>IFERROR(SUMIFS(TableauRecette[Proportion],TableauRecette[Recette],TableauRecette[[#This Row],[Recette]],TableauRecette[Conditionnement],TableauRecette[[#This Row],[Conditionnement]]),0)</f>
        <v/>
      </c>
      <c r="I115">
        <f>IFERROR(TableauRecette[[#This Row],[Prix d''achat / kg]],0)</f>
        <v/>
      </c>
      <c r="L115">
        <f>_xlfn.XLOOKUP(TableauRecette[[#This Row],[ID]],TableauProduit[ID],TableauProduit[Total (kg) N1],0,0,1)*TableauRecette[[#This Row],[fraction mélange]]</f>
        <v/>
      </c>
      <c r="M115">
        <f>_xlfn.XLOOKUP(TableauRecette[[#This Row],[ID]],TableauProduit[ID],TableauProduit[Total (kg) N2],0,0,1)*TableauRecette[[#This Row],[fraction mélange]]</f>
        <v/>
      </c>
      <c r="N115">
        <f>_xlfn.XLOOKUP(TableauRecette[[#This Row],[ID]],TableauProduit[ID],TableauProduit[Total (kg) N3],0,0,1)*TableauRecette[[#This Row],[fraction mélange]]</f>
        <v/>
      </c>
      <c r="O115">
        <f>_xlfn.XLOOKUP(TableauRecette[[#This Row],[ID]],TableauProduit[ID],TableauProduit[Total (kg) N4],0,0,1)*TableauRecette[[#This Row],[fraction mélange]]</f>
        <v/>
      </c>
      <c r="P115">
        <f>_xlfn.XLOOKUP(TableauRecette[[#This Row],[ID]],TableauProduit[ID],TableauProduit[Total (kg) N5],0,0,1)*TableauRecette[[#This Row],[fraction mélange]]</f>
        <v/>
      </c>
      <c r="Q115">
        <f>_xlfn.XLOOKUP(TableauRecette[[#This Row],[ID]],TableauProduit[ID],TableauProduit[Total (kg) N6],0,0,1)*TableauRecette[[#This Row],[fraction mélange]]</f>
        <v/>
      </c>
      <c r="R115">
        <f>_xlfn.XLOOKUP(TableauRecette[[#This Row],[ID]],TableauProduit[ID],TableauProduit[Total (kg) N7],0,0,1)*TableauRecette[[#This Row],[fraction mélange]]</f>
        <v/>
      </c>
      <c r="S115">
        <f>_xlfn.XLOOKUP(TableauRecette[[#This Row],[ID]],TableauProduit[ID],TableauProduit[Total (kg) N8],0,0,1)*TableauRecette[[#This Row],[fraction mélange]]</f>
        <v/>
      </c>
      <c r="T115">
        <f>_xlfn.XLOOKUP(TableauRecette[[#This Row],[ID]],TableauProduit[ID],TableauProduit[Total (kg) N9],0,0,1)*TableauRecette[[#This Row],[fraction mélange]]</f>
        <v/>
      </c>
    </row>
    <row r="116">
      <c r="A116" t="inlineStr">
        <is>
          <t>Épices cajun</t>
        </is>
      </c>
      <c r="B116">
        <f>TableauRecette[[#This Row],[Recette]]&amp;TableauRecette[[#This Row],[Conditionnement]]</f>
        <v/>
      </c>
      <c r="C116" t="inlineStr">
        <is>
          <t>Piment Œil D'Oiseau</t>
        </is>
      </c>
      <c r="D116" t="n">
        <v>1</v>
      </c>
      <c r="E116" t="inlineStr">
        <is>
          <t>Epice 100ml</t>
        </is>
      </c>
      <c r="F11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6">
        <f>IFERROR(_xlfn.XLOOKUP(TableauRecette[[#This Row],[Ingredients]],TableauIngredients[Ingredients],TableauIngredients[Prix d''achat / kg],0)*TableauRecette[[#This Row],[fraction mélange]],0)</f>
        <v/>
      </c>
      <c r="H116">
        <f>IFERROR(SUMIFS(TableauRecette[Proportion],TableauRecette[Recette],TableauRecette[[#This Row],[Recette]],TableauRecette[Conditionnement],TableauRecette[[#This Row],[Conditionnement]]),0)</f>
        <v/>
      </c>
      <c r="I116">
        <f>IFERROR(TableauRecette[[#This Row],[Prix d''achat / kg]],0)</f>
        <v/>
      </c>
      <c r="L116">
        <f>_xlfn.XLOOKUP(TableauRecette[[#This Row],[ID]],TableauProduit[ID],TableauProduit[Total (kg) N1],0,0,1)*TableauRecette[[#This Row],[fraction mélange]]</f>
        <v/>
      </c>
      <c r="M116">
        <f>_xlfn.XLOOKUP(TableauRecette[[#This Row],[ID]],TableauProduit[ID],TableauProduit[Total (kg) N2],0,0,1)*TableauRecette[[#This Row],[fraction mélange]]</f>
        <v/>
      </c>
      <c r="N116">
        <f>_xlfn.XLOOKUP(TableauRecette[[#This Row],[ID]],TableauProduit[ID],TableauProduit[Total (kg) N3],0,0,1)*TableauRecette[[#This Row],[fraction mélange]]</f>
        <v/>
      </c>
      <c r="O116">
        <f>_xlfn.XLOOKUP(TableauRecette[[#This Row],[ID]],TableauProduit[ID],TableauProduit[Total (kg) N4],0,0,1)*TableauRecette[[#This Row],[fraction mélange]]</f>
        <v/>
      </c>
      <c r="P116">
        <f>_xlfn.XLOOKUP(TableauRecette[[#This Row],[ID]],TableauProduit[ID],TableauProduit[Total (kg) N5],0,0,1)*TableauRecette[[#This Row],[fraction mélange]]</f>
        <v/>
      </c>
      <c r="Q116">
        <f>_xlfn.XLOOKUP(TableauRecette[[#This Row],[ID]],TableauProduit[ID],TableauProduit[Total (kg) N6],0,0,1)*TableauRecette[[#This Row],[fraction mélange]]</f>
        <v/>
      </c>
      <c r="R116">
        <f>_xlfn.XLOOKUP(TableauRecette[[#This Row],[ID]],TableauProduit[ID],TableauProduit[Total (kg) N7],0,0,1)*TableauRecette[[#This Row],[fraction mélange]]</f>
        <v/>
      </c>
      <c r="S116">
        <f>_xlfn.XLOOKUP(TableauRecette[[#This Row],[ID]],TableauProduit[ID],TableauProduit[Total (kg) N8],0,0,1)*TableauRecette[[#This Row],[fraction mélange]]</f>
        <v/>
      </c>
      <c r="T116">
        <f>_xlfn.XLOOKUP(TableauRecette[[#This Row],[ID]],TableauProduit[ID],TableauProduit[Total (kg) N9],0,0,1)*TableauRecette[[#This Row],[fraction mélange]]</f>
        <v/>
      </c>
    </row>
    <row r="117">
      <c r="A117" t="inlineStr">
        <is>
          <t>Épices cajun</t>
        </is>
      </c>
      <c r="B117">
        <f>TableauRecette[[#This Row],[Recette]]&amp;TableauRecette[[#This Row],[Conditionnement]]</f>
        <v/>
      </c>
      <c r="C117" t="inlineStr">
        <is>
          <t>Poivre Noir</t>
        </is>
      </c>
      <c r="D117" t="n">
        <v>1</v>
      </c>
      <c r="E117" t="inlineStr">
        <is>
          <t>Epice 100ml</t>
        </is>
      </c>
      <c r="F1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7">
        <f>IFERROR(_xlfn.XLOOKUP(TableauRecette[[#This Row],[Ingredients]],TableauIngredients[Ingredients],TableauIngredients[Prix d''achat / kg],0)*TableauRecette[[#This Row],[fraction mélange]],0)</f>
        <v/>
      </c>
      <c r="H117">
        <f>IFERROR(SUMIFS(TableauRecette[Proportion],TableauRecette[Recette],TableauRecette[[#This Row],[Recette]],TableauRecette[Conditionnement],TableauRecette[[#This Row],[Conditionnement]]),0)</f>
        <v/>
      </c>
      <c r="I117">
        <f>IFERROR(TableauRecette[[#This Row],[Prix d''achat / kg]],0)</f>
        <v/>
      </c>
      <c r="L117">
        <f>_xlfn.XLOOKUP(TableauRecette[[#This Row],[ID]],TableauProduit[ID],TableauProduit[Total (kg) N1],0,0,1)*TableauRecette[[#This Row],[fraction mélange]]</f>
        <v/>
      </c>
      <c r="M117">
        <f>_xlfn.XLOOKUP(TableauRecette[[#This Row],[ID]],TableauProduit[ID],TableauProduit[Total (kg) N2],0,0,1)*TableauRecette[[#This Row],[fraction mélange]]</f>
        <v/>
      </c>
      <c r="N117">
        <f>_xlfn.XLOOKUP(TableauRecette[[#This Row],[ID]],TableauProduit[ID],TableauProduit[Total (kg) N3],0,0,1)*TableauRecette[[#This Row],[fraction mélange]]</f>
        <v/>
      </c>
      <c r="O117">
        <f>_xlfn.XLOOKUP(TableauRecette[[#This Row],[ID]],TableauProduit[ID],TableauProduit[Total (kg) N4],0,0,1)*TableauRecette[[#This Row],[fraction mélange]]</f>
        <v/>
      </c>
      <c r="P117">
        <f>_xlfn.XLOOKUP(TableauRecette[[#This Row],[ID]],TableauProduit[ID],TableauProduit[Total (kg) N5],0,0,1)*TableauRecette[[#This Row],[fraction mélange]]</f>
        <v/>
      </c>
      <c r="Q117">
        <f>_xlfn.XLOOKUP(TableauRecette[[#This Row],[ID]],TableauProduit[ID],TableauProduit[Total (kg) N6],0,0,1)*TableauRecette[[#This Row],[fraction mélange]]</f>
        <v/>
      </c>
      <c r="R117">
        <f>_xlfn.XLOOKUP(TableauRecette[[#This Row],[ID]],TableauProduit[ID],TableauProduit[Total (kg) N7],0,0,1)*TableauRecette[[#This Row],[fraction mélange]]</f>
        <v/>
      </c>
      <c r="S117">
        <f>_xlfn.XLOOKUP(TableauRecette[[#This Row],[ID]],TableauProduit[ID],TableauProduit[Total (kg) N8],0,0,1)*TableauRecette[[#This Row],[fraction mélange]]</f>
        <v/>
      </c>
      <c r="T117">
        <f>_xlfn.XLOOKUP(TableauRecette[[#This Row],[ID]],TableauProduit[ID],TableauProduit[Total (kg) N9],0,0,1)*TableauRecette[[#This Row],[fraction mélange]]</f>
        <v/>
      </c>
    </row>
    <row r="118">
      <c r="A118" t="inlineStr">
        <is>
          <t>Épices cajun</t>
        </is>
      </c>
      <c r="B118">
        <f>TableauRecette[[#This Row],[Recette]]&amp;TableauRecette[[#This Row],[Conditionnement]]</f>
        <v/>
      </c>
      <c r="C118" t="inlineStr">
        <is>
          <t>Graine De Moutarde</t>
        </is>
      </c>
      <c r="D118" t="n">
        <v>1</v>
      </c>
      <c r="E118" t="inlineStr">
        <is>
          <t>Epice 100ml</t>
        </is>
      </c>
      <c r="F11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8">
        <f>IFERROR(_xlfn.XLOOKUP(TableauRecette[[#This Row],[Ingredients]],TableauIngredients[Ingredients],TableauIngredients[Prix d''achat / kg],0)*TableauRecette[[#This Row],[fraction mélange]],0)</f>
        <v/>
      </c>
      <c r="H118">
        <f>IFERROR(SUMIFS(TableauRecette[Proportion],TableauRecette[Recette],TableauRecette[[#This Row],[Recette]],TableauRecette[Conditionnement],TableauRecette[[#This Row],[Conditionnement]]),0)</f>
        <v/>
      </c>
      <c r="I118">
        <f>IFERROR(TableauRecette[[#This Row],[Prix d''achat / kg]],0)</f>
        <v/>
      </c>
      <c r="L118">
        <f>_xlfn.XLOOKUP(TableauRecette[[#This Row],[ID]],TableauProduit[ID],TableauProduit[Total (kg) N1],0,0,1)*TableauRecette[[#This Row],[fraction mélange]]</f>
        <v/>
      </c>
      <c r="M118">
        <f>_xlfn.XLOOKUP(TableauRecette[[#This Row],[ID]],TableauProduit[ID],TableauProduit[Total (kg) N2],0,0,1)*TableauRecette[[#This Row],[fraction mélange]]</f>
        <v/>
      </c>
      <c r="N118">
        <f>_xlfn.XLOOKUP(TableauRecette[[#This Row],[ID]],TableauProduit[ID],TableauProduit[Total (kg) N3],0,0,1)*TableauRecette[[#This Row],[fraction mélange]]</f>
        <v/>
      </c>
      <c r="O118">
        <f>_xlfn.XLOOKUP(TableauRecette[[#This Row],[ID]],TableauProduit[ID],TableauProduit[Total (kg) N4],0,0,1)*TableauRecette[[#This Row],[fraction mélange]]</f>
        <v/>
      </c>
      <c r="P118">
        <f>_xlfn.XLOOKUP(TableauRecette[[#This Row],[ID]],TableauProduit[ID],TableauProduit[Total (kg) N5],0,0,1)*TableauRecette[[#This Row],[fraction mélange]]</f>
        <v/>
      </c>
      <c r="Q118">
        <f>_xlfn.XLOOKUP(TableauRecette[[#This Row],[ID]],TableauProduit[ID],TableauProduit[Total (kg) N6],0,0,1)*TableauRecette[[#This Row],[fraction mélange]]</f>
        <v/>
      </c>
      <c r="R118">
        <f>_xlfn.XLOOKUP(TableauRecette[[#This Row],[ID]],TableauProduit[ID],TableauProduit[Total (kg) N7],0,0,1)*TableauRecette[[#This Row],[fraction mélange]]</f>
        <v/>
      </c>
      <c r="S118">
        <f>_xlfn.XLOOKUP(TableauRecette[[#This Row],[ID]],TableauProduit[ID],TableauProduit[Total (kg) N8],0,0,1)*TableauRecette[[#This Row],[fraction mélange]]</f>
        <v/>
      </c>
      <c r="T118">
        <f>_xlfn.XLOOKUP(TableauRecette[[#This Row],[ID]],TableauProduit[ID],TableauProduit[Total (kg) N9],0,0,1)*TableauRecette[[#This Row],[fraction mélange]]</f>
        <v/>
      </c>
    </row>
    <row r="119">
      <c r="A119" t="inlineStr">
        <is>
          <t>Épices cajun</t>
        </is>
      </c>
      <c r="B119">
        <f>TableauRecette[[#This Row],[Recette]]&amp;TableauRecette[[#This Row],[Conditionnement]]</f>
        <v/>
      </c>
      <c r="C119" t="inlineStr">
        <is>
          <t>Sel</t>
        </is>
      </c>
      <c r="D119" t="n">
        <v>1</v>
      </c>
      <c r="E119" t="inlineStr">
        <is>
          <t>Epice 100ml</t>
        </is>
      </c>
      <c r="F1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9">
        <f>IFERROR(_xlfn.XLOOKUP(TableauRecette[[#This Row],[Ingredients]],TableauIngredients[Ingredients],TableauIngredients[Prix d''achat / kg],0)*TableauRecette[[#This Row],[fraction mélange]],0)</f>
        <v/>
      </c>
      <c r="H119">
        <f>IFERROR(SUMIFS(TableauRecette[Proportion],TableauRecette[Recette],TableauRecette[[#This Row],[Recette]],TableauRecette[Conditionnement],TableauRecette[[#This Row],[Conditionnement]]),0)</f>
        <v/>
      </c>
      <c r="I119">
        <f>IFERROR(TableauRecette[[#This Row],[Prix d''achat / kg]],0)</f>
        <v/>
      </c>
      <c r="L119">
        <f>_xlfn.XLOOKUP(TableauRecette[[#This Row],[ID]],TableauProduit[ID],TableauProduit[Total (kg) N1],0,0,1)*TableauRecette[[#This Row],[fraction mélange]]</f>
        <v/>
      </c>
      <c r="M119">
        <f>_xlfn.XLOOKUP(TableauRecette[[#This Row],[ID]],TableauProduit[ID],TableauProduit[Total (kg) N2],0,0,1)*TableauRecette[[#This Row],[fraction mélange]]</f>
        <v/>
      </c>
      <c r="N119">
        <f>_xlfn.XLOOKUP(TableauRecette[[#This Row],[ID]],TableauProduit[ID],TableauProduit[Total (kg) N3],0,0,1)*TableauRecette[[#This Row],[fraction mélange]]</f>
        <v/>
      </c>
      <c r="O119">
        <f>_xlfn.XLOOKUP(TableauRecette[[#This Row],[ID]],TableauProduit[ID],TableauProduit[Total (kg) N4],0,0,1)*TableauRecette[[#This Row],[fraction mélange]]</f>
        <v/>
      </c>
      <c r="P119">
        <f>_xlfn.XLOOKUP(TableauRecette[[#This Row],[ID]],TableauProduit[ID],TableauProduit[Total (kg) N5],0,0,1)*TableauRecette[[#This Row],[fraction mélange]]</f>
        <v/>
      </c>
      <c r="Q119">
        <f>_xlfn.XLOOKUP(TableauRecette[[#This Row],[ID]],TableauProduit[ID],TableauProduit[Total (kg) N6],0,0,1)*TableauRecette[[#This Row],[fraction mélange]]</f>
        <v/>
      </c>
      <c r="R119">
        <f>_xlfn.XLOOKUP(TableauRecette[[#This Row],[ID]],TableauProduit[ID],TableauProduit[Total (kg) N7],0,0,1)*TableauRecette[[#This Row],[fraction mélange]]</f>
        <v/>
      </c>
      <c r="S119">
        <f>_xlfn.XLOOKUP(TableauRecette[[#This Row],[ID]],TableauProduit[ID],TableauProduit[Total (kg) N8],0,0,1)*TableauRecette[[#This Row],[fraction mélange]]</f>
        <v/>
      </c>
      <c r="T119">
        <f>_xlfn.XLOOKUP(TableauRecette[[#This Row],[ID]],TableauProduit[ID],TableauProduit[Total (kg) N9],0,0,1)*TableauRecette[[#This Row],[fraction mélange]]</f>
        <v/>
      </c>
    </row>
    <row r="120">
      <c r="A120" t="inlineStr">
        <is>
          <t>Épices cajun</t>
        </is>
      </c>
      <c r="B120">
        <f>TableauRecette[[#This Row],[Recette]]&amp;TableauRecette[[#This Row],[Conditionnement]]</f>
        <v/>
      </c>
      <c r="C120" t="inlineStr">
        <is>
          <t>Ail Sec</t>
        </is>
      </c>
      <c r="D120" t="n">
        <v>1</v>
      </c>
      <c r="E120" t="inlineStr">
        <is>
          <t>Epice 100ml</t>
        </is>
      </c>
      <c r="F12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0">
        <f>IFERROR(_xlfn.XLOOKUP(TableauRecette[[#This Row],[Ingredients]],TableauIngredients[Ingredients],TableauIngredients[Prix d''achat / kg],0)*TableauRecette[[#This Row],[fraction mélange]],0)</f>
        <v/>
      </c>
      <c r="H120">
        <f>IFERROR(SUMIFS(TableauRecette[Proportion],TableauRecette[Recette],TableauRecette[[#This Row],[Recette]],TableauRecette[Conditionnement],TableauRecette[[#This Row],[Conditionnement]]),0)</f>
        <v/>
      </c>
      <c r="I120">
        <f>IFERROR(TableauRecette[[#This Row],[Prix d''achat / kg]],0)</f>
        <v/>
      </c>
      <c r="K120" t="inlineStr">
        <is>
          <t>SEC</t>
        </is>
      </c>
      <c r="L120">
        <f>_xlfn.XLOOKUP(TableauRecette[[#This Row],[ID]],TableauProduit[ID],TableauProduit[Total (kg) N1],0,0,1)*TableauRecette[[#This Row],[fraction mélange]]</f>
        <v/>
      </c>
      <c r="M120">
        <f>_xlfn.XLOOKUP(TableauRecette[[#This Row],[ID]],TableauProduit[ID],TableauProduit[Total (kg) N2],0,0,1)*TableauRecette[[#This Row],[fraction mélange]]</f>
        <v/>
      </c>
      <c r="N120">
        <f>_xlfn.XLOOKUP(TableauRecette[[#This Row],[ID]],TableauProduit[ID],TableauProduit[Total (kg) N3],0,0,1)*TableauRecette[[#This Row],[fraction mélange]]</f>
        <v/>
      </c>
      <c r="O120">
        <f>_xlfn.XLOOKUP(TableauRecette[[#This Row],[ID]],TableauProduit[ID],TableauProduit[Total (kg) N4],0,0,1)*TableauRecette[[#This Row],[fraction mélange]]</f>
        <v/>
      </c>
      <c r="P120">
        <f>_xlfn.XLOOKUP(TableauRecette[[#This Row],[ID]],TableauProduit[ID],TableauProduit[Total (kg) N5],0,0,1)*TableauRecette[[#This Row],[fraction mélange]]</f>
        <v/>
      </c>
      <c r="Q120">
        <f>_xlfn.XLOOKUP(TableauRecette[[#This Row],[ID]],TableauProduit[ID],TableauProduit[Total (kg) N6],0,0,1)*TableauRecette[[#This Row],[fraction mélange]]</f>
        <v/>
      </c>
      <c r="R120">
        <f>_xlfn.XLOOKUP(TableauRecette[[#This Row],[ID]],TableauProduit[ID],TableauProduit[Total (kg) N7],0,0,1)*TableauRecette[[#This Row],[fraction mélange]]</f>
        <v/>
      </c>
      <c r="S120">
        <f>_xlfn.XLOOKUP(TableauRecette[[#This Row],[ID]],TableauProduit[ID],TableauProduit[Total (kg) N8],0,0,1)*TableauRecette[[#This Row],[fraction mélange]]</f>
        <v/>
      </c>
      <c r="T120">
        <f>_xlfn.XLOOKUP(TableauRecette[[#This Row],[ID]],TableauProduit[ID],TableauProduit[Total (kg) N9],0,0,1)*TableauRecette[[#This Row],[fraction mélange]]</f>
        <v/>
      </c>
    </row>
    <row r="121">
      <c r="A121" t="inlineStr">
        <is>
          <t>Épices guacamole</t>
        </is>
      </c>
      <c r="B121">
        <f>TableauRecette[[#This Row],[Recette]]&amp;TableauRecette[[#This Row],[Conditionnement]]</f>
        <v/>
      </c>
      <c r="C121" t="inlineStr">
        <is>
          <t>Piment De Cayenne Rouge SEC</t>
        </is>
      </c>
      <c r="D121" t="n">
        <v>1</v>
      </c>
      <c r="E121" t="inlineStr">
        <is>
          <t>Epice 100ml</t>
        </is>
      </c>
      <c r="F12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1">
        <f>IFERROR(_xlfn.XLOOKUP(TableauRecette[[#This Row],[Ingredients]],TableauIngredients[Ingredients],TableauIngredients[Prix d''achat / kg],0)*TableauRecette[[#This Row],[fraction mélange]],0)</f>
        <v/>
      </c>
      <c r="H121">
        <f>IFERROR(SUMIFS(TableauRecette[Proportion],TableauRecette[Recette],TableauRecette[[#This Row],[Recette]],TableauRecette[Conditionnement],TableauRecette[[#This Row],[Conditionnement]]),0)</f>
        <v/>
      </c>
      <c r="I121">
        <f>IFERROR(TableauRecette[[#This Row],[Prix d''achat / kg]],0)</f>
        <v/>
      </c>
      <c r="K121" t="inlineStr">
        <is>
          <t>SEC</t>
        </is>
      </c>
      <c r="L121">
        <f>_xlfn.XLOOKUP(TableauRecette[[#This Row],[ID]],TableauProduit[ID],TableauProduit[Total (kg) N1],0,0,1)*TableauRecette[[#This Row],[fraction mélange]]</f>
        <v/>
      </c>
      <c r="M121">
        <f>_xlfn.XLOOKUP(TableauRecette[[#This Row],[ID]],TableauProduit[ID],TableauProduit[Total (kg) N2],0,0,1)*TableauRecette[[#This Row],[fraction mélange]]</f>
        <v/>
      </c>
      <c r="N121">
        <f>_xlfn.XLOOKUP(TableauRecette[[#This Row],[ID]],TableauProduit[ID],TableauProduit[Total (kg) N3],0,0,1)*TableauRecette[[#This Row],[fraction mélange]]</f>
        <v/>
      </c>
      <c r="O121">
        <f>_xlfn.XLOOKUP(TableauRecette[[#This Row],[ID]],TableauProduit[ID],TableauProduit[Total (kg) N4],0,0,1)*TableauRecette[[#This Row],[fraction mélange]]</f>
        <v/>
      </c>
      <c r="P121">
        <f>_xlfn.XLOOKUP(TableauRecette[[#This Row],[ID]],TableauProduit[ID],TableauProduit[Total (kg) N5],0,0,1)*TableauRecette[[#This Row],[fraction mélange]]</f>
        <v/>
      </c>
      <c r="Q121">
        <f>_xlfn.XLOOKUP(TableauRecette[[#This Row],[ID]],TableauProduit[ID],TableauProduit[Total (kg) N6],0,0,1)*TableauRecette[[#This Row],[fraction mélange]]</f>
        <v/>
      </c>
      <c r="R121">
        <f>_xlfn.XLOOKUP(TableauRecette[[#This Row],[ID]],TableauProduit[ID],TableauProduit[Total (kg) N7],0,0,1)*TableauRecette[[#This Row],[fraction mélange]]</f>
        <v/>
      </c>
      <c r="S121">
        <f>_xlfn.XLOOKUP(TableauRecette[[#This Row],[ID]],TableauProduit[ID],TableauProduit[Total (kg) N8],0,0,1)*TableauRecette[[#This Row],[fraction mélange]]</f>
        <v/>
      </c>
      <c r="T121">
        <f>_xlfn.XLOOKUP(TableauRecette[[#This Row],[ID]],TableauProduit[ID],TableauProduit[Total (kg) N9],0,0,1)*TableauRecette[[#This Row],[fraction mélange]]</f>
        <v/>
      </c>
    </row>
    <row r="122">
      <c r="A122" t="inlineStr">
        <is>
          <t>Épices guacamole</t>
        </is>
      </c>
      <c r="B122">
        <f>TableauRecette[[#This Row],[Recette]]&amp;TableauRecette[[#This Row],[Conditionnement]]</f>
        <v/>
      </c>
      <c r="C122" t="inlineStr">
        <is>
          <t>Coriandre Moulue</t>
        </is>
      </c>
      <c r="D122" t="n">
        <v>1</v>
      </c>
      <c r="E122" t="inlineStr">
        <is>
          <t>Epice 100ml</t>
        </is>
      </c>
      <c r="F1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2">
        <f>IFERROR(_xlfn.XLOOKUP(TableauRecette[[#This Row],[Ingredients]],TableauIngredients[Ingredients],TableauIngredients[Prix d''achat / kg],0)*TableauRecette[[#This Row],[fraction mélange]],0)</f>
        <v/>
      </c>
      <c r="H122">
        <f>IFERROR(SUMIFS(TableauRecette[Proportion],TableauRecette[Recette],TableauRecette[[#This Row],[Recette]],TableauRecette[Conditionnement],TableauRecette[[#This Row],[Conditionnement]]),0)</f>
        <v/>
      </c>
      <c r="I122">
        <f>IFERROR(TableauRecette[[#This Row],[Prix d''achat / kg]],0)</f>
        <v/>
      </c>
      <c r="L122">
        <f>_xlfn.XLOOKUP(TableauRecette[[#This Row],[ID]],TableauProduit[ID],TableauProduit[Total (kg) N1],0,0,1)*TableauRecette[[#This Row],[fraction mélange]]</f>
        <v/>
      </c>
      <c r="M122">
        <f>_xlfn.XLOOKUP(TableauRecette[[#This Row],[ID]],TableauProduit[ID],TableauProduit[Total (kg) N2],0,0,1)*TableauRecette[[#This Row],[fraction mélange]]</f>
        <v/>
      </c>
      <c r="N122">
        <f>_xlfn.XLOOKUP(TableauRecette[[#This Row],[ID]],TableauProduit[ID],TableauProduit[Total (kg) N3],0,0,1)*TableauRecette[[#This Row],[fraction mélange]]</f>
        <v/>
      </c>
      <c r="O122">
        <f>_xlfn.XLOOKUP(TableauRecette[[#This Row],[ID]],TableauProduit[ID],TableauProduit[Total (kg) N4],0,0,1)*TableauRecette[[#This Row],[fraction mélange]]</f>
        <v/>
      </c>
      <c r="P122">
        <f>_xlfn.XLOOKUP(TableauRecette[[#This Row],[ID]],TableauProduit[ID],TableauProduit[Total (kg) N5],0,0,1)*TableauRecette[[#This Row],[fraction mélange]]</f>
        <v/>
      </c>
      <c r="Q122">
        <f>_xlfn.XLOOKUP(TableauRecette[[#This Row],[ID]],TableauProduit[ID],TableauProduit[Total (kg) N6],0,0,1)*TableauRecette[[#This Row],[fraction mélange]]</f>
        <v/>
      </c>
      <c r="R122">
        <f>_xlfn.XLOOKUP(TableauRecette[[#This Row],[ID]],TableauProduit[ID],TableauProduit[Total (kg) N7],0,0,1)*TableauRecette[[#This Row],[fraction mélange]]</f>
        <v/>
      </c>
      <c r="S122">
        <f>_xlfn.XLOOKUP(TableauRecette[[#This Row],[ID]],TableauProduit[ID],TableauProduit[Total (kg) N8],0,0,1)*TableauRecette[[#This Row],[fraction mélange]]</f>
        <v/>
      </c>
      <c r="T122">
        <f>_xlfn.XLOOKUP(TableauRecette[[#This Row],[ID]],TableauProduit[ID],TableauProduit[Total (kg) N9],0,0,1)*TableauRecette[[#This Row],[fraction mélange]]</f>
        <v/>
      </c>
    </row>
    <row r="123">
      <c r="A123" t="inlineStr">
        <is>
          <t>Épices guacamole</t>
        </is>
      </c>
      <c r="B123">
        <f>TableauRecette[[#This Row],[Recette]]&amp;TableauRecette[[#This Row],[Conditionnement]]</f>
        <v/>
      </c>
      <c r="C123" t="inlineStr">
        <is>
          <t>Persil</t>
        </is>
      </c>
      <c r="D123" t="n">
        <v>1</v>
      </c>
      <c r="E123" t="inlineStr">
        <is>
          <t>Epice 100ml</t>
        </is>
      </c>
      <c r="F1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3">
        <f>IFERROR(_xlfn.XLOOKUP(TableauRecette[[#This Row],[Ingredients]],TableauIngredients[Ingredients],TableauIngredients[Prix d''achat / kg],0)*TableauRecette[[#This Row],[fraction mélange]],0)</f>
        <v/>
      </c>
      <c r="H123">
        <f>IFERROR(SUMIFS(TableauRecette[Proportion],TableauRecette[Recette],TableauRecette[[#This Row],[Recette]],TableauRecette[Conditionnement],TableauRecette[[#This Row],[Conditionnement]]),0)</f>
        <v/>
      </c>
      <c r="I123">
        <f>IFERROR(TableauRecette[[#This Row],[Prix d''achat / kg]],0)</f>
        <v/>
      </c>
      <c r="L123">
        <f>_xlfn.XLOOKUP(TableauRecette[[#This Row],[ID]],TableauProduit[ID],TableauProduit[Total (kg) N1],0,0,1)*TableauRecette[[#This Row],[fraction mélange]]</f>
        <v/>
      </c>
      <c r="M123">
        <f>_xlfn.XLOOKUP(TableauRecette[[#This Row],[ID]],TableauProduit[ID],TableauProduit[Total (kg) N2],0,0,1)*TableauRecette[[#This Row],[fraction mélange]]</f>
        <v/>
      </c>
      <c r="N123">
        <f>_xlfn.XLOOKUP(TableauRecette[[#This Row],[ID]],TableauProduit[ID],TableauProduit[Total (kg) N3],0,0,1)*TableauRecette[[#This Row],[fraction mélange]]</f>
        <v/>
      </c>
      <c r="O123">
        <f>_xlfn.XLOOKUP(TableauRecette[[#This Row],[ID]],TableauProduit[ID],TableauProduit[Total (kg) N4],0,0,1)*TableauRecette[[#This Row],[fraction mélange]]</f>
        <v/>
      </c>
      <c r="P123">
        <f>_xlfn.XLOOKUP(TableauRecette[[#This Row],[ID]],TableauProduit[ID],TableauProduit[Total (kg) N5],0,0,1)*TableauRecette[[#This Row],[fraction mélange]]</f>
        <v/>
      </c>
      <c r="Q123">
        <f>_xlfn.XLOOKUP(TableauRecette[[#This Row],[ID]],TableauProduit[ID],TableauProduit[Total (kg) N6],0,0,1)*TableauRecette[[#This Row],[fraction mélange]]</f>
        <v/>
      </c>
      <c r="R123">
        <f>_xlfn.XLOOKUP(TableauRecette[[#This Row],[ID]],TableauProduit[ID],TableauProduit[Total (kg) N7],0,0,1)*TableauRecette[[#This Row],[fraction mélange]]</f>
        <v/>
      </c>
      <c r="S123">
        <f>_xlfn.XLOOKUP(TableauRecette[[#This Row],[ID]],TableauProduit[ID],TableauProduit[Total (kg) N8],0,0,1)*TableauRecette[[#This Row],[fraction mélange]]</f>
        <v/>
      </c>
      <c r="T123">
        <f>_xlfn.XLOOKUP(TableauRecette[[#This Row],[ID]],TableauProduit[ID],TableauProduit[Total (kg) N9],0,0,1)*TableauRecette[[#This Row],[fraction mélange]]</f>
        <v/>
      </c>
    </row>
    <row r="124">
      <c r="A124" t="inlineStr">
        <is>
          <t>Épices guacamole</t>
        </is>
      </c>
      <c r="B124">
        <f>TableauRecette[[#This Row],[Recette]]&amp;TableauRecette[[#This Row],[Conditionnement]]</f>
        <v/>
      </c>
      <c r="C124" t="inlineStr">
        <is>
          <t>Muscade</t>
        </is>
      </c>
      <c r="D124" t="n">
        <v>1</v>
      </c>
      <c r="E124" t="inlineStr">
        <is>
          <t>Epice 100ml</t>
        </is>
      </c>
      <c r="F1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4">
        <f>IFERROR(_xlfn.XLOOKUP(TableauRecette[[#This Row],[Ingredients]],TableauIngredients[Ingredients],TableauIngredients[Prix d''achat / kg],0)*TableauRecette[[#This Row],[fraction mélange]],0)</f>
        <v/>
      </c>
      <c r="H124">
        <f>IFERROR(SUMIFS(TableauRecette[Proportion],TableauRecette[Recette],TableauRecette[[#This Row],[Recette]],TableauRecette[Conditionnement],TableauRecette[[#This Row],[Conditionnement]]),0)</f>
        <v/>
      </c>
      <c r="I124">
        <f>IFERROR(TableauRecette[[#This Row],[Prix d''achat / kg]],0)</f>
        <v/>
      </c>
      <c r="L124">
        <f>_xlfn.XLOOKUP(TableauRecette[[#This Row],[ID]],TableauProduit[ID],TableauProduit[Total (kg) N1],0,0,1)*TableauRecette[[#This Row],[fraction mélange]]</f>
        <v/>
      </c>
      <c r="M124">
        <f>_xlfn.XLOOKUP(TableauRecette[[#This Row],[ID]],TableauProduit[ID],TableauProduit[Total (kg) N2],0,0,1)*TableauRecette[[#This Row],[fraction mélange]]</f>
        <v/>
      </c>
      <c r="N124">
        <f>_xlfn.XLOOKUP(TableauRecette[[#This Row],[ID]],TableauProduit[ID],TableauProduit[Total (kg) N3],0,0,1)*TableauRecette[[#This Row],[fraction mélange]]</f>
        <v/>
      </c>
      <c r="O124">
        <f>_xlfn.XLOOKUP(TableauRecette[[#This Row],[ID]],TableauProduit[ID],TableauProduit[Total (kg) N4],0,0,1)*TableauRecette[[#This Row],[fraction mélange]]</f>
        <v/>
      </c>
      <c r="P124">
        <f>_xlfn.XLOOKUP(TableauRecette[[#This Row],[ID]],TableauProduit[ID],TableauProduit[Total (kg) N5],0,0,1)*TableauRecette[[#This Row],[fraction mélange]]</f>
        <v/>
      </c>
      <c r="Q124">
        <f>_xlfn.XLOOKUP(TableauRecette[[#This Row],[ID]],TableauProduit[ID],TableauProduit[Total (kg) N6],0,0,1)*TableauRecette[[#This Row],[fraction mélange]]</f>
        <v/>
      </c>
      <c r="R124">
        <f>_xlfn.XLOOKUP(TableauRecette[[#This Row],[ID]],TableauProduit[ID],TableauProduit[Total (kg) N7],0,0,1)*TableauRecette[[#This Row],[fraction mélange]]</f>
        <v/>
      </c>
      <c r="S124">
        <f>_xlfn.XLOOKUP(TableauRecette[[#This Row],[ID]],TableauProduit[ID],TableauProduit[Total (kg) N8],0,0,1)*TableauRecette[[#This Row],[fraction mélange]]</f>
        <v/>
      </c>
      <c r="T124">
        <f>_xlfn.XLOOKUP(TableauRecette[[#This Row],[ID]],TableauProduit[ID],TableauProduit[Total (kg) N9],0,0,1)*TableauRecette[[#This Row],[fraction mélange]]</f>
        <v/>
      </c>
    </row>
    <row r="125">
      <c r="A125" t="inlineStr">
        <is>
          <t>Épices guacamole</t>
        </is>
      </c>
      <c r="B125">
        <f>TableauRecette[[#This Row],[Recette]]&amp;TableauRecette[[#This Row],[Conditionnement]]</f>
        <v/>
      </c>
      <c r="C125" t="inlineStr">
        <is>
          <t>Cumin Moulu</t>
        </is>
      </c>
      <c r="D125" t="n">
        <v>1</v>
      </c>
      <c r="E125" t="inlineStr">
        <is>
          <t>Epice 100ml</t>
        </is>
      </c>
      <c r="F12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5">
        <f>IFERROR(_xlfn.XLOOKUP(TableauRecette[[#This Row],[Ingredients]],TableauIngredients[Ingredients],TableauIngredients[Prix d''achat / kg],0)*TableauRecette[[#This Row],[fraction mélange]],0)</f>
        <v/>
      </c>
      <c r="H125">
        <f>IFERROR(SUMIFS(TableauRecette[Proportion],TableauRecette[Recette],TableauRecette[[#This Row],[Recette]],TableauRecette[Conditionnement],TableauRecette[[#This Row],[Conditionnement]]),0)</f>
        <v/>
      </c>
      <c r="I125">
        <f>IFERROR(TableauRecette[[#This Row],[Prix d''achat / kg]],0)</f>
        <v/>
      </c>
      <c r="L125">
        <f>_xlfn.XLOOKUP(TableauRecette[[#This Row],[ID]],TableauProduit[ID],TableauProduit[Total (kg) N1],0,0,1)*TableauRecette[[#This Row],[fraction mélange]]</f>
        <v/>
      </c>
      <c r="M125">
        <f>_xlfn.XLOOKUP(TableauRecette[[#This Row],[ID]],TableauProduit[ID],TableauProduit[Total (kg) N2],0,0,1)*TableauRecette[[#This Row],[fraction mélange]]</f>
        <v/>
      </c>
      <c r="N125">
        <f>_xlfn.XLOOKUP(TableauRecette[[#This Row],[ID]],TableauProduit[ID],TableauProduit[Total (kg) N3],0,0,1)*TableauRecette[[#This Row],[fraction mélange]]</f>
        <v/>
      </c>
      <c r="O125">
        <f>_xlfn.XLOOKUP(TableauRecette[[#This Row],[ID]],TableauProduit[ID],TableauProduit[Total (kg) N4],0,0,1)*TableauRecette[[#This Row],[fraction mélange]]</f>
        <v/>
      </c>
      <c r="P125">
        <f>_xlfn.XLOOKUP(TableauRecette[[#This Row],[ID]],TableauProduit[ID],TableauProduit[Total (kg) N5],0,0,1)*TableauRecette[[#This Row],[fraction mélange]]</f>
        <v/>
      </c>
      <c r="Q125">
        <f>_xlfn.XLOOKUP(TableauRecette[[#This Row],[ID]],TableauProduit[ID],TableauProduit[Total (kg) N6],0,0,1)*TableauRecette[[#This Row],[fraction mélange]]</f>
        <v/>
      </c>
      <c r="R125">
        <f>_xlfn.XLOOKUP(TableauRecette[[#This Row],[ID]],TableauProduit[ID],TableauProduit[Total (kg) N7],0,0,1)*TableauRecette[[#This Row],[fraction mélange]]</f>
        <v/>
      </c>
      <c r="S125">
        <f>_xlfn.XLOOKUP(TableauRecette[[#This Row],[ID]],TableauProduit[ID],TableauProduit[Total (kg) N8],0,0,1)*TableauRecette[[#This Row],[fraction mélange]]</f>
        <v/>
      </c>
      <c r="T125">
        <f>_xlfn.XLOOKUP(TableauRecette[[#This Row],[ID]],TableauProduit[ID],TableauProduit[Total (kg) N9],0,0,1)*TableauRecette[[#This Row],[fraction mélange]]</f>
        <v/>
      </c>
    </row>
    <row r="126">
      <c r="A126" t="inlineStr">
        <is>
          <t>Épices guacamole</t>
        </is>
      </c>
      <c r="B126">
        <f>TableauRecette[[#This Row],[Recette]]&amp;TableauRecette[[#This Row],[Conditionnement]]</f>
        <v/>
      </c>
      <c r="C126" t="inlineStr">
        <is>
          <t>Sel</t>
        </is>
      </c>
      <c r="D126" t="n">
        <v>0.5</v>
      </c>
      <c r="E126" t="inlineStr">
        <is>
          <t>Epice 100ml</t>
        </is>
      </c>
      <c r="F12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6">
        <f>IFERROR(_xlfn.XLOOKUP(TableauRecette[[#This Row],[Ingredients]],TableauIngredients[Ingredients],TableauIngredients[Prix d''achat / kg],0)*TableauRecette[[#This Row],[fraction mélange]],0)</f>
        <v/>
      </c>
      <c r="H126">
        <f>IFERROR(SUMIFS(TableauRecette[Proportion],TableauRecette[Recette],TableauRecette[[#This Row],[Recette]],TableauRecette[Conditionnement],TableauRecette[[#This Row],[Conditionnement]]),0)</f>
        <v/>
      </c>
      <c r="I126">
        <f>IFERROR(TableauRecette[[#This Row],[Prix d''achat / kg]],0)</f>
        <v/>
      </c>
      <c r="L126">
        <f>_xlfn.XLOOKUP(TableauRecette[[#This Row],[ID]],TableauProduit[ID],TableauProduit[Total (kg) N1],0,0,1)*TableauRecette[[#This Row],[fraction mélange]]</f>
        <v/>
      </c>
      <c r="M126">
        <f>_xlfn.XLOOKUP(TableauRecette[[#This Row],[ID]],TableauProduit[ID],TableauProduit[Total (kg) N2],0,0,1)*TableauRecette[[#This Row],[fraction mélange]]</f>
        <v/>
      </c>
      <c r="N126">
        <f>_xlfn.XLOOKUP(TableauRecette[[#This Row],[ID]],TableauProduit[ID],TableauProduit[Total (kg) N3],0,0,1)*TableauRecette[[#This Row],[fraction mélange]]</f>
        <v/>
      </c>
      <c r="O126">
        <f>_xlfn.XLOOKUP(TableauRecette[[#This Row],[ID]],TableauProduit[ID],TableauProduit[Total (kg) N4],0,0,1)*TableauRecette[[#This Row],[fraction mélange]]</f>
        <v/>
      </c>
      <c r="P126">
        <f>_xlfn.XLOOKUP(TableauRecette[[#This Row],[ID]],TableauProduit[ID],TableauProduit[Total (kg) N5],0,0,1)*TableauRecette[[#This Row],[fraction mélange]]</f>
        <v/>
      </c>
      <c r="Q126">
        <f>_xlfn.XLOOKUP(TableauRecette[[#This Row],[ID]],TableauProduit[ID],TableauProduit[Total (kg) N6],0,0,1)*TableauRecette[[#This Row],[fraction mélange]]</f>
        <v/>
      </c>
      <c r="R126">
        <f>_xlfn.XLOOKUP(TableauRecette[[#This Row],[ID]],TableauProduit[ID],TableauProduit[Total (kg) N7],0,0,1)*TableauRecette[[#This Row],[fraction mélange]]</f>
        <v/>
      </c>
      <c r="S126">
        <f>_xlfn.XLOOKUP(TableauRecette[[#This Row],[ID]],TableauProduit[ID],TableauProduit[Total (kg) N8],0,0,1)*TableauRecette[[#This Row],[fraction mélange]]</f>
        <v/>
      </c>
      <c r="T126">
        <f>_xlfn.XLOOKUP(TableauRecette[[#This Row],[ID]],TableauProduit[ID],TableauProduit[Total (kg) N9],0,0,1)*TableauRecette[[#This Row],[fraction mélange]]</f>
        <v/>
      </c>
    </row>
    <row r="127">
      <c r="A127" t="inlineStr">
        <is>
          <t>Épices guacamole</t>
        </is>
      </c>
      <c r="B127">
        <f>TableauRecette[[#This Row],[Recette]]&amp;TableauRecette[[#This Row],[Conditionnement]]</f>
        <v/>
      </c>
      <c r="C127" t="inlineStr">
        <is>
          <t>Ail Sec</t>
        </is>
      </c>
      <c r="D127" t="n">
        <v>1</v>
      </c>
      <c r="E127" t="inlineStr">
        <is>
          <t>Epice 100ml</t>
        </is>
      </c>
      <c r="F1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7">
        <f>IFERROR(_xlfn.XLOOKUP(TableauRecette[[#This Row],[Ingredients]],TableauIngredients[Ingredients],TableauIngredients[Prix d''achat / kg],0)*TableauRecette[[#This Row],[fraction mélange]],0)</f>
        <v/>
      </c>
      <c r="H127">
        <f>IFERROR(SUMIFS(TableauRecette[Proportion],TableauRecette[Recette],TableauRecette[[#This Row],[Recette]],TableauRecette[Conditionnement],TableauRecette[[#This Row],[Conditionnement]]),0)</f>
        <v/>
      </c>
      <c r="I127">
        <f>IFERROR(TableauRecette[[#This Row],[Prix d''achat / kg]],0)</f>
        <v/>
      </c>
      <c r="K127" t="inlineStr">
        <is>
          <t>SEC</t>
        </is>
      </c>
      <c r="L127">
        <f>_xlfn.XLOOKUP(TableauRecette[[#This Row],[ID]],TableauProduit[ID],TableauProduit[Total (kg) N1],0,0,1)*TableauRecette[[#This Row],[fraction mélange]]</f>
        <v/>
      </c>
      <c r="M127">
        <f>_xlfn.XLOOKUP(TableauRecette[[#This Row],[ID]],TableauProduit[ID],TableauProduit[Total (kg) N2],0,0,1)*TableauRecette[[#This Row],[fraction mélange]]</f>
        <v/>
      </c>
      <c r="N127">
        <f>_xlfn.XLOOKUP(TableauRecette[[#This Row],[ID]],TableauProduit[ID],TableauProduit[Total (kg) N3],0,0,1)*TableauRecette[[#This Row],[fraction mélange]]</f>
        <v/>
      </c>
      <c r="O127">
        <f>_xlfn.XLOOKUP(TableauRecette[[#This Row],[ID]],TableauProduit[ID],TableauProduit[Total (kg) N4],0,0,1)*TableauRecette[[#This Row],[fraction mélange]]</f>
        <v/>
      </c>
      <c r="P127">
        <f>_xlfn.XLOOKUP(TableauRecette[[#This Row],[ID]],TableauProduit[ID],TableauProduit[Total (kg) N5],0,0,1)*TableauRecette[[#This Row],[fraction mélange]]</f>
        <v/>
      </c>
      <c r="Q127">
        <f>_xlfn.XLOOKUP(TableauRecette[[#This Row],[ID]],TableauProduit[ID],TableauProduit[Total (kg) N6],0,0,1)*TableauRecette[[#This Row],[fraction mélange]]</f>
        <v/>
      </c>
      <c r="R127">
        <f>_xlfn.XLOOKUP(TableauRecette[[#This Row],[ID]],TableauProduit[ID],TableauProduit[Total (kg) N7],0,0,1)*TableauRecette[[#This Row],[fraction mélange]]</f>
        <v/>
      </c>
      <c r="S127">
        <f>_xlfn.XLOOKUP(TableauRecette[[#This Row],[ID]],TableauProduit[ID],TableauProduit[Total (kg) N8],0,0,1)*TableauRecette[[#This Row],[fraction mélange]]</f>
        <v/>
      </c>
      <c r="T127">
        <f>_xlfn.XLOOKUP(TableauRecette[[#This Row],[ID]],TableauProduit[ID],TableauProduit[Total (kg) N9],0,0,1)*TableauRecette[[#This Row],[fraction mélange]]</f>
        <v/>
      </c>
    </row>
    <row r="128">
      <c r="A128" t="inlineStr">
        <is>
          <t>Épices poissons et fruits de mer</t>
        </is>
      </c>
      <c r="B128">
        <f>TableauRecette[[#This Row],[Recette]]&amp;TableauRecette[[#This Row],[Conditionnement]]</f>
        <v/>
      </c>
      <c r="C128" t="inlineStr">
        <is>
          <t>Paprika Fumé</t>
        </is>
      </c>
      <c r="D128" t="n">
        <v>2</v>
      </c>
      <c r="E128" t="inlineStr">
        <is>
          <t>Epice 100ml</t>
        </is>
      </c>
      <c r="F12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8">
        <f>IFERROR(_xlfn.XLOOKUP(TableauRecette[[#This Row],[Ingredients]],TableauIngredients[Ingredients],TableauIngredients[Prix d''achat / kg],0)*TableauRecette[[#This Row],[fraction mélange]],0)</f>
        <v/>
      </c>
      <c r="H128">
        <f>IFERROR(SUMIFS(TableauRecette[Proportion],TableauRecette[Recette],TableauRecette[[#This Row],[Recette]],TableauRecette[Conditionnement],TableauRecette[[#This Row],[Conditionnement]]),0)</f>
        <v/>
      </c>
      <c r="I128">
        <f>IFERROR(TableauRecette[[#This Row],[Prix d''achat / kg]],0)</f>
        <v/>
      </c>
      <c r="L128">
        <f>_xlfn.XLOOKUP(TableauRecette[[#This Row],[ID]],TableauProduit[ID],TableauProduit[Total (kg) N1],0,0,1)*TableauRecette[[#This Row],[fraction mélange]]</f>
        <v/>
      </c>
      <c r="M128">
        <f>_xlfn.XLOOKUP(TableauRecette[[#This Row],[ID]],TableauProduit[ID],TableauProduit[Total (kg) N2],0,0,1)*TableauRecette[[#This Row],[fraction mélange]]</f>
        <v/>
      </c>
      <c r="N128">
        <f>_xlfn.XLOOKUP(TableauRecette[[#This Row],[ID]],TableauProduit[ID],TableauProduit[Total (kg) N3],0,0,1)*TableauRecette[[#This Row],[fraction mélange]]</f>
        <v/>
      </c>
      <c r="O128">
        <f>_xlfn.XLOOKUP(TableauRecette[[#This Row],[ID]],TableauProduit[ID],TableauProduit[Total (kg) N4],0,0,1)*TableauRecette[[#This Row],[fraction mélange]]</f>
        <v/>
      </c>
      <c r="P128">
        <f>_xlfn.XLOOKUP(TableauRecette[[#This Row],[ID]],TableauProduit[ID],TableauProduit[Total (kg) N5],0,0,1)*TableauRecette[[#This Row],[fraction mélange]]</f>
        <v/>
      </c>
      <c r="Q128">
        <f>_xlfn.XLOOKUP(TableauRecette[[#This Row],[ID]],TableauProduit[ID],TableauProduit[Total (kg) N6],0,0,1)*TableauRecette[[#This Row],[fraction mélange]]</f>
        <v/>
      </c>
      <c r="R128">
        <f>_xlfn.XLOOKUP(TableauRecette[[#This Row],[ID]],TableauProduit[ID],TableauProduit[Total (kg) N7],0,0,1)*TableauRecette[[#This Row],[fraction mélange]]</f>
        <v/>
      </c>
      <c r="S128">
        <f>_xlfn.XLOOKUP(TableauRecette[[#This Row],[ID]],TableauProduit[ID],TableauProduit[Total (kg) N8],0,0,1)*TableauRecette[[#This Row],[fraction mélange]]</f>
        <v/>
      </c>
      <c r="T128">
        <f>_xlfn.XLOOKUP(TableauRecette[[#This Row],[ID]],TableauProduit[ID],TableauProduit[Total (kg) N9],0,0,1)*TableauRecette[[#This Row],[fraction mélange]]</f>
        <v/>
      </c>
    </row>
    <row r="129">
      <c r="A129" t="inlineStr">
        <is>
          <t>Épices poissons et fruits de mer</t>
        </is>
      </c>
      <c r="B129">
        <f>TableauRecette[[#This Row],[Recette]]&amp;TableauRecette[[#This Row],[Conditionnement]]</f>
        <v/>
      </c>
      <c r="C129" t="inlineStr">
        <is>
          <t>Sel</t>
        </is>
      </c>
      <c r="D129" t="n">
        <v>15</v>
      </c>
      <c r="E129" t="inlineStr">
        <is>
          <t>Epice 100ml</t>
        </is>
      </c>
      <c r="F1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9">
        <f>IFERROR(_xlfn.XLOOKUP(TableauRecette[[#This Row],[Ingredients]],TableauIngredients[Ingredients],TableauIngredients[Prix d''achat / kg],0)*TableauRecette[[#This Row],[fraction mélange]],0)</f>
        <v/>
      </c>
      <c r="H129">
        <f>IFERROR(SUMIFS(TableauRecette[Proportion],TableauRecette[Recette],TableauRecette[[#This Row],[Recette]],TableauRecette[Conditionnement],TableauRecette[[#This Row],[Conditionnement]]),0)</f>
        <v/>
      </c>
      <c r="I129">
        <f>IFERROR(TableauRecette[[#This Row],[Prix d''achat / kg]],0)</f>
        <v/>
      </c>
      <c r="L129">
        <f>_xlfn.XLOOKUP(TableauRecette[[#This Row],[ID]],TableauProduit[ID],TableauProduit[Total (kg) N1],0,0,1)*TableauRecette[[#This Row],[fraction mélange]]</f>
        <v/>
      </c>
      <c r="M129">
        <f>_xlfn.XLOOKUP(TableauRecette[[#This Row],[ID]],TableauProduit[ID],TableauProduit[Total (kg) N2],0,0,1)*TableauRecette[[#This Row],[fraction mélange]]</f>
        <v/>
      </c>
      <c r="N129">
        <f>_xlfn.XLOOKUP(TableauRecette[[#This Row],[ID]],TableauProduit[ID],TableauProduit[Total (kg) N3],0,0,1)*TableauRecette[[#This Row],[fraction mélange]]</f>
        <v/>
      </c>
      <c r="O129">
        <f>_xlfn.XLOOKUP(TableauRecette[[#This Row],[ID]],TableauProduit[ID],TableauProduit[Total (kg) N4],0,0,1)*TableauRecette[[#This Row],[fraction mélange]]</f>
        <v/>
      </c>
      <c r="P129">
        <f>_xlfn.XLOOKUP(TableauRecette[[#This Row],[ID]],TableauProduit[ID],TableauProduit[Total (kg) N5],0,0,1)*TableauRecette[[#This Row],[fraction mélange]]</f>
        <v/>
      </c>
      <c r="Q129">
        <f>_xlfn.XLOOKUP(TableauRecette[[#This Row],[ID]],TableauProduit[ID],TableauProduit[Total (kg) N6],0,0,1)*TableauRecette[[#This Row],[fraction mélange]]</f>
        <v/>
      </c>
      <c r="R129">
        <f>_xlfn.XLOOKUP(TableauRecette[[#This Row],[ID]],TableauProduit[ID],TableauProduit[Total (kg) N7],0,0,1)*TableauRecette[[#This Row],[fraction mélange]]</f>
        <v/>
      </c>
      <c r="S129">
        <f>_xlfn.XLOOKUP(TableauRecette[[#This Row],[ID]],TableauProduit[ID],TableauProduit[Total (kg) N8],0,0,1)*TableauRecette[[#This Row],[fraction mélange]]</f>
        <v/>
      </c>
      <c r="T129">
        <f>_xlfn.XLOOKUP(TableauRecette[[#This Row],[ID]],TableauProduit[ID],TableauProduit[Total (kg) N9],0,0,1)*TableauRecette[[#This Row],[fraction mélange]]</f>
        <v/>
      </c>
    </row>
    <row r="130">
      <c r="A130" t="inlineStr">
        <is>
          <t>Épices poissons et fruits de mer</t>
        </is>
      </c>
      <c r="B130">
        <f>TableauRecette[[#This Row],[Recette]]&amp;TableauRecette[[#This Row],[Conditionnement]]</f>
        <v/>
      </c>
      <c r="C130" t="inlineStr">
        <is>
          <t>Céleri En Poudre</t>
        </is>
      </c>
      <c r="D130" t="n">
        <v>6</v>
      </c>
      <c r="E130" t="inlineStr">
        <is>
          <t>Epice 100ml</t>
        </is>
      </c>
      <c r="F13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0">
        <f>IFERROR(_xlfn.XLOOKUP(TableauRecette[[#This Row],[Ingredients]],TableauIngredients[Ingredients],TableauIngredients[Prix d''achat / kg],0)*TableauRecette[[#This Row],[fraction mélange]],0)</f>
        <v/>
      </c>
      <c r="H130">
        <f>IFERROR(SUMIFS(TableauRecette[Proportion],TableauRecette[Recette],TableauRecette[[#This Row],[Recette]],TableauRecette[Conditionnement],TableauRecette[[#This Row],[Conditionnement]]),0)</f>
        <v/>
      </c>
      <c r="I130">
        <f>IFERROR(TableauRecette[[#This Row],[Prix d''achat / kg]],0)</f>
        <v/>
      </c>
      <c r="L130">
        <f>_xlfn.XLOOKUP(TableauRecette[[#This Row],[ID]],TableauProduit[ID],TableauProduit[Total (kg) N1],0,0,1)*TableauRecette[[#This Row],[fraction mélange]]</f>
        <v/>
      </c>
      <c r="M130">
        <f>_xlfn.XLOOKUP(TableauRecette[[#This Row],[ID]],TableauProduit[ID],TableauProduit[Total (kg) N2],0,0,1)*TableauRecette[[#This Row],[fraction mélange]]</f>
        <v/>
      </c>
      <c r="N130">
        <f>_xlfn.XLOOKUP(TableauRecette[[#This Row],[ID]],TableauProduit[ID],TableauProduit[Total (kg) N3],0,0,1)*TableauRecette[[#This Row],[fraction mélange]]</f>
        <v/>
      </c>
      <c r="O130">
        <f>_xlfn.XLOOKUP(TableauRecette[[#This Row],[ID]],TableauProduit[ID],TableauProduit[Total (kg) N4],0,0,1)*TableauRecette[[#This Row],[fraction mélange]]</f>
        <v/>
      </c>
      <c r="P130">
        <f>_xlfn.XLOOKUP(TableauRecette[[#This Row],[ID]],TableauProduit[ID],TableauProduit[Total (kg) N5],0,0,1)*TableauRecette[[#This Row],[fraction mélange]]</f>
        <v/>
      </c>
      <c r="Q130">
        <f>_xlfn.XLOOKUP(TableauRecette[[#This Row],[ID]],TableauProduit[ID],TableauProduit[Total (kg) N6],0,0,1)*TableauRecette[[#This Row],[fraction mélange]]</f>
        <v/>
      </c>
      <c r="R130">
        <f>_xlfn.XLOOKUP(TableauRecette[[#This Row],[ID]],TableauProduit[ID],TableauProduit[Total (kg) N7],0,0,1)*TableauRecette[[#This Row],[fraction mélange]]</f>
        <v/>
      </c>
      <c r="S130">
        <f>_xlfn.XLOOKUP(TableauRecette[[#This Row],[ID]],TableauProduit[ID],TableauProduit[Total (kg) N8],0,0,1)*TableauRecette[[#This Row],[fraction mélange]]</f>
        <v/>
      </c>
      <c r="T130">
        <f>_xlfn.XLOOKUP(TableauRecette[[#This Row],[ID]],TableauProduit[ID],TableauProduit[Total (kg) N9],0,0,1)*TableauRecette[[#This Row],[fraction mélange]]</f>
        <v/>
      </c>
    </row>
    <row r="131">
      <c r="A131" t="inlineStr">
        <is>
          <t>Épices poissons et fruits de mer</t>
        </is>
      </c>
      <c r="B131">
        <f>TableauRecette[[#This Row],[Recette]]&amp;TableauRecette[[#This Row],[Conditionnement]]</f>
        <v/>
      </c>
      <c r="C131" t="inlineStr">
        <is>
          <t>Graine De Moutarde</t>
        </is>
      </c>
      <c r="D131" t="n">
        <v>2</v>
      </c>
      <c r="E131" t="inlineStr">
        <is>
          <t>Epice 100ml</t>
        </is>
      </c>
      <c r="F1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1">
        <f>IFERROR(_xlfn.XLOOKUP(TableauRecette[[#This Row],[Ingredients]],TableauIngredients[Ingredients],TableauIngredients[Prix d''achat / kg],0)*TableauRecette[[#This Row],[fraction mélange]],0)</f>
        <v/>
      </c>
      <c r="H131">
        <f>IFERROR(SUMIFS(TableauRecette[Proportion],TableauRecette[Recette],TableauRecette[[#This Row],[Recette]],TableauRecette[Conditionnement],TableauRecette[[#This Row],[Conditionnement]]),0)</f>
        <v/>
      </c>
      <c r="I131">
        <f>IFERROR(TableauRecette[[#This Row],[Prix d''achat / kg]],0)</f>
        <v/>
      </c>
      <c r="L131">
        <f>_xlfn.XLOOKUP(TableauRecette[[#This Row],[ID]],TableauProduit[ID],TableauProduit[Total (kg) N1],0,0,1)*TableauRecette[[#This Row],[fraction mélange]]</f>
        <v/>
      </c>
      <c r="M131">
        <f>_xlfn.XLOOKUP(TableauRecette[[#This Row],[ID]],TableauProduit[ID],TableauProduit[Total (kg) N2],0,0,1)*TableauRecette[[#This Row],[fraction mélange]]</f>
        <v/>
      </c>
      <c r="N131">
        <f>_xlfn.XLOOKUP(TableauRecette[[#This Row],[ID]],TableauProduit[ID],TableauProduit[Total (kg) N3],0,0,1)*TableauRecette[[#This Row],[fraction mélange]]</f>
        <v/>
      </c>
      <c r="O131">
        <f>_xlfn.XLOOKUP(TableauRecette[[#This Row],[ID]],TableauProduit[ID],TableauProduit[Total (kg) N4],0,0,1)*TableauRecette[[#This Row],[fraction mélange]]</f>
        <v/>
      </c>
      <c r="P131">
        <f>_xlfn.XLOOKUP(TableauRecette[[#This Row],[ID]],TableauProduit[ID],TableauProduit[Total (kg) N5],0,0,1)*TableauRecette[[#This Row],[fraction mélange]]</f>
        <v/>
      </c>
      <c r="Q131">
        <f>_xlfn.XLOOKUP(TableauRecette[[#This Row],[ID]],TableauProduit[ID],TableauProduit[Total (kg) N6],0,0,1)*TableauRecette[[#This Row],[fraction mélange]]</f>
        <v/>
      </c>
      <c r="R131">
        <f>_xlfn.XLOOKUP(TableauRecette[[#This Row],[ID]],TableauProduit[ID],TableauProduit[Total (kg) N7],0,0,1)*TableauRecette[[#This Row],[fraction mélange]]</f>
        <v/>
      </c>
      <c r="S131">
        <f>_xlfn.XLOOKUP(TableauRecette[[#This Row],[ID]],TableauProduit[ID],TableauProduit[Total (kg) N8],0,0,1)*TableauRecette[[#This Row],[fraction mélange]]</f>
        <v/>
      </c>
      <c r="T131">
        <f>_xlfn.XLOOKUP(TableauRecette[[#This Row],[ID]],TableauProduit[ID],TableauProduit[Total (kg) N9],0,0,1)*TableauRecette[[#This Row],[fraction mélange]]</f>
        <v/>
      </c>
    </row>
    <row r="132">
      <c r="A132" t="inlineStr">
        <is>
          <t>Épices poissons et fruits de mer</t>
        </is>
      </c>
      <c r="B132">
        <f>TableauRecette[[#This Row],[Recette]]&amp;TableauRecette[[#This Row],[Conditionnement]]</f>
        <v/>
      </c>
      <c r="C132" t="inlineStr">
        <is>
          <t>Poivre Noir</t>
        </is>
      </c>
      <c r="D132" t="n">
        <v>1</v>
      </c>
      <c r="E132" t="inlineStr">
        <is>
          <t>Epice 100ml</t>
        </is>
      </c>
      <c r="F13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2">
        <f>IFERROR(_xlfn.XLOOKUP(TableauRecette[[#This Row],[Ingredients]],TableauIngredients[Ingredients],TableauIngredients[Prix d''achat / kg],0)*TableauRecette[[#This Row],[fraction mélange]],0)</f>
        <v/>
      </c>
      <c r="H132">
        <f>IFERROR(SUMIFS(TableauRecette[Proportion],TableauRecette[Recette],TableauRecette[[#This Row],[Recette]],TableauRecette[Conditionnement],TableauRecette[[#This Row],[Conditionnement]]),0)</f>
        <v/>
      </c>
      <c r="I132">
        <f>IFERROR(TableauRecette[[#This Row],[Prix d''achat / kg]],0)</f>
        <v/>
      </c>
      <c r="L132">
        <f>_xlfn.XLOOKUP(TableauRecette[[#This Row],[ID]],TableauProduit[ID],TableauProduit[Total (kg) N1],0,0,1)*TableauRecette[[#This Row],[fraction mélange]]</f>
        <v/>
      </c>
      <c r="M132">
        <f>_xlfn.XLOOKUP(TableauRecette[[#This Row],[ID]],TableauProduit[ID],TableauProduit[Total (kg) N2],0,0,1)*TableauRecette[[#This Row],[fraction mélange]]</f>
        <v/>
      </c>
      <c r="N132">
        <f>_xlfn.XLOOKUP(TableauRecette[[#This Row],[ID]],TableauProduit[ID],TableauProduit[Total (kg) N3],0,0,1)*TableauRecette[[#This Row],[fraction mélange]]</f>
        <v/>
      </c>
      <c r="O132">
        <f>_xlfn.XLOOKUP(TableauRecette[[#This Row],[ID]],TableauProduit[ID],TableauProduit[Total (kg) N4],0,0,1)*TableauRecette[[#This Row],[fraction mélange]]</f>
        <v/>
      </c>
      <c r="P132">
        <f>_xlfn.XLOOKUP(TableauRecette[[#This Row],[ID]],TableauProduit[ID],TableauProduit[Total (kg) N5],0,0,1)*TableauRecette[[#This Row],[fraction mélange]]</f>
        <v/>
      </c>
      <c r="Q132">
        <f>_xlfn.XLOOKUP(TableauRecette[[#This Row],[ID]],TableauProduit[ID],TableauProduit[Total (kg) N6],0,0,1)*TableauRecette[[#This Row],[fraction mélange]]</f>
        <v/>
      </c>
      <c r="R132">
        <f>_xlfn.XLOOKUP(TableauRecette[[#This Row],[ID]],TableauProduit[ID],TableauProduit[Total (kg) N7],0,0,1)*TableauRecette[[#This Row],[fraction mélange]]</f>
        <v/>
      </c>
      <c r="S132">
        <f>_xlfn.XLOOKUP(TableauRecette[[#This Row],[ID]],TableauProduit[ID],TableauProduit[Total (kg) N8],0,0,1)*TableauRecette[[#This Row],[fraction mélange]]</f>
        <v/>
      </c>
      <c r="T132">
        <f>_xlfn.XLOOKUP(TableauRecette[[#This Row],[ID]],TableauProduit[ID],TableauProduit[Total (kg) N9],0,0,1)*TableauRecette[[#This Row],[fraction mélange]]</f>
        <v/>
      </c>
    </row>
    <row r="133">
      <c r="A133" t="inlineStr">
        <is>
          <t>Épices poissons et fruits de mer</t>
        </is>
      </c>
      <c r="B133">
        <f>TableauRecette[[#This Row],[Recette]]&amp;TableauRecette[[#This Row],[Conditionnement]]</f>
        <v/>
      </c>
      <c r="C133" t="inlineStr">
        <is>
          <t>Feuille De 4 Épices</t>
        </is>
      </c>
      <c r="D133" t="n">
        <v>1</v>
      </c>
      <c r="E133" t="inlineStr">
        <is>
          <t>Epice 100ml</t>
        </is>
      </c>
      <c r="F1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3">
        <f>IFERROR(_xlfn.XLOOKUP(TableauRecette[[#This Row],[Ingredients]],TableauIngredients[Ingredients],TableauIngredients[Prix d''achat / kg],0)*TableauRecette[[#This Row],[fraction mélange]],0)</f>
        <v/>
      </c>
      <c r="H133">
        <f>IFERROR(SUMIFS(TableauRecette[Proportion],TableauRecette[Recette],TableauRecette[[#This Row],[Recette]],TableauRecette[Conditionnement],TableauRecette[[#This Row],[Conditionnement]]),0)</f>
        <v/>
      </c>
      <c r="I133">
        <f>IFERROR(TableauRecette[[#This Row],[Prix d''achat / kg]],0)</f>
        <v/>
      </c>
      <c r="L133">
        <f>_xlfn.XLOOKUP(TableauRecette[[#This Row],[ID]],TableauProduit[ID],TableauProduit[Total (kg) N1],0,0,1)*TableauRecette[[#This Row],[fraction mélange]]</f>
        <v/>
      </c>
      <c r="M133">
        <f>_xlfn.XLOOKUP(TableauRecette[[#This Row],[ID]],TableauProduit[ID],TableauProduit[Total (kg) N2],0,0,1)*TableauRecette[[#This Row],[fraction mélange]]</f>
        <v/>
      </c>
      <c r="N133">
        <f>_xlfn.XLOOKUP(TableauRecette[[#This Row],[ID]],TableauProduit[ID],TableauProduit[Total (kg) N3],0,0,1)*TableauRecette[[#This Row],[fraction mélange]]</f>
        <v/>
      </c>
      <c r="O133">
        <f>_xlfn.XLOOKUP(TableauRecette[[#This Row],[ID]],TableauProduit[ID],TableauProduit[Total (kg) N4],0,0,1)*TableauRecette[[#This Row],[fraction mélange]]</f>
        <v/>
      </c>
      <c r="P133">
        <f>_xlfn.XLOOKUP(TableauRecette[[#This Row],[ID]],TableauProduit[ID],TableauProduit[Total (kg) N5],0,0,1)*TableauRecette[[#This Row],[fraction mélange]]</f>
        <v/>
      </c>
      <c r="Q133">
        <f>_xlfn.XLOOKUP(TableauRecette[[#This Row],[ID]],TableauProduit[ID],TableauProduit[Total (kg) N6],0,0,1)*TableauRecette[[#This Row],[fraction mélange]]</f>
        <v/>
      </c>
      <c r="R133">
        <f>_xlfn.XLOOKUP(TableauRecette[[#This Row],[ID]],TableauProduit[ID],TableauProduit[Total (kg) N7],0,0,1)*TableauRecette[[#This Row],[fraction mélange]]</f>
        <v/>
      </c>
      <c r="S133">
        <f>_xlfn.XLOOKUP(TableauRecette[[#This Row],[ID]],TableauProduit[ID],TableauProduit[Total (kg) N8],0,0,1)*TableauRecette[[#This Row],[fraction mélange]]</f>
        <v/>
      </c>
      <c r="T133">
        <f>_xlfn.XLOOKUP(TableauRecette[[#This Row],[ID]],TableauProduit[ID],TableauProduit[Total (kg) N9],0,0,1)*TableauRecette[[#This Row],[fraction mélange]]</f>
        <v/>
      </c>
    </row>
    <row r="134">
      <c r="A134" t="inlineStr">
        <is>
          <t>Épices poissons et fruits de mer</t>
        </is>
      </c>
      <c r="B134">
        <f>TableauRecette[[#This Row],[Recette]]&amp;TableauRecette[[#This Row],[Conditionnement]]</f>
        <v/>
      </c>
      <c r="C134" t="inlineStr">
        <is>
          <t>Gingembre Sec</t>
        </is>
      </c>
      <c r="D134" t="n">
        <v>1</v>
      </c>
      <c r="E134" t="inlineStr">
        <is>
          <t>Epice 100ml</t>
        </is>
      </c>
      <c r="F13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4">
        <f>IFERROR(_xlfn.XLOOKUP(TableauRecette[[#This Row],[Ingredients]],TableauIngredients[Ingredients],TableauIngredients[Prix d''achat / kg],0)*TableauRecette[[#This Row],[fraction mélange]],0)</f>
        <v/>
      </c>
      <c r="H134">
        <f>IFERROR(SUMIFS(TableauRecette[Proportion],TableauRecette[Recette],TableauRecette[[#This Row],[Recette]],TableauRecette[Conditionnement],TableauRecette[[#This Row],[Conditionnement]]),0)</f>
        <v/>
      </c>
      <c r="I134">
        <f>IFERROR(TableauRecette[[#This Row],[Prix d''achat / kg]],0)</f>
        <v/>
      </c>
      <c r="K134" t="inlineStr">
        <is>
          <t>SEC</t>
        </is>
      </c>
      <c r="L134">
        <f>_xlfn.XLOOKUP(TableauRecette[[#This Row],[ID]],TableauProduit[ID],TableauProduit[Total (kg) N1],0,0,1)*TableauRecette[[#This Row],[fraction mélange]]</f>
        <v/>
      </c>
      <c r="M134">
        <f>_xlfn.XLOOKUP(TableauRecette[[#This Row],[ID]],TableauProduit[ID],TableauProduit[Total (kg) N2],0,0,1)*TableauRecette[[#This Row],[fraction mélange]]</f>
        <v/>
      </c>
      <c r="N134">
        <f>_xlfn.XLOOKUP(TableauRecette[[#This Row],[ID]],TableauProduit[ID],TableauProduit[Total (kg) N3],0,0,1)*TableauRecette[[#This Row],[fraction mélange]]</f>
        <v/>
      </c>
      <c r="O134">
        <f>_xlfn.XLOOKUP(TableauRecette[[#This Row],[ID]],TableauProduit[ID],TableauProduit[Total (kg) N4],0,0,1)*TableauRecette[[#This Row],[fraction mélange]]</f>
        <v/>
      </c>
      <c r="P134">
        <f>_xlfn.XLOOKUP(TableauRecette[[#This Row],[ID]],TableauProduit[ID],TableauProduit[Total (kg) N5],0,0,1)*TableauRecette[[#This Row],[fraction mélange]]</f>
        <v/>
      </c>
      <c r="Q134">
        <f>_xlfn.XLOOKUP(TableauRecette[[#This Row],[ID]],TableauProduit[ID],TableauProduit[Total (kg) N6],0,0,1)*TableauRecette[[#This Row],[fraction mélange]]</f>
        <v/>
      </c>
      <c r="R134">
        <f>_xlfn.XLOOKUP(TableauRecette[[#This Row],[ID]],TableauProduit[ID],TableauProduit[Total (kg) N7],0,0,1)*TableauRecette[[#This Row],[fraction mélange]]</f>
        <v/>
      </c>
      <c r="S134">
        <f>_xlfn.XLOOKUP(TableauRecette[[#This Row],[ID]],TableauProduit[ID],TableauProduit[Total (kg) N8],0,0,1)*TableauRecette[[#This Row],[fraction mélange]]</f>
        <v/>
      </c>
      <c r="T134">
        <f>_xlfn.XLOOKUP(TableauRecette[[#This Row],[ID]],TableauProduit[ID],TableauProduit[Total (kg) N9],0,0,1)*TableauRecette[[#This Row],[fraction mélange]]</f>
        <v/>
      </c>
    </row>
    <row r="135">
      <c r="A135" t="inlineStr">
        <is>
          <t>Épices poissons et fruits de mer</t>
        </is>
      </c>
      <c r="B135">
        <f>TableauRecette[[#This Row],[Recette]]&amp;TableauRecette[[#This Row],[Conditionnement]]</f>
        <v/>
      </c>
      <c r="C135" t="inlineStr">
        <is>
          <t>Cannelle Moulue</t>
        </is>
      </c>
      <c r="D135" t="n">
        <v>1</v>
      </c>
      <c r="E135" t="inlineStr">
        <is>
          <t>Epice 100ml</t>
        </is>
      </c>
      <c r="F13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5">
        <f>IFERROR(_xlfn.XLOOKUP(TableauRecette[[#This Row],[Ingredients]],TableauIngredients[Ingredients],TableauIngredients[Prix d''achat / kg],0)*TableauRecette[[#This Row],[fraction mélange]],0)</f>
        <v/>
      </c>
      <c r="H135">
        <f>IFERROR(SUMIFS(TableauRecette[Proportion],TableauRecette[Recette],TableauRecette[[#This Row],[Recette]],TableauRecette[Conditionnement],TableauRecette[[#This Row],[Conditionnement]]),0)</f>
        <v/>
      </c>
      <c r="I135">
        <f>IFERROR(TableauRecette[[#This Row],[Prix d''achat / kg]],0)</f>
        <v/>
      </c>
      <c r="L135">
        <f>_xlfn.XLOOKUP(TableauRecette[[#This Row],[ID]],TableauProduit[ID],TableauProduit[Total (kg) N1],0,0,1)*TableauRecette[[#This Row],[fraction mélange]]</f>
        <v/>
      </c>
      <c r="M135">
        <f>_xlfn.XLOOKUP(TableauRecette[[#This Row],[ID]],TableauProduit[ID],TableauProduit[Total (kg) N2],0,0,1)*TableauRecette[[#This Row],[fraction mélange]]</f>
        <v/>
      </c>
      <c r="N135">
        <f>_xlfn.XLOOKUP(TableauRecette[[#This Row],[ID]],TableauProduit[ID],TableauProduit[Total (kg) N3],0,0,1)*TableauRecette[[#This Row],[fraction mélange]]</f>
        <v/>
      </c>
      <c r="O135">
        <f>_xlfn.XLOOKUP(TableauRecette[[#This Row],[ID]],TableauProduit[ID],TableauProduit[Total (kg) N4],0,0,1)*TableauRecette[[#This Row],[fraction mélange]]</f>
        <v/>
      </c>
      <c r="P135">
        <f>_xlfn.XLOOKUP(TableauRecette[[#This Row],[ID]],TableauProduit[ID],TableauProduit[Total (kg) N5],0,0,1)*TableauRecette[[#This Row],[fraction mélange]]</f>
        <v/>
      </c>
      <c r="Q135">
        <f>_xlfn.XLOOKUP(TableauRecette[[#This Row],[ID]],TableauProduit[ID],TableauProduit[Total (kg) N6],0,0,1)*TableauRecette[[#This Row],[fraction mélange]]</f>
        <v/>
      </c>
      <c r="R135">
        <f>_xlfn.XLOOKUP(TableauRecette[[#This Row],[ID]],TableauProduit[ID],TableauProduit[Total (kg) N7],0,0,1)*TableauRecette[[#This Row],[fraction mélange]]</f>
        <v/>
      </c>
      <c r="S135">
        <f>_xlfn.XLOOKUP(TableauRecette[[#This Row],[ID]],TableauProduit[ID],TableauProduit[Total (kg) N8],0,0,1)*TableauRecette[[#This Row],[fraction mélange]]</f>
        <v/>
      </c>
      <c r="T135">
        <f>_xlfn.XLOOKUP(TableauRecette[[#This Row],[ID]],TableauProduit[ID],TableauProduit[Total (kg) N9],0,0,1)*TableauRecette[[#This Row],[fraction mélange]]</f>
        <v/>
      </c>
    </row>
    <row r="136">
      <c r="A136" t="inlineStr">
        <is>
          <t>Épices poissons et fruits de mer</t>
        </is>
      </c>
      <c r="B136">
        <f>TableauRecette[[#This Row],[Recette]]&amp;TableauRecette[[#This Row],[Conditionnement]]</f>
        <v/>
      </c>
      <c r="C136" t="inlineStr">
        <is>
          <t>Clous De Girofle</t>
        </is>
      </c>
      <c r="D136" t="n">
        <v>0.5</v>
      </c>
      <c r="E136" t="inlineStr">
        <is>
          <t>Epice 100ml</t>
        </is>
      </c>
      <c r="F13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6">
        <f>IFERROR(_xlfn.XLOOKUP(TableauRecette[[#This Row],[Ingredients]],TableauIngredients[Ingredients],TableauIngredients[Prix d''achat / kg],0)*TableauRecette[[#This Row],[fraction mélange]],0)</f>
        <v/>
      </c>
      <c r="H136">
        <f>IFERROR(SUMIFS(TableauRecette[Proportion],TableauRecette[Recette],TableauRecette[[#This Row],[Recette]],TableauRecette[Conditionnement],TableauRecette[[#This Row],[Conditionnement]]),0)</f>
        <v/>
      </c>
      <c r="I136">
        <f>IFERROR(TableauRecette[[#This Row],[Prix d''achat / kg]],0)</f>
        <v/>
      </c>
      <c r="L136">
        <f>_xlfn.XLOOKUP(TableauRecette[[#This Row],[ID]],TableauProduit[ID],TableauProduit[Total (kg) N1],0,0,1)*TableauRecette[[#This Row],[fraction mélange]]</f>
        <v/>
      </c>
      <c r="M136">
        <f>_xlfn.XLOOKUP(TableauRecette[[#This Row],[ID]],TableauProduit[ID],TableauProduit[Total (kg) N2],0,0,1)*TableauRecette[[#This Row],[fraction mélange]]</f>
        <v/>
      </c>
      <c r="N136">
        <f>_xlfn.XLOOKUP(TableauRecette[[#This Row],[ID]],TableauProduit[ID],TableauProduit[Total (kg) N3],0,0,1)*TableauRecette[[#This Row],[fraction mélange]]</f>
        <v/>
      </c>
      <c r="O136">
        <f>_xlfn.XLOOKUP(TableauRecette[[#This Row],[ID]],TableauProduit[ID],TableauProduit[Total (kg) N4],0,0,1)*TableauRecette[[#This Row],[fraction mélange]]</f>
        <v/>
      </c>
      <c r="P136">
        <f>_xlfn.XLOOKUP(TableauRecette[[#This Row],[ID]],TableauProduit[ID],TableauProduit[Total (kg) N5],0,0,1)*TableauRecette[[#This Row],[fraction mélange]]</f>
        <v/>
      </c>
      <c r="Q136">
        <f>_xlfn.XLOOKUP(TableauRecette[[#This Row],[ID]],TableauProduit[ID],TableauProduit[Total (kg) N6],0,0,1)*TableauRecette[[#This Row],[fraction mélange]]</f>
        <v/>
      </c>
      <c r="R136">
        <f>_xlfn.XLOOKUP(TableauRecette[[#This Row],[ID]],TableauProduit[ID],TableauProduit[Total (kg) N7],0,0,1)*TableauRecette[[#This Row],[fraction mélange]]</f>
        <v/>
      </c>
      <c r="S136">
        <f>_xlfn.XLOOKUP(TableauRecette[[#This Row],[ID]],TableauProduit[ID],TableauProduit[Total (kg) N8],0,0,1)*TableauRecette[[#This Row],[fraction mélange]]</f>
        <v/>
      </c>
      <c r="T136">
        <f>_xlfn.XLOOKUP(TableauRecette[[#This Row],[ID]],TableauProduit[ID],TableauProduit[Total (kg) N9],0,0,1)*TableauRecette[[#This Row],[fraction mélange]]</f>
        <v/>
      </c>
    </row>
    <row r="137">
      <c r="A137" t="inlineStr">
        <is>
          <t>Épices poissons et fruits de mer</t>
        </is>
      </c>
      <c r="B137">
        <f>TableauRecette[[#This Row],[Recette]]&amp;TableauRecette[[#This Row],[Conditionnement]]</f>
        <v/>
      </c>
      <c r="C137" t="inlineStr">
        <is>
          <t>Graine De Cardamome</t>
        </is>
      </c>
      <c r="D137" t="n">
        <v>0.5</v>
      </c>
      <c r="E137" t="inlineStr">
        <is>
          <t>Epice 100ml</t>
        </is>
      </c>
      <c r="F13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7">
        <f>IFERROR(_xlfn.XLOOKUP(TableauRecette[[#This Row],[Ingredients]],TableauIngredients[Ingredients],TableauIngredients[Prix d''achat / kg],0)*TableauRecette[[#This Row],[fraction mélange]],0)</f>
        <v/>
      </c>
      <c r="H137">
        <f>IFERROR(SUMIFS(TableauRecette[Proportion],TableauRecette[Recette],TableauRecette[[#This Row],[Recette]],TableauRecette[Conditionnement],TableauRecette[[#This Row],[Conditionnement]]),0)</f>
        <v/>
      </c>
      <c r="I137">
        <f>IFERROR(TableauRecette[[#This Row],[Prix d''achat / kg]],0)</f>
        <v/>
      </c>
      <c r="L137">
        <f>_xlfn.XLOOKUP(TableauRecette[[#This Row],[ID]],TableauProduit[ID],TableauProduit[Total (kg) N1],0,0,1)*TableauRecette[[#This Row],[fraction mélange]]</f>
        <v/>
      </c>
      <c r="M137">
        <f>_xlfn.XLOOKUP(TableauRecette[[#This Row],[ID]],TableauProduit[ID],TableauProduit[Total (kg) N2],0,0,1)*TableauRecette[[#This Row],[fraction mélange]]</f>
        <v/>
      </c>
      <c r="N137">
        <f>_xlfn.XLOOKUP(TableauRecette[[#This Row],[ID]],TableauProduit[ID],TableauProduit[Total (kg) N3],0,0,1)*TableauRecette[[#This Row],[fraction mélange]]</f>
        <v/>
      </c>
      <c r="O137">
        <f>_xlfn.XLOOKUP(TableauRecette[[#This Row],[ID]],TableauProduit[ID],TableauProduit[Total (kg) N4],0,0,1)*TableauRecette[[#This Row],[fraction mélange]]</f>
        <v/>
      </c>
      <c r="P137">
        <f>_xlfn.XLOOKUP(TableauRecette[[#This Row],[ID]],TableauProduit[ID],TableauProduit[Total (kg) N5],0,0,1)*TableauRecette[[#This Row],[fraction mélange]]</f>
        <v/>
      </c>
      <c r="Q137">
        <f>_xlfn.XLOOKUP(TableauRecette[[#This Row],[ID]],TableauProduit[ID],TableauProduit[Total (kg) N6],0,0,1)*TableauRecette[[#This Row],[fraction mélange]]</f>
        <v/>
      </c>
      <c r="R137">
        <f>_xlfn.XLOOKUP(TableauRecette[[#This Row],[ID]],TableauProduit[ID],TableauProduit[Total (kg) N7],0,0,1)*TableauRecette[[#This Row],[fraction mélange]]</f>
        <v/>
      </c>
      <c r="S137">
        <f>_xlfn.XLOOKUP(TableauRecette[[#This Row],[ID]],TableauProduit[ID],TableauProduit[Total (kg) N8],0,0,1)*TableauRecette[[#This Row],[fraction mélange]]</f>
        <v/>
      </c>
      <c r="T137">
        <f>_xlfn.XLOOKUP(TableauRecette[[#This Row],[ID]],TableauProduit[ID],TableauProduit[Total (kg) N9],0,0,1)*TableauRecette[[#This Row],[fraction mélange]]</f>
        <v/>
      </c>
    </row>
    <row r="138">
      <c r="A138" t="inlineStr">
        <is>
          <t>Épices pour marinade</t>
        </is>
      </c>
      <c r="B138">
        <f>TableauRecette[[#This Row],[Recette]]&amp;TableauRecette[[#This Row],[Conditionnement]]</f>
        <v/>
      </c>
      <c r="C138" t="inlineStr">
        <is>
          <t>Graine De Moutarde</t>
        </is>
      </c>
      <c r="D138" t="n">
        <v>6</v>
      </c>
      <c r="E138" t="inlineStr">
        <is>
          <t>Epice 100ml</t>
        </is>
      </c>
      <c r="F13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8">
        <f>IFERROR(_xlfn.XLOOKUP(TableauRecette[[#This Row],[Ingredients]],TableauIngredients[Ingredients],TableauIngredients[Prix d''achat / kg],0)*TableauRecette[[#This Row],[fraction mélange]],0)</f>
        <v/>
      </c>
      <c r="H138">
        <f>IFERROR(SUMIFS(TableauRecette[Proportion],TableauRecette[Recette],TableauRecette[[#This Row],[Recette]],TableauRecette[Conditionnement],TableauRecette[[#This Row],[Conditionnement]]),0)</f>
        <v/>
      </c>
      <c r="I138">
        <f>IFERROR(TableauRecette[[#This Row],[Prix d''achat / kg]],0)</f>
        <v/>
      </c>
      <c r="L138">
        <f>_xlfn.XLOOKUP(TableauRecette[[#This Row],[ID]],TableauProduit[ID],TableauProduit[Total (kg) N1],0,0,1)*TableauRecette[[#This Row],[fraction mélange]]</f>
        <v/>
      </c>
      <c r="M138">
        <f>_xlfn.XLOOKUP(TableauRecette[[#This Row],[ID]],TableauProduit[ID],TableauProduit[Total (kg) N2],0,0,1)*TableauRecette[[#This Row],[fraction mélange]]</f>
        <v/>
      </c>
      <c r="N138">
        <f>_xlfn.XLOOKUP(TableauRecette[[#This Row],[ID]],TableauProduit[ID],TableauProduit[Total (kg) N3],0,0,1)*TableauRecette[[#This Row],[fraction mélange]]</f>
        <v/>
      </c>
      <c r="O138">
        <f>_xlfn.XLOOKUP(TableauRecette[[#This Row],[ID]],TableauProduit[ID],TableauProduit[Total (kg) N4],0,0,1)*TableauRecette[[#This Row],[fraction mélange]]</f>
        <v/>
      </c>
      <c r="P138">
        <f>_xlfn.XLOOKUP(TableauRecette[[#This Row],[ID]],TableauProduit[ID],TableauProduit[Total (kg) N5],0,0,1)*TableauRecette[[#This Row],[fraction mélange]]</f>
        <v/>
      </c>
      <c r="Q138">
        <f>_xlfn.XLOOKUP(TableauRecette[[#This Row],[ID]],TableauProduit[ID],TableauProduit[Total (kg) N6],0,0,1)*TableauRecette[[#This Row],[fraction mélange]]</f>
        <v/>
      </c>
      <c r="R138">
        <f>_xlfn.XLOOKUP(TableauRecette[[#This Row],[ID]],TableauProduit[ID],TableauProduit[Total (kg) N7],0,0,1)*TableauRecette[[#This Row],[fraction mélange]]</f>
        <v/>
      </c>
      <c r="S138">
        <f>_xlfn.XLOOKUP(TableauRecette[[#This Row],[ID]],TableauProduit[ID],TableauProduit[Total (kg) N8],0,0,1)*TableauRecette[[#This Row],[fraction mélange]]</f>
        <v/>
      </c>
      <c r="T138">
        <f>_xlfn.XLOOKUP(TableauRecette[[#This Row],[ID]],TableauProduit[ID],TableauProduit[Total (kg) N9],0,0,1)*TableauRecette[[#This Row],[fraction mélange]]</f>
        <v/>
      </c>
    </row>
    <row r="139">
      <c r="A139" t="inlineStr">
        <is>
          <t>Épices pour marinade</t>
        </is>
      </c>
      <c r="B139">
        <f>TableauRecette[[#This Row],[Recette]]&amp;TableauRecette[[#This Row],[Conditionnement]]</f>
        <v/>
      </c>
      <c r="C139" t="inlineStr">
        <is>
          <t>Poivre De Jamaïque</t>
        </is>
      </c>
      <c r="D139" t="n">
        <v>3</v>
      </c>
      <c r="E139" t="inlineStr">
        <is>
          <t>Epice 100ml</t>
        </is>
      </c>
      <c r="F13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9">
        <f>IFERROR(_xlfn.XLOOKUP(TableauRecette[[#This Row],[Ingredients]],TableauIngredients[Ingredients],TableauIngredients[Prix d''achat / kg],0)*TableauRecette[[#This Row],[fraction mélange]],0)</f>
        <v/>
      </c>
      <c r="H139">
        <f>IFERROR(SUMIFS(TableauRecette[Proportion],TableauRecette[Recette],TableauRecette[[#This Row],[Recette]],TableauRecette[Conditionnement],TableauRecette[[#This Row],[Conditionnement]]),0)</f>
        <v/>
      </c>
      <c r="I139">
        <f>IFERROR(TableauRecette[[#This Row],[Prix d''achat / kg]],0)</f>
        <v/>
      </c>
      <c r="L139">
        <f>_xlfn.XLOOKUP(TableauRecette[[#This Row],[ID]],TableauProduit[ID],TableauProduit[Total (kg) N1],0,0,1)*TableauRecette[[#This Row],[fraction mélange]]</f>
        <v/>
      </c>
      <c r="M139">
        <f>_xlfn.XLOOKUP(TableauRecette[[#This Row],[ID]],TableauProduit[ID],TableauProduit[Total (kg) N2],0,0,1)*TableauRecette[[#This Row],[fraction mélange]]</f>
        <v/>
      </c>
      <c r="N139">
        <f>_xlfn.XLOOKUP(TableauRecette[[#This Row],[ID]],TableauProduit[ID],TableauProduit[Total (kg) N3],0,0,1)*TableauRecette[[#This Row],[fraction mélange]]</f>
        <v/>
      </c>
      <c r="O139">
        <f>_xlfn.XLOOKUP(TableauRecette[[#This Row],[ID]],TableauProduit[ID],TableauProduit[Total (kg) N4],0,0,1)*TableauRecette[[#This Row],[fraction mélange]]</f>
        <v/>
      </c>
      <c r="P139">
        <f>_xlfn.XLOOKUP(TableauRecette[[#This Row],[ID]],TableauProduit[ID],TableauProduit[Total (kg) N5],0,0,1)*TableauRecette[[#This Row],[fraction mélange]]</f>
        <v/>
      </c>
      <c r="Q139">
        <f>_xlfn.XLOOKUP(TableauRecette[[#This Row],[ID]],TableauProduit[ID],TableauProduit[Total (kg) N6],0,0,1)*TableauRecette[[#This Row],[fraction mélange]]</f>
        <v/>
      </c>
      <c r="R139">
        <f>_xlfn.XLOOKUP(TableauRecette[[#This Row],[ID]],TableauProduit[ID],TableauProduit[Total (kg) N7],0,0,1)*TableauRecette[[#This Row],[fraction mélange]]</f>
        <v/>
      </c>
      <c r="S139">
        <f>_xlfn.XLOOKUP(TableauRecette[[#This Row],[ID]],TableauProduit[ID],TableauProduit[Total (kg) N8],0,0,1)*TableauRecette[[#This Row],[fraction mélange]]</f>
        <v/>
      </c>
      <c r="T139">
        <f>_xlfn.XLOOKUP(TableauRecette[[#This Row],[ID]],TableauProduit[ID],TableauProduit[Total (kg) N9],0,0,1)*TableauRecette[[#This Row],[fraction mélange]]</f>
        <v/>
      </c>
    </row>
    <row r="140">
      <c r="A140" t="inlineStr">
        <is>
          <t>Épices pour marinade</t>
        </is>
      </c>
      <c r="B140">
        <f>TableauRecette[[#This Row],[Recette]]&amp;TableauRecette[[#This Row],[Conditionnement]]</f>
        <v/>
      </c>
      <c r="C140" t="inlineStr">
        <is>
          <t>Coriandre Graine</t>
        </is>
      </c>
      <c r="D140" t="n">
        <v>2</v>
      </c>
      <c r="E140" t="inlineStr">
        <is>
          <t>Epice 100ml</t>
        </is>
      </c>
      <c r="F14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0">
        <f>IFERROR(_xlfn.XLOOKUP(TableauRecette[[#This Row],[Ingredients]],TableauIngredients[Ingredients],TableauIngredients[Prix d''achat / kg],0)*TableauRecette[[#This Row],[fraction mélange]],0)</f>
        <v/>
      </c>
      <c r="H140">
        <f>IFERROR(SUMIFS(TableauRecette[Proportion],TableauRecette[Recette],TableauRecette[[#This Row],[Recette]],TableauRecette[Conditionnement],TableauRecette[[#This Row],[Conditionnement]]),0)</f>
        <v/>
      </c>
      <c r="I140">
        <f>IFERROR(TableauRecette[[#This Row],[Prix d''achat / kg]],0)</f>
        <v/>
      </c>
      <c r="L140">
        <f>_xlfn.XLOOKUP(TableauRecette[[#This Row],[ID]],TableauProduit[ID],TableauProduit[Total (kg) N1],0,0,1)*TableauRecette[[#This Row],[fraction mélange]]</f>
        <v/>
      </c>
      <c r="M140">
        <f>_xlfn.XLOOKUP(TableauRecette[[#This Row],[ID]],TableauProduit[ID],TableauProduit[Total (kg) N2],0,0,1)*TableauRecette[[#This Row],[fraction mélange]]</f>
        <v/>
      </c>
      <c r="N140">
        <f>_xlfn.XLOOKUP(TableauRecette[[#This Row],[ID]],TableauProduit[ID],TableauProduit[Total (kg) N3],0,0,1)*TableauRecette[[#This Row],[fraction mélange]]</f>
        <v/>
      </c>
      <c r="O140">
        <f>_xlfn.XLOOKUP(TableauRecette[[#This Row],[ID]],TableauProduit[ID],TableauProduit[Total (kg) N4],0,0,1)*TableauRecette[[#This Row],[fraction mélange]]</f>
        <v/>
      </c>
      <c r="P140">
        <f>_xlfn.XLOOKUP(TableauRecette[[#This Row],[ID]],TableauProduit[ID],TableauProduit[Total (kg) N5],0,0,1)*TableauRecette[[#This Row],[fraction mélange]]</f>
        <v/>
      </c>
      <c r="Q140">
        <f>_xlfn.XLOOKUP(TableauRecette[[#This Row],[ID]],TableauProduit[ID],TableauProduit[Total (kg) N6],0,0,1)*TableauRecette[[#This Row],[fraction mélange]]</f>
        <v/>
      </c>
      <c r="R140">
        <f>_xlfn.XLOOKUP(TableauRecette[[#This Row],[ID]],TableauProduit[ID],TableauProduit[Total (kg) N7],0,0,1)*TableauRecette[[#This Row],[fraction mélange]]</f>
        <v/>
      </c>
      <c r="S140">
        <f>_xlfn.XLOOKUP(TableauRecette[[#This Row],[ID]],TableauProduit[ID],TableauProduit[Total (kg) N8],0,0,1)*TableauRecette[[#This Row],[fraction mélange]]</f>
        <v/>
      </c>
      <c r="T140">
        <f>_xlfn.XLOOKUP(TableauRecette[[#This Row],[ID]],TableauProduit[ID],TableauProduit[Total (kg) N9],0,0,1)*TableauRecette[[#This Row],[fraction mélange]]</f>
        <v/>
      </c>
    </row>
    <row r="141">
      <c r="A141" t="inlineStr">
        <is>
          <t>Épices pour marinade</t>
        </is>
      </c>
      <c r="B141">
        <f>TableauRecette[[#This Row],[Recette]]&amp;TableauRecette[[#This Row],[Conditionnement]]</f>
        <v/>
      </c>
      <c r="C141" t="inlineStr">
        <is>
          <t>Piment Œil D'Oiseau</t>
        </is>
      </c>
      <c r="D141" t="n">
        <v>1</v>
      </c>
      <c r="E141" t="inlineStr">
        <is>
          <t>Epice 100ml</t>
        </is>
      </c>
      <c r="F14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1">
        <f>IFERROR(_xlfn.XLOOKUP(TableauRecette[[#This Row],[Ingredients]],TableauIngredients[Ingredients],TableauIngredients[Prix d''achat / kg],0)*TableauRecette[[#This Row],[fraction mélange]],0)</f>
        <v/>
      </c>
      <c r="H141">
        <f>IFERROR(SUMIFS(TableauRecette[Proportion],TableauRecette[Recette],TableauRecette[[#This Row],[Recette]],TableauRecette[Conditionnement],TableauRecette[[#This Row],[Conditionnement]]),0)</f>
        <v/>
      </c>
      <c r="I141">
        <f>IFERROR(TableauRecette[[#This Row],[Prix d''achat / kg]],0)</f>
        <v/>
      </c>
      <c r="L141">
        <f>_xlfn.XLOOKUP(TableauRecette[[#This Row],[ID]],TableauProduit[ID],TableauProduit[Total (kg) N1],0,0,1)*TableauRecette[[#This Row],[fraction mélange]]</f>
        <v/>
      </c>
      <c r="M141">
        <f>_xlfn.XLOOKUP(TableauRecette[[#This Row],[ID]],TableauProduit[ID],TableauProduit[Total (kg) N2],0,0,1)*TableauRecette[[#This Row],[fraction mélange]]</f>
        <v/>
      </c>
      <c r="N141">
        <f>_xlfn.XLOOKUP(TableauRecette[[#This Row],[ID]],TableauProduit[ID],TableauProduit[Total (kg) N3],0,0,1)*TableauRecette[[#This Row],[fraction mélange]]</f>
        <v/>
      </c>
      <c r="O141">
        <f>_xlfn.XLOOKUP(TableauRecette[[#This Row],[ID]],TableauProduit[ID],TableauProduit[Total (kg) N4],0,0,1)*TableauRecette[[#This Row],[fraction mélange]]</f>
        <v/>
      </c>
      <c r="P141">
        <f>_xlfn.XLOOKUP(TableauRecette[[#This Row],[ID]],TableauProduit[ID],TableauProduit[Total (kg) N5],0,0,1)*TableauRecette[[#This Row],[fraction mélange]]</f>
        <v/>
      </c>
      <c r="Q141">
        <f>_xlfn.XLOOKUP(TableauRecette[[#This Row],[ID]],TableauProduit[ID],TableauProduit[Total (kg) N6],0,0,1)*TableauRecette[[#This Row],[fraction mélange]]</f>
        <v/>
      </c>
      <c r="R141">
        <f>_xlfn.XLOOKUP(TableauRecette[[#This Row],[ID]],TableauProduit[ID],TableauProduit[Total (kg) N7],0,0,1)*TableauRecette[[#This Row],[fraction mélange]]</f>
        <v/>
      </c>
      <c r="S141">
        <f>_xlfn.XLOOKUP(TableauRecette[[#This Row],[ID]],TableauProduit[ID],TableauProduit[Total (kg) N8],0,0,1)*TableauRecette[[#This Row],[fraction mélange]]</f>
        <v/>
      </c>
      <c r="T141">
        <f>_xlfn.XLOOKUP(TableauRecette[[#This Row],[ID]],TableauProduit[ID],TableauProduit[Total (kg) N9],0,0,1)*TableauRecette[[#This Row],[fraction mélange]]</f>
        <v/>
      </c>
    </row>
    <row r="142">
      <c r="A142" t="inlineStr">
        <is>
          <t>Épices pour marinade</t>
        </is>
      </c>
      <c r="B142">
        <f>TableauRecette[[#This Row],[Recette]]&amp;TableauRecette[[#This Row],[Conditionnement]]</f>
        <v/>
      </c>
      <c r="C142" t="inlineStr">
        <is>
          <t>Gingembre Sec</t>
        </is>
      </c>
      <c r="D142" t="n">
        <v>0.5</v>
      </c>
      <c r="E142" t="inlineStr">
        <is>
          <t>Epice 100ml</t>
        </is>
      </c>
      <c r="F14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2">
        <f>IFERROR(_xlfn.XLOOKUP(TableauRecette[[#This Row],[Ingredients]],TableauIngredients[Ingredients],TableauIngredients[Prix d''achat / kg],0)*TableauRecette[[#This Row],[fraction mélange]],0)</f>
        <v/>
      </c>
      <c r="H142">
        <f>IFERROR(SUMIFS(TableauRecette[Proportion],TableauRecette[Recette],TableauRecette[[#This Row],[Recette]],TableauRecette[Conditionnement],TableauRecette[[#This Row],[Conditionnement]]),0)</f>
        <v/>
      </c>
      <c r="I142">
        <f>IFERROR(TableauRecette[[#This Row],[Prix d''achat / kg]],0)</f>
        <v/>
      </c>
      <c r="K142" t="inlineStr">
        <is>
          <t>SEC</t>
        </is>
      </c>
      <c r="L142">
        <f>_xlfn.XLOOKUP(TableauRecette[[#This Row],[ID]],TableauProduit[ID],TableauProduit[Total (kg) N1],0,0,1)*TableauRecette[[#This Row],[fraction mélange]]</f>
        <v/>
      </c>
      <c r="M142">
        <f>_xlfn.XLOOKUP(TableauRecette[[#This Row],[ID]],TableauProduit[ID],TableauProduit[Total (kg) N2],0,0,1)*TableauRecette[[#This Row],[fraction mélange]]</f>
        <v/>
      </c>
      <c r="N142">
        <f>_xlfn.XLOOKUP(TableauRecette[[#This Row],[ID]],TableauProduit[ID],TableauProduit[Total (kg) N3],0,0,1)*TableauRecette[[#This Row],[fraction mélange]]</f>
        <v/>
      </c>
      <c r="O142">
        <f>_xlfn.XLOOKUP(TableauRecette[[#This Row],[ID]],TableauProduit[ID],TableauProduit[Total (kg) N4],0,0,1)*TableauRecette[[#This Row],[fraction mélange]]</f>
        <v/>
      </c>
      <c r="P142">
        <f>_xlfn.XLOOKUP(TableauRecette[[#This Row],[ID]],TableauProduit[ID],TableauProduit[Total (kg) N5],0,0,1)*TableauRecette[[#This Row],[fraction mélange]]</f>
        <v/>
      </c>
      <c r="Q142">
        <f>_xlfn.XLOOKUP(TableauRecette[[#This Row],[ID]],TableauProduit[ID],TableauProduit[Total (kg) N6],0,0,1)*TableauRecette[[#This Row],[fraction mélange]]</f>
        <v/>
      </c>
      <c r="R142">
        <f>_xlfn.XLOOKUP(TableauRecette[[#This Row],[ID]],TableauProduit[ID],TableauProduit[Total (kg) N7],0,0,1)*TableauRecette[[#This Row],[fraction mélange]]</f>
        <v/>
      </c>
      <c r="S142">
        <f>_xlfn.XLOOKUP(TableauRecette[[#This Row],[ID]],TableauProduit[ID],TableauProduit[Total (kg) N8],0,0,1)*TableauRecette[[#This Row],[fraction mélange]]</f>
        <v/>
      </c>
      <c r="T142">
        <f>_xlfn.XLOOKUP(TableauRecette[[#This Row],[ID]],TableauProduit[ID],TableauProduit[Total (kg) N9],0,0,1)*TableauRecette[[#This Row],[fraction mélange]]</f>
        <v/>
      </c>
    </row>
    <row r="143">
      <c r="A143" t="inlineStr">
        <is>
          <t>Épices pour marinade</t>
        </is>
      </c>
      <c r="B143">
        <f>TableauRecette[[#This Row],[Recette]]&amp;TableauRecette[[#This Row],[Conditionnement]]</f>
        <v/>
      </c>
      <c r="C143" t="inlineStr">
        <is>
          <t>Feuilles De Laurier</t>
        </is>
      </c>
      <c r="D143" t="n">
        <v>0.2</v>
      </c>
      <c r="E143" t="inlineStr">
        <is>
          <t>Epice 100ml</t>
        </is>
      </c>
      <c r="F14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3">
        <f>IFERROR(_xlfn.XLOOKUP(TableauRecette[[#This Row],[Ingredients]],TableauIngredients[Ingredients],TableauIngredients[Prix d''achat / kg],0)*TableauRecette[[#This Row],[fraction mélange]],0)</f>
        <v/>
      </c>
      <c r="H143">
        <f>IFERROR(SUMIFS(TableauRecette[Proportion],TableauRecette[Recette],TableauRecette[[#This Row],[Recette]],TableauRecette[Conditionnement],TableauRecette[[#This Row],[Conditionnement]]),0)</f>
        <v/>
      </c>
      <c r="I143">
        <f>IFERROR(TableauRecette[[#This Row],[Prix d''achat / kg]],0)</f>
        <v/>
      </c>
      <c r="L143">
        <f>_xlfn.XLOOKUP(TableauRecette[[#This Row],[ID]],TableauProduit[ID],TableauProduit[Total (kg) N1],0,0,1)*TableauRecette[[#This Row],[fraction mélange]]</f>
        <v/>
      </c>
      <c r="M143">
        <f>_xlfn.XLOOKUP(TableauRecette[[#This Row],[ID]],TableauProduit[ID],TableauProduit[Total (kg) N2],0,0,1)*TableauRecette[[#This Row],[fraction mélange]]</f>
        <v/>
      </c>
      <c r="N143">
        <f>_xlfn.XLOOKUP(TableauRecette[[#This Row],[ID]],TableauProduit[ID],TableauProduit[Total (kg) N3],0,0,1)*TableauRecette[[#This Row],[fraction mélange]]</f>
        <v/>
      </c>
      <c r="O143">
        <f>_xlfn.XLOOKUP(TableauRecette[[#This Row],[ID]],TableauProduit[ID],TableauProduit[Total (kg) N4],0,0,1)*TableauRecette[[#This Row],[fraction mélange]]</f>
        <v/>
      </c>
      <c r="P143">
        <f>_xlfn.XLOOKUP(TableauRecette[[#This Row],[ID]],TableauProduit[ID],TableauProduit[Total (kg) N5],0,0,1)*TableauRecette[[#This Row],[fraction mélange]]</f>
        <v/>
      </c>
      <c r="Q143">
        <f>_xlfn.XLOOKUP(TableauRecette[[#This Row],[ID]],TableauProduit[ID],TableauProduit[Total (kg) N6],0,0,1)*TableauRecette[[#This Row],[fraction mélange]]</f>
        <v/>
      </c>
      <c r="R143">
        <f>_xlfn.XLOOKUP(TableauRecette[[#This Row],[ID]],TableauProduit[ID],TableauProduit[Total (kg) N7],0,0,1)*TableauRecette[[#This Row],[fraction mélange]]</f>
        <v/>
      </c>
      <c r="S143">
        <f>_xlfn.XLOOKUP(TableauRecette[[#This Row],[ID]],TableauProduit[ID],TableauProduit[Total (kg) N8],0,0,1)*TableauRecette[[#This Row],[fraction mélange]]</f>
        <v/>
      </c>
      <c r="T143">
        <f>_xlfn.XLOOKUP(TableauRecette[[#This Row],[ID]],TableauProduit[ID],TableauProduit[Total (kg) N9],0,0,1)*TableauRecette[[#This Row],[fraction mélange]]</f>
        <v/>
      </c>
    </row>
    <row r="144">
      <c r="A144" t="inlineStr">
        <is>
          <t>Épices pour marinade</t>
        </is>
      </c>
      <c r="B144">
        <f>TableauRecette[[#This Row],[Recette]]&amp;TableauRecette[[#This Row],[Conditionnement]]</f>
        <v/>
      </c>
      <c r="C144" t="inlineStr">
        <is>
          <t>Cannelle</t>
        </is>
      </c>
      <c r="D144" t="n">
        <v>4</v>
      </c>
      <c r="E144" t="inlineStr">
        <is>
          <t>Epice 100ml</t>
        </is>
      </c>
      <c r="F14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4">
        <f>IFERROR(_xlfn.XLOOKUP(TableauRecette[[#This Row],[Ingredients]],TableauIngredients[Ingredients],TableauIngredients[Prix d''achat / kg],0)*TableauRecette[[#This Row],[fraction mélange]],0)</f>
        <v/>
      </c>
      <c r="H144">
        <f>IFERROR(SUMIFS(TableauRecette[Proportion],TableauRecette[Recette],TableauRecette[[#This Row],[Recette]],TableauRecette[Conditionnement],TableauRecette[[#This Row],[Conditionnement]]),0)</f>
        <v/>
      </c>
      <c r="I144">
        <f>IFERROR(TableauRecette[[#This Row],[Prix d''achat / kg]],0)</f>
        <v/>
      </c>
      <c r="L144">
        <f>_xlfn.XLOOKUP(TableauRecette[[#This Row],[ID]],TableauProduit[ID],TableauProduit[Total (kg) N1],0,0,1)*TableauRecette[[#This Row],[fraction mélange]]</f>
        <v/>
      </c>
      <c r="M144">
        <f>_xlfn.XLOOKUP(TableauRecette[[#This Row],[ID]],TableauProduit[ID],TableauProduit[Total (kg) N2],0,0,1)*TableauRecette[[#This Row],[fraction mélange]]</f>
        <v/>
      </c>
      <c r="N144">
        <f>_xlfn.XLOOKUP(TableauRecette[[#This Row],[ID]],TableauProduit[ID],TableauProduit[Total (kg) N3],0,0,1)*TableauRecette[[#This Row],[fraction mélange]]</f>
        <v/>
      </c>
      <c r="O144">
        <f>_xlfn.XLOOKUP(TableauRecette[[#This Row],[ID]],TableauProduit[ID],TableauProduit[Total (kg) N4],0,0,1)*TableauRecette[[#This Row],[fraction mélange]]</f>
        <v/>
      </c>
      <c r="P144">
        <f>_xlfn.XLOOKUP(TableauRecette[[#This Row],[ID]],TableauProduit[ID],TableauProduit[Total (kg) N5],0,0,1)*TableauRecette[[#This Row],[fraction mélange]]</f>
        <v/>
      </c>
      <c r="Q144">
        <f>_xlfn.XLOOKUP(TableauRecette[[#This Row],[ID]],TableauProduit[ID],TableauProduit[Total (kg) N6],0,0,1)*TableauRecette[[#This Row],[fraction mélange]]</f>
        <v/>
      </c>
      <c r="R144">
        <f>_xlfn.XLOOKUP(TableauRecette[[#This Row],[ID]],TableauProduit[ID],TableauProduit[Total (kg) N7],0,0,1)*TableauRecette[[#This Row],[fraction mélange]]</f>
        <v/>
      </c>
      <c r="S144">
        <f>_xlfn.XLOOKUP(TableauRecette[[#This Row],[ID]],TableauProduit[ID],TableauProduit[Total (kg) N8],0,0,1)*TableauRecette[[#This Row],[fraction mélange]]</f>
        <v/>
      </c>
      <c r="T144">
        <f>_xlfn.XLOOKUP(TableauRecette[[#This Row],[ID]],TableauProduit[ID],TableauProduit[Total (kg) N9],0,0,1)*TableauRecette[[#This Row],[fraction mélange]]</f>
        <v/>
      </c>
    </row>
    <row r="145">
      <c r="A145" t="inlineStr">
        <is>
          <t>Épices tandoori</t>
        </is>
      </c>
      <c r="B145">
        <f>TableauRecette[[#This Row],[Recette]]&amp;TableauRecette[[#This Row],[Conditionnement]]</f>
        <v/>
      </c>
      <c r="C145" t="inlineStr">
        <is>
          <t>Paprika</t>
        </is>
      </c>
      <c r="D145" t="n">
        <v>3</v>
      </c>
      <c r="E145" t="inlineStr">
        <is>
          <t>Epice 100ml</t>
        </is>
      </c>
      <c r="F14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5">
        <f>IFERROR(_xlfn.XLOOKUP(TableauRecette[[#This Row],[Ingredients]],TableauIngredients[Ingredients],TableauIngredients[Prix d''achat / kg],0)*TableauRecette[[#This Row],[fraction mélange]],0)</f>
        <v/>
      </c>
      <c r="H145">
        <f>IFERROR(SUMIFS(TableauRecette[Proportion],TableauRecette[Recette],TableauRecette[[#This Row],[Recette]],TableauRecette[Conditionnement],TableauRecette[[#This Row],[Conditionnement]]),0)</f>
        <v/>
      </c>
      <c r="I145">
        <f>IFERROR(TableauRecette[[#This Row],[Prix d''achat / kg]],0)</f>
        <v/>
      </c>
      <c r="L145">
        <f>_xlfn.XLOOKUP(TableauRecette[[#This Row],[ID]],TableauProduit[ID],TableauProduit[Total (kg) N1],0,0,1)*TableauRecette[[#This Row],[fraction mélange]]</f>
        <v/>
      </c>
      <c r="M145">
        <f>_xlfn.XLOOKUP(TableauRecette[[#This Row],[ID]],TableauProduit[ID],TableauProduit[Total (kg) N2],0,0,1)*TableauRecette[[#This Row],[fraction mélange]]</f>
        <v/>
      </c>
      <c r="N145">
        <f>_xlfn.XLOOKUP(TableauRecette[[#This Row],[ID]],TableauProduit[ID],TableauProduit[Total (kg) N3],0,0,1)*TableauRecette[[#This Row],[fraction mélange]]</f>
        <v/>
      </c>
      <c r="O145">
        <f>_xlfn.XLOOKUP(TableauRecette[[#This Row],[ID]],TableauProduit[ID],TableauProduit[Total (kg) N4],0,0,1)*TableauRecette[[#This Row],[fraction mélange]]</f>
        <v/>
      </c>
      <c r="P145">
        <f>_xlfn.XLOOKUP(TableauRecette[[#This Row],[ID]],TableauProduit[ID],TableauProduit[Total (kg) N5],0,0,1)*TableauRecette[[#This Row],[fraction mélange]]</f>
        <v/>
      </c>
      <c r="Q145">
        <f>_xlfn.XLOOKUP(TableauRecette[[#This Row],[ID]],TableauProduit[ID],TableauProduit[Total (kg) N6],0,0,1)*TableauRecette[[#This Row],[fraction mélange]]</f>
        <v/>
      </c>
      <c r="R145">
        <f>_xlfn.XLOOKUP(TableauRecette[[#This Row],[ID]],TableauProduit[ID],TableauProduit[Total (kg) N7],0,0,1)*TableauRecette[[#This Row],[fraction mélange]]</f>
        <v/>
      </c>
      <c r="S145">
        <f>_xlfn.XLOOKUP(TableauRecette[[#This Row],[ID]],TableauProduit[ID],TableauProduit[Total (kg) N8],0,0,1)*TableauRecette[[#This Row],[fraction mélange]]</f>
        <v/>
      </c>
      <c r="T145">
        <f>_xlfn.XLOOKUP(TableauRecette[[#This Row],[ID]],TableauProduit[ID],TableauProduit[Total (kg) N9],0,0,1)*TableauRecette[[#This Row],[fraction mélange]]</f>
        <v/>
      </c>
    </row>
    <row r="146">
      <c r="A146" t="inlineStr">
        <is>
          <t>Épices tandoori</t>
        </is>
      </c>
      <c r="B146">
        <f>TableauRecette[[#This Row],[Recette]]&amp;TableauRecette[[#This Row],[Conditionnement]]</f>
        <v/>
      </c>
      <c r="C146" t="inlineStr">
        <is>
          <t>Graine De Cumin</t>
        </is>
      </c>
      <c r="D146" t="n">
        <v>15</v>
      </c>
      <c r="E146" t="inlineStr">
        <is>
          <t>Epice 100ml</t>
        </is>
      </c>
      <c r="F14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6">
        <f>IFERROR(_xlfn.XLOOKUP(TableauRecette[[#This Row],[Ingredients]],TableauIngredients[Ingredients],TableauIngredients[Prix d''achat / kg],0)*TableauRecette[[#This Row],[fraction mélange]],0)</f>
        <v/>
      </c>
      <c r="H146">
        <f>IFERROR(SUMIFS(TableauRecette[Proportion],TableauRecette[Recette],TableauRecette[[#This Row],[Recette]],TableauRecette[Conditionnement],TableauRecette[[#This Row],[Conditionnement]]),0)</f>
        <v/>
      </c>
      <c r="I146">
        <f>IFERROR(TableauRecette[[#This Row],[Prix d''achat / kg]],0)</f>
        <v/>
      </c>
      <c r="L146">
        <f>_xlfn.XLOOKUP(TableauRecette[[#This Row],[ID]],TableauProduit[ID],TableauProduit[Total (kg) N1],0,0,1)*TableauRecette[[#This Row],[fraction mélange]]</f>
        <v/>
      </c>
      <c r="M146">
        <f>_xlfn.XLOOKUP(TableauRecette[[#This Row],[ID]],TableauProduit[ID],TableauProduit[Total (kg) N2],0,0,1)*TableauRecette[[#This Row],[fraction mélange]]</f>
        <v/>
      </c>
      <c r="N146">
        <f>_xlfn.XLOOKUP(TableauRecette[[#This Row],[ID]],TableauProduit[ID],TableauProduit[Total (kg) N3],0,0,1)*TableauRecette[[#This Row],[fraction mélange]]</f>
        <v/>
      </c>
      <c r="O146">
        <f>_xlfn.XLOOKUP(TableauRecette[[#This Row],[ID]],TableauProduit[ID],TableauProduit[Total (kg) N4],0,0,1)*TableauRecette[[#This Row],[fraction mélange]]</f>
        <v/>
      </c>
      <c r="P146">
        <f>_xlfn.XLOOKUP(TableauRecette[[#This Row],[ID]],TableauProduit[ID],TableauProduit[Total (kg) N5],0,0,1)*TableauRecette[[#This Row],[fraction mélange]]</f>
        <v/>
      </c>
      <c r="Q146">
        <f>_xlfn.XLOOKUP(TableauRecette[[#This Row],[ID]],TableauProduit[ID],TableauProduit[Total (kg) N6],0,0,1)*TableauRecette[[#This Row],[fraction mélange]]</f>
        <v/>
      </c>
      <c r="R146">
        <f>_xlfn.XLOOKUP(TableauRecette[[#This Row],[ID]],TableauProduit[ID],TableauProduit[Total (kg) N7],0,0,1)*TableauRecette[[#This Row],[fraction mélange]]</f>
        <v/>
      </c>
      <c r="S146">
        <f>_xlfn.XLOOKUP(TableauRecette[[#This Row],[ID]],TableauProduit[ID],TableauProduit[Total (kg) N8],0,0,1)*TableauRecette[[#This Row],[fraction mélange]]</f>
        <v/>
      </c>
      <c r="T146">
        <f>_xlfn.XLOOKUP(TableauRecette[[#This Row],[ID]],TableauProduit[ID],TableauProduit[Total (kg) N9],0,0,1)*TableauRecette[[#This Row],[fraction mélange]]</f>
        <v/>
      </c>
    </row>
    <row r="147">
      <c r="A147" t="inlineStr">
        <is>
          <t>Épices tandoori</t>
        </is>
      </c>
      <c r="B147">
        <f>TableauRecette[[#This Row],[Recette]]&amp;TableauRecette[[#This Row],[Conditionnement]]</f>
        <v/>
      </c>
      <c r="C147" t="inlineStr">
        <is>
          <t>Coriandre Graine</t>
        </is>
      </c>
      <c r="D147" t="n">
        <v>15</v>
      </c>
      <c r="E147" t="inlineStr">
        <is>
          <t>Epice 100ml</t>
        </is>
      </c>
      <c r="F14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7">
        <f>IFERROR(_xlfn.XLOOKUP(TableauRecette[[#This Row],[Ingredients]],TableauIngredients[Ingredients],TableauIngredients[Prix d''achat / kg],0)*TableauRecette[[#This Row],[fraction mélange]],0)</f>
        <v/>
      </c>
      <c r="H147">
        <f>IFERROR(SUMIFS(TableauRecette[Proportion],TableauRecette[Recette],TableauRecette[[#This Row],[Recette]],TableauRecette[Conditionnement],TableauRecette[[#This Row],[Conditionnement]]),0)</f>
        <v/>
      </c>
      <c r="I147">
        <f>IFERROR(TableauRecette[[#This Row],[Prix d''achat / kg]],0)</f>
        <v/>
      </c>
      <c r="L147">
        <f>_xlfn.XLOOKUP(TableauRecette[[#This Row],[ID]],TableauProduit[ID],TableauProduit[Total (kg) N1],0,0,1)*TableauRecette[[#This Row],[fraction mélange]]</f>
        <v/>
      </c>
      <c r="M147">
        <f>_xlfn.XLOOKUP(TableauRecette[[#This Row],[ID]],TableauProduit[ID],TableauProduit[Total (kg) N2],0,0,1)*TableauRecette[[#This Row],[fraction mélange]]</f>
        <v/>
      </c>
      <c r="N147">
        <f>_xlfn.XLOOKUP(TableauRecette[[#This Row],[ID]],TableauProduit[ID],TableauProduit[Total (kg) N3],0,0,1)*TableauRecette[[#This Row],[fraction mélange]]</f>
        <v/>
      </c>
      <c r="O147">
        <f>_xlfn.XLOOKUP(TableauRecette[[#This Row],[ID]],TableauProduit[ID],TableauProduit[Total (kg) N4],0,0,1)*TableauRecette[[#This Row],[fraction mélange]]</f>
        <v/>
      </c>
      <c r="P147">
        <f>_xlfn.XLOOKUP(TableauRecette[[#This Row],[ID]],TableauProduit[ID],TableauProduit[Total (kg) N5],0,0,1)*TableauRecette[[#This Row],[fraction mélange]]</f>
        <v/>
      </c>
      <c r="Q147">
        <f>_xlfn.XLOOKUP(TableauRecette[[#This Row],[ID]],TableauProduit[ID],TableauProduit[Total (kg) N6],0,0,1)*TableauRecette[[#This Row],[fraction mélange]]</f>
        <v/>
      </c>
      <c r="R147">
        <f>_xlfn.XLOOKUP(TableauRecette[[#This Row],[ID]],TableauProduit[ID],TableauProduit[Total (kg) N7],0,0,1)*TableauRecette[[#This Row],[fraction mélange]]</f>
        <v/>
      </c>
      <c r="S147">
        <f>_xlfn.XLOOKUP(TableauRecette[[#This Row],[ID]],TableauProduit[ID],TableauProduit[Total (kg) N8],0,0,1)*TableauRecette[[#This Row],[fraction mélange]]</f>
        <v/>
      </c>
      <c r="T147">
        <f>_xlfn.XLOOKUP(TableauRecette[[#This Row],[ID]],TableauProduit[ID],TableauProduit[Total (kg) N9],0,0,1)*TableauRecette[[#This Row],[fraction mélange]]</f>
        <v/>
      </c>
    </row>
    <row r="148">
      <c r="A148" t="inlineStr">
        <is>
          <t>Épices tandoori</t>
        </is>
      </c>
      <c r="B148">
        <f>TableauRecette[[#This Row],[Recette]]&amp;TableauRecette[[#This Row],[Conditionnement]]</f>
        <v/>
      </c>
      <c r="C148" t="inlineStr">
        <is>
          <t>Gingembre Sec</t>
        </is>
      </c>
      <c r="D148" t="n">
        <v>3</v>
      </c>
      <c r="E148" t="inlineStr">
        <is>
          <t>Epice 100ml</t>
        </is>
      </c>
      <c r="F14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8">
        <f>IFERROR(_xlfn.XLOOKUP(TableauRecette[[#This Row],[Ingredients]],TableauIngredients[Ingredients],TableauIngredients[Prix d''achat / kg],0)*TableauRecette[[#This Row],[fraction mélange]],0)</f>
        <v/>
      </c>
      <c r="H148">
        <f>IFERROR(SUMIFS(TableauRecette[Proportion],TableauRecette[Recette],TableauRecette[[#This Row],[Recette]],TableauRecette[Conditionnement],TableauRecette[[#This Row],[Conditionnement]]),0)</f>
        <v/>
      </c>
      <c r="I148">
        <f>IFERROR(TableauRecette[[#This Row],[Prix d''achat / kg]],0)</f>
        <v/>
      </c>
      <c r="K148" t="inlineStr">
        <is>
          <t>SEC</t>
        </is>
      </c>
      <c r="L148">
        <f>_xlfn.XLOOKUP(TableauRecette[[#This Row],[ID]],TableauProduit[ID],TableauProduit[Total (kg) N1],0,0,1)*TableauRecette[[#This Row],[fraction mélange]]</f>
        <v/>
      </c>
      <c r="M148">
        <f>_xlfn.XLOOKUP(TableauRecette[[#This Row],[ID]],TableauProduit[ID],TableauProduit[Total (kg) N2],0,0,1)*TableauRecette[[#This Row],[fraction mélange]]</f>
        <v/>
      </c>
      <c r="N148">
        <f>_xlfn.XLOOKUP(TableauRecette[[#This Row],[ID]],TableauProduit[ID],TableauProduit[Total (kg) N3],0,0,1)*TableauRecette[[#This Row],[fraction mélange]]</f>
        <v/>
      </c>
      <c r="O148">
        <f>_xlfn.XLOOKUP(TableauRecette[[#This Row],[ID]],TableauProduit[ID],TableauProduit[Total (kg) N4],0,0,1)*TableauRecette[[#This Row],[fraction mélange]]</f>
        <v/>
      </c>
      <c r="P148">
        <f>_xlfn.XLOOKUP(TableauRecette[[#This Row],[ID]],TableauProduit[ID],TableauProduit[Total (kg) N5],0,0,1)*TableauRecette[[#This Row],[fraction mélange]]</f>
        <v/>
      </c>
      <c r="Q148">
        <f>_xlfn.XLOOKUP(TableauRecette[[#This Row],[ID]],TableauProduit[ID],TableauProduit[Total (kg) N6],0,0,1)*TableauRecette[[#This Row],[fraction mélange]]</f>
        <v/>
      </c>
      <c r="R148">
        <f>_xlfn.XLOOKUP(TableauRecette[[#This Row],[ID]],TableauProduit[ID],TableauProduit[Total (kg) N7],0,0,1)*TableauRecette[[#This Row],[fraction mélange]]</f>
        <v/>
      </c>
      <c r="S148">
        <f>_xlfn.XLOOKUP(TableauRecette[[#This Row],[ID]],TableauProduit[ID],TableauProduit[Total (kg) N8],0,0,1)*TableauRecette[[#This Row],[fraction mélange]]</f>
        <v/>
      </c>
      <c r="T148">
        <f>_xlfn.XLOOKUP(TableauRecette[[#This Row],[ID]],TableauProduit[ID],TableauProduit[Total (kg) N9],0,0,1)*TableauRecette[[#This Row],[fraction mélange]]</f>
        <v/>
      </c>
    </row>
    <row r="149">
      <c r="A149" t="inlineStr">
        <is>
          <t>Épices tandoori</t>
        </is>
      </c>
      <c r="B149">
        <f>TableauRecette[[#This Row],[Recette]]&amp;TableauRecette[[#This Row],[Conditionnement]]</f>
        <v/>
      </c>
      <c r="C149" t="inlineStr">
        <is>
          <t>Curcuma Moulu</t>
        </is>
      </c>
      <c r="D149" t="n">
        <v>3</v>
      </c>
      <c r="E149" t="inlineStr">
        <is>
          <t>Epice 100ml</t>
        </is>
      </c>
      <c r="F14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9">
        <f>IFERROR(_xlfn.XLOOKUP(TableauRecette[[#This Row],[Ingredients]],TableauIngredients[Ingredients],TableauIngredients[Prix d''achat / kg],0)*TableauRecette[[#This Row],[fraction mélange]],0)</f>
        <v/>
      </c>
      <c r="H149">
        <f>IFERROR(SUMIFS(TableauRecette[Proportion],TableauRecette[Recette],TableauRecette[[#This Row],[Recette]],TableauRecette[Conditionnement],TableauRecette[[#This Row],[Conditionnement]]),0)</f>
        <v/>
      </c>
      <c r="I149">
        <f>IFERROR(TableauRecette[[#This Row],[Prix d''achat / kg]],0)</f>
        <v/>
      </c>
      <c r="L149">
        <f>_xlfn.XLOOKUP(TableauRecette[[#This Row],[ID]],TableauProduit[ID],TableauProduit[Total (kg) N1],0,0,1)*TableauRecette[[#This Row],[fraction mélange]]</f>
        <v/>
      </c>
      <c r="M149">
        <f>_xlfn.XLOOKUP(TableauRecette[[#This Row],[ID]],TableauProduit[ID],TableauProduit[Total (kg) N2],0,0,1)*TableauRecette[[#This Row],[fraction mélange]]</f>
        <v/>
      </c>
      <c r="N149">
        <f>_xlfn.XLOOKUP(TableauRecette[[#This Row],[ID]],TableauProduit[ID],TableauProduit[Total (kg) N3],0,0,1)*TableauRecette[[#This Row],[fraction mélange]]</f>
        <v/>
      </c>
      <c r="O149">
        <f>_xlfn.XLOOKUP(TableauRecette[[#This Row],[ID]],TableauProduit[ID],TableauProduit[Total (kg) N4],0,0,1)*TableauRecette[[#This Row],[fraction mélange]]</f>
        <v/>
      </c>
      <c r="P149">
        <f>_xlfn.XLOOKUP(TableauRecette[[#This Row],[ID]],TableauProduit[ID],TableauProduit[Total (kg) N5],0,0,1)*TableauRecette[[#This Row],[fraction mélange]]</f>
        <v/>
      </c>
      <c r="Q149">
        <f>_xlfn.XLOOKUP(TableauRecette[[#This Row],[ID]],TableauProduit[ID],TableauProduit[Total (kg) N6],0,0,1)*TableauRecette[[#This Row],[fraction mélange]]</f>
        <v/>
      </c>
      <c r="R149">
        <f>_xlfn.XLOOKUP(TableauRecette[[#This Row],[ID]],TableauProduit[ID],TableauProduit[Total (kg) N7],0,0,1)*TableauRecette[[#This Row],[fraction mélange]]</f>
        <v/>
      </c>
      <c r="S149">
        <f>_xlfn.XLOOKUP(TableauRecette[[#This Row],[ID]],TableauProduit[ID],TableauProduit[Total (kg) N8],0,0,1)*TableauRecette[[#This Row],[fraction mélange]]</f>
        <v/>
      </c>
      <c r="T149">
        <f>_xlfn.XLOOKUP(TableauRecette[[#This Row],[ID]],TableauProduit[ID],TableauProduit[Total (kg) N9],0,0,1)*TableauRecette[[#This Row],[fraction mélange]]</f>
        <v/>
      </c>
    </row>
    <row r="150">
      <c r="A150" t="inlineStr">
        <is>
          <t>Épices tandoori</t>
        </is>
      </c>
      <c r="B150">
        <f>TableauRecette[[#This Row],[Recette]]&amp;TableauRecette[[#This Row],[Conditionnement]]</f>
        <v/>
      </c>
      <c r="C150" t="inlineStr">
        <is>
          <t>Clous De Girofle</t>
        </is>
      </c>
      <c r="D150" t="n">
        <v>0.5</v>
      </c>
      <c r="E150" t="inlineStr">
        <is>
          <t>Epice 100ml</t>
        </is>
      </c>
      <c r="F15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0">
        <f>IFERROR(_xlfn.XLOOKUP(TableauRecette[[#This Row],[Ingredients]],TableauIngredients[Ingredients],TableauIngredients[Prix d''achat / kg],0)*TableauRecette[[#This Row],[fraction mélange]],0)</f>
        <v/>
      </c>
      <c r="H150">
        <f>IFERROR(SUMIFS(TableauRecette[Proportion],TableauRecette[Recette],TableauRecette[[#This Row],[Recette]],TableauRecette[Conditionnement],TableauRecette[[#This Row],[Conditionnement]]),0)</f>
        <v/>
      </c>
      <c r="I150">
        <f>IFERROR(TableauRecette[[#This Row],[Prix d''achat / kg]],0)</f>
        <v/>
      </c>
      <c r="L150">
        <f>_xlfn.XLOOKUP(TableauRecette[[#This Row],[ID]],TableauProduit[ID],TableauProduit[Total (kg) N1],0,0,1)*TableauRecette[[#This Row],[fraction mélange]]</f>
        <v/>
      </c>
      <c r="M150">
        <f>_xlfn.XLOOKUP(TableauRecette[[#This Row],[ID]],TableauProduit[ID],TableauProduit[Total (kg) N2],0,0,1)*TableauRecette[[#This Row],[fraction mélange]]</f>
        <v/>
      </c>
      <c r="N150">
        <f>_xlfn.XLOOKUP(TableauRecette[[#This Row],[ID]],TableauProduit[ID],TableauProduit[Total (kg) N3],0,0,1)*TableauRecette[[#This Row],[fraction mélange]]</f>
        <v/>
      </c>
      <c r="O150">
        <f>_xlfn.XLOOKUP(TableauRecette[[#This Row],[ID]],TableauProduit[ID],TableauProduit[Total (kg) N4],0,0,1)*TableauRecette[[#This Row],[fraction mélange]]</f>
        <v/>
      </c>
      <c r="P150">
        <f>_xlfn.XLOOKUP(TableauRecette[[#This Row],[ID]],TableauProduit[ID],TableauProduit[Total (kg) N5],0,0,1)*TableauRecette[[#This Row],[fraction mélange]]</f>
        <v/>
      </c>
      <c r="Q150">
        <f>_xlfn.XLOOKUP(TableauRecette[[#This Row],[ID]],TableauProduit[ID],TableauProduit[Total (kg) N6],0,0,1)*TableauRecette[[#This Row],[fraction mélange]]</f>
        <v/>
      </c>
      <c r="R150">
        <f>_xlfn.XLOOKUP(TableauRecette[[#This Row],[ID]],TableauProduit[ID],TableauProduit[Total (kg) N7],0,0,1)*TableauRecette[[#This Row],[fraction mélange]]</f>
        <v/>
      </c>
      <c r="S150">
        <f>_xlfn.XLOOKUP(TableauRecette[[#This Row],[ID]],TableauProduit[ID],TableauProduit[Total (kg) N8],0,0,1)*TableauRecette[[#This Row],[fraction mélange]]</f>
        <v/>
      </c>
      <c r="T150">
        <f>_xlfn.XLOOKUP(TableauRecette[[#This Row],[ID]],TableauProduit[ID],TableauProduit[Total (kg) N9],0,0,1)*TableauRecette[[#This Row],[fraction mélange]]</f>
        <v/>
      </c>
    </row>
    <row r="151">
      <c r="A151" t="inlineStr">
        <is>
          <t>Épices tandoori</t>
        </is>
      </c>
      <c r="B151">
        <f>TableauRecette[[#This Row],[Recette]]&amp;TableauRecette[[#This Row],[Conditionnement]]</f>
        <v/>
      </c>
      <c r="C151" t="inlineStr">
        <is>
          <t>Cannelle Moulue</t>
        </is>
      </c>
      <c r="D151" t="n">
        <v>1</v>
      </c>
      <c r="E151" t="inlineStr">
        <is>
          <t>Epice 100ml</t>
        </is>
      </c>
      <c r="F15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1">
        <f>IFERROR(_xlfn.XLOOKUP(TableauRecette[[#This Row],[Ingredients]],TableauIngredients[Ingredients],TableauIngredients[Prix d''achat / kg],0)*TableauRecette[[#This Row],[fraction mélange]],0)</f>
        <v/>
      </c>
      <c r="H151">
        <f>IFERROR(SUMIFS(TableauRecette[Proportion],TableauRecette[Recette],TableauRecette[[#This Row],[Recette]],TableauRecette[Conditionnement],TableauRecette[[#This Row],[Conditionnement]]),0)</f>
        <v/>
      </c>
      <c r="I151">
        <f>IFERROR(TableauRecette[[#This Row],[Prix d''achat / kg]],0)</f>
        <v/>
      </c>
      <c r="L151">
        <f>_xlfn.XLOOKUP(TableauRecette[[#This Row],[ID]],TableauProduit[ID],TableauProduit[Total (kg) N1],0,0,1)*TableauRecette[[#This Row],[fraction mélange]]</f>
        <v/>
      </c>
      <c r="M151">
        <f>_xlfn.XLOOKUP(TableauRecette[[#This Row],[ID]],TableauProduit[ID],TableauProduit[Total (kg) N2],0,0,1)*TableauRecette[[#This Row],[fraction mélange]]</f>
        <v/>
      </c>
      <c r="N151">
        <f>_xlfn.XLOOKUP(TableauRecette[[#This Row],[ID]],TableauProduit[ID],TableauProduit[Total (kg) N3],0,0,1)*TableauRecette[[#This Row],[fraction mélange]]</f>
        <v/>
      </c>
      <c r="O151">
        <f>_xlfn.XLOOKUP(TableauRecette[[#This Row],[ID]],TableauProduit[ID],TableauProduit[Total (kg) N4],0,0,1)*TableauRecette[[#This Row],[fraction mélange]]</f>
        <v/>
      </c>
      <c r="P151">
        <f>_xlfn.XLOOKUP(TableauRecette[[#This Row],[ID]],TableauProduit[ID],TableauProduit[Total (kg) N5],0,0,1)*TableauRecette[[#This Row],[fraction mélange]]</f>
        <v/>
      </c>
      <c r="Q151">
        <f>_xlfn.XLOOKUP(TableauRecette[[#This Row],[ID]],TableauProduit[ID],TableauProduit[Total (kg) N6],0,0,1)*TableauRecette[[#This Row],[fraction mélange]]</f>
        <v/>
      </c>
      <c r="R151">
        <f>_xlfn.XLOOKUP(TableauRecette[[#This Row],[ID]],TableauProduit[ID],TableauProduit[Total (kg) N7],0,0,1)*TableauRecette[[#This Row],[fraction mélange]]</f>
        <v/>
      </c>
      <c r="S151">
        <f>_xlfn.XLOOKUP(TableauRecette[[#This Row],[ID]],TableauProduit[ID],TableauProduit[Total (kg) N8],0,0,1)*TableauRecette[[#This Row],[fraction mélange]]</f>
        <v/>
      </c>
      <c r="T151">
        <f>_xlfn.XLOOKUP(TableauRecette[[#This Row],[ID]],TableauProduit[ID],TableauProduit[Total (kg) N9],0,0,1)*TableauRecette[[#This Row],[fraction mélange]]</f>
        <v/>
      </c>
    </row>
    <row r="152">
      <c r="A152" t="inlineStr">
        <is>
          <t>Épices tandoori</t>
        </is>
      </c>
      <c r="B152">
        <f>TableauRecette[[#This Row],[Recette]]&amp;TableauRecette[[#This Row],[Conditionnement]]</f>
        <v/>
      </c>
      <c r="C152" t="inlineStr">
        <is>
          <t>Graine De Cardamome</t>
        </is>
      </c>
      <c r="D152" t="n">
        <v>0.8</v>
      </c>
      <c r="E152" t="inlineStr">
        <is>
          <t>Epice 100ml</t>
        </is>
      </c>
      <c r="F15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2">
        <f>IFERROR(_xlfn.XLOOKUP(TableauRecette[[#This Row],[Ingredients]],TableauIngredients[Ingredients],TableauIngredients[Prix d''achat / kg],0)*TableauRecette[[#This Row],[fraction mélange]],0)</f>
        <v/>
      </c>
      <c r="H152">
        <f>IFERROR(SUMIFS(TableauRecette[Proportion],TableauRecette[Recette],TableauRecette[[#This Row],[Recette]],TableauRecette[Conditionnement],TableauRecette[[#This Row],[Conditionnement]]),0)</f>
        <v/>
      </c>
      <c r="I152">
        <f>IFERROR(TableauRecette[[#This Row],[Prix d''achat / kg]],0)</f>
        <v/>
      </c>
      <c r="L152">
        <f>_xlfn.XLOOKUP(TableauRecette[[#This Row],[ID]],TableauProduit[ID],TableauProduit[Total (kg) N1],0,0,1)*TableauRecette[[#This Row],[fraction mélange]]</f>
        <v/>
      </c>
      <c r="M152">
        <f>_xlfn.XLOOKUP(TableauRecette[[#This Row],[ID]],TableauProduit[ID],TableauProduit[Total (kg) N2],0,0,1)*TableauRecette[[#This Row],[fraction mélange]]</f>
        <v/>
      </c>
      <c r="N152">
        <f>_xlfn.XLOOKUP(TableauRecette[[#This Row],[ID]],TableauProduit[ID],TableauProduit[Total (kg) N3],0,0,1)*TableauRecette[[#This Row],[fraction mélange]]</f>
        <v/>
      </c>
      <c r="O152">
        <f>_xlfn.XLOOKUP(TableauRecette[[#This Row],[ID]],TableauProduit[ID],TableauProduit[Total (kg) N4],0,0,1)*TableauRecette[[#This Row],[fraction mélange]]</f>
        <v/>
      </c>
      <c r="P152">
        <f>_xlfn.XLOOKUP(TableauRecette[[#This Row],[ID]],TableauProduit[ID],TableauProduit[Total (kg) N5],0,0,1)*TableauRecette[[#This Row],[fraction mélange]]</f>
        <v/>
      </c>
      <c r="Q152">
        <f>_xlfn.XLOOKUP(TableauRecette[[#This Row],[ID]],TableauProduit[ID],TableauProduit[Total (kg) N6],0,0,1)*TableauRecette[[#This Row],[fraction mélange]]</f>
        <v/>
      </c>
      <c r="R152">
        <f>_xlfn.XLOOKUP(TableauRecette[[#This Row],[ID]],TableauProduit[ID],TableauProduit[Total (kg) N7],0,0,1)*TableauRecette[[#This Row],[fraction mélange]]</f>
        <v/>
      </c>
      <c r="S152">
        <f>_xlfn.XLOOKUP(TableauRecette[[#This Row],[ID]],TableauProduit[ID],TableauProduit[Total (kg) N8],0,0,1)*TableauRecette[[#This Row],[fraction mélange]]</f>
        <v/>
      </c>
      <c r="T152">
        <f>_xlfn.XLOOKUP(TableauRecette[[#This Row],[ID]],TableauProduit[ID],TableauProduit[Total (kg) N9],0,0,1)*TableauRecette[[#This Row],[fraction mélange]]</f>
        <v/>
      </c>
    </row>
    <row r="153">
      <c r="A153" t="inlineStr">
        <is>
          <t>Épices tandoori</t>
        </is>
      </c>
      <c r="B153">
        <f>TableauRecette[[#This Row],[Recette]]&amp;TableauRecette[[#This Row],[Conditionnement]]</f>
        <v/>
      </c>
      <c r="C153" t="inlineStr">
        <is>
          <t>Poivre Noir</t>
        </is>
      </c>
      <c r="D153" t="n">
        <v>1</v>
      </c>
      <c r="E153" t="inlineStr">
        <is>
          <t>Epice 100ml</t>
        </is>
      </c>
      <c r="F15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3">
        <f>IFERROR(_xlfn.XLOOKUP(TableauRecette[[#This Row],[Ingredients]],TableauIngredients[Ingredients],TableauIngredients[Prix d''achat / kg],0)*TableauRecette[[#This Row],[fraction mélange]],0)</f>
        <v/>
      </c>
      <c r="H153">
        <f>IFERROR(SUMIFS(TableauRecette[Proportion],TableauRecette[Recette],TableauRecette[[#This Row],[Recette]],TableauRecette[Conditionnement],TableauRecette[[#This Row],[Conditionnement]]),0)</f>
        <v/>
      </c>
      <c r="I153">
        <f>IFERROR(TableauRecette[[#This Row],[Prix d''achat / kg]],0)</f>
        <v/>
      </c>
      <c r="L153">
        <f>_xlfn.XLOOKUP(TableauRecette[[#This Row],[ID]],TableauProduit[ID],TableauProduit[Total (kg) N1],0,0,1)*TableauRecette[[#This Row],[fraction mélange]]</f>
        <v/>
      </c>
      <c r="M153">
        <f>_xlfn.XLOOKUP(TableauRecette[[#This Row],[ID]],TableauProduit[ID],TableauProduit[Total (kg) N2],0,0,1)*TableauRecette[[#This Row],[fraction mélange]]</f>
        <v/>
      </c>
      <c r="N153">
        <f>_xlfn.XLOOKUP(TableauRecette[[#This Row],[ID]],TableauProduit[ID],TableauProduit[Total (kg) N3],0,0,1)*TableauRecette[[#This Row],[fraction mélange]]</f>
        <v/>
      </c>
      <c r="O153">
        <f>_xlfn.XLOOKUP(TableauRecette[[#This Row],[ID]],TableauProduit[ID],TableauProduit[Total (kg) N4],0,0,1)*TableauRecette[[#This Row],[fraction mélange]]</f>
        <v/>
      </c>
      <c r="P153">
        <f>_xlfn.XLOOKUP(TableauRecette[[#This Row],[ID]],TableauProduit[ID],TableauProduit[Total (kg) N5],0,0,1)*TableauRecette[[#This Row],[fraction mélange]]</f>
        <v/>
      </c>
      <c r="Q153">
        <f>_xlfn.XLOOKUP(TableauRecette[[#This Row],[ID]],TableauProduit[ID],TableauProduit[Total (kg) N6],0,0,1)*TableauRecette[[#This Row],[fraction mélange]]</f>
        <v/>
      </c>
      <c r="R153">
        <f>_xlfn.XLOOKUP(TableauRecette[[#This Row],[ID]],TableauProduit[ID],TableauProduit[Total (kg) N7],0,0,1)*TableauRecette[[#This Row],[fraction mélange]]</f>
        <v/>
      </c>
      <c r="S153">
        <f>_xlfn.XLOOKUP(TableauRecette[[#This Row],[ID]],TableauProduit[ID],TableauProduit[Total (kg) N8],0,0,1)*TableauRecette[[#This Row],[fraction mélange]]</f>
        <v/>
      </c>
      <c r="T153">
        <f>_xlfn.XLOOKUP(TableauRecette[[#This Row],[ID]],TableauProduit[ID],TableauProduit[Total (kg) N9],0,0,1)*TableauRecette[[#This Row],[fraction mélange]]</f>
        <v/>
      </c>
    </row>
    <row r="154">
      <c r="A154" t="inlineStr">
        <is>
          <t>Épices tandoori</t>
        </is>
      </c>
      <c r="B154">
        <f>TableauRecette[[#This Row],[Recette]]&amp;TableauRecette[[#This Row],[Conditionnement]]</f>
        <v/>
      </c>
      <c r="C154" t="inlineStr">
        <is>
          <t>Sel</t>
        </is>
      </c>
      <c r="D154" t="n">
        <v>1</v>
      </c>
      <c r="E154" t="inlineStr">
        <is>
          <t>Epice 100ml</t>
        </is>
      </c>
      <c r="F15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4">
        <f>IFERROR(_xlfn.XLOOKUP(TableauRecette[[#This Row],[Ingredients]],TableauIngredients[Ingredients],TableauIngredients[Prix d''achat / kg],0)*TableauRecette[[#This Row],[fraction mélange]],0)</f>
        <v/>
      </c>
      <c r="H154">
        <f>IFERROR(SUMIFS(TableauRecette[Proportion],TableauRecette[Recette],TableauRecette[[#This Row],[Recette]],TableauRecette[Conditionnement],TableauRecette[[#This Row],[Conditionnement]]),0)</f>
        <v/>
      </c>
      <c r="I154">
        <f>IFERROR(TableauRecette[[#This Row],[Prix d''achat / kg]],0)</f>
        <v/>
      </c>
      <c r="L154">
        <f>_xlfn.XLOOKUP(TableauRecette[[#This Row],[ID]],TableauProduit[ID],TableauProduit[Total (kg) N1],0,0,1)*TableauRecette[[#This Row],[fraction mélange]]</f>
        <v/>
      </c>
      <c r="M154">
        <f>_xlfn.XLOOKUP(TableauRecette[[#This Row],[ID]],TableauProduit[ID],TableauProduit[Total (kg) N2],0,0,1)*TableauRecette[[#This Row],[fraction mélange]]</f>
        <v/>
      </c>
      <c r="N154">
        <f>_xlfn.XLOOKUP(TableauRecette[[#This Row],[ID]],TableauProduit[ID],TableauProduit[Total (kg) N3],0,0,1)*TableauRecette[[#This Row],[fraction mélange]]</f>
        <v/>
      </c>
      <c r="O154">
        <f>_xlfn.XLOOKUP(TableauRecette[[#This Row],[ID]],TableauProduit[ID],TableauProduit[Total (kg) N4],0,0,1)*TableauRecette[[#This Row],[fraction mélange]]</f>
        <v/>
      </c>
      <c r="P154">
        <f>_xlfn.XLOOKUP(TableauRecette[[#This Row],[ID]],TableauProduit[ID],TableauProduit[Total (kg) N5],0,0,1)*TableauRecette[[#This Row],[fraction mélange]]</f>
        <v/>
      </c>
      <c r="Q154">
        <f>_xlfn.XLOOKUP(TableauRecette[[#This Row],[ID]],TableauProduit[ID],TableauProduit[Total (kg) N6],0,0,1)*TableauRecette[[#This Row],[fraction mélange]]</f>
        <v/>
      </c>
      <c r="R154">
        <f>_xlfn.XLOOKUP(TableauRecette[[#This Row],[ID]],TableauProduit[ID],TableauProduit[Total (kg) N7],0,0,1)*TableauRecette[[#This Row],[fraction mélange]]</f>
        <v/>
      </c>
      <c r="S154">
        <f>_xlfn.XLOOKUP(TableauRecette[[#This Row],[ID]],TableauProduit[ID],TableauProduit[Total (kg) N8],0,0,1)*TableauRecette[[#This Row],[fraction mélange]]</f>
        <v/>
      </c>
      <c r="T154">
        <f>_xlfn.XLOOKUP(TableauRecette[[#This Row],[ID]],TableauProduit[ID],TableauProduit[Total (kg) N9],0,0,1)*TableauRecette[[#This Row],[fraction mélange]]</f>
        <v/>
      </c>
    </row>
    <row r="155">
      <c r="A155" t="inlineStr">
        <is>
          <t>Épices tandoori</t>
        </is>
      </c>
      <c r="B155">
        <f>TableauRecette[[#This Row],[Recette]]&amp;TableauRecette[[#This Row],[Conditionnement]]</f>
        <v/>
      </c>
      <c r="C155" t="inlineStr">
        <is>
          <t>Piments Rouge Séchés</t>
        </is>
      </c>
      <c r="D155" t="n">
        <v>0.3</v>
      </c>
      <c r="E155" t="inlineStr">
        <is>
          <t>Epice 100ml</t>
        </is>
      </c>
      <c r="F15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5">
        <f>IFERROR(_xlfn.XLOOKUP(TableauRecette[[#This Row],[Ingredients]],TableauIngredients[Ingredients],TableauIngredients[Prix d''achat / kg],0)*TableauRecette[[#This Row],[fraction mélange]],0)</f>
        <v/>
      </c>
      <c r="H155">
        <f>IFERROR(SUMIFS(TableauRecette[Proportion],TableauRecette[Recette],TableauRecette[[#This Row],[Recette]],TableauRecette[Conditionnement],TableauRecette[[#This Row],[Conditionnement]]),0)</f>
        <v/>
      </c>
      <c r="I155">
        <f>IFERROR(TableauRecette[[#This Row],[Prix d''achat / kg]],0)</f>
        <v/>
      </c>
      <c r="L155">
        <f>_xlfn.XLOOKUP(TableauRecette[[#This Row],[ID]],TableauProduit[ID],TableauProduit[Total (kg) N1],0,0,1)*TableauRecette[[#This Row],[fraction mélange]]</f>
        <v/>
      </c>
      <c r="M155">
        <f>_xlfn.XLOOKUP(TableauRecette[[#This Row],[ID]],TableauProduit[ID],TableauProduit[Total (kg) N2],0,0,1)*TableauRecette[[#This Row],[fraction mélange]]</f>
        <v/>
      </c>
      <c r="N155">
        <f>_xlfn.XLOOKUP(TableauRecette[[#This Row],[ID]],TableauProduit[ID],TableauProduit[Total (kg) N3],0,0,1)*TableauRecette[[#This Row],[fraction mélange]]</f>
        <v/>
      </c>
      <c r="O155">
        <f>_xlfn.XLOOKUP(TableauRecette[[#This Row],[ID]],TableauProduit[ID],TableauProduit[Total (kg) N4],0,0,1)*TableauRecette[[#This Row],[fraction mélange]]</f>
        <v/>
      </c>
      <c r="P155">
        <f>_xlfn.XLOOKUP(TableauRecette[[#This Row],[ID]],TableauProduit[ID],TableauProduit[Total (kg) N5],0,0,1)*TableauRecette[[#This Row],[fraction mélange]]</f>
        <v/>
      </c>
      <c r="Q155">
        <f>_xlfn.XLOOKUP(TableauRecette[[#This Row],[ID]],TableauProduit[ID],TableauProduit[Total (kg) N6],0,0,1)*TableauRecette[[#This Row],[fraction mélange]]</f>
        <v/>
      </c>
      <c r="R155">
        <f>_xlfn.XLOOKUP(TableauRecette[[#This Row],[ID]],TableauProduit[ID],TableauProduit[Total (kg) N7],0,0,1)*TableauRecette[[#This Row],[fraction mélange]]</f>
        <v/>
      </c>
      <c r="S155">
        <f>_xlfn.XLOOKUP(TableauRecette[[#This Row],[ID]],TableauProduit[ID],TableauProduit[Total (kg) N8],0,0,1)*TableauRecette[[#This Row],[fraction mélange]]</f>
        <v/>
      </c>
      <c r="T155">
        <f>_xlfn.XLOOKUP(TableauRecette[[#This Row],[ID]],TableauProduit[ID],TableauProduit[Total (kg) N9],0,0,1)*TableauRecette[[#This Row],[fraction mélange]]</f>
        <v/>
      </c>
    </row>
    <row r="156">
      <c r="A156" t="inlineStr">
        <is>
          <t>Épices tandoori</t>
        </is>
      </c>
      <c r="B156">
        <f>TableauRecette[[#This Row],[Recette]]&amp;TableauRecette[[#This Row],[Conditionnement]]</f>
        <v/>
      </c>
      <c r="C156" t="inlineStr">
        <is>
          <t>Ail Sec</t>
        </is>
      </c>
      <c r="D156" t="n">
        <v>3</v>
      </c>
      <c r="E156" t="inlineStr">
        <is>
          <t>Epice 100ml</t>
        </is>
      </c>
      <c r="F15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6">
        <f>IFERROR(_xlfn.XLOOKUP(TableauRecette[[#This Row],[Ingredients]],TableauIngredients[Ingredients],TableauIngredients[Prix d''achat / kg],0)*TableauRecette[[#This Row],[fraction mélange]],0)</f>
        <v/>
      </c>
      <c r="H156">
        <f>IFERROR(SUMIFS(TableauRecette[Proportion],TableauRecette[Recette],TableauRecette[[#This Row],[Recette]],TableauRecette[Conditionnement],TableauRecette[[#This Row],[Conditionnement]]),0)</f>
        <v/>
      </c>
      <c r="I156">
        <f>IFERROR(TableauRecette[[#This Row],[Prix d''achat / kg]],0)</f>
        <v/>
      </c>
      <c r="K156" t="inlineStr">
        <is>
          <t>SEC</t>
        </is>
      </c>
      <c r="L156">
        <f>_xlfn.XLOOKUP(TableauRecette[[#This Row],[ID]],TableauProduit[ID],TableauProduit[Total (kg) N1],0,0,1)*TableauRecette[[#This Row],[fraction mélange]]</f>
        <v/>
      </c>
      <c r="M156">
        <f>_xlfn.XLOOKUP(TableauRecette[[#This Row],[ID]],TableauProduit[ID],TableauProduit[Total (kg) N2],0,0,1)*TableauRecette[[#This Row],[fraction mélange]]</f>
        <v/>
      </c>
      <c r="N156">
        <f>_xlfn.XLOOKUP(TableauRecette[[#This Row],[ID]],TableauProduit[ID],TableauProduit[Total (kg) N3],0,0,1)*TableauRecette[[#This Row],[fraction mélange]]</f>
        <v/>
      </c>
      <c r="O156">
        <f>_xlfn.XLOOKUP(TableauRecette[[#This Row],[ID]],TableauProduit[ID],TableauProduit[Total (kg) N4],0,0,1)*TableauRecette[[#This Row],[fraction mélange]]</f>
        <v/>
      </c>
      <c r="P156">
        <f>_xlfn.XLOOKUP(TableauRecette[[#This Row],[ID]],TableauProduit[ID],TableauProduit[Total (kg) N5],0,0,1)*TableauRecette[[#This Row],[fraction mélange]]</f>
        <v/>
      </c>
      <c r="Q156">
        <f>_xlfn.XLOOKUP(TableauRecette[[#This Row],[ID]],TableauProduit[ID],TableauProduit[Total (kg) N6],0,0,1)*TableauRecette[[#This Row],[fraction mélange]]</f>
        <v/>
      </c>
      <c r="R156">
        <f>_xlfn.XLOOKUP(TableauRecette[[#This Row],[ID]],TableauProduit[ID],TableauProduit[Total (kg) N7],0,0,1)*TableauRecette[[#This Row],[fraction mélange]]</f>
        <v/>
      </c>
      <c r="S156">
        <f>_xlfn.XLOOKUP(TableauRecette[[#This Row],[ID]],TableauProduit[ID],TableauProduit[Total (kg) N8],0,0,1)*TableauRecette[[#This Row],[fraction mélange]]</f>
        <v/>
      </c>
      <c r="T156">
        <f>_xlfn.XLOOKUP(TableauRecette[[#This Row],[ID]],TableauProduit[ID],TableauProduit[Total (kg) N9],0,0,1)*TableauRecette[[#This Row],[fraction mélange]]</f>
        <v/>
      </c>
    </row>
    <row r="157">
      <c r="A157" t="inlineStr">
        <is>
          <t>Épices viandes rouges</t>
        </is>
      </c>
      <c r="B157">
        <f>TableauRecette[[#This Row],[Recette]]&amp;TableauRecette[[#This Row],[Conditionnement]]</f>
        <v/>
      </c>
      <c r="C157" t="inlineStr">
        <is>
          <t>Paprika Fumé</t>
        </is>
      </c>
      <c r="D157" t="n">
        <v>6</v>
      </c>
      <c r="E157" t="inlineStr">
        <is>
          <t>Epice 100ml</t>
        </is>
      </c>
      <c r="F15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7">
        <f>IFERROR(_xlfn.XLOOKUP(TableauRecette[[#This Row],[Ingredients]],TableauIngredients[Ingredients],TableauIngredients[Prix d''achat / kg],0)*TableauRecette[[#This Row],[fraction mélange]],0)</f>
        <v/>
      </c>
      <c r="H157">
        <f>IFERROR(SUMIFS(TableauRecette[Proportion],TableauRecette[Recette],TableauRecette[[#This Row],[Recette]],TableauRecette[Conditionnement],TableauRecette[[#This Row],[Conditionnement]]),0)</f>
        <v/>
      </c>
      <c r="I157">
        <f>IFERROR(TableauRecette[[#This Row],[Prix d''achat / kg]],0)</f>
        <v/>
      </c>
      <c r="L157">
        <f>_xlfn.XLOOKUP(TableauRecette[[#This Row],[ID]],TableauProduit[ID],TableauProduit[Total (kg) N1],0,0,1)*TableauRecette[[#This Row],[fraction mélange]]</f>
        <v/>
      </c>
      <c r="M157">
        <f>_xlfn.XLOOKUP(TableauRecette[[#This Row],[ID]],TableauProduit[ID],TableauProduit[Total (kg) N2],0,0,1)*TableauRecette[[#This Row],[fraction mélange]]</f>
        <v/>
      </c>
      <c r="N157">
        <f>_xlfn.XLOOKUP(TableauRecette[[#This Row],[ID]],TableauProduit[ID],TableauProduit[Total (kg) N3],0,0,1)*TableauRecette[[#This Row],[fraction mélange]]</f>
        <v/>
      </c>
      <c r="O157">
        <f>_xlfn.XLOOKUP(TableauRecette[[#This Row],[ID]],TableauProduit[ID],TableauProduit[Total (kg) N4],0,0,1)*TableauRecette[[#This Row],[fraction mélange]]</f>
        <v/>
      </c>
      <c r="P157">
        <f>_xlfn.XLOOKUP(TableauRecette[[#This Row],[ID]],TableauProduit[ID],TableauProduit[Total (kg) N5],0,0,1)*TableauRecette[[#This Row],[fraction mélange]]</f>
        <v/>
      </c>
      <c r="Q157">
        <f>_xlfn.XLOOKUP(TableauRecette[[#This Row],[ID]],TableauProduit[ID],TableauProduit[Total (kg) N6],0,0,1)*TableauRecette[[#This Row],[fraction mélange]]</f>
        <v/>
      </c>
      <c r="R157">
        <f>_xlfn.XLOOKUP(TableauRecette[[#This Row],[ID]],TableauProduit[ID],TableauProduit[Total (kg) N7],0,0,1)*TableauRecette[[#This Row],[fraction mélange]]</f>
        <v/>
      </c>
      <c r="S157">
        <f>_xlfn.XLOOKUP(TableauRecette[[#This Row],[ID]],TableauProduit[ID],TableauProduit[Total (kg) N8],0,0,1)*TableauRecette[[#This Row],[fraction mélange]]</f>
        <v/>
      </c>
      <c r="T157">
        <f>_xlfn.XLOOKUP(TableauRecette[[#This Row],[ID]],TableauProduit[ID],TableauProduit[Total (kg) N9],0,0,1)*TableauRecette[[#This Row],[fraction mélange]]</f>
        <v/>
      </c>
    </row>
    <row r="158">
      <c r="A158" t="inlineStr">
        <is>
          <t>Épices viandes rouges</t>
        </is>
      </c>
      <c r="B158">
        <f>TableauRecette[[#This Row],[Recette]]&amp;TableauRecette[[#This Row],[Conditionnement]]</f>
        <v/>
      </c>
      <c r="C158" t="inlineStr">
        <is>
          <t>Cumin Moulu</t>
        </is>
      </c>
      <c r="D158" t="n">
        <v>2</v>
      </c>
      <c r="E158" t="inlineStr">
        <is>
          <t>Epice 100ml</t>
        </is>
      </c>
      <c r="F15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8">
        <f>IFERROR(_xlfn.XLOOKUP(TableauRecette[[#This Row],[Ingredients]],TableauIngredients[Ingredients],TableauIngredients[Prix d''achat / kg],0)*TableauRecette[[#This Row],[fraction mélange]],0)</f>
        <v/>
      </c>
      <c r="H158">
        <f>IFERROR(SUMIFS(TableauRecette[Proportion],TableauRecette[Recette],TableauRecette[[#This Row],[Recette]],TableauRecette[Conditionnement],TableauRecette[[#This Row],[Conditionnement]]),0)</f>
        <v/>
      </c>
      <c r="I158">
        <f>IFERROR(TableauRecette[[#This Row],[Prix d''achat / kg]],0)</f>
        <v/>
      </c>
      <c r="L158">
        <f>_xlfn.XLOOKUP(TableauRecette[[#This Row],[ID]],TableauProduit[ID],TableauProduit[Total (kg) N1],0,0,1)*TableauRecette[[#This Row],[fraction mélange]]</f>
        <v/>
      </c>
      <c r="M158">
        <f>_xlfn.XLOOKUP(TableauRecette[[#This Row],[ID]],TableauProduit[ID],TableauProduit[Total (kg) N2],0,0,1)*TableauRecette[[#This Row],[fraction mélange]]</f>
        <v/>
      </c>
      <c r="N158">
        <f>_xlfn.XLOOKUP(TableauRecette[[#This Row],[ID]],TableauProduit[ID],TableauProduit[Total (kg) N3],0,0,1)*TableauRecette[[#This Row],[fraction mélange]]</f>
        <v/>
      </c>
      <c r="O158">
        <f>_xlfn.XLOOKUP(TableauRecette[[#This Row],[ID]],TableauProduit[ID],TableauProduit[Total (kg) N4],0,0,1)*TableauRecette[[#This Row],[fraction mélange]]</f>
        <v/>
      </c>
      <c r="P158">
        <f>_xlfn.XLOOKUP(TableauRecette[[#This Row],[ID]],TableauProduit[ID],TableauProduit[Total (kg) N5],0,0,1)*TableauRecette[[#This Row],[fraction mélange]]</f>
        <v/>
      </c>
      <c r="Q158">
        <f>_xlfn.XLOOKUP(TableauRecette[[#This Row],[ID]],TableauProduit[ID],TableauProduit[Total (kg) N6],0,0,1)*TableauRecette[[#This Row],[fraction mélange]]</f>
        <v/>
      </c>
      <c r="R158">
        <f>_xlfn.XLOOKUP(TableauRecette[[#This Row],[ID]],TableauProduit[ID],TableauProduit[Total (kg) N7],0,0,1)*TableauRecette[[#This Row],[fraction mélange]]</f>
        <v/>
      </c>
      <c r="S158">
        <f>_xlfn.XLOOKUP(TableauRecette[[#This Row],[ID]],TableauProduit[ID],TableauProduit[Total (kg) N8],0,0,1)*TableauRecette[[#This Row],[fraction mélange]]</f>
        <v/>
      </c>
      <c r="T158">
        <f>_xlfn.XLOOKUP(TableauRecette[[#This Row],[ID]],TableauProduit[ID],TableauProduit[Total (kg) N9],0,0,1)*TableauRecette[[#This Row],[fraction mélange]]</f>
        <v/>
      </c>
    </row>
    <row r="159">
      <c r="A159" t="inlineStr">
        <is>
          <t>Épices viandes rouges</t>
        </is>
      </c>
      <c r="B159">
        <f>TableauRecette[[#This Row],[Recette]]&amp;TableauRecette[[#This Row],[Conditionnement]]</f>
        <v/>
      </c>
      <c r="C159" t="inlineStr">
        <is>
          <t>Origan</t>
        </is>
      </c>
      <c r="D159" t="n">
        <v>2</v>
      </c>
      <c r="E159" t="inlineStr">
        <is>
          <t>Epice 100ml</t>
        </is>
      </c>
      <c r="F15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9">
        <f>IFERROR(_xlfn.XLOOKUP(TableauRecette[[#This Row],[Ingredients]],TableauIngredients[Ingredients],TableauIngredients[Prix d''achat / kg],0)*TableauRecette[[#This Row],[fraction mélange]],0)</f>
        <v/>
      </c>
      <c r="H159">
        <f>IFERROR(SUMIFS(TableauRecette[Proportion],TableauRecette[Recette],TableauRecette[[#This Row],[Recette]],TableauRecette[Conditionnement],TableauRecette[[#This Row],[Conditionnement]]),0)</f>
        <v/>
      </c>
      <c r="I159">
        <f>IFERROR(TableauRecette[[#This Row],[Prix d''achat / kg]],0)</f>
        <v/>
      </c>
      <c r="L159">
        <f>_xlfn.XLOOKUP(TableauRecette[[#This Row],[ID]],TableauProduit[ID],TableauProduit[Total (kg) N1],0,0,1)*TableauRecette[[#This Row],[fraction mélange]]</f>
        <v/>
      </c>
      <c r="M159">
        <f>_xlfn.XLOOKUP(TableauRecette[[#This Row],[ID]],TableauProduit[ID],TableauProduit[Total (kg) N2],0,0,1)*TableauRecette[[#This Row],[fraction mélange]]</f>
        <v/>
      </c>
      <c r="N159">
        <f>_xlfn.XLOOKUP(TableauRecette[[#This Row],[ID]],TableauProduit[ID],TableauProduit[Total (kg) N3],0,0,1)*TableauRecette[[#This Row],[fraction mélange]]</f>
        <v/>
      </c>
      <c r="O159">
        <f>_xlfn.XLOOKUP(TableauRecette[[#This Row],[ID]],TableauProduit[ID],TableauProduit[Total (kg) N4],0,0,1)*TableauRecette[[#This Row],[fraction mélange]]</f>
        <v/>
      </c>
      <c r="P159">
        <f>_xlfn.XLOOKUP(TableauRecette[[#This Row],[ID]],TableauProduit[ID],TableauProduit[Total (kg) N5],0,0,1)*TableauRecette[[#This Row],[fraction mélange]]</f>
        <v/>
      </c>
      <c r="Q159">
        <f>_xlfn.XLOOKUP(TableauRecette[[#This Row],[ID]],TableauProduit[ID],TableauProduit[Total (kg) N6],0,0,1)*TableauRecette[[#This Row],[fraction mélange]]</f>
        <v/>
      </c>
      <c r="R159">
        <f>_xlfn.XLOOKUP(TableauRecette[[#This Row],[ID]],TableauProduit[ID],TableauProduit[Total (kg) N7],0,0,1)*TableauRecette[[#This Row],[fraction mélange]]</f>
        <v/>
      </c>
      <c r="S159">
        <f>_xlfn.XLOOKUP(TableauRecette[[#This Row],[ID]],TableauProduit[ID],TableauProduit[Total (kg) N8],0,0,1)*TableauRecette[[#This Row],[fraction mélange]]</f>
        <v/>
      </c>
      <c r="T159">
        <f>_xlfn.XLOOKUP(TableauRecette[[#This Row],[ID]],TableauProduit[ID],TableauProduit[Total (kg) N9],0,0,1)*TableauRecette[[#This Row],[fraction mélange]]</f>
        <v/>
      </c>
    </row>
    <row r="160">
      <c r="A160" t="inlineStr">
        <is>
          <t>Épices viandes rouges</t>
        </is>
      </c>
      <c r="B160">
        <f>TableauRecette[[#This Row],[Recette]]&amp;TableauRecette[[#This Row],[Conditionnement]]</f>
        <v/>
      </c>
      <c r="C160" t="inlineStr">
        <is>
          <t>Graine De Moutarde</t>
        </is>
      </c>
      <c r="D160" t="n">
        <v>2</v>
      </c>
      <c r="E160" t="inlineStr">
        <is>
          <t>Epice 100ml</t>
        </is>
      </c>
      <c r="F16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0">
        <f>IFERROR(_xlfn.XLOOKUP(TableauRecette[[#This Row],[Ingredients]],TableauIngredients[Ingredients],TableauIngredients[Prix d''achat / kg],0)*TableauRecette[[#This Row],[fraction mélange]],0)</f>
        <v/>
      </c>
      <c r="H160">
        <f>IFERROR(SUMIFS(TableauRecette[Proportion],TableauRecette[Recette],TableauRecette[[#This Row],[Recette]],TableauRecette[Conditionnement],TableauRecette[[#This Row],[Conditionnement]]),0)</f>
        <v/>
      </c>
      <c r="I160">
        <f>IFERROR(TableauRecette[[#This Row],[Prix d''achat / kg]],0)</f>
        <v/>
      </c>
      <c r="L160">
        <f>_xlfn.XLOOKUP(TableauRecette[[#This Row],[ID]],TableauProduit[ID],TableauProduit[Total (kg) N1],0,0,1)*TableauRecette[[#This Row],[fraction mélange]]</f>
        <v/>
      </c>
      <c r="M160">
        <f>_xlfn.XLOOKUP(TableauRecette[[#This Row],[ID]],TableauProduit[ID],TableauProduit[Total (kg) N2],0,0,1)*TableauRecette[[#This Row],[fraction mélange]]</f>
        <v/>
      </c>
      <c r="N160">
        <f>_xlfn.XLOOKUP(TableauRecette[[#This Row],[ID]],TableauProduit[ID],TableauProduit[Total (kg) N3],0,0,1)*TableauRecette[[#This Row],[fraction mélange]]</f>
        <v/>
      </c>
      <c r="O160">
        <f>_xlfn.XLOOKUP(TableauRecette[[#This Row],[ID]],TableauProduit[ID],TableauProduit[Total (kg) N4],0,0,1)*TableauRecette[[#This Row],[fraction mélange]]</f>
        <v/>
      </c>
      <c r="P160">
        <f>_xlfn.XLOOKUP(TableauRecette[[#This Row],[ID]],TableauProduit[ID],TableauProduit[Total (kg) N5],0,0,1)*TableauRecette[[#This Row],[fraction mélange]]</f>
        <v/>
      </c>
      <c r="Q160">
        <f>_xlfn.XLOOKUP(TableauRecette[[#This Row],[ID]],TableauProduit[ID],TableauProduit[Total (kg) N6],0,0,1)*TableauRecette[[#This Row],[fraction mélange]]</f>
        <v/>
      </c>
      <c r="R160">
        <f>_xlfn.XLOOKUP(TableauRecette[[#This Row],[ID]],TableauProduit[ID],TableauProduit[Total (kg) N7],0,0,1)*TableauRecette[[#This Row],[fraction mélange]]</f>
        <v/>
      </c>
      <c r="S160">
        <f>_xlfn.XLOOKUP(TableauRecette[[#This Row],[ID]],TableauProduit[ID],TableauProduit[Total (kg) N8],0,0,1)*TableauRecette[[#This Row],[fraction mélange]]</f>
        <v/>
      </c>
      <c r="T160">
        <f>_xlfn.XLOOKUP(TableauRecette[[#This Row],[ID]],TableauProduit[ID],TableauProduit[Total (kg) N9],0,0,1)*TableauRecette[[#This Row],[fraction mélange]]</f>
        <v/>
      </c>
    </row>
    <row r="161">
      <c r="A161" t="inlineStr">
        <is>
          <t>Épices viandes rouges</t>
        </is>
      </c>
      <c r="B161">
        <f>TableauRecette[[#This Row],[Recette]]&amp;TableauRecette[[#This Row],[Conditionnement]]</f>
        <v/>
      </c>
      <c r="C161" t="inlineStr">
        <is>
          <t>Thym</t>
        </is>
      </c>
      <c r="D161" t="n">
        <v>6</v>
      </c>
      <c r="E161" t="inlineStr">
        <is>
          <t>Epice 100ml</t>
        </is>
      </c>
      <c r="F16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1">
        <f>IFERROR(_xlfn.XLOOKUP(TableauRecette[[#This Row],[Ingredients]],TableauIngredients[Ingredients],TableauIngredients[Prix d''achat / kg],0)*TableauRecette[[#This Row],[fraction mélange]],0)</f>
        <v/>
      </c>
      <c r="H161">
        <f>IFERROR(SUMIFS(TableauRecette[Proportion],TableauRecette[Recette],TableauRecette[[#This Row],[Recette]],TableauRecette[Conditionnement],TableauRecette[[#This Row],[Conditionnement]]),0)</f>
        <v/>
      </c>
      <c r="I161">
        <f>IFERROR(TableauRecette[[#This Row],[Prix d''achat / kg]],0)</f>
        <v/>
      </c>
      <c r="L161">
        <f>_xlfn.XLOOKUP(TableauRecette[[#This Row],[ID]],TableauProduit[ID],TableauProduit[Total (kg) N1],0,0,1)*TableauRecette[[#This Row],[fraction mélange]]</f>
        <v/>
      </c>
      <c r="M161">
        <f>_xlfn.XLOOKUP(TableauRecette[[#This Row],[ID]],TableauProduit[ID],TableauProduit[Total (kg) N2],0,0,1)*TableauRecette[[#This Row],[fraction mélange]]</f>
        <v/>
      </c>
      <c r="N161">
        <f>_xlfn.XLOOKUP(TableauRecette[[#This Row],[ID]],TableauProduit[ID],TableauProduit[Total (kg) N3],0,0,1)*TableauRecette[[#This Row],[fraction mélange]]</f>
        <v/>
      </c>
      <c r="O161">
        <f>_xlfn.XLOOKUP(TableauRecette[[#This Row],[ID]],TableauProduit[ID],TableauProduit[Total (kg) N4],0,0,1)*TableauRecette[[#This Row],[fraction mélange]]</f>
        <v/>
      </c>
      <c r="P161">
        <f>_xlfn.XLOOKUP(TableauRecette[[#This Row],[ID]],TableauProduit[ID],TableauProduit[Total (kg) N5],0,0,1)*TableauRecette[[#This Row],[fraction mélange]]</f>
        <v/>
      </c>
      <c r="Q161">
        <f>_xlfn.XLOOKUP(TableauRecette[[#This Row],[ID]],TableauProduit[ID],TableauProduit[Total (kg) N6],0,0,1)*TableauRecette[[#This Row],[fraction mélange]]</f>
        <v/>
      </c>
      <c r="R161">
        <f>_xlfn.XLOOKUP(TableauRecette[[#This Row],[ID]],TableauProduit[ID],TableauProduit[Total (kg) N7],0,0,1)*TableauRecette[[#This Row],[fraction mélange]]</f>
        <v/>
      </c>
      <c r="S161">
        <f>_xlfn.XLOOKUP(TableauRecette[[#This Row],[ID]],TableauProduit[ID],TableauProduit[Total (kg) N8],0,0,1)*TableauRecette[[#This Row],[fraction mélange]]</f>
        <v/>
      </c>
      <c r="T161">
        <f>_xlfn.XLOOKUP(TableauRecette[[#This Row],[ID]],TableauProduit[ID],TableauProduit[Total (kg) N9],0,0,1)*TableauRecette[[#This Row],[fraction mélange]]</f>
        <v/>
      </c>
    </row>
    <row r="162">
      <c r="A162" t="inlineStr">
        <is>
          <t>Épices viandes rouges</t>
        </is>
      </c>
      <c r="B162">
        <f>TableauRecette[[#This Row],[Recette]]&amp;TableauRecette[[#This Row],[Conditionnement]]</f>
        <v/>
      </c>
      <c r="C162" t="inlineStr">
        <is>
          <t>Piment De Cayenne Jaune SEC</t>
        </is>
      </c>
      <c r="D162" t="n">
        <v>0.1</v>
      </c>
      <c r="E162" t="inlineStr">
        <is>
          <t>Epice 100ml</t>
        </is>
      </c>
      <c r="F16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2">
        <f>IFERROR(_xlfn.XLOOKUP(TableauRecette[[#This Row],[Ingredients]],TableauIngredients[Ingredients],TableauIngredients[Prix d''achat / kg],0)*TableauRecette[[#This Row],[fraction mélange]],0)</f>
        <v/>
      </c>
      <c r="H162">
        <f>IFERROR(SUMIFS(TableauRecette[Proportion],TableauRecette[Recette],TableauRecette[[#This Row],[Recette]],TableauRecette[Conditionnement],TableauRecette[[#This Row],[Conditionnement]]),0)</f>
        <v/>
      </c>
      <c r="I162">
        <f>IFERROR(TableauRecette[[#This Row],[Prix d''achat / kg]],0)</f>
        <v/>
      </c>
      <c r="K162" t="inlineStr">
        <is>
          <t>SEC</t>
        </is>
      </c>
      <c r="L162">
        <f>_xlfn.XLOOKUP(TableauRecette[[#This Row],[ID]],TableauProduit[ID],TableauProduit[Total (kg) N1],0,0,1)*TableauRecette[[#This Row],[fraction mélange]]</f>
        <v/>
      </c>
      <c r="M162">
        <f>_xlfn.XLOOKUP(TableauRecette[[#This Row],[ID]],TableauProduit[ID],TableauProduit[Total (kg) N2],0,0,1)*TableauRecette[[#This Row],[fraction mélange]]</f>
        <v/>
      </c>
      <c r="N162">
        <f>_xlfn.XLOOKUP(TableauRecette[[#This Row],[ID]],TableauProduit[ID],TableauProduit[Total (kg) N3],0,0,1)*TableauRecette[[#This Row],[fraction mélange]]</f>
        <v/>
      </c>
      <c r="O162">
        <f>_xlfn.XLOOKUP(TableauRecette[[#This Row],[ID]],TableauProduit[ID],TableauProduit[Total (kg) N4],0,0,1)*TableauRecette[[#This Row],[fraction mélange]]</f>
        <v/>
      </c>
      <c r="P162">
        <f>_xlfn.XLOOKUP(TableauRecette[[#This Row],[ID]],TableauProduit[ID],TableauProduit[Total (kg) N5],0,0,1)*TableauRecette[[#This Row],[fraction mélange]]</f>
        <v/>
      </c>
      <c r="Q162">
        <f>_xlfn.XLOOKUP(TableauRecette[[#This Row],[ID]],TableauProduit[ID],TableauProduit[Total (kg) N6],0,0,1)*TableauRecette[[#This Row],[fraction mélange]]</f>
        <v/>
      </c>
      <c r="R162">
        <f>_xlfn.XLOOKUP(TableauRecette[[#This Row],[ID]],TableauProduit[ID],TableauProduit[Total (kg) N7],0,0,1)*TableauRecette[[#This Row],[fraction mélange]]</f>
        <v/>
      </c>
      <c r="S162">
        <f>_xlfn.XLOOKUP(TableauRecette[[#This Row],[ID]],TableauProduit[ID],TableauProduit[Total (kg) N8],0,0,1)*TableauRecette[[#This Row],[fraction mélange]]</f>
        <v/>
      </c>
      <c r="T162">
        <f>_xlfn.XLOOKUP(TableauRecette[[#This Row],[ID]],TableauProduit[ID],TableauProduit[Total (kg) N9],0,0,1)*TableauRecette[[#This Row],[fraction mélange]]</f>
        <v/>
      </c>
    </row>
    <row r="163">
      <c r="A163" t="inlineStr">
        <is>
          <t>Garam masala</t>
        </is>
      </c>
      <c r="B163">
        <f>TableauRecette[[#This Row],[Recette]]&amp;TableauRecette[[#This Row],[Conditionnement]]</f>
        <v/>
      </c>
      <c r="C163" t="inlineStr">
        <is>
          <t>Cumin Moulu</t>
        </is>
      </c>
      <c r="D163" t="n">
        <v>4</v>
      </c>
      <c r="E163" t="inlineStr">
        <is>
          <t>Epice 100ml</t>
        </is>
      </c>
      <c r="F16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3">
        <f>IFERROR(_xlfn.XLOOKUP(TableauRecette[[#This Row],[Ingredients]],TableauIngredients[Ingredients],TableauIngredients[Prix d''achat / kg],0)*TableauRecette[[#This Row],[fraction mélange]],0)</f>
        <v/>
      </c>
      <c r="H163">
        <f>IFERROR(SUMIFS(TableauRecette[Proportion],TableauRecette[Recette],TableauRecette[[#This Row],[Recette]],TableauRecette[Conditionnement],TableauRecette[[#This Row],[Conditionnement]]),0)</f>
        <v/>
      </c>
      <c r="I163">
        <f>IFERROR(TableauRecette[[#This Row],[Prix d''achat / kg]],0)</f>
        <v/>
      </c>
      <c r="L163">
        <f>_xlfn.XLOOKUP(TableauRecette[[#This Row],[ID]],TableauProduit[ID],TableauProduit[Total (kg) N1],0,0,1)*TableauRecette[[#This Row],[fraction mélange]]</f>
        <v/>
      </c>
      <c r="M163">
        <f>_xlfn.XLOOKUP(TableauRecette[[#This Row],[ID]],TableauProduit[ID],TableauProduit[Total (kg) N2],0,0,1)*TableauRecette[[#This Row],[fraction mélange]]</f>
        <v/>
      </c>
      <c r="N163">
        <f>_xlfn.XLOOKUP(TableauRecette[[#This Row],[ID]],TableauProduit[ID],TableauProduit[Total (kg) N3],0,0,1)*TableauRecette[[#This Row],[fraction mélange]]</f>
        <v/>
      </c>
      <c r="O163">
        <f>_xlfn.XLOOKUP(TableauRecette[[#This Row],[ID]],TableauProduit[ID],TableauProduit[Total (kg) N4],0,0,1)*TableauRecette[[#This Row],[fraction mélange]]</f>
        <v/>
      </c>
      <c r="P163">
        <f>_xlfn.XLOOKUP(TableauRecette[[#This Row],[ID]],TableauProduit[ID],TableauProduit[Total (kg) N5],0,0,1)*TableauRecette[[#This Row],[fraction mélange]]</f>
        <v/>
      </c>
      <c r="Q163">
        <f>_xlfn.XLOOKUP(TableauRecette[[#This Row],[ID]],TableauProduit[ID],TableauProduit[Total (kg) N6],0,0,1)*TableauRecette[[#This Row],[fraction mélange]]</f>
        <v/>
      </c>
      <c r="R163">
        <f>_xlfn.XLOOKUP(TableauRecette[[#This Row],[ID]],TableauProduit[ID],TableauProduit[Total (kg) N7],0,0,1)*TableauRecette[[#This Row],[fraction mélange]]</f>
        <v/>
      </c>
      <c r="S163">
        <f>_xlfn.XLOOKUP(TableauRecette[[#This Row],[ID]],TableauProduit[ID],TableauProduit[Total (kg) N8],0,0,1)*TableauRecette[[#This Row],[fraction mélange]]</f>
        <v/>
      </c>
      <c r="T163">
        <f>_xlfn.XLOOKUP(TableauRecette[[#This Row],[ID]],TableauProduit[ID],TableauProduit[Total (kg) N9],0,0,1)*TableauRecette[[#This Row],[fraction mélange]]</f>
        <v/>
      </c>
    </row>
    <row r="164">
      <c r="A164" t="inlineStr">
        <is>
          <t>Garam masala</t>
        </is>
      </c>
      <c r="B164">
        <f>TableauRecette[[#This Row],[Recette]]&amp;TableauRecette[[#This Row],[Conditionnement]]</f>
        <v/>
      </c>
      <c r="C164" t="inlineStr">
        <is>
          <t>Coriandre Moulue</t>
        </is>
      </c>
      <c r="D164" t="n">
        <v>3</v>
      </c>
      <c r="E164" t="inlineStr">
        <is>
          <t>Epice 100ml</t>
        </is>
      </c>
      <c r="F16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4">
        <f>IFERROR(_xlfn.XLOOKUP(TableauRecette[[#This Row],[Ingredients]],TableauIngredients[Ingredients],TableauIngredients[Prix d''achat / kg],0)*TableauRecette[[#This Row],[fraction mélange]],0)</f>
        <v/>
      </c>
      <c r="H164">
        <f>IFERROR(SUMIFS(TableauRecette[Proportion],TableauRecette[Recette],TableauRecette[[#This Row],[Recette]],TableauRecette[Conditionnement],TableauRecette[[#This Row],[Conditionnement]]),0)</f>
        <v/>
      </c>
      <c r="I164">
        <f>IFERROR(TableauRecette[[#This Row],[Prix d''achat / kg]],0)</f>
        <v/>
      </c>
      <c r="L164">
        <f>_xlfn.XLOOKUP(TableauRecette[[#This Row],[ID]],TableauProduit[ID],TableauProduit[Total (kg) N1],0,0,1)*TableauRecette[[#This Row],[fraction mélange]]</f>
        <v/>
      </c>
      <c r="M164">
        <f>_xlfn.XLOOKUP(TableauRecette[[#This Row],[ID]],TableauProduit[ID],TableauProduit[Total (kg) N2],0,0,1)*TableauRecette[[#This Row],[fraction mélange]]</f>
        <v/>
      </c>
      <c r="N164">
        <f>_xlfn.XLOOKUP(TableauRecette[[#This Row],[ID]],TableauProduit[ID],TableauProduit[Total (kg) N3],0,0,1)*TableauRecette[[#This Row],[fraction mélange]]</f>
        <v/>
      </c>
      <c r="O164">
        <f>_xlfn.XLOOKUP(TableauRecette[[#This Row],[ID]],TableauProduit[ID],TableauProduit[Total (kg) N4],0,0,1)*TableauRecette[[#This Row],[fraction mélange]]</f>
        <v/>
      </c>
      <c r="P164">
        <f>_xlfn.XLOOKUP(TableauRecette[[#This Row],[ID]],TableauProduit[ID],TableauProduit[Total (kg) N5],0,0,1)*TableauRecette[[#This Row],[fraction mélange]]</f>
        <v/>
      </c>
      <c r="Q164">
        <f>_xlfn.XLOOKUP(TableauRecette[[#This Row],[ID]],TableauProduit[ID],TableauProduit[Total (kg) N6],0,0,1)*TableauRecette[[#This Row],[fraction mélange]]</f>
        <v/>
      </c>
      <c r="R164">
        <f>_xlfn.XLOOKUP(TableauRecette[[#This Row],[ID]],TableauProduit[ID],TableauProduit[Total (kg) N7],0,0,1)*TableauRecette[[#This Row],[fraction mélange]]</f>
        <v/>
      </c>
      <c r="S164">
        <f>_xlfn.XLOOKUP(TableauRecette[[#This Row],[ID]],TableauProduit[ID],TableauProduit[Total (kg) N8],0,0,1)*TableauRecette[[#This Row],[fraction mélange]]</f>
        <v/>
      </c>
      <c r="T164">
        <f>_xlfn.XLOOKUP(TableauRecette[[#This Row],[ID]],TableauProduit[ID],TableauProduit[Total (kg) N9],0,0,1)*TableauRecette[[#This Row],[fraction mélange]]</f>
        <v/>
      </c>
    </row>
    <row r="165">
      <c r="A165" t="inlineStr">
        <is>
          <t>Garam masala</t>
        </is>
      </c>
      <c r="B165">
        <f>TableauRecette[[#This Row],[Recette]]&amp;TableauRecette[[#This Row],[Conditionnement]]</f>
        <v/>
      </c>
      <c r="C165" t="inlineStr">
        <is>
          <t>Graine De Cardamome</t>
        </is>
      </c>
      <c r="D165" t="n">
        <v>3</v>
      </c>
      <c r="E165" t="inlineStr">
        <is>
          <t>Epice 100ml</t>
        </is>
      </c>
      <c r="F16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5">
        <f>IFERROR(_xlfn.XLOOKUP(TableauRecette[[#This Row],[Ingredients]],TableauIngredients[Ingredients],TableauIngredients[Prix d''achat / kg],0)*TableauRecette[[#This Row],[fraction mélange]],0)</f>
        <v/>
      </c>
      <c r="H165">
        <f>IFERROR(SUMIFS(TableauRecette[Proportion],TableauRecette[Recette],TableauRecette[[#This Row],[Recette]],TableauRecette[Conditionnement],TableauRecette[[#This Row],[Conditionnement]]),0)</f>
        <v/>
      </c>
      <c r="I165">
        <f>IFERROR(TableauRecette[[#This Row],[Prix d''achat / kg]],0)</f>
        <v/>
      </c>
      <c r="L165">
        <f>_xlfn.XLOOKUP(TableauRecette[[#This Row],[ID]],TableauProduit[ID],TableauProduit[Total (kg) N1],0,0,1)*TableauRecette[[#This Row],[fraction mélange]]</f>
        <v/>
      </c>
      <c r="M165">
        <f>_xlfn.XLOOKUP(TableauRecette[[#This Row],[ID]],TableauProduit[ID],TableauProduit[Total (kg) N2],0,0,1)*TableauRecette[[#This Row],[fraction mélange]]</f>
        <v/>
      </c>
      <c r="N165">
        <f>_xlfn.XLOOKUP(TableauRecette[[#This Row],[ID]],TableauProduit[ID],TableauProduit[Total (kg) N3],0,0,1)*TableauRecette[[#This Row],[fraction mélange]]</f>
        <v/>
      </c>
      <c r="O165">
        <f>_xlfn.XLOOKUP(TableauRecette[[#This Row],[ID]],TableauProduit[ID],TableauProduit[Total (kg) N4],0,0,1)*TableauRecette[[#This Row],[fraction mélange]]</f>
        <v/>
      </c>
      <c r="P165">
        <f>_xlfn.XLOOKUP(TableauRecette[[#This Row],[ID]],TableauProduit[ID],TableauProduit[Total (kg) N5],0,0,1)*TableauRecette[[#This Row],[fraction mélange]]</f>
        <v/>
      </c>
      <c r="Q165">
        <f>_xlfn.XLOOKUP(TableauRecette[[#This Row],[ID]],TableauProduit[ID],TableauProduit[Total (kg) N6],0,0,1)*TableauRecette[[#This Row],[fraction mélange]]</f>
        <v/>
      </c>
      <c r="R165">
        <f>_xlfn.XLOOKUP(TableauRecette[[#This Row],[ID]],TableauProduit[ID],TableauProduit[Total (kg) N7],0,0,1)*TableauRecette[[#This Row],[fraction mélange]]</f>
        <v/>
      </c>
      <c r="S165">
        <f>_xlfn.XLOOKUP(TableauRecette[[#This Row],[ID]],TableauProduit[ID],TableauProduit[Total (kg) N8],0,0,1)*TableauRecette[[#This Row],[fraction mélange]]</f>
        <v/>
      </c>
      <c r="T165">
        <f>_xlfn.XLOOKUP(TableauRecette[[#This Row],[ID]],TableauProduit[ID],TableauProduit[Total (kg) N9],0,0,1)*TableauRecette[[#This Row],[fraction mélange]]</f>
        <v/>
      </c>
    </row>
    <row r="166">
      <c r="A166" t="inlineStr">
        <is>
          <t>Garam masala</t>
        </is>
      </c>
      <c r="B166">
        <f>TableauRecette[[#This Row],[Recette]]&amp;TableauRecette[[#This Row],[Conditionnement]]</f>
        <v/>
      </c>
      <c r="C166" t="inlineStr">
        <is>
          <t>Poivre Noir</t>
        </is>
      </c>
      <c r="D166" t="n">
        <v>3</v>
      </c>
      <c r="E166" t="inlineStr">
        <is>
          <t>Epice 100ml</t>
        </is>
      </c>
      <c r="F16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6">
        <f>IFERROR(_xlfn.XLOOKUP(TableauRecette[[#This Row],[Ingredients]],TableauIngredients[Ingredients],TableauIngredients[Prix d''achat / kg],0)*TableauRecette[[#This Row],[fraction mélange]],0)</f>
        <v/>
      </c>
      <c r="H166">
        <f>IFERROR(SUMIFS(TableauRecette[Proportion],TableauRecette[Recette],TableauRecette[[#This Row],[Recette]],TableauRecette[Conditionnement],TableauRecette[[#This Row],[Conditionnement]]),0)</f>
        <v/>
      </c>
      <c r="I166">
        <f>IFERROR(TableauRecette[[#This Row],[Prix d''achat / kg]],0)</f>
        <v/>
      </c>
      <c r="L166">
        <f>_xlfn.XLOOKUP(TableauRecette[[#This Row],[ID]],TableauProduit[ID],TableauProduit[Total (kg) N1],0,0,1)*TableauRecette[[#This Row],[fraction mélange]]</f>
        <v/>
      </c>
      <c r="M166">
        <f>_xlfn.XLOOKUP(TableauRecette[[#This Row],[ID]],TableauProduit[ID],TableauProduit[Total (kg) N2],0,0,1)*TableauRecette[[#This Row],[fraction mélange]]</f>
        <v/>
      </c>
      <c r="N166">
        <f>_xlfn.XLOOKUP(TableauRecette[[#This Row],[ID]],TableauProduit[ID],TableauProduit[Total (kg) N3],0,0,1)*TableauRecette[[#This Row],[fraction mélange]]</f>
        <v/>
      </c>
      <c r="O166">
        <f>_xlfn.XLOOKUP(TableauRecette[[#This Row],[ID]],TableauProduit[ID],TableauProduit[Total (kg) N4],0,0,1)*TableauRecette[[#This Row],[fraction mélange]]</f>
        <v/>
      </c>
      <c r="P166">
        <f>_xlfn.XLOOKUP(TableauRecette[[#This Row],[ID]],TableauProduit[ID],TableauProduit[Total (kg) N5],0,0,1)*TableauRecette[[#This Row],[fraction mélange]]</f>
        <v/>
      </c>
      <c r="Q166">
        <f>_xlfn.XLOOKUP(TableauRecette[[#This Row],[ID]],TableauProduit[ID],TableauProduit[Total (kg) N6],0,0,1)*TableauRecette[[#This Row],[fraction mélange]]</f>
        <v/>
      </c>
      <c r="R166">
        <f>_xlfn.XLOOKUP(TableauRecette[[#This Row],[ID]],TableauProduit[ID],TableauProduit[Total (kg) N7],0,0,1)*TableauRecette[[#This Row],[fraction mélange]]</f>
        <v/>
      </c>
      <c r="S166">
        <f>_xlfn.XLOOKUP(TableauRecette[[#This Row],[ID]],TableauProduit[ID],TableauProduit[Total (kg) N8],0,0,1)*TableauRecette[[#This Row],[fraction mélange]]</f>
        <v/>
      </c>
      <c r="T166">
        <f>_xlfn.XLOOKUP(TableauRecette[[#This Row],[ID]],TableauProduit[ID],TableauProduit[Total (kg) N9],0,0,1)*TableauRecette[[#This Row],[fraction mélange]]</f>
        <v/>
      </c>
    </row>
    <row r="167">
      <c r="A167" t="inlineStr">
        <is>
          <t>Garam masala</t>
        </is>
      </c>
      <c r="B167">
        <f>TableauRecette[[#This Row],[Recette]]&amp;TableauRecette[[#This Row],[Conditionnement]]</f>
        <v/>
      </c>
      <c r="C167" t="inlineStr">
        <is>
          <t>Cannelle Moulue</t>
        </is>
      </c>
      <c r="D167" t="n">
        <v>2</v>
      </c>
      <c r="E167" t="inlineStr">
        <is>
          <t>Epice 100ml</t>
        </is>
      </c>
      <c r="F16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7">
        <f>IFERROR(_xlfn.XLOOKUP(TableauRecette[[#This Row],[Ingredients]],TableauIngredients[Ingredients],TableauIngredients[Prix d''achat / kg],0)*TableauRecette[[#This Row],[fraction mélange]],0)</f>
        <v/>
      </c>
      <c r="H167">
        <f>IFERROR(SUMIFS(TableauRecette[Proportion],TableauRecette[Recette],TableauRecette[[#This Row],[Recette]],TableauRecette[Conditionnement],TableauRecette[[#This Row],[Conditionnement]]),0)</f>
        <v/>
      </c>
      <c r="I167">
        <f>IFERROR(TableauRecette[[#This Row],[Prix d''achat / kg]],0)</f>
        <v/>
      </c>
      <c r="L167">
        <f>_xlfn.XLOOKUP(TableauRecette[[#This Row],[ID]],TableauProduit[ID],TableauProduit[Total (kg) N1],0,0,1)*TableauRecette[[#This Row],[fraction mélange]]</f>
        <v/>
      </c>
      <c r="M167">
        <f>_xlfn.XLOOKUP(TableauRecette[[#This Row],[ID]],TableauProduit[ID],TableauProduit[Total (kg) N2],0,0,1)*TableauRecette[[#This Row],[fraction mélange]]</f>
        <v/>
      </c>
      <c r="N167">
        <f>_xlfn.XLOOKUP(TableauRecette[[#This Row],[ID]],TableauProduit[ID],TableauProduit[Total (kg) N3],0,0,1)*TableauRecette[[#This Row],[fraction mélange]]</f>
        <v/>
      </c>
      <c r="O167">
        <f>_xlfn.XLOOKUP(TableauRecette[[#This Row],[ID]],TableauProduit[ID],TableauProduit[Total (kg) N4],0,0,1)*TableauRecette[[#This Row],[fraction mélange]]</f>
        <v/>
      </c>
      <c r="P167">
        <f>_xlfn.XLOOKUP(TableauRecette[[#This Row],[ID]],TableauProduit[ID],TableauProduit[Total (kg) N5],0,0,1)*TableauRecette[[#This Row],[fraction mélange]]</f>
        <v/>
      </c>
      <c r="Q167">
        <f>_xlfn.XLOOKUP(TableauRecette[[#This Row],[ID]],TableauProduit[ID],TableauProduit[Total (kg) N6],0,0,1)*TableauRecette[[#This Row],[fraction mélange]]</f>
        <v/>
      </c>
      <c r="R167">
        <f>_xlfn.XLOOKUP(TableauRecette[[#This Row],[ID]],TableauProduit[ID],TableauProduit[Total (kg) N7],0,0,1)*TableauRecette[[#This Row],[fraction mélange]]</f>
        <v/>
      </c>
      <c r="S167">
        <f>_xlfn.XLOOKUP(TableauRecette[[#This Row],[ID]],TableauProduit[ID],TableauProduit[Total (kg) N8],0,0,1)*TableauRecette[[#This Row],[fraction mélange]]</f>
        <v/>
      </c>
      <c r="T167">
        <f>_xlfn.XLOOKUP(TableauRecette[[#This Row],[ID]],TableauProduit[ID],TableauProduit[Total (kg) N9],0,0,1)*TableauRecette[[#This Row],[fraction mélange]]</f>
        <v/>
      </c>
    </row>
    <row r="168">
      <c r="A168" t="inlineStr">
        <is>
          <t>Garam masala</t>
        </is>
      </c>
      <c r="B168">
        <f>TableauRecette[[#This Row],[Recette]]&amp;TableauRecette[[#This Row],[Conditionnement]]</f>
        <v/>
      </c>
      <c r="C168" t="inlineStr">
        <is>
          <t>Clous De Girofle</t>
        </is>
      </c>
      <c r="D168" t="n">
        <v>1</v>
      </c>
      <c r="E168" t="inlineStr">
        <is>
          <t>Epice 100ml</t>
        </is>
      </c>
      <c r="F16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8">
        <f>IFERROR(_xlfn.XLOOKUP(TableauRecette[[#This Row],[Ingredients]],TableauIngredients[Ingredients],TableauIngredients[Prix d''achat / kg],0)*TableauRecette[[#This Row],[fraction mélange]],0)</f>
        <v/>
      </c>
      <c r="H168">
        <f>IFERROR(SUMIFS(TableauRecette[Proportion],TableauRecette[Recette],TableauRecette[[#This Row],[Recette]],TableauRecette[Conditionnement],TableauRecette[[#This Row],[Conditionnement]]),0)</f>
        <v/>
      </c>
      <c r="I168">
        <f>IFERROR(TableauRecette[[#This Row],[Prix d''achat / kg]],0)</f>
        <v/>
      </c>
      <c r="L168">
        <f>_xlfn.XLOOKUP(TableauRecette[[#This Row],[ID]],TableauProduit[ID],TableauProduit[Total (kg) N1],0,0,1)*TableauRecette[[#This Row],[fraction mélange]]</f>
        <v/>
      </c>
      <c r="M168">
        <f>_xlfn.XLOOKUP(TableauRecette[[#This Row],[ID]],TableauProduit[ID],TableauProduit[Total (kg) N2],0,0,1)*TableauRecette[[#This Row],[fraction mélange]]</f>
        <v/>
      </c>
      <c r="N168">
        <f>_xlfn.XLOOKUP(TableauRecette[[#This Row],[ID]],TableauProduit[ID],TableauProduit[Total (kg) N3],0,0,1)*TableauRecette[[#This Row],[fraction mélange]]</f>
        <v/>
      </c>
      <c r="O168">
        <f>_xlfn.XLOOKUP(TableauRecette[[#This Row],[ID]],TableauProduit[ID],TableauProduit[Total (kg) N4],0,0,1)*TableauRecette[[#This Row],[fraction mélange]]</f>
        <v/>
      </c>
      <c r="P168">
        <f>_xlfn.XLOOKUP(TableauRecette[[#This Row],[ID]],TableauProduit[ID],TableauProduit[Total (kg) N5],0,0,1)*TableauRecette[[#This Row],[fraction mélange]]</f>
        <v/>
      </c>
      <c r="Q168">
        <f>_xlfn.XLOOKUP(TableauRecette[[#This Row],[ID]],TableauProduit[ID],TableauProduit[Total (kg) N6],0,0,1)*TableauRecette[[#This Row],[fraction mélange]]</f>
        <v/>
      </c>
      <c r="R168">
        <f>_xlfn.XLOOKUP(TableauRecette[[#This Row],[ID]],TableauProduit[ID],TableauProduit[Total (kg) N7],0,0,1)*TableauRecette[[#This Row],[fraction mélange]]</f>
        <v/>
      </c>
      <c r="S168">
        <f>_xlfn.XLOOKUP(TableauRecette[[#This Row],[ID]],TableauProduit[ID],TableauProduit[Total (kg) N8],0,0,1)*TableauRecette[[#This Row],[fraction mélange]]</f>
        <v/>
      </c>
      <c r="T168">
        <f>_xlfn.XLOOKUP(TableauRecette[[#This Row],[ID]],TableauProduit[ID],TableauProduit[Total (kg) N9],0,0,1)*TableauRecette[[#This Row],[fraction mélange]]</f>
        <v/>
      </c>
    </row>
    <row r="169">
      <c r="A169" t="inlineStr">
        <is>
          <t>Garam masala</t>
        </is>
      </c>
      <c r="B169">
        <f>TableauRecette[[#This Row],[Recette]]&amp;TableauRecette[[#This Row],[Conditionnement]]</f>
        <v/>
      </c>
      <c r="C169" t="inlineStr">
        <is>
          <t>Muscade Moulue</t>
        </is>
      </c>
      <c r="D169" t="n">
        <v>1</v>
      </c>
      <c r="E169" t="inlineStr">
        <is>
          <t>Epice 100ml</t>
        </is>
      </c>
      <c r="F16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9">
        <f>IFERROR(_xlfn.XLOOKUP(TableauRecette[[#This Row],[Ingredients]],TableauIngredients[Ingredients],TableauIngredients[Prix d''achat / kg],0)*TableauRecette[[#This Row],[fraction mélange]],0)</f>
        <v/>
      </c>
      <c r="H169">
        <f>IFERROR(SUMIFS(TableauRecette[Proportion],TableauRecette[Recette],TableauRecette[[#This Row],[Recette]],TableauRecette[Conditionnement],TableauRecette[[#This Row],[Conditionnement]]),0)</f>
        <v/>
      </c>
      <c r="I169">
        <f>IFERROR(TableauRecette[[#This Row],[Prix d''achat / kg]],0)</f>
        <v/>
      </c>
      <c r="L169">
        <f>_xlfn.XLOOKUP(TableauRecette[[#This Row],[ID]],TableauProduit[ID],TableauProduit[Total (kg) N1],0,0,1)*TableauRecette[[#This Row],[fraction mélange]]</f>
        <v/>
      </c>
      <c r="M169">
        <f>_xlfn.XLOOKUP(TableauRecette[[#This Row],[ID]],TableauProduit[ID],TableauProduit[Total (kg) N2],0,0,1)*TableauRecette[[#This Row],[fraction mélange]]</f>
        <v/>
      </c>
      <c r="N169">
        <f>_xlfn.XLOOKUP(TableauRecette[[#This Row],[ID]],TableauProduit[ID],TableauProduit[Total (kg) N3],0,0,1)*TableauRecette[[#This Row],[fraction mélange]]</f>
        <v/>
      </c>
      <c r="O169">
        <f>_xlfn.XLOOKUP(TableauRecette[[#This Row],[ID]],TableauProduit[ID],TableauProduit[Total (kg) N4],0,0,1)*TableauRecette[[#This Row],[fraction mélange]]</f>
        <v/>
      </c>
      <c r="P169">
        <f>_xlfn.XLOOKUP(TableauRecette[[#This Row],[ID]],TableauProduit[ID],TableauProduit[Total (kg) N5],0,0,1)*TableauRecette[[#This Row],[fraction mélange]]</f>
        <v/>
      </c>
      <c r="Q169">
        <f>_xlfn.XLOOKUP(TableauRecette[[#This Row],[ID]],TableauProduit[ID],TableauProduit[Total (kg) N6],0,0,1)*TableauRecette[[#This Row],[fraction mélange]]</f>
        <v/>
      </c>
      <c r="R169">
        <f>_xlfn.XLOOKUP(TableauRecette[[#This Row],[ID]],TableauProduit[ID],TableauProduit[Total (kg) N7],0,0,1)*TableauRecette[[#This Row],[fraction mélange]]</f>
        <v/>
      </c>
      <c r="S169">
        <f>_xlfn.XLOOKUP(TableauRecette[[#This Row],[ID]],TableauProduit[ID],TableauProduit[Total (kg) N8],0,0,1)*TableauRecette[[#This Row],[fraction mélange]]</f>
        <v/>
      </c>
      <c r="T169">
        <f>_xlfn.XLOOKUP(TableauRecette[[#This Row],[ID]],TableauProduit[ID],TableauProduit[Total (kg) N9],0,0,1)*TableauRecette[[#This Row],[fraction mélange]]</f>
        <v/>
      </c>
    </row>
    <row r="170">
      <c r="A170" t="inlineStr">
        <is>
          <t>Garam masala entier</t>
        </is>
      </c>
      <c r="B170">
        <f>TableauRecette[[#This Row],[Recette]]&amp;TableauRecette[[#This Row],[Conditionnement]]</f>
        <v/>
      </c>
      <c r="C170" t="inlineStr">
        <is>
          <t>Graine De Cardamome</t>
        </is>
      </c>
      <c r="D170" t="n">
        <v>25</v>
      </c>
      <c r="E170" t="inlineStr">
        <is>
          <t>Epice 100ml</t>
        </is>
      </c>
      <c r="F17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0">
        <f>IFERROR(_xlfn.XLOOKUP(TableauRecette[[#This Row],[Ingredients]],TableauIngredients[Ingredients],TableauIngredients[Prix d''achat / kg],0)*TableauRecette[[#This Row],[fraction mélange]],0)</f>
        <v/>
      </c>
      <c r="H170">
        <f>IFERROR(SUMIFS(TableauRecette[Proportion],TableauRecette[Recette],TableauRecette[[#This Row],[Recette]],TableauRecette[Conditionnement],TableauRecette[[#This Row],[Conditionnement]]),0)</f>
        <v/>
      </c>
      <c r="I170">
        <f>IFERROR(TableauRecette[[#This Row],[Prix d''achat / kg]],0)</f>
        <v/>
      </c>
      <c r="J170" t="inlineStr">
        <is>
          <t>Inde du nord</t>
        </is>
      </c>
      <c r="K170" t="inlineStr">
        <is>
          <t>SEC</t>
        </is>
      </c>
      <c r="L170">
        <f>_xlfn.XLOOKUP(TableauRecette[[#This Row],[ID]],TableauProduit[ID],TableauProduit[Total (kg) N1],0,0,1)*TableauRecette[[#This Row],[fraction mélange]]</f>
        <v/>
      </c>
      <c r="M170">
        <f>_xlfn.XLOOKUP(TableauRecette[[#This Row],[ID]],TableauProduit[ID],TableauProduit[Total (kg) N2],0,0,1)*TableauRecette[[#This Row],[fraction mélange]]</f>
        <v/>
      </c>
      <c r="N170">
        <f>_xlfn.XLOOKUP(TableauRecette[[#This Row],[ID]],TableauProduit[ID],TableauProduit[Total (kg) N3],0,0,1)*TableauRecette[[#This Row],[fraction mélange]]</f>
        <v/>
      </c>
      <c r="O170">
        <f>_xlfn.XLOOKUP(TableauRecette[[#This Row],[ID]],TableauProduit[ID],TableauProduit[Total (kg) N4],0,0,1)*TableauRecette[[#This Row],[fraction mélange]]</f>
        <v/>
      </c>
      <c r="P170">
        <f>_xlfn.XLOOKUP(TableauRecette[[#This Row],[ID]],TableauProduit[ID],TableauProduit[Total (kg) N5],0,0,1)*TableauRecette[[#This Row],[fraction mélange]]</f>
        <v/>
      </c>
      <c r="Q170">
        <f>_xlfn.XLOOKUP(TableauRecette[[#This Row],[ID]],TableauProduit[ID],TableauProduit[Total (kg) N6],0,0,1)*TableauRecette[[#This Row],[fraction mélange]]</f>
        <v/>
      </c>
      <c r="R170">
        <f>_xlfn.XLOOKUP(TableauRecette[[#This Row],[ID]],TableauProduit[ID],TableauProduit[Total (kg) N7],0,0,1)*TableauRecette[[#This Row],[fraction mélange]]</f>
        <v/>
      </c>
      <c r="S170">
        <f>_xlfn.XLOOKUP(TableauRecette[[#This Row],[ID]],TableauProduit[ID],TableauProduit[Total (kg) N8],0,0,1)*TableauRecette[[#This Row],[fraction mélange]]</f>
        <v/>
      </c>
      <c r="T170">
        <f>_xlfn.XLOOKUP(TableauRecette[[#This Row],[ID]],TableauProduit[ID],TableauProduit[Total (kg) N9],0,0,1)*TableauRecette[[#This Row],[fraction mélange]]</f>
        <v/>
      </c>
    </row>
    <row r="171">
      <c r="A171" t="inlineStr">
        <is>
          <t>Garam masala entier</t>
        </is>
      </c>
      <c r="B171">
        <f>TableauRecette[[#This Row],[Recette]]&amp;TableauRecette[[#This Row],[Conditionnement]]</f>
        <v/>
      </c>
      <c r="C171" t="inlineStr">
        <is>
          <t>Casse Concassée</t>
        </is>
      </c>
      <c r="D171" t="n">
        <v>25</v>
      </c>
      <c r="E171" t="inlineStr">
        <is>
          <t>Epice 100ml</t>
        </is>
      </c>
      <c r="F17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1">
        <f>IFERROR(_xlfn.XLOOKUP(TableauRecette[[#This Row],[Ingredients]],TableauIngredients[Ingredients],TableauIngredients[Prix d''achat / kg],0)*TableauRecette[[#This Row],[fraction mélange]],0)</f>
        <v/>
      </c>
      <c r="H171">
        <f>IFERROR(SUMIFS(TableauRecette[Proportion],TableauRecette[Recette],TableauRecette[[#This Row],[Recette]],TableauRecette[Conditionnement],TableauRecette[[#This Row],[Conditionnement]]),0)</f>
        <v/>
      </c>
      <c r="I171">
        <f>IFERROR(TableauRecette[[#This Row],[Prix d''achat / kg]],0)</f>
        <v/>
      </c>
      <c r="J171" t="inlineStr">
        <is>
          <t>Inde du nord</t>
        </is>
      </c>
      <c r="K171" t="inlineStr">
        <is>
          <t>SEC</t>
        </is>
      </c>
      <c r="L171">
        <f>_xlfn.XLOOKUP(TableauRecette[[#This Row],[ID]],TableauProduit[ID],TableauProduit[Total (kg) N1],0,0,1)*TableauRecette[[#This Row],[fraction mélange]]</f>
        <v/>
      </c>
      <c r="M171">
        <f>_xlfn.XLOOKUP(TableauRecette[[#This Row],[ID]],TableauProduit[ID],TableauProduit[Total (kg) N2],0,0,1)*TableauRecette[[#This Row],[fraction mélange]]</f>
        <v/>
      </c>
      <c r="N171">
        <f>_xlfn.XLOOKUP(TableauRecette[[#This Row],[ID]],TableauProduit[ID],TableauProduit[Total (kg) N3],0,0,1)*TableauRecette[[#This Row],[fraction mélange]]</f>
        <v/>
      </c>
      <c r="O171">
        <f>_xlfn.XLOOKUP(TableauRecette[[#This Row],[ID]],TableauProduit[ID],TableauProduit[Total (kg) N4],0,0,1)*TableauRecette[[#This Row],[fraction mélange]]</f>
        <v/>
      </c>
      <c r="P171">
        <f>_xlfn.XLOOKUP(TableauRecette[[#This Row],[ID]],TableauProduit[ID],TableauProduit[Total (kg) N5],0,0,1)*TableauRecette[[#This Row],[fraction mélange]]</f>
        <v/>
      </c>
      <c r="Q171">
        <f>_xlfn.XLOOKUP(TableauRecette[[#This Row],[ID]],TableauProduit[ID],TableauProduit[Total (kg) N6],0,0,1)*TableauRecette[[#This Row],[fraction mélange]]</f>
        <v/>
      </c>
      <c r="R171">
        <f>_xlfn.XLOOKUP(TableauRecette[[#This Row],[ID]],TableauProduit[ID],TableauProduit[Total (kg) N7],0,0,1)*TableauRecette[[#This Row],[fraction mélange]]</f>
        <v/>
      </c>
      <c r="S171">
        <f>_xlfn.XLOOKUP(TableauRecette[[#This Row],[ID]],TableauProduit[ID],TableauProduit[Total (kg) N8],0,0,1)*TableauRecette[[#This Row],[fraction mélange]]</f>
        <v/>
      </c>
      <c r="T171">
        <f>_xlfn.XLOOKUP(TableauRecette[[#This Row],[ID]],TableauProduit[ID],TableauProduit[Total (kg) N9],0,0,1)*TableauRecette[[#This Row],[fraction mélange]]</f>
        <v/>
      </c>
    </row>
    <row r="172">
      <c r="A172" t="inlineStr">
        <is>
          <t>Garam masala entier</t>
        </is>
      </c>
      <c r="B172">
        <f>TableauRecette[[#This Row],[Recette]]&amp;TableauRecette[[#This Row],[Conditionnement]]</f>
        <v/>
      </c>
      <c r="C172" t="inlineStr">
        <is>
          <t>Cumin Noir</t>
        </is>
      </c>
      <c r="D172" t="n">
        <v>10</v>
      </c>
      <c r="E172" t="inlineStr">
        <is>
          <t>Epice 100ml</t>
        </is>
      </c>
      <c r="F17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2">
        <f>IFERROR(_xlfn.XLOOKUP(TableauRecette[[#This Row],[Ingredients]],TableauIngredients[Ingredients],TableauIngredients[Prix d''achat / kg],0)*TableauRecette[[#This Row],[fraction mélange]],0)</f>
        <v/>
      </c>
      <c r="H172">
        <f>IFERROR(SUMIFS(TableauRecette[Proportion],TableauRecette[Recette],TableauRecette[[#This Row],[Recette]],TableauRecette[Conditionnement],TableauRecette[[#This Row],[Conditionnement]]),0)</f>
        <v/>
      </c>
      <c r="I172">
        <f>IFERROR(TableauRecette[[#This Row],[Prix d''achat / kg]],0)</f>
        <v/>
      </c>
      <c r="J172" t="inlineStr">
        <is>
          <t>Inde du nord</t>
        </is>
      </c>
      <c r="K172" t="inlineStr">
        <is>
          <t>SEC</t>
        </is>
      </c>
      <c r="L172">
        <f>_xlfn.XLOOKUP(TableauRecette[[#This Row],[ID]],TableauProduit[ID],TableauProduit[Total (kg) N1],0,0,1)*TableauRecette[[#This Row],[fraction mélange]]</f>
        <v/>
      </c>
      <c r="M172">
        <f>_xlfn.XLOOKUP(TableauRecette[[#This Row],[ID]],TableauProduit[ID],TableauProduit[Total (kg) N2],0,0,1)*TableauRecette[[#This Row],[fraction mélange]]</f>
        <v/>
      </c>
      <c r="N172">
        <f>_xlfn.XLOOKUP(TableauRecette[[#This Row],[ID]],TableauProduit[ID],TableauProduit[Total (kg) N3],0,0,1)*TableauRecette[[#This Row],[fraction mélange]]</f>
        <v/>
      </c>
      <c r="O172">
        <f>_xlfn.XLOOKUP(TableauRecette[[#This Row],[ID]],TableauProduit[ID],TableauProduit[Total (kg) N4],0,0,1)*TableauRecette[[#This Row],[fraction mélange]]</f>
        <v/>
      </c>
      <c r="P172">
        <f>_xlfn.XLOOKUP(TableauRecette[[#This Row],[ID]],TableauProduit[ID],TableauProduit[Total (kg) N5],0,0,1)*TableauRecette[[#This Row],[fraction mélange]]</f>
        <v/>
      </c>
      <c r="Q172">
        <f>_xlfn.XLOOKUP(TableauRecette[[#This Row],[ID]],TableauProduit[ID],TableauProduit[Total (kg) N6],0,0,1)*TableauRecette[[#This Row],[fraction mélange]]</f>
        <v/>
      </c>
      <c r="R172">
        <f>_xlfn.XLOOKUP(TableauRecette[[#This Row],[ID]],TableauProduit[ID],TableauProduit[Total (kg) N7],0,0,1)*TableauRecette[[#This Row],[fraction mélange]]</f>
        <v/>
      </c>
      <c r="S172">
        <f>_xlfn.XLOOKUP(TableauRecette[[#This Row],[ID]],TableauProduit[ID],TableauProduit[Total (kg) N8],0,0,1)*TableauRecette[[#This Row],[fraction mélange]]</f>
        <v/>
      </c>
      <c r="T172">
        <f>_xlfn.XLOOKUP(TableauRecette[[#This Row],[ID]],TableauProduit[ID],TableauProduit[Total (kg) N9],0,0,1)*TableauRecette[[#This Row],[fraction mélange]]</f>
        <v/>
      </c>
    </row>
    <row r="173">
      <c r="A173" t="inlineStr">
        <is>
          <t>Garam masala entier</t>
        </is>
      </c>
      <c r="B173">
        <f>TableauRecette[[#This Row],[Recette]]&amp;TableauRecette[[#This Row],[Conditionnement]]</f>
        <v/>
      </c>
      <c r="C173" t="inlineStr">
        <is>
          <t>Poivre Noir</t>
        </is>
      </c>
      <c r="D173" t="n">
        <v>25</v>
      </c>
      <c r="E173" t="inlineStr">
        <is>
          <t>Epice 100ml</t>
        </is>
      </c>
      <c r="F17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3">
        <f>IFERROR(_xlfn.XLOOKUP(TableauRecette[[#This Row],[Ingredients]],TableauIngredients[Ingredients],TableauIngredients[Prix d''achat / kg],0)*TableauRecette[[#This Row],[fraction mélange]],0)</f>
        <v/>
      </c>
      <c r="H173">
        <f>IFERROR(SUMIFS(TableauRecette[Proportion],TableauRecette[Recette],TableauRecette[[#This Row],[Recette]],TableauRecette[Conditionnement],TableauRecette[[#This Row],[Conditionnement]]),0)</f>
        <v/>
      </c>
      <c r="I173">
        <f>IFERROR(TableauRecette[[#This Row],[Prix d''achat / kg]],0)</f>
        <v/>
      </c>
      <c r="J173" t="inlineStr">
        <is>
          <t>Ceinture himalayenne</t>
        </is>
      </c>
      <c r="K173" t="inlineStr">
        <is>
          <t>SEC</t>
        </is>
      </c>
      <c r="L173">
        <f>_xlfn.XLOOKUP(TableauRecette[[#This Row],[ID]],TableauProduit[ID],TableauProduit[Total (kg) N1],0,0,1)*TableauRecette[[#This Row],[fraction mélange]]</f>
        <v/>
      </c>
      <c r="M173">
        <f>_xlfn.XLOOKUP(TableauRecette[[#This Row],[ID]],TableauProduit[ID],TableauProduit[Total (kg) N2],0,0,1)*TableauRecette[[#This Row],[fraction mélange]]</f>
        <v/>
      </c>
      <c r="N173">
        <f>_xlfn.XLOOKUP(TableauRecette[[#This Row],[ID]],TableauProduit[ID],TableauProduit[Total (kg) N3],0,0,1)*TableauRecette[[#This Row],[fraction mélange]]</f>
        <v/>
      </c>
      <c r="O173">
        <f>_xlfn.XLOOKUP(TableauRecette[[#This Row],[ID]],TableauProduit[ID],TableauProduit[Total (kg) N4],0,0,1)*TableauRecette[[#This Row],[fraction mélange]]</f>
        <v/>
      </c>
      <c r="P173">
        <f>_xlfn.XLOOKUP(TableauRecette[[#This Row],[ID]],TableauProduit[ID],TableauProduit[Total (kg) N5],0,0,1)*TableauRecette[[#This Row],[fraction mélange]]</f>
        <v/>
      </c>
      <c r="Q173">
        <f>_xlfn.XLOOKUP(TableauRecette[[#This Row],[ID]],TableauProduit[ID],TableauProduit[Total (kg) N6],0,0,1)*TableauRecette[[#This Row],[fraction mélange]]</f>
        <v/>
      </c>
      <c r="R173">
        <f>_xlfn.XLOOKUP(TableauRecette[[#This Row],[ID]],TableauProduit[ID],TableauProduit[Total (kg) N7],0,0,1)*TableauRecette[[#This Row],[fraction mélange]]</f>
        <v/>
      </c>
      <c r="S173">
        <f>_xlfn.XLOOKUP(TableauRecette[[#This Row],[ID]],TableauProduit[ID],TableauProduit[Total (kg) N8],0,0,1)*TableauRecette[[#This Row],[fraction mélange]]</f>
        <v/>
      </c>
      <c r="T173">
        <f>_xlfn.XLOOKUP(TableauRecette[[#This Row],[ID]],TableauProduit[ID],TableauProduit[Total (kg) N9],0,0,1)*TableauRecette[[#This Row],[fraction mélange]]</f>
        <v/>
      </c>
    </row>
    <row r="174">
      <c r="A174" t="inlineStr">
        <is>
          <t>Garam masala entier</t>
        </is>
      </c>
      <c r="B174">
        <f>TableauRecette[[#This Row],[Recette]]&amp;TableauRecette[[#This Row],[Conditionnement]]</f>
        <v/>
      </c>
      <c r="C174" t="inlineStr">
        <is>
          <t>Macie</t>
        </is>
      </c>
      <c r="D174" t="n">
        <v>7</v>
      </c>
      <c r="E174" t="inlineStr">
        <is>
          <t>Epice 100ml</t>
        </is>
      </c>
      <c r="F17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4">
        <f>IFERROR(_xlfn.XLOOKUP(TableauRecette[[#This Row],[Ingredients]],TableauIngredients[Ingredients],TableauIngredients[Prix d''achat / kg],0)*TableauRecette[[#This Row],[fraction mélange]],0)</f>
        <v/>
      </c>
      <c r="H174">
        <f>IFERROR(SUMIFS(TableauRecette[Proportion],TableauRecette[Recette],TableauRecette[[#This Row],[Recette]],TableauRecette[Conditionnement],TableauRecette[[#This Row],[Conditionnement]]),0)</f>
        <v/>
      </c>
      <c r="I174">
        <f>IFERROR(TableauRecette[[#This Row],[Prix d''achat / kg]],0)</f>
        <v/>
      </c>
      <c r="J174" t="inlineStr">
        <is>
          <t>Ceinture himalayenne</t>
        </is>
      </c>
      <c r="K174" t="inlineStr">
        <is>
          <t>SEC</t>
        </is>
      </c>
      <c r="L174">
        <f>_xlfn.XLOOKUP(TableauRecette[[#This Row],[ID]],TableauProduit[ID],TableauProduit[Total (kg) N1],0,0,1)*TableauRecette[[#This Row],[fraction mélange]]</f>
        <v/>
      </c>
      <c r="M174">
        <f>_xlfn.XLOOKUP(TableauRecette[[#This Row],[ID]],TableauProduit[ID],TableauProduit[Total (kg) N2],0,0,1)*TableauRecette[[#This Row],[fraction mélange]]</f>
        <v/>
      </c>
      <c r="N174">
        <f>_xlfn.XLOOKUP(TableauRecette[[#This Row],[ID]],TableauProduit[ID],TableauProduit[Total (kg) N3],0,0,1)*TableauRecette[[#This Row],[fraction mélange]]</f>
        <v/>
      </c>
      <c r="O174">
        <f>_xlfn.XLOOKUP(TableauRecette[[#This Row],[ID]],TableauProduit[ID],TableauProduit[Total (kg) N4],0,0,1)*TableauRecette[[#This Row],[fraction mélange]]</f>
        <v/>
      </c>
      <c r="P174">
        <f>_xlfn.XLOOKUP(TableauRecette[[#This Row],[ID]],TableauProduit[ID],TableauProduit[Total (kg) N5],0,0,1)*TableauRecette[[#This Row],[fraction mélange]]</f>
        <v/>
      </c>
      <c r="Q174">
        <f>_xlfn.XLOOKUP(TableauRecette[[#This Row],[ID]],TableauProduit[ID],TableauProduit[Total (kg) N6],0,0,1)*TableauRecette[[#This Row],[fraction mélange]]</f>
        <v/>
      </c>
      <c r="R174">
        <f>_xlfn.XLOOKUP(TableauRecette[[#This Row],[ID]],TableauProduit[ID],TableauProduit[Total (kg) N7],0,0,1)*TableauRecette[[#This Row],[fraction mélange]]</f>
        <v/>
      </c>
      <c r="S174">
        <f>_xlfn.XLOOKUP(TableauRecette[[#This Row],[ID]],TableauProduit[ID],TableauProduit[Total (kg) N8],0,0,1)*TableauRecette[[#This Row],[fraction mélange]]</f>
        <v/>
      </c>
      <c r="T174">
        <f>_xlfn.XLOOKUP(TableauRecette[[#This Row],[ID]],TableauProduit[ID],TableauProduit[Total (kg) N9],0,0,1)*TableauRecette[[#This Row],[fraction mélange]]</f>
        <v/>
      </c>
    </row>
    <row r="175">
      <c r="A175" t="inlineStr">
        <is>
          <t>Garam masala entier</t>
        </is>
      </c>
      <c r="B175">
        <f>TableauRecette[[#This Row],[Recette]]&amp;TableauRecette[[#This Row],[Conditionnement]]</f>
        <v/>
      </c>
      <c r="C175" t="inlineStr">
        <is>
          <t>Clous De Girofle</t>
        </is>
      </c>
      <c r="D175" t="n">
        <v>10</v>
      </c>
      <c r="E175" t="inlineStr">
        <is>
          <t>Epice 100ml</t>
        </is>
      </c>
      <c r="F17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5">
        <f>IFERROR(_xlfn.XLOOKUP(TableauRecette[[#This Row],[Ingredients]],TableauIngredients[Ingredients],TableauIngredients[Prix d''achat / kg],0)*TableauRecette[[#This Row],[fraction mélange]],0)</f>
        <v/>
      </c>
      <c r="H175">
        <f>IFERROR(SUMIFS(TableauRecette[Proportion],TableauRecette[Recette],TableauRecette[[#This Row],[Recette]],TableauRecette[Conditionnement],TableauRecette[[#This Row],[Conditionnement]]),0)</f>
        <v/>
      </c>
      <c r="I175">
        <f>IFERROR(TableauRecette[[#This Row],[Prix d''achat / kg]],0)</f>
        <v/>
      </c>
      <c r="J175" t="inlineStr">
        <is>
          <t>Ceinture himalayenne</t>
        </is>
      </c>
      <c r="K175" t="inlineStr">
        <is>
          <t>SEC</t>
        </is>
      </c>
      <c r="L175">
        <f>_xlfn.XLOOKUP(TableauRecette[[#This Row],[ID]],TableauProduit[ID],TableauProduit[Total (kg) N1],0,0,1)*TableauRecette[[#This Row],[fraction mélange]]</f>
        <v/>
      </c>
      <c r="M175">
        <f>_xlfn.XLOOKUP(TableauRecette[[#This Row],[ID]],TableauProduit[ID],TableauProduit[Total (kg) N2],0,0,1)*TableauRecette[[#This Row],[fraction mélange]]</f>
        <v/>
      </c>
      <c r="N175">
        <f>_xlfn.XLOOKUP(TableauRecette[[#This Row],[ID]],TableauProduit[ID],TableauProduit[Total (kg) N3],0,0,1)*TableauRecette[[#This Row],[fraction mélange]]</f>
        <v/>
      </c>
      <c r="O175">
        <f>_xlfn.XLOOKUP(TableauRecette[[#This Row],[ID]],TableauProduit[ID],TableauProduit[Total (kg) N4],0,0,1)*TableauRecette[[#This Row],[fraction mélange]]</f>
        <v/>
      </c>
      <c r="P175">
        <f>_xlfn.XLOOKUP(TableauRecette[[#This Row],[ID]],TableauProduit[ID],TableauProduit[Total (kg) N5],0,0,1)*TableauRecette[[#This Row],[fraction mélange]]</f>
        <v/>
      </c>
      <c r="Q175">
        <f>_xlfn.XLOOKUP(TableauRecette[[#This Row],[ID]],TableauProduit[ID],TableauProduit[Total (kg) N6],0,0,1)*TableauRecette[[#This Row],[fraction mélange]]</f>
        <v/>
      </c>
      <c r="R175">
        <f>_xlfn.XLOOKUP(TableauRecette[[#This Row],[ID]],TableauProduit[ID],TableauProduit[Total (kg) N7],0,0,1)*TableauRecette[[#This Row],[fraction mélange]]</f>
        <v/>
      </c>
      <c r="S175">
        <f>_xlfn.XLOOKUP(TableauRecette[[#This Row],[ID]],TableauProduit[ID],TableauProduit[Total (kg) N8],0,0,1)*TableauRecette[[#This Row],[fraction mélange]]</f>
        <v/>
      </c>
      <c r="T175">
        <f>_xlfn.XLOOKUP(TableauRecette[[#This Row],[ID]],TableauProduit[ID],TableauProduit[Total (kg) N9],0,0,1)*TableauRecette[[#This Row],[fraction mélange]]</f>
        <v/>
      </c>
    </row>
    <row r="176">
      <c r="A176" t="inlineStr">
        <is>
          <t>Garam masala entier</t>
        </is>
      </c>
      <c r="B176">
        <f>TableauRecette[[#This Row],[Recette]]&amp;TableauRecette[[#This Row],[Conditionnement]]</f>
        <v/>
      </c>
      <c r="C176" t="inlineStr">
        <is>
          <t>Muscade</t>
        </is>
      </c>
      <c r="D176" t="n">
        <v>3</v>
      </c>
      <c r="E176" t="inlineStr">
        <is>
          <t>Epice 100ml</t>
        </is>
      </c>
      <c r="F17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6">
        <f>IFERROR(_xlfn.XLOOKUP(TableauRecette[[#This Row],[Ingredients]],TableauIngredients[Ingredients],TableauIngredients[Prix d''achat / kg],0)*TableauRecette[[#This Row],[fraction mélange]],0)</f>
        <v/>
      </c>
      <c r="H176">
        <f>IFERROR(SUMIFS(TableauRecette[Proportion],TableauRecette[Recette],TableauRecette[[#This Row],[Recette]],TableauRecette[Conditionnement],TableauRecette[[#This Row],[Conditionnement]]),0)</f>
        <v/>
      </c>
      <c r="I176">
        <f>IFERROR(TableauRecette[[#This Row],[Prix d''achat / kg]],0)</f>
        <v/>
      </c>
      <c r="J176" t="inlineStr">
        <is>
          <t>Ceinture himalayenne</t>
        </is>
      </c>
      <c r="K176" t="inlineStr">
        <is>
          <t>SEC</t>
        </is>
      </c>
      <c r="L176">
        <f>_xlfn.XLOOKUP(TableauRecette[[#This Row],[ID]],TableauProduit[ID],TableauProduit[Total (kg) N1],0,0,1)*TableauRecette[[#This Row],[fraction mélange]]</f>
        <v/>
      </c>
      <c r="M176">
        <f>_xlfn.XLOOKUP(TableauRecette[[#This Row],[ID]],TableauProduit[ID],TableauProduit[Total (kg) N2],0,0,1)*TableauRecette[[#This Row],[fraction mélange]]</f>
        <v/>
      </c>
      <c r="N176">
        <f>_xlfn.XLOOKUP(TableauRecette[[#This Row],[ID]],TableauProduit[ID],TableauProduit[Total (kg) N3],0,0,1)*TableauRecette[[#This Row],[fraction mélange]]</f>
        <v/>
      </c>
      <c r="O176">
        <f>_xlfn.XLOOKUP(TableauRecette[[#This Row],[ID]],TableauProduit[ID],TableauProduit[Total (kg) N4],0,0,1)*TableauRecette[[#This Row],[fraction mélange]]</f>
        <v/>
      </c>
      <c r="P176">
        <f>_xlfn.XLOOKUP(TableauRecette[[#This Row],[ID]],TableauProduit[ID],TableauProduit[Total (kg) N5],0,0,1)*TableauRecette[[#This Row],[fraction mélange]]</f>
        <v/>
      </c>
      <c r="Q176">
        <f>_xlfn.XLOOKUP(TableauRecette[[#This Row],[ID]],TableauProduit[ID],TableauProduit[Total (kg) N6],0,0,1)*TableauRecette[[#This Row],[fraction mélange]]</f>
        <v/>
      </c>
      <c r="R176">
        <f>_xlfn.XLOOKUP(TableauRecette[[#This Row],[ID]],TableauProduit[ID],TableauProduit[Total (kg) N7],0,0,1)*TableauRecette[[#This Row],[fraction mélange]]</f>
        <v/>
      </c>
      <c r="S176">
        <f>_xlfn.XLOOKUP(TableauRecette[[#This Row],[ID]],TableauProduit[ID],TableauProduit[Total (kg) N8],0,0,1)*TableauRecette[[#This Row],[fraction mélange]]</f>
        <v/>
      </c>
      <c r="T176">
        <f>_xlfn.XLOOKUP(TableauRecette[[#This Row],[ID]],TableauProduit[ID],TableauProduit[Total (kg) N9],0,0,1)*TableauRecette[[#This Row],[fraction mélange]]</f>
        <v/>
      </c>
    </row>
    <row r="177">
      <c r="A177" t="inlineStr">
        <is>
          <t>Garam masala birman</t>
        </is>
      </c>
      <c r="B177">
        <f>TableauRecette[[#This Row],[Recette]]&amp;TableauRecette[[#This Row],[Conditionnement]]</f>
        <v/>
      </c>
      <c r="C177" t="inlineStr">
        <is>
          <t>Coriandre Graine</t>
        </is>
      </c>
      <c r="D177" t="n">
        <v>1</v>
      </c>
      <c r="E177" t="inlineStr">
        <is>
          <t>Epice 100ml</t>
        </is>
      </c>
      <c r="F17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7">
        <f>IFERROR(_xlfn.XLOOKUP(TableauRecette[[#This Row],[Ingredients]],TableauIngredients[Ingredients],TableauIngredients[Prix d''achat / kg],0)*TableauRecette[[#This Row],[fraction mélange]],0)</f>
        <v/>
      </c>
      <c r="H177">
        <f>IFERROR(SUMIFS(TableauRecette[Proportion],TableauRecette[Recette],TableauRecette[[#This Row],[Recette]],TableauRecette[Conditionnement],TableauRecette[[#This Row],[Conditionnement]]),0)</f>
        <v/>
      </c>
      <c r="I177">
        <f>IFERROR(TableauRecette[[#This Row],[Prix d''achat / kg]],0)</f>
        <v/>
      </c>
      <c r="J177" t="inlineStr">
        <is>
          <t>Inde centrale</t>
        </is>
      </c>
      <c r="K177" t="inlineStr">
        <is>
          <t>SEC</t>
        </is>
      </c>
      <c r="L177">
        <f>_xlfn.XLOOKUP(TableauRecette[[#This Row],[ID]],TableauProduit[ID],TableauProduit[Total (kg) N1],0,0,1)*TableauRecette[[#This Row],[fraction mélange]]</f>
        <v/>
      </c>
      <c r="M177">
        <f>_xlfn.XLOOKUP(TableauRecette[[#This Row],[ID]],TableauProduit[ID],TableauProduit[Total (kg) N2],0,0,1)*TableauRecette[[#This Row],[fraction mélange]]</f>
        <v/>
      </c>
      <c r="N177">
        <f>_xlfn.XLOOKUP(TableauRecette[[#This Row],[ID]],TableauProduit[ID],TableauProduit[Total (kg) N3],0,0,1)*TableauRecette[[#This Row],[fraction mélange]]</f>
        <v/>
      </c>
      <c r="O177">
        <f>_xlfn.XLOOKUP(TableauRecette[[#This Row],[ID]],TableauProduit[ID],TableauProduit[Total (kg) N4],0,0,1)*TableauRecette[[#This Row],[fraction mélange]]</f>
        <v/>
      </c>
      <c r="P177">
        <f>_xlfn.XLOOKUP(TableauRecette[[#This Row],[ID]],TableauProduit[ID],TableauProduit[Total (kg) N5],0,0,1)*TableauRecette[[#This Row],[fraction mélange]]</f>
        <v/>
      </c>
      <c r="Q177">
        <f>_xlfn.XLOOKUP(TableauRecette[[#This Row],[ID]],TableauProduit[ID],TableauProduit[Total (kg) N6],0,0,1)*TableauRecette[[#This Row],[fraction mélange]]</f>
        <v/>
      </c>
      <c r="R177">
        <f>_xlfn.XLOOKUP(TableauRecette[[#This Row],[ID]],TableauProduit[ID],TableauProduit[Total (kg) N7],0,0,1)*TableauRecette[[#This Row],[fraction mélange]]</f>
        <v/>
      </c>
      <c r="S177">
        <f>_xlfn.XLOOKUP(TableauRecette[[#This Row],[ID]],TableauProduit[ID],TableauProduit[Total (kg) N8],0,0,1)*TableauRecette[[#This Row],[fraction mélange]]</f>
        <v/>
      </c>
      <c r="T177">
        <f>_xlfn.XLOOKUP(TableauRecette[[#This Row],[ID]],TableauProduit[ID],TableauProduit[Total (kg) N9],0,0,1)*TableauRecette[[#This Row],[fraction mélange]]</f>
        <v/>
      </c>
    </row>
    <row r="178">
      <c r="A178" t="inlineStr">
        <is>
          <t>Garam masala birman</t>
        </is>
      </c>
      <c r="B178">
        <f>TableauRecette[[#This Row],[Recette]]&amp;TableauRecette[[#This Row],[Conditionnement]]</f>
        <v/>
      </c>
      <c r="C178" t="inlineStr">
        <is>
          <t>Poivre Noir</t>
        </is>
      </c>
      <c r="D178" t="n">
        <v>1</v>
      </c>
      <c r="E178" t="inlineStr">
        <is>
          <t>Epice 100ml</t>
        </is>
      </c>
      <c r="F17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8">
        <f>IFERROR(_xlfn.XLOOKUP(TableauRecette[[#This Row],[Ingredients]],TableauIngredients[Ingredients],TableauIngredients[Prix d''achat / kg],0)*TableauRecette[[#This Row],[fraction mélange]],0)</f>
        <v/>
      </c>
      <c r="H178">
        <f>IFERROR(SUMIFS(TableauRecette[Proportion],TableauRecette[Recette],TableauRecette[[#This Row],[Recette]],TableauRecette[Conditionnement],TableauRecette[[#This Row],[Conditionnement]]),0)</f>
        <v/>
      </c>
      <c r="I178">
        <f>IFERROR(TableauRecette[[#This Row],[Prix d''achat / kg]],0)</f>
        <v/>
      </c>
      <c r="J178" t="inlineStr">
        <is>
          <t>Inde centrale</t>
        </is>
      </c>
      <c r="K178" t="inlineStr">
        <is>
          <t>SEC</t>
        </is>
      </c>
      <c r="L178">
        <f>_xlfn.XLOOKUP(TableauRecette[[#This Row],[ID]],TableauProduit[ID],TableauProduit[Total (kg) N1],0,0,1)*TableauRecette[[#This Row],[fraction mélange]]</f>
        <v/>
      </c>
      <c r="M178">
        <f>_xlfn.XLOOKUP(TableauRecette[[#This Row],[ID]],TableauProduit[ID],TableauProduit[Total (kg) N2],0,0,1)*TableauRecette[[#This Row],[fraction mélange]]</f>
        <v/>
      </c>
      <c r="N178">
        <f>_xlfn.XLOOKUP(TableauRecette[[#This Row],[ID]],TableauProduit[ID],TableauProduit[Total (kg) N3],0,0,1)*TableauRecette[[#This Row],[fraction mélange]]</f>
        <v/>
      </c>
      <c r="O178">
        <f>_xlfn.XLOOKUP(TableauRecette[[#This Row],[ID]],TableauProduit[ID],TableauProduit[Total (kg) N4],0,0,1)*TableauRecette[[#This Row],[fraction mélange]]</f>
        <v/>
      </c>
      <c r="P178">
        <f>_xlfn.XLOOKUP(TableauRecette[[#This Row],[ID]],TableauProduit[ID],TableauProduit[Total (kg) N5],0,0,1)*TableauRecette[[#This Row],[fraction mélange]]</f>
        <v/>
      </c>
      <c r="Q178">
        <f>_xlfn.XLOOKUP(TableauRecette[[#This Row],[ID]],TableauProduit[ID],TableauProduit[Total (kg) N6],0,0,1)*TableauRecette[[#This Row],[fraction mélange]]</f>
        <v/>
      </c>
      <c r="R178">
        <f>_xlfn.XLOOKUP(TableauRecette[[#This Row],[ID]],TableauProduit[ID],TableauProduit[Total (kg) N7],0,0,1)*TableauRecette[[#This Row],[fraction mélange]]</f>
        <v/>
      </c>
      <c r="S178">
        <f>_xlfn.XLOOKUP(TableauRecette[[#This Row],[ID]],TableauProduit[ID],TableauProduit[Total (kg) N8],0,0,1)*TableauRecette[[#This Row],[fraction mélange]]</f>
        <v/>
      </c>
      <c r="T178">
        <f>_xlfn.XLOOKUP(TableauRecette[[#This Row],[ID]],TableauProduit[ID],TableauProduit[Total (kg) N9],0,0,1)*TableauRecette[[#This Row],[fraction mélange]]</f>
        <v/>
      </c>
    </row>
    <row r="179">
      <c r="A179" t="inlineStr">
        <is>
          <t>Garam masala birman</t>
        </is>
      </c>
      <c r="B179">
        <f>TableauRecette[[#This Row],[Recette]]&amp;TableauRecette[[#This Row],[Conditionnement]]</f>
        <v/>
      </c>
      <c r="C179" t="inlineStr">
        <is>
          <t>Graine De Cumin</t>
        </is>
      </c>
      <c r="D179" t="n">
        <v>1</v>
      </c>
      <c r="E179" t="inlineStr">
        <is>
          <t>Epice 100ml</t>
        </is>
      </c>
      <c r="F1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9">
        <f>IFERROR(_xlfn.XLOOKUP(TableauRecette[[#This Row],[Ingredients]],TableauIngredients[Ingredients],TableauIngredients[Prix d''achat / kg],0)*TableauRecette[[#This Row],[fraction mélange]],0)</f>
        <v/>
      </c>
      <c r="H179">
        <f>IFERROR(SUMIFS(TableauRecette[Proportion],TableauRecette[Recette],TableauRecette[[#This Row],[Recette]],TableauRecette[Conditionnement],TableauRecette[[#This Row],[Conditionnement]]),0)</f>
        <v/>
      </c>
      <c r="I179">
        <f>IFERROR(TableauRecette[[#This Row],[Prix d''achat / kg]],0)</f>
        <v/>
      </c>
      <c r="J179" t="inlineStr">
        <is>
          <t>Inde centrale</t>
        </is>
      </c>
      <c r="K179" t="inlineStr">
        <is>
          <t>SEC</t>
        </is>
      </c>
      <c r="L179">
        <f>_xlfn.XLOOKUP(TableauRecette[[#This Row],[ID]],TableauProduit[ID],TableauProduit[Total (kg) N1],0,0,1)*TableauRecette[[#This Row],[fraction mélange]]</f>
        <v/>
      </c>
      <c r="M179">
        <f>_xlfn.XLOOKUP(TableauRecette[[#This Row],[ID]],TableauProduit[ID],TableauProduit[Total (kg) N2],0,0,1)*TableauRecette[[#This Row],[fraction mélange]]</f>
        <v/>
      </c>
      <c r="N179">
        <f>_xlfn.XLOOKUP(TableauRecette[[#This Row],[ID]],TableauProduit[ID],TableauProduit[Total (kg) N3],0,0,1)*TableauRecette[[#This Row],[fraction mélange]]</f>
        <v/>
      </c>
      <c r="O179">
        <f>_xlfn.XLOOKUP(TableauRecette[[#This Row],[ID]],TableauProduit[ID],TableauProduit[Total (kg) N4],0,0,1)*TableauRecette[[#This Row],[fraction mélange]]</f>
        <v/>
      </c>
      <c r="P179">
        <f>_xlfn.XLOOKUP(TableauRecette[[#This Row],[ID]],TableauProduit[ID],TableauProduit[Total (kg) N5],0,0,1)*TableauRecette[[#This Row],[fraction mélange]]</f>
        <v/>
      </c>
      <c r="Q179">
        <f>_xlfn.XLOOKUP(TableauRecette[[#This Row],[ID]],TableauProduit[ID],TableauProduit[Total (kg) N6],0,0,1)*TableauRecette[[#This Row],[fraction mélange]]</f>
        <v/>
      </c>
      <c r="R179">
        <f>_xlfn.XLOOKUP(TableauRecette[[#This Row],[ID]],TableauProduit[ID],TableauProduit[Total (kg) N7],0,0,1)*TableauRecette[[#This Row],[fraction mélange]]</f>
        <v/>
      </c>
      <c r="S179">
        <f>_xlfn.XLOOKUP(TableauRecette[[#This Row],[ID]],TableauProduit[ID],TableauProduit[Total (kg) N8],0,0,1)*TableauRecette[[#This Row],[fraction mélange]]</f>
        <v/>
      </c>
      <c r="T179">
        <f>_xlfn.XLOOKUP(TableauRecette[[#This Row],[ID]],TableauProduit[ID],TableauProduit[Total (kg) N9],0,0,1)*TableauRecette[[#This Row],[fraction mélange]]</f>
        <v/>
      </c>
    </row>
    <row r="180">
      <c r="A180" t="inlineStr">
        <is>
          <t>Garam masala birman</t>
        </is>
      </c>
      <c r="B180">
        <f>TableauRecette[[#This Row],[Recette]]&amp;TableauRecette[[#This Row],[Conditionnement]]</f>
        <v/>
      </c>
      <c r="C180" t="inlineStr">
        <is>
          <t>Feuilles De Laurier</t>
        </is>
      </c>
      <c r="D180" t="n">
        <v>0.5</v>
      </c>
      <c r="E180" t="inlineStr">
        <is>
          <t>Epice 100ml</t>
        </is>
      </c>
      <c r="F18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0">
        <f>IFERROR(_xlfn.XLOOKUP(TableauRecette[[#This Row],[Ingredients]],TableauIngredients[Ingredients],TableauIngredients[Prix d''achat / kg],0)*TableauRecette[[#This Row],[fraction mélange]],0)</f>
        <v/>
      </c>
      <c r="H180">
        <f>IFERROR(SUMIFS(TableauRecette[Proportion],TableauRecette[Recette],TableauRecette[[#This Row],[Recette]],TableauRecette[Conditionnement],TableauRecette[[#This Row],[Conditionnement]]),0)</f>
        <v/>
      </c>
      <c r="I180">
        <f>IFERROR(TableauRecette[[#This Row],[Prix d''achat / kg]],0)</f>
        <v/>
      </c>
      <c r="J180" t="inlineStr">
        <is>
          <t>Inde centrale</t>
        </is>
      </c>
      <c r="K180" t="inlineStr">
        <is>
          <t>SEC</t>
        </is>
      </c>
      <c r="L180">
        <f>_xlfn.XLOOKUP(TableauRecette[[#This Row],[ID]],TableauProduit[ID],TableauProduit[Total (kg) N1],0,0,1)*TableauRecette[[#This Row],[fraction mélange]]</f>
        <v/>
      </c>
      <c r="M180">
        <f>_xlfn.XLOOKUP(TableauRecette[[#This Row],[ID]],TableauProduit[ID],TableauProduit[Total (kg) N2],0,0,1)*TableauRecette[[#This Row],[fraction mélange]]</f>
        <v/>
      </c>
      <c r="N180">
        <f>_xlfn.XLOOKUP(TableauRecette[[#This Row],[ID]],TableauProduit[ID],TableauProduit[Total (kg) N3],0,0,1)*TableauRecette[[#This Row],[fraction mélange]]</f>
        <v/>
      </c>
      <c r="O180">
        <f>_xlfn.XLOOKUP(TableauRecette[[#This Row],[ID]],TableauProduit[ID],TableauProduit[Total (kg) N4],0,0,1)*TableauRecette[[#This Row],[fraction mélange]]</f>
        <v/>
      </c>
      <c r="P180">
        <f>_xlfn.XLOOKUP(TableauRecette[[#This Row],[ID]],TableauProduit[ID],TableauProduit[Total (kg) N5],0,0,1)*TableauRecette[[#This Row],[fraction mélange]]</f>
        <v/>
      </c>
      <c r="Q180">
        <f>_xlfn.XLOOKUP(TableauRecette[[#This Row],[ID]],TableauProduit[ID],TableauProduit[Total (kg) N6],0,0,1)*TableauRecette[[#This Row],[fraction mélange]]</f>
        <v/>
      </c>
      <c r="R180">
        <f>_xlfn.XLOOKUP(TableauRecette[[#This Row],[ID]],TableauProduit[ID],TableauProduit[Total (kg) N7],0,0,1)*TableauRecette[[#This Row],[fraction mélange]]</f>
        <v/>
      </c>
      <c r="S180">
        <f>_xlfn.XLOOKUP(TableauRecette[[#This Row],[ID]],TableauProduit[ID],TableauProduit[Total (kg) N8],0,0,1)*TableauRecette[[#This Row],[fraction mélange]]</f>
        <v/>
      </c>
      <c r="T180">
        <f>_xlfn.XLOOKUP(TableauRecette[[#This Row],[ID]],TableauProduit[ID],TableauProduit[Total (kg) N9],0,0,1)*TableauRecette[[#This Row],[fraction mélange]]</f>
        <v/>
      </c>
    </row>
    <row r="181">
      <c r="A181" t="inlineStr">
        <is>
          <t>Garam masala birman</t>
        </is>
      </c>
      <c r="B181">
        <f>TableauRecette[[#This Row],[Recette]]&amp;TableauRecette[[#This Row],[Conditionnement]]</f>
        <v/>
      </c>
      <c r="C181" t="inlineStr">
        <is>
          <t>Graine De Cardamome</t>
        </is>
      </c>
      <c r="D181" t="n">
        <v>1</v>
      </c>
      <c r="E181" t="inlineStr">
        <is>
          <t>Epice 100ml</t>
        </is>
      </c>
      <c r="F18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1">
        <f>IFERROR(_xlfn.XLOOKUP(TableauRecette[[#This Row],[Ingredients]],TableauIngredients[Ingredients],TableauIngredients[Prix d''achat / kg],0)*TableauRecette[[#This Row],[fraction mélange]],0)</f>
        <v/>
      </c>
      <c r="H181">
        <f>IFERROR(SUMIFS(TableauRecette[Proportion],TableauRecette[Recette],TableauRecette[[#This Row],[Recette]],TableauRecette[Conditionnement],TableauRecette[[#This Row],[Conditionnement]]),0)</f>
        <v/>
      </c>
      <c r="I181">
        <f>IFERROR(TableauRecette[[#This Row],[Prix d''achat / kg]],0)</f>
        <v/>
      </c>
      <c r="J181" t="inlineStr">
        <is>
          <t>Inde centrale</t>
        </is>
      </c>
      <c r="K181" t="inlineStr">
        <is>
          <t>SEC</t>
        </is>
      </c>
      <c r="L181">
        <f>_xlfn.XLOOKUP(TableauRecette[[#This Row],[ID]],TableauProduit[ID],TableauProduit[Total (kg) N1],0,0,1)*TableauRecette[[#This Row],[fraction mélange]]</f>
        <v/>
      </c>
      <c r="M181">
        <f>_xlfn.XLOOKUP(TableauRecette[[#This Row],[ID]],TableauProduit[ID],TableauProduit[Total (kg) N2],0,0,1)*TableauRecette[[#This Row],[fraction mélange]]</f>
        <v/>
      </c>
      <c r="N181">
        <f>_xlfn.XLOOKUP(TableauRecette[[#This Row],[ID]],TableauProduit[ID],TableauProduit[Total (kg) N3],0,0,1)*TableauRecette[[#This Row],[fraction mélange]]</f>
        <v/>
      </c>
      <c r="O181">
        <f>_xlfn.XLOOKUP(TableauRecette[[#This Row],[ID]],TableauProduit[ID],TableauProduit[Total (kg) N4],0,0,1)*TableauRecette[[#This Row],[fraction mélange]]</f>
        <v/>
      </c>
      <c r="P181">
        <f>_xlfn.XLOOKUP(TableauRecette[[#This Row],[ID]],TableauProduit[ID],TableauProduit[Total (kg) N5],0,0,1)*TableauRecette[[#This Row],[fraction mélange]]</f>
        <v/>
      </c>
      <c r="Q181">
        <f>_xlfn.XLOOKUP(TableauRecette[[#This Row],[ID]],TableauProduit[ID],TableauProduit[Total (kg) N6],0,0,1)*TableauRecette[[#This Row],[fraction mélange]]</f>
        <v/>
      </c>
      <c r="R181">
        <f>_xlfn.XLOOKUP(TableauRecette[[#This Row],[ID]],TableauProduit[ID],TableauProduit[Total (kg) N7],0,0,1)*TableauRecette[[#This Row],[fraction mélange]]</f>
        <v/>
      </c>
      <c r="S181">
        <f>_xlfn.XLOOKUP(TableauRecette[[#This Row],[ID]],TableauProduit[ID],TableauProduit[Total (kg) N8],0,0,1)*TableauRecette[[#This Row],[fraction mélange]]</f>
        <v/>
      </c>
      <c r="T181">
        <f>_xlfn.XLOOKUP(TableauRecette[[#This Row],[ID]],TableauProduit[ID],TableauProduit[Total (kg) N9],0,0,1)*TableauRecette[[#This Row],[fraction mélange]]</f>
        <v/>
      </c>
    </row>
    <row r="182">
      <c r="A182" t="inlineStr">
        <is>
          <t>Garam masala birman</t>
        </is>
      </c>
      <c r="B182">
        <f>TableauRecette[[#This Row],[Recette]]&amp;TableauRecette[[#This Row],[Conditionnement]]</f>
        <v/>
      </c>
      <c r="C182" t="inlineStr">
        <is>
          <t>Clous De Girofle</t>
        </is>
      </c>
      <c r="D182" t="n">
        <v>1</v>
      </c>
      <c r="E182" t="inlineStr">
        <is>
          <t>Epice 100ml</t>
        </is>
      </c>
      <c r="F18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2">
        <f>IFERROR(_xlfn.XLOOKUP(TableauRecette[[#This Row],[Ingredients]],TableauIngredients[Ingredients],TableauIngredients[Prix d''achat / kg],0)*TableauRecette[[#This Row],[fraction mélange]],0)</f>
        <v/>
      </c>
      <c r="H182">
        <f>IFERROR(SUMIFS(TableauRecette[Proportion],TableauRecette[Recette],TableauRecette[[#This Row],[Recette]],TableauRecette[Conditionnement],TableauRecette[[#This Row],[Conditionnement]]),0)</f>
        <v/>
      </c>
      <c r="I182">
        <f>IFERROR(TableauRecette[[#This Row],[Prix d''achat / kg]],0)</f>
        <v/>
      </c>
      <c r="J182" t="inlineStr">
        <is>
          <t>Inde centrale</t>
        </is>
      </c>
      <c r="K182" t="inlineStr">
        <is>
          <t>SEC</t>
        </is>
      </c>
      <c r="L182">
        <f>_xlfn.XLOOKUP(TableauRecette[[#This Row],[ID]],TableauProduit[ID],TableauProduit[Total (kg) N1],0,0,1)*TableauRecette[[#This Row],[fraction mélange]]</f>
        <v/>
      </c>
      <c r="M182">
        <f>_xlfn.XLOOKUP(TableauRecette[[#This Row],[ID]],TableauProduit[ID],TableauProduit[Total (kg) N2],0,0,1)*TableauRecette[[#This Row],[fraction mélange]]</f>
        <v/>
      </c>
      <c r="N182">
        <f>_xlfn.XLOOKUP(TableauRecette[[#This Row],[ID]],TableauProduit[ID],TableauProduit[Total (kg) N3],0,0,1)*TableauRecette[[#This Row],[fraction mélange]]</f>
        <v/>
      </c>
      <c r="O182">
        <f>_xlfn.XLOOKUP(TableauRecette[[#This Row],[ID]],TableauProduit[ID],TableauProduit[Total (kg) N4],0,0,1)*TableauRecette[[#This Row],[fraction mélange]]</f>
        <v/>
      </c>
      <c r="P182">
        <f>_xlfn.XLOOKUP(TableauRecette[[#This Row],[ID]],TableauProduit[ID],TableauProduit[Total (kg) N5],0,0,1)*TableauRecette[[#This Row],[fraction mélange]]</f>
        <v/>
      </c>
      <c r="Q182">
        <f>_xlfn.XLOOKUP(TableauRecette[[#This Row],[ID]],TableauProduit[ID],TableauProduit[Total (kg) N6],0,0,1)*TableauRecette[[#This Row],[fraction mélange]]</f>
        <v/>
      </c>
      <c r="R182">
        <f>_xlfn.XLOOKUP(TableauRecette[[#This Row],[ID]],TableauProduit[ID],TableauProduit[Total (kg) N7],0,0,1)*TableauRecette[[#This Row],[fraction mélange]]</f>
        <v/>
      </c>
      <c r="S182">
        <f>_xlfn.XLOOKUP(TableauRecette[[#This Row],[ID]],TableauProduit[ID],TableauProduit[Total (kg) N8],0,0,1)*TableauRecette[[#This Row],[fraction mélange]]</f>
        <v/>
      </c>
      <c r="T182">
        <f>_xlfn.XLOOKUP(TableauRecette[[#This Row],[ID]],TableauProduit[ID],TableauProduit[Total (kg) N9],0,0,1)*TableauRecette[[#This Row],[fraction mélange]]</f>
        <v/>
      </c>
    </row>
    <row r="183">
      <c r="A183" t="inlineStr">
        <is>
          <t>Garam masala birman</t>
        </is>
      </c>
      <c r="B183">
        <f>TableauRecette[[#This Row],[Recette]]&amp;TableauRecette[[#This Row],[Conditionnement]]</f>
        <v/>
      </c>
      <c r="C183" t="inlineStr">
        <is>
          <t>Bâton De Cannelle</t>
        </is>
      </c>
      <c r="D183" t="n">
        <v>1</v>
      </c>
      <c r="E183" t="inlineStr">
        <is>
          <t>Epice 100ml</t>
        </is>
      </c>
      <c r="F18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3">
        <f>IFERROR(_xlfn.XLOOKUP(TableauRecette[[#This Row],[Ingredients]],TableauIngredients[Ingredients],TableauIngredients[Prix d''achat / kg],0)*TableauRecette[[#This Row],[fraction mélange]],0)</f>
        <v/>
      </c>
      <c r="H183">
        <f>IFERROR(SUMIFS(TableauRecette[Proportion],TableauRecette[Recette],TableauRecette[[#This Row],[Recette]],TableauRecette[Conditionnement],TableauRecette[[#This Row],[Conditionnement]]),0)</f>
        <v/>
      </c>
      <c r="I183">
        <f>IFERROR(TableauRecette[[#This Row],[Prix d''achat / kg]],0)</f>
        <v/>
      </c>
      <c r="J183" t="inlineStr">
        <is>
          <t>Inde centrale</t>
        </is>
      </c>
      <c r="K183" t="inlineStr">
        <is>
          <t>SEC</t>
        </is>
      </c>
      <c r="L183">
        <f>_xlfn.XLOOKUP(TableauRecette[[#This Row],[ID]],TableauProduit[ID],TableauProduit[Total (kg) N1],0,0,1)*TableauRecette[[#This Row],[fraction mélange]]</f>
        <v/>
      </c>
      <c r="M183">
        <f>_xlfn.XLOOKUP(TableauRecette[[#This Row],[ID]],TableauProduit[ID],TableauProduit[Total (kg) N2],0,0,1)*TableauRecette[[#This Row],[fraction mélange]]</f>
        <v/>
      </c>
      <c r="N183">
        <f>_xlfn.XLOOKUP(TableauRecette[[#This Row],[ID]],TableauProduit[ID],TableauProduit[Total (kg) N3],0,0,1)*TableauRecette[[#This Row],[fraction mélange]]</f>
        <v/>
      </c>
      <c r="O183">
        <f>_xlfn.XLOOKUP(TableauRecette[[#This Row],[ID]],TableauProduit[ID],TableauProduit[Total (kg) N4],0,0,1)*TableauRecette[[#This Row],[fraction mélange]]</f>
        <v/>
      </c>
      <c r="P183">
        <f>_xlfn.XLOOKUP(TableauRecette[[#This Row],[ID]],TableauProduit[ID],TableauProduit[Total (kg) N5],0,0,1)*TableauRecette[[#This Row],[fraction mélange]]</f>
        <v/>
      </c>
      <c r="Q183">
        <f>_xlfn.XLOOKUP(TableauRecette[[#This Row],[ID]],TableauProduit[ID],TableauProduit[Total (kg) N6],0,0,1)*TableauRecette[[#This Row],[fraction mélange]]</f>
        <v/>
      </c>
      <c r="R183">
        <f>_xlfn.XLOOKUP(TableauRecette[[#This Row],[ID]],TableauProduit[ID],TableauProduit[Total (kg) N7],0,0,1)*TableauRecette[[#This Row],[fraction mélange]]</f>
        <v/>
      </c>
      <c r="S183">
        <f>_xlfn.XLOOKUP(TableauRecette[[#This Row],[ID]],TableauProduit[ID],TableauProduit[Total (kg) N8],0,0,1)*TableauRecette[[#This Row],[fraction mélange]]</f>
        <v/>
      </c>
      <c r="T183">
        <f>_xlfn.XLOOKUP(TableauRecette[[#This Row],[ID]],TableauProduit[ID],TableauProduit[Total (kg) N9],0,0,1)*TableauRecette[[#This Row],[fraction mélange]]</f>
        <v/>
      </c>
    </row>
    <row r="184">
      <c r="A184" t="inlineStr">
        <is>
          <t>Garam masala birman</t>
        </is>
      </c>
      <c r="B184">
        <f>TableauRecette[[#This Row],[Recette]]&amp;TableauRecette[[#This Row],[Conditionnement]]</f>
        <v/>
      </c>
      <c r="C184" t="inlineStr">
        <is>
          <t>Anis Étoilé</t>
        </is>
      </c>
      <c r="D184" t="n">
        <v>2</v>
      </c>
      <c r="E184" t="inlineStr">
        <is>
          <t>Epice 100ml</t>
        </is>
      </c>
      <c r="F18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4">
        <f>IFERROR(_xlfn.XLOOKUP(TableauRecette[[#This Row],[Ingredients]],TableauIngredients[Ingredients],TableauIngredients[Prix d''achat / kg],0)*TableauRecette[[#This Row],[fraction mélange]],0)</f>
        <v/>
      </c>
      <c r="H184">
        <f>IFERROR(SUMIFS(TableauRecette[Proportion],TableauRecette[Recette],TableauRecette[[#This Row],[Recette]],TableauRecette[Conditionnement],TableauRecette[[#This Row],[Conditionnement]]),0)</f>
        <v/>
      </c>
      <c r="I184">
        <f>IFERROR(TableauRecette[[#This Row],[Prix d''achat / kg]],0)</f>
        <v/>
      </c>
      <c r="J184" t="inlineStr">
        <is>
          <t>Inde centrale</t>
        </is>
      </c>
      <c r="K184" t="inlineStr">
        <is>
          <t>SEC</t>
        </is>
      </c>
      <c r="L184">
        <f>_xlfn.XLOOKUP(TableauRecette[[#This Row],[ID]],TableauProduit[ID],TableauProduit[Total (kg) N1],0,0,1)*TableauRecette[[#This Row],[fraction mélange]]</f>
        <v/>
      </c>
      <c r="M184">
        <f>_xlfn.XLOOKUP(TableauRecette[[#This Row],[ID]],TableauProduit[ID],TableauProduit[Total (kg) N2],0,0,1)*TableauRecette[[#This Row],[fraction mélange]]</f>
        <v/>
      </c>
      <c r="N184">
        <f>_xlfn.XLOOKUP(TableauRecette[[#This Row],[ID]],TableauProduit[ID],TableauProduit[Total (kg) N3],0,0,1)*TableauRecette[[#This Row],[fraction mélange]]</f>
        <v/>
      </c>
      <c r="O184">
        <f>_xlfn.XLOOKUP(TableauRecette[[#This Row],[ID]],TableauProduit[ID],TableauProduit[Total (kg) N4],0,0,1)*TableauRecette[[#This Row],[fraction mélange]]</f>
        <v/>
      </c>
      <c r="P184">
        <f>_xlfn.XLOOKUP(TableauRecette[[#This Row],[ID]],TableauProduit[ID],TableauProduit[Total (kg) N5],0,0,1)*TableauRecette[[#This Row],[fraction mélange]]</f>
        <v/>
      </c>
      <c r="Q184">
        <f>_xlfn.XLOOKUP(TableauRecette[[#This Row],[ID]],TableauProduit[ID],TableauProduit[Total (kg) N6],0,0,1)*TableauRecette[[#This Row],[fraction mélange]]</f>
        <v/>
      </c>
      <c r="R184">
        <f>_xlfn.XLOOKUP(TableauRecette[[#This Row],[ID]],TableauProduit[ID],TableauProduit[Total (kg) N7],0,0,1)*TableauRecette[[#This Row],[fraction mélange]]</f>
        <v/>
      </c>
      <c r="S184">
        <f>_xlfn.XLOOKUP(TableauRecette[[#This Row],[ID]],TableauProduit[ID],TableauProduit[Total (kg) N8],0,0,1)*TableauRecette[[#This Row],[fraction mélange]]</f>
        <v/>
      </c>
      <c r="T184">
        <f>_xlfn.XLOOKUP(TableauRecette[[#This Row],[ID]],TableauProduit[ID],TableauProduit[Total (kg) N9],0,0,1)*TableauRecette[[#This Row],[fraction mélange]]</f>
        <v/>
      </c>
    </row>
    <row r="185">
      <c r="A185" t="inlineStr">
        <is>
          <t>Gingembre</t>
        </is>
      </c>
      <c r="B185">
        <f>TableauRecette[[#This Row],[Recette]]&amp;TableauRecette[[#This Row],[Conditionnement]]</f>
        <v/>
      </c>
      <c r="C185" t="inlineStr">
        <is>
          <t>Gingembre Sec</t>
        </is>
      </c>
      <c r="D185" t="n">
        <v>1</v>
      </c>
      <c r="E185" t="inlineStr">
        <is>
          <t>Epice 100ml</t>
        </is>
      </c>
      <c r="F1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5">
        <f>IFERROR(_xlfn.XLOOKUP(TableauRecette[[#This Row],[Ingredients]],TableauIngredients[Ingredients],TableauIngredients[Prix d''achat / kg],0)*TableauRecette[[#This Row],[fraction mélange]],0)</f>
        <v/>
      </c>
      <c r="H185">
        <f>IFERROR(SUMIFS(TableauRecette[Proportion],TableauRecette[Recette],TableauRecette[[#This Row],[Recette]],TableauRecette[Conditionnement],TableauRecette[[#This Row],[Conditionnement]]),0)</f>
        <v/>
      </c>
      <c r="I185">
        <f>IFERROR(TableauRecette[[#This Row],[Prix d''achat / kg]],0)</f>
        <v/>
      </c>
      <c r="J185" t="inlineStr">
        <is>
          <t>Inde de l'est et Bangladesh</t>
        </is>
      </c>
      <c r="K185" t="inlineStr">
        <is>
          <t>SEC</t>
        </is>
      </c>
      <c r="L185">
        <f>_xlfn.XLOOKUP(TableauRecette[[#This Row],[ID]],TableauProduit[ID],TableauProduit[Total (kg) N1],0,0,1)*TableauRecette[[#This Row],[fraction mélange]]</f>
        <v/>
      </c>
      <c r="M185">
        <f>_xlfn.XLOOKUP(TableauRecette[[#This Row],[ID]],TableauProduit[ID],TableauProduit[Total (kg) N2],0,0,1)*TableauRecette[[#This Row],[fraction mélange]]</f>
        <v/>
      </c>
      <c r="N185">
        <f>_xlfn.XLOOKUP(TableauRecette[[#This Row],[ID]],TableauProduit[ID],TableauProduit[Total (kg) N3],0,0,1)*TableauRecette[[#This Row],[fraction mélange]]</f>
        <v/>
      </c>
      <c r="O185">
        <f>_xlfn.XLOOKUP(TableauRecette[[#This Row],[ID]],TableauProduit[ID],TableauProduit[Total (kg) N4],0,0,1)*TableauRecette[[#This Row],[fraction mélange]]</f>
        <v/>
      </c>
      <c r="P185">
        <f>_xlfn.XLOOKUP(TableauRecette[[#This Row],[ID]],TableauProduit[ID],TableauProduit[Total (kg) N5],0,0,1)*TableauRecette[[#This Row],[fraction mélange]]</f>
        <v/>
      </c>
      <c r="Q185">
        <f>_xlfn.XLOOKUP(TableauRecette[[#This Row],[ID]],TableauProduit[ID],TableauProduit[Total (kg) N6],0,0,1)*TableauRecette[[#This Row],[fraction mélange]]</f>
        <v/>
      </c>
      <c r="R185">
        <f>_xlfn.XLOOKUP(TableauRecette[[#This Row],[ID]],TableauProduit[ID],TableauProduit[Total (kg) N7],0,0,1)*TableauRecette[[#This Row],[fraction mélange]]</f>
        <v/>
      </c>
      <c r="S185">
        <f>_xlfn.XLOOKUP(TableauRecette[[#This Row],[ID]],TableauProduit[ID],TableauProduit[Total (kg) N8],0,0,1)*TableauRecette[[#This Row],[fraction mélange]]</f>
        <v/>
      </c>
      <c r="T185">
        <f>_xlfn.XLOOKUP(TableauRecette[[#This Row],[ID]],TableauProduit[ID],TableauProduit[Total (kg) N9],0,0,1)*TableauRecette[[#This Row],[fraction mélange]]</f>
        <v/>
      </c>
    </row>
    <row r="186">
      <c r="A186" t="inlineStr">
        <is>
          <t>Gomasio maison</t>
        </is>
      </c>
      <c r="B186">
        <f>TableauRecette[[#This Row],[Recette]]&amp;TableauRecette[[#This Row],[Conditionnement]]</f>
        <v/>
      </c>
      <c r="C186" t="inlineStr">
        <is>
          <t>Graines De Sésame</t>
        </is>
      </c>
      <c r="D186" t="n">
        <v>90</v>
      </c>
      <c r="E186" t="inlineStr">
        <is>
          <t>Epice 100ml</t>
        </is>
      </c>
      <c r="F18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6">
        <f>IFERROR(_xlfn.XLOOKUP(TableauRecette[[#This Row],[Ingredients]],TableauIngredients[Ingredients],TableauIngredients[Prix d''achat / kg],0)*TableauRecette[[#This Row],[fraction mélange]],0)</f>
        <v/>
      </c>
      <c r="H186">
        <f>IFERROR(SUMIFS(TableauRecette[Proportion],TableauRecette[Recette],TableauRecette[[#This Row],[Recette]],TableauRecette[Conditionnement],TableauRecette[[#This Row],[Conditionnement]]),0)</f>
        <v/>
      </c>
      <c r="I186">
        <f>IFERROR(TableauRecette[[#This Row],[Prix d''achat / kg]],0)</f>
        <v/>
      </c>
      <c r="L186">
        <f>_xlfn.XLOOKUP(TableauRecette[[#This Row],[ID]],TableauProduit[ID],TableauProduit[Total (kg) N1],0,0,1)*TableauRecette[[#This Row],[fraction mélange]]</f>
        <v/>
      </c>
      <c r="M186">
        <f>_xlfn.XLOOKUP(TableauRecette[[#This Row],[ID]],TableauProduit[ID],TableauProduit[Total (kg) N2],0,0,1)*TableauRecette[[#This Row],[fraction mélange]]</f>
        <v/>
      </c>
      <c r="N186">
        <f>_xlfn.XLOOKUP(TableauRecette[[#This Row],[ID]],TableauProduit[ID],TableauProduit[Total (kg) N3],0,0,1)*TableauRecette[[#This Row],[fraction mélange]]</f>
        <v/>
      </c>
      <c r="O186">
        <f>_xlfn.XLOOKUP(TableauRecette[[#This Row],[ID]],TableauProduit[ID],TableauProduit[Total (kg) N4],0,0,1)*TableauRecette[[#This Row],[fraction mélange]]</f>
        <v/>
      </c>
      <c r="P186">
        <f>_xlfn.XLOOKUP(TableauRecette[[#This Row],[ID]],TableauProduit[ID],TableauProduit[Total (kg) N5],0,0,1)*TableauRecette[[#This Row],[fraction mélange]]</f>
        <v/>
      </c>
      <c r="Q186">
        <f>_xlfn.XLOOKUP(TableauRecette[[#This Row],[ID]],TableauProduit[ID],TableauProduit[Total (kg) N6],0,0,1)*TableauRecette[[#This Row],[fraction mélange]]</f>
        <v/>
      </c>
      <c r="R186">
        <f>_xlfn.XLOOKUP(TableauRecette[[#This Row],[ID]],TableauProduit[ID],TableauProduit[Total (kg) N7],0,0,1)*TableauRecette[[#This Row],[fraction mélange]]</f>
        <v/>
      </c>
      <c r="S186">
        <f>_xlfn.XLOOKUP(TableauRecette[[#This Row],[ID]],TableauProduit[ID],TableauProduit[Total (kg) N8],0,0,1)*TableauRecette[[#This Row],[fraction mélange]]</f>
        <v/>
      </c>
      <c r="T186">
        <f>_xlfn.XLOOKUP(TableauRecette[[#This Row],[ID]],TableauProduit[ID],TableauProduit[Total (kg) N9],0,0,1)*TableauRecette[[#This Row],[fraction mélange]]</f>
        <v/>
      </c>
    </row>
    <row r="187">
      <c r="A187" t="inlineStr">
        <is>
          <t>Gomasio maison</t>
        </is>
      </c>
      <c r="B187">
        <f>TableauRecette[[#This Row],[Recette]]&amp;TableauRecette[[#This Row],[Conditionnement]]</f>
        <v/>
      </c>
      <c r="C187" t="inlineStr">
        <is>
          <t>Sel</t>
        </is>
      </c>
      <c r="D187" t="n">
        <v>10</v>
      </c>
      <c r="E187" t="inlineStr">
        <is>
          <t>Epice 100ml</t>
        </is>
      </c>
      <c r="F18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7">
        <f>IFERROR(_xlfn.XLOOKUP(TableauRecette[[#This Row],[Ingredients]],TableauIngredients[Ingredients],TableauIngredients[Prix d''achat / kg],0)*TableauRecette[[#This Row],[fraction mélange]],0)</f>
        <v/>
      </c>
      <c r="H187">
        <f>IFERROR(SUMIFS(TableauRecette[Proportion],TableauRecette[Recette],TableauRecette[[#This Row],[Recette]],TableauRecette[Conditionnement],TableauRecette[[#This Row],[Conditionnement]]),0)</f>
        <v/>
      </c>
      <c r="I187">
        <f>IFERROR(TableauRecette[[#This Row],[Prix d''achat / kg]],0)</f>
        <v/>
      </c>
      <c r="L187">
        <f>_xlfn.XLOOKUP(TableauRecette[[#This Row],[ID]],TableauProduit[ID],TableauProduit[Total (kg) N1],0,0,1)*TableauRecette[[#This Row],[fraction mélange]]</f>
        <v/>
      </c>
      <c r="M187">
        <f>_xlfn.XLOOKUP(TableauRecette[[#This Row],[ID]],TableauProduit[ID],TableauProduit[Total (kg) N2],0,0,1)*TableauRecette[[#This Row],[fraction mélange]]</f>
        <v/>
      </c>
      <c r="N187">
        <f>_xlfn.XLOOKUP(TableauRecette[[#This Row],[ID]],TableauProduit[ID],TableauProduit[Total (kg) N3],0,0,1)*TableauRecette[[#This Row],[fraction mélange]]</f>
        <v/>
      </c>
      <c r="O187">
        <f>_xlfn.XLOOKUP(TableauRecette[[#This Row],[ID]],TableauProduit[ID],TableauProduit[Total (kg) N4],0,0,1)*TableauRecette[[#This Row],[fraction mélange]]</f>
        <v/>
      </c>
      <c r="P187">
        <f>_xlfn.XLOOKUP(TableauRecette[[#This Row],[ID]],TableauProduit[ID],TableauProduit[Total (kg) N5],0,0,1)*TableauRecette[[#This Row],[fraction mélange]]</f>
        <v/>
      </c>
      <c r="Q187">
        <f>_xlfn.XLOOKUP(TableauRecette[[#This Row],[ID]],TableauProduit[ID],TableauProduit[Total (kg) N6],0,0,1)*TableauRecette[[#This Row],[fraction mélange]]</f>
        <v/>
      </c>
      <c r="R187">
        <f>_xlfn.XLOOKUP(TableauRecette[[#This Row],[ID]],TableauProduit[ID],TableauProduit[Total (kg) N7],0,0,1)*TableauRecette[[#This Row],[fraction mélange]]</f>
        <v/>
      </c>
      <c r="S187">
        <f>_xlfn.XLOOKUP(TableauRecette[[#This Row],[ID]],TableauProduit[ID],TableauProduit[Total (kg) N8],0,0,1)*TableauRecette[[#This Row],[fraction mélange]]</f>
        <v/>
      </c>
      <c r="T187">
        <f>_xlfn.XLOOKUP(TableauRecette[[#This Row],[ID]],TableauProduit[ID],TableauProduit[Total (kg) N9],0,0,1)*TableauRecette[[#This Row],[fraction mélange]]</f>
        <v/>
      </c>
    </row>
    <row r="188">
      <c r="A188" t="inlineStr">
        <is>
          <t>Harissa</t>
        </is>
      </c>
      <c r="B188">
        <f>TableauRecette[[#This Row],[Recette]]&amp;TableauRecette[[#This Row],[Conditionnement]]</f>
        <v/>
      </c>
      <c r="C188" t="inlineStr">
        <is>
          <t>Ail</t>
        </is>
      </c>
      <c r="D188" t="n">
        <v>21</v>
      </c>
      <c r="E188" t="inlineStr">
        <is>
          <t>Epice 100ml</t>
        </is>
      </c>
      <c r="F18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8">
        <f>IFERROR(_xlfn.XLOOKUP(TableauRecette[[#This Row],[Ingredients]],TableauIngredients[Ingredients],TableauIngredients[Prix d''achat / kg],0)*TableauRecette[[#This Row],[fraction mélange]],0)</f>
        <v/>
      </c>
      <c r="H188">
        <f>IFERROR(SUMIFS(TableauRecette[Proportion],TableauRecette[Recette],TableauRecette[[#This Row],[Recette]],TableauRecette[Conditionnement],TableauRecette[[#This Row],[Conditionnement]]),0)</f>
        <v/>
      </c>
      <c r="I188">
        <f>IFERROR(TableauRecette[[#This Row],[Prix d''achat / kg]],0)</f>
        <v/>
      </c>
      <c r="J188" t="inlineStr">
        <is>
          <t>Inde de l'est et Bangladesh</t>
        </is>
      </c>
      <c r="K188" t="inlineStr">
        <is>
          <t>SEC</t>
        </is>
      </c>
      <c r="L188">
        <f>_xlfn.XLOOKUP(TableauRecette[[#This Row],[ID]],TableauProduit[ID],TableauProduit[Total (kg) N1],0,0,1)*TableauRecette[[#This Row],[fraction mélange]]</f>
        <v/>
      </c>
      <c r="M188">
        <f>_xlfn.XLOOKUP(TableauRecette[[#This Row],[ID]],TableauProduit[ID],TableauProduit[Total (kg) N2],0,0,1)*TableauRecette[[#This Row],[fraction mélange]]</f>
        <v/>
      </c>
      <c r="N188">
        <f>_xlfn.XLOOKUP(TableauRecette[[#This Row],[ID]],TableauProduit[ID],TableauProduit[Total (kg) N3],0,0,1)*TableauRecette[[#This Row],[fraction mélange]]</f>
        <v/>
      </c>
      <c r="O188">
        <f>_xlfn.XLOOKUP(TableauRecette[[#This Row],[ID]],TableauProduit[ID],TableauProduit[Total (kg) N4],0,0,1)*TableauRecette[[#This Row],[fraction mélange]]</f>
        <v/>
      </c>
      <c r="P188">
        <f>_xlfn.XLOOKUP(TableauRecette[[#This Row],[ID]],TableauProduit[ID],TableauProduit[Total (kg) N5],0,0,1)*TableauRecette[[#This Row],[fraction mélange]]</f>
        <v/>
      </c>
      <c r="Q188">
        <f>_xlfn.XLOOKUP(TableauRecette[[#This Row],[ID]],TableauProduit[ID],TableauProduit[Total (kg) N6],0,0,1)*TableauRecette[[#This Row],[fraction mélange]]</f>
        <v/>
      </c>
      <c r="R188">
        <f>_xlfn.XLOOKUP(TableauRecette[[#This Row],[ID]],TableauProduit[ID],TableauProduit[Total (kg) N7],0,0,1)*TableauRecette[[#This Row],[fraction mélange]]</f>
        <v/>
      </c>
      <c r="S188">
        <f>_xlfn.XLOOKUP(TableauRecette[[#This Row],[ID]],TableauProduit[ID],TableauProduit[Total (kg) N8],0,0,1)*TableauRecette[[#This Row],[fraction mélange]]</f>
        <v/>
      </c>
      <c r="T188">
        <f>_xlfn.XLOOKUP(TableauRecette[[#This Row],[ID]],TableauProduit[ID],TableauProduit[Total (kg) N9],0,0,1)*TableauRecette[[#This Row],[fraction mélange]]</f>
        <v/>
      </c>
    </row>
    <row r="189">
      <c r="A189" t="inlineStr">
        <is>
          <t>Harissa</t>
        </is>
      </c>
      <c r="B189">
        <f>TableauRecette[[#This Row],[Recette]]&amp;TableauRecette[[#This Row],[Conditionnement]]</f>
        <v/>
      </c>
      <c r="C189" t="inlineStr">
        <is>
          <t>Piments Rouge Séchés</t>
        </is>
      </c>
      <c r="D189" t="n">
        <v>100</v>
      </c>
      <c r="E189" t="inlineStr">
        <is>
          <t>Epice 100ml</t>
        </is>
      </c>
      <c r="F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9">
        <f>IFERROR(_xlfn.XLOOKUP(TableauRecette[[#This Row],[Ingredients]],TableauIngredients[Ingredients],TableauIngredients[Prix d''achat / kg],0)*TableauRecette[[#This Row],[fraction mélange]],0)</f>
        <v/>
      </c>
      <c r="H189">
        <f>IFERROR(SUMIFS(TableauRecette[Proportion],TableauRecette[Recette],TableauRecette[[#This Row],[Recette]],TableauRecette[Conditionnement],TableauRecette[[#This Row],[Conditionnement]]),0)</f>
        <v/>
      </c>
      <c r="I189">
        <f>IFERROR(TableauRecette[[#This Row],[Prix d''achat / kg]],0)</f>
        <v/>
      </c>
      <c r="J189" t="inlineStr">
        <is>
          <t>Inde de l'est et Bangladesh</t>
        </is>
      </c>
      <c r="K189" t="inlineStr">
        <is>
          <t>SEC</t>
        </is>
      </c>
      <c r="L189">
        <f>_xlfn.XLOOKUP(TableauRecette[[#This Row],[ID]],TableauProduit[ID],TableauProduit[Total (kg) N1],0,0,1)*TableauRecette[[#This Row],[fraction mélange]]</f>
        <v/>
      </c>
      <c r="M189">
        <f>_xlfn.XLOOKUP(TableauRecette[[#This Row],[ID]],TableauProduit[ID],TableauProduit[Total (kg) N2],0,0,1)*TableauRecette[[#This Row],[fraction mélange]]</f>
        <v/>
      </c>
      <c r="N189">
        <f>_xlfn.XLOOKUP(TableauRecette[[#This Row],[ID]],TableauProduit[ID],TableauProduit[Total (kg) N3],0,0,1)*TableauRecette[[#This Row],[fraction mélange]]</f>
        <v/>
      </c>
      <c r="O189">
        <f>_xlfn.XLOOKUP(TableauRecette[[#This Row],[ID]],TableauProduit[ID],TableauProduit[Total (kg) N4],0,0,1)*TableauRecette[[#This Row],[fraction mélange]]</f>
        <v/>
      </c>
      <c r="P189">
        <f>_xlfn.XLOOKUP(TableauRecette[[#This Row],[ID]],TableauProduit[ID],TableauProduit[Total (kg) N5],0,0,1)*TableauRecette[[#This Row],[fraction mélange]]</f>
        <v/>
      </c>
      <c r="Q189">
        <f>_xlfn.XLOOKUP(TableauRecette[[#This Row],[ID]],TableauProduit[ID],TableauProduit[Total (kg) N6],0,0,1)*TableauRecette[[#This Row],[fraction mélange]]</f>
        <v/>
      </c>
      <c r="R189">
        <f>_xlfn.XLOOKUP(TableauRecette[[#This Row],[ID]],TableauProduit[ID],TableauProduit[Total (kg) N7],0,0,1)*TableauRecette[[#This Row],[fraction mélange]]</f>
        <v/>
      </c>
      <c r="S189">
        <f>_xlfn.XLOOKUP(TableauRecette[[#This Row],[ID]],TableauProduit[ID],TableauProduit[Total (kg) N8],0,0,1)*TableauRecette[[#This Row],[fraction mélange]]</f>
        <v/>
      </c>
      <c r="T189">
        <f>_xlfn.XLOOKUP(TableauRecette[[#This Row],[ID]],TableauProduit[ID],TableauProduit[Total (kg) N9],0,0,1)*TableauRecette[[#This Row],[fraction mélange]]</f>
        <v/>
      </c>
    </row>
    <row r="190">
      <c r="A190" t="inlineStr">
        <is>
          <t>Harissa</t>
        </is>
      </c>
      <c r="B190">
        <f>TableauRecette[[#This Row],[Recette]]&amp;TableauRecette[[#This Row],[Conditionnement]]</f>
        <v/>
      </c>
      <c r="C190" t="inlineStr">
        <is>
          <t>Sel</t>
        </is>
      </c>
      <c r="D190" t="n">
        <v>7</v>
      </c>
      <c r="E190" t="inlineStr">
        <is>
          <t>Epice 100ml</t>
        </is>
      </c>
      <c r="F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0">
        <f>IFERROR(_xlfn.XLOOKUP(TableauRecette[[#This Row],[Ingredients]],TableauIngredients[Ingredients],TableauIngredients[Prix d''achat / kg],0)*TableauRecette[[#This Row],[fraction mélange]],0)</f>
        <v/>
      </c>
      <c r="H190">
        <f>IFERROR(SUMIFS(TableauRecette[Proportion],TableauRecette[Recette],TableauRecette[[#This Row],[Recette]],TableauRecette[Conditionnement],TableauRecette[[#This Row],[Conditionnement]]),0)</f>
        <v/>
      </c>
      <c r="I190">
        <f>IFERROR(TableauRecette[[#This Row],[Prix d''achat / kg]],0)</f>
        <v/>
      </c>
      <c r="J190" t="inlineStr">
        <is>
          <t>Inde de l'est et Bangladesh</t>
        </is>
      </c>
      <c r="K190" t="inlineStr">
        <is>
          <t>SEC</t>
        </is>
      </c>
      <c r="L190">
        <f>_xlfn.XLOOKUP(TableauRecette[[#This Row],[ID]],TableauProduit[ID],TableauProduit[Total (kg) N1],0,0,1)*TableauRecette[[#This Row],[fraction mélange]]</f>
        <v/>
      </c>
      <c r="M190">
        <f>_xlfn.XLOOKUP(TableauRecette[[#This Row],[ID]],TableauProduit[ID],TableauProduit[Total (kg) N2],0,0,1)*TableauRecette[[#This Row],[fraction mélange]]</f>
        <v/>
      </c>
      <c r="N190">
        <f>_xlfn.XLOOKUP(TableauRecette[[#This Row],[ID]],TableauProduit[ID],TableauProduit[Total (kg) N3],0,0,1)*TableauRecette[[#This Row],[fraction mélange]]</f>
        <v/>
      </c>
      <c r="O190">
        <f>_xlfn.XLOOKUP(TableauRecette[[#This Row],[ID]],TableauProduit[ID],TableauProduit[Total (kg) N4],0,0,1)*TableauRecette[[#This Row],[fraction mélange]]</f>
        <v/>
      </c>
      <c r="P190">
        <f>_xlfn.XLOOKUP(TableauRecette[[#This Row],[ID]],TableauProduit[ID],TableauProduit[Total (kg) N5],0,0,1)*TableauRecette[[#This Row],[fraction mélange]]</f>
        <v/>
      </c>
      <c r="Q190">
        <f>_xlfn.XLOOKUP(TableauRecette[[#This Row],[ID]],TableauProduit[ID],TableauProduit[Total (kg) N6],0,0,1)*TableauRecette[[#This Row],[fraction mélange]]</f>
        <v/>
      </c>
      <c r="R190">
        <f>_xlfn.XLOOKUP(TableauRecette[[#This Row],[ID]],TableauProduit[ID],TableauProduit[Total (kg) N7],0,0,1)*TableauRecette[[#This Row],[fraction mélange]]</f>
        <v/>
      </c>
      <c r="S190">
        <f>_xlfn.XLOOKUP(TableauRecette[[#This Row],[ID]],TableauProduit[ID],TableauProduit[Total (kg) N8],0,0,1)*TableauRecette[[#This Row],[fraction mélange]]</f>
        <v/>
      </c>
      <c r="T190">
        <f>_xlfn.XLOOKUP(TableauRecette[[#This Row],[ID]],TableauProduit[ID],TableauProduit[Total (kg) N9],0,0,1)*TableauRecette[[#This Row],[fraction mélange]]</f>
        <v/>
      </c>
    </row>
    <row r="191">
      <c r="A191" t="inlineStr">
        <is>
          <t>Harissa</t>
        </is>
      </c>
      <c r="B191">
        <f>TableauRecette[[#This Row],[Recette]]&amp;TableauRecette[[#This Row],[Conditionnement]]</f>
        <v/>
      </c>
      <c r="C191" t="inlineStr">
        <is>
          <t>Jus De Citron Jaune</t>
        </is>
      </c>
      <c r="D191" t="n">
        <v>12</v>
      </c>
      <c r="E191" t="inlineStr">
        <is>
          <t>Epice 100ml</t>
        </is>
      </c>
      <c r="F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1">
        <f>IFERROR(_xlfn.XLOOKUP(TableauRecette[[#This Row],[Ingredients]],TableauIngredients[Ingredients],TableauIngredients[Prix d''achat / kg],0)*TableauRecette[[#This Row],[fraction mélange]],0)</f>
        <v/>
      </c>
      <c r="H191">
        <f>IFERROR(SUMIFS(TableauRecette[Proportion],TableauRecette[Recette],TableauRecette[[#This Row],[Recette]],TableauRecette[Conditionnement],TableauRecette[[#This Row],[Conditionnement]]),0)</f>
        <v/>
      </c>
      <c r="I191">
        <f>IFERROR(TableauRecette[[#This Row],[Prix d''achat / kg]],0)</f>
        <v/>
      </c>
      <c r="J191" t="inlineStr">
        <is>
          <t>Inde de l'est et Bangladesh</t>
        </is>
      </c>
      <c r="K191" t="inlineStr">
        <is>
          <t>SEC</t>
        </is>
      </c>
      <c r="L191">
        <f>_xlfn.XLOOKUP(TableauRecette[[#This Row],[ID]],TableauProduit[ID],TableauProduit[Total (kg) N1],0,0,1)*TableauRecette[[#This Row],[fraction mélange]]</f>
        <v/>
      </c>
      <c r="M191">
        <f>_xlfn.XLOOKUP(TableauRecette[[#This Row],[ID]],TableauProduit[ID],TableauProduit[Total (kg) N2],0,0,1)*TableauRecette[[#This Row],[fraction mélange]]</f>
        <v/>
      </c>
      <c r="N191">
        <f>_xlfn.XLOOKUP(TableauRecette[[#This Row],[ID]],TableauProduit[ID],TableauProduit[Total (kg) N3],0,0,1)*TableauRecette[[#This Row],[fraction mélange]]</f>
        <v/>
      </c>
      <c r="O191">
        <f>_xlfn.XLOOKUP(TableauRecette[[#This Row],[ID]],TableauProduit[ID],TableauProduit[Total (kg) N4],0,0,1)*TableauRecette[[#This Row],[fraction mélange]]</f>
        <v/>
      </c>
      <c r="P191">
        <f>_xlfn.XLOOKUP(TableauRecette[[#This Row],[ID]],TableauProduit[ID],TableauProduit[Total (kg) N5],0,0,1)*TableauRecette[[#This Row],[fraction mélange]]</f>
        <v/>
      </c>
      <c r="Q191">
        <f>_xlfn.XLOOKUP(TableauRecette[[#This Row],[ID]],TableauProduit[ID],TableauProduit[Total (kg) N6],0,0,1)*TableauRecette[[#This Row],[fraction mélange]]</f>
        <v/>
      </c>
      <c r="R191">
        <f>_xlfn.XLOOKUP(TableauRecette[[#This Row],[ID]],TableauProduit[ID],TableauProduit[Total (kg) N7],0,0,1)*TableauRecette[[#This Row],[fraction mélange]]</f>
        <v/>
      </c>
      <c r="S191">
        <f>_xlfn.XLOOKUP(TableauRecette[[#This Row],[ID]],TableauProduit[ID],TableauProduit[Total (kg) N8],0,0,1)*TableauRecette[[#This Row],[fraction mélange]]</f>
        <v/>
      </c>
      <c r="T191">
        <f>_xlfn.XLOOKUP(TableauRecette[[#This Row],[ID]],TableauProduit[ID],TableauProduit[Total (kg) N9],0,0,1)*TableauRecette[[#This Row],[fraction mélange]]</f>
        <v/>
      </c>
    </row>
    <row r="192">
      <c r="A192" t="inlineStr">
        <is>
          <t>Harissa</t>
        </is>
      </c>
      <c r="B192">
        <f>TableauRecette[[#This Row],[Recette]]&amp;TableauRecette[[#This Row],[Conditionnement]]</f>
        <v/>
      </c>
      <c r="C192" t="inlineStr">
        <is>
          <t>Cumin Moulu</t>
        </is>
      </c>
      <c r="D192" t="n">
        <v>4</v>
      </c>
      <c r="E192" t="inlineStr">
        <is>
          <t>Epice 100ml</t>
        </is>
      </c>
      <c r="F19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2">
        <f>IFERROR(_xlfn.XLOOKUP(TableauRecette[[#This Row],[Ingredients]],TableauIngredients[Ingredients],TableauIngredients[Prix d''achat / kg],0)*TableauRecette[[#This Row],[fraction mélange]],0)</f>
        <v/>
      </c>
      <c r="H192">
        <f>IFERROR(SUMIFS(TableauRecette[Proportion],TableauRecette[Recette],TableauRecette[[#This Row],[Recette]],TableauRecette[Conditionnement],TableauRecette[[#This Row],[Conditionnement]]),0)</f>
        <v/>
      </c>
      <c r="I192">
        <f>IFERROR(TableauRecette[[#This Row],[Prix d''achat / kg]],0)</f>
        <v/>
      </c>
      <c r="L192">
        <f>_xlfn.XLOOKUP(TableauRecette[[#This Row],[ID]],TableauProduit[ID],TableauProduit[Total (kg) N1],0,0,1)*TableauRecette[[#This Row],[fraction mélange]]</f>
        <v/>
      </c>
      <c r="M192">
        <f>_xlfn.XLOOKUP(TableauRecette[[#This Row],[ID]],TableauProduit[ID],TableauProduit[Total (kg) N2],0,0,1)*TableauRecette[[#This Row],[fraction mélange]]</f>
        <v/>
      </c>
      <c r="N192">
        <f>_xlfn.XLOOKUP(TableauRecette[[#This Row],[ID]],TableauProduit[ID],TableauProduit[Total (kg) N3],0,0,1)*TableauRecette[[#This Row],[fraction mélange]]</f>
        <v/>
      </c>
      <c r="O192">
        <f>_xlfn.XLOOKUP(TableauRecette[[#This Row],[ID]],TableauProduit[ID],TableauProduit[Total (kg) N4],0,0,1)*TableauRecette[[#This Row],[fraction mélange]]</f>
        <v/>
      </c>
      <c r="P192">
        <f>_xlfn.XLOOKUP(TableauRecette[[#This Row],[ID]],TableauProduit[ID],TableauProduit[Total (kg) N5],0,0,1)*TableauRecette[[#This Row],[fraction mélange]]</f>
        <v/>
      </c>
      <c r="Q192">
        <f>_xlfn.XLOOKUP(TableauRecette[[#This Row],[ID]],TableauProduit[ID],TableauProduit[Total (kg) N6],0,0,1)*TableauRecette[[#This Row],[fraction mélange]]</f>
        <v/>
      </c>
      <c r="R192">
        <f>_xlfn.XLOOKUP(TableauRecette[[#This Row],[ID]],TableauProduit[ID],TableauProduit[Total (kg) N7],0,0,1)*TableauRecette[[#This Row],[fraction mélange]]</f>
        <v/>
      </c>
      <c r="S192">
        <f>_xlfn.XLOOKUP(TableauRecette[[#This Row],[ID]],TableauProduit[ID],TableauProduit[Total (kg) N8],0,0,1)*TableauRecette[[#This Row],[fraction mélange]]</f>
        <v/>
      </c>
      <c r="T192">
        <f>_xlfn.XLOOKUP(TableauRecette[[#This Row],[ID]],TableauProduit[ID],TableauProduit[Total (kg) N9],0,0,1)*TableauRecette[[#This Row],[fraction mélange]]</f>
        <v/>
      </c>
    </row>
    <row r="193">
      <c r="A193" t="inlineStr">
        <is>
          <t>Harissa</t>
        </is>
      </c>
      <c r="B193">
        <f>TableauRecette[[#This Row],[Recette]]&amp;TableauRecette[[#This Row],[Conditionnement]]</f>
        <v/>
      </c>
      <c r="C193" t="inlineStr">
        <is>
          <t>Graine De Carvi</t>
        </is>
      </c>
      <c r="D193" t="n">
        <v>4</v>
      </c>
      <c r="E193" t="inlineStr">
        <is>
          <t>Epice 100ml</t>
        </is>
      </c>
      <c r="F1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3">
        <f>IFERROR(_xlfn.XLOOKUP(TableauRecette[[#This Row],[Ingredients]],TableauIngredients[Ingredients],TableauIngredients[Prix d''achat / kg],0)*TableauRecette[[#This Row],[fraction mélange]],0)</f>
        <v/>
      </c>
      <c r="H193">
        <f>IFERROR(SUMIFS(TableauRecette[Proportion],TableauRecette[Recette],TableauRecette[[#This Row],[Recette]],TableauRecette[Conditionnement],TableauRecette[[#This Row],[Conditionnement]]),0)</f>
        <v/>
      </c>
      <c r="I193">
        <f>IFERROR(TableauRecette[[#This Row],[Prix d''achat / kg]],0)</f>
        <v/>
      </c>
      <c r="L193">
        <f>_xlfn.XLOOKUP(TableauRecette[[#This Row],[ID]],TableauProduit[ID],TableauProduit[Total (kg) N1],0,0,1)*TableauRecette[[#This Row],[fraction mélange]]</f>
        <v/>
      </c>
      <c r="M193">
        <f>_xlfn.XLOOKUP(TableauRecette[[#This Row],[ID]],TableauProduit[ID],TableauProduit[Total (kg) N2],0,0,1)*TableauRecette[[#This Row],[fraction mélange]]</f>
        <v/>
      </c>
      <c r="N193">
        <f>_xlfn.XLOOKUP(TableauRecette[[#This Row],[ID]],TableauProduit[ID],TableauProduit[Total (kg) N3],0,0,1)*TableauRecette[[#This Row],[fraction mélange]]</f>
        <v/>
      </c>
      <c r="O193">
        <f>_xlfn.XLOOKUP(TableauRecette[[#This Row],[ID]],TableauProduit[ID],TableauProduit[Total (kg) N4],0,0,1)*TableauRecette[[#This Row],[fraction mélange]]</f>
        <v/>
      </c>
      <c r="P193">
        <f>_xlfn.XLOOKUP(TableauRecette[[#This Row],[ID]],TableauProduit[ID],TableauProduit[Total (kg) N5],0,0,1)*TableauRecette[[#This Row],[fraction mélange]]</f>
        <v/>
      </c>
      <c r="Q193">
        <f>_xlfn.XLOOKUP(TableauRecette[[#This Row],[ID]],TableauProduit[ID],TableauProduit[Total (kg) N6],0,0,1)*TableauRecette[[#This Row],[fraction mélange]]</f>
        <v/>
      </c>
      <c r="R193">
        <f>_xlfn.XLOOKUP(TableauRecette[[#This Row],[ID]],TableauProduit[ID],TableauProduit[Total (kg) N7],0,0,1)*TableauRecette[[#This Row],[fraction mélange]]</f>
        <v/>
      </c>
      <c r="S193">
        <f>_xlfn.XLOOKUP(TableauRecette[[#This Row],[ID]],TableauProduit[ID],TableauProduit[Total (kg) N8],0,0,1)*TableauRecette[[#This Row],[fraction mélange]]</f>
        <v/>
      </c>
      <c r="T193">
        <f>_xlfn.XLOOKUP(TableauRecette[[#This Row],[ID]],TableauProduit[ID],TableauProduit[Total (kg) N9],0,0,1)*TableauRecette[[#This Row],[fraction mélange]]</f>
        <v/>
      </c>
    </row>
    <row r="194">
      <c r="A194" t="inlineStr">
        <is>
          <t>Harissa</t>
        </is>
      </c>
      <c r="B194">
        <f>TableauRecette[[#This Row],[Recette]]&amp;TableauRecette[[#This Row],[Conditionnement]]</f>
        <v/>
      </c>
      <c r="C194" t="inlineStr">
        <is>
          <t>Coriandre Graine</t>
        </is>
      </c>
      <c r="D194" t="n">
        <v>6</v>
      </c>
      <c r="E194" t="inlineStr">
        <is>
          <t>Epice 100ml</t>
        </is>
      </c>
      <c r="F1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4">
        <f>IFERROR(_xlfn.XLOOKUP(TableauRecette[[#This Row],[Ingredients]],TableauIngredients[Ingredients],TableauIngredients[Prix d''achat / kg],0)*TableauRecette[[#This Row],[fraction mélange]],0)</f>
        <v/>
      </c>
      <c r="H194">
        <f>IFERROR(SUMIFS(TableauRecette[Proportion],TableauRecette[Recette],TableauRecette[[#This Row],[Recette]],TableauRecette[Conditionnement],TableauRecette[[#This Row],[Conditionnement]]),0)</f>
        <v/>
      </c>
      <c r="I194">
        <f>IFERROR(TableauRecette[[#This Row],[Prix d''achat / kg]],0)</f>
        <v/>
      </c>
      <c r="L194">
        <f>_xlfn.XLOOKUP(TableauRecette[[#This Row],[ID]],TableauProduit[ID],TableauProduit[Total (kg) N1],0,0,1)*TableauRecette[[#This Row],[fraction mélange]]</f>
        <v/>
      </c>
      <c r="M194">
        <f>_xlfn.XLOOKUP(TableauRecette[[#This Row],[ID]],TableauProduit[ID],TableauProduit[Total (kg) N2],0,0,1)*TableauRecette[[#This Row],[fraction mélange]]</f>
        <v/>
      </c>
      <c r="N194">
        <f>_xlfn.XLOOKUP(TableauRecette[[#This Row],[ID]],TableauProduit[ID],TableauProduit[Total (kg) N3],0,0,1)*TableauRecette[[#This Row],[fraction mélange]]</f>
        <v/>
      </c>
      <c r="O194">
        <f>_xlfn.XLOOKUP(TableauRecette[[#This Row],[ID]],TableauProduit[ID],TableauProduit[Total (kg) N4],0,0,1)*TableauRecette[[#This Row],[fraction mélange]]</f>
        <v/>
      </c>
      <c r="P194">
        <f>_xlfn.XLOOKUP(TableauRecette[[#This Row],[ID]],TableauProduit[ID],TableauProduit[Total (kg) N5],0,0,1)*TableauRecette[[#This Row],[fraction mélange]]</f>
        <v/>
      </c>
      <c r="Q194">
        <f>_xlfn.XLOOKUP(TableauRecette[[#This Row],[ID]],TableauProduit[ID],TableauProduit[Total (kg) N6],0,0,1)*TableauRecette[[#This Row],[fraction mélange]]</f>
        <v/>
      </c>
      <c r="R194">
        <f>_xlfn.XLOOKUP(TableauRecette[[#This Row],[ID]],TableauProduit[ID],TableauProduit[Total (kg) N7],0,0,1)*TableauRecette[[#This Row],[fraction mélange]]</f>
        <v/>
      </c>
      <c r="S194">
        <f>_xlfn.XLOOKUP(TableauRecette[[#This Row],[ID]],TableauProduit[ID],TableauProduit[Total (kg) N8],0,0,1)*TableauRecette[[#This Row],[fraction mélange]]</f>
        <v/>
      </c>
      <c r="T194">
        <f>_xlfn.XLOOKUP(TableauRecette[[#This Row],[ID]],TableauProduit[ID],TableauProduit[Total (kg) N9],0,0,1)*TableauRecette[[#This Row],[fraction mélange]]</f>
        <v/>
      </c>
    </row>
    <row r="195">
      <c r="A195" t="inlineStr">
        <is>
          <t>Harissa</t>
        </is>
      </c>
      <c r="B195">
        <f>TableauRecette[[#This Row],[Recette]]&amp;TableauRecette[[#This Row],[Conditionnement]]</f>
        <v/>
      </c>
      <c r="C195" t="inlineStr">
        <is>
          <t>Huile D'Olive</t>
        </is>
      </c>
      <c r="D195" t="n">
        <v>24</v>
      </c>
      <c r="E195" t="inlineStr">
        <is>
          <t>Epice 100ml</t>
        </is>
      </c>
      <c r="F19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5">
        <f>IFERROR(_xlfn.XLOOKUP(TableauRecette[[#This Row],[Ingredients]],TableauIngredients[Ingredients],TableauIngredients[Prix d''achat / kg],0)*TableauRecette[[#This Row],[fraction mélange]],0)</f>
        <v/>
      </c>
      <c r="H195">
        <f>IFERROR(SUMIFS(TableauRecette[Proportion],TableauRecette[Recette],TableauRecette[[#This Row],[Recette]],TableauRecette[Conditionnement],TableauRecette[[#This Row],[Conditionnement]]),0)</f>
        <v/>
      </c>
      <c r="I195">
        <f>IFERROR(TableauRecette[[#This Row],[Prix d''achat / kg]],0)</f>
        <v/>
      </c>
      <c r="L195">
        <f>_xlfn.XLOOKUP(TableauRecette[[#This Row],[ID]],TableauProduit[ID],TableauProduit[Total (kg) N1],0,0,1)*TableauRecette[[#This Row],[fraction mélange]]</f>
        <v/>
      </c>
      <c r="M195">
        <f>_xlfn.XLOOKUP(TableauRecette[[#This Row],[ID]],TableauProduit[ID],TableauProduit[Total (kg) N2],0,0,1)*TableauRecette[[#This Row],[fraction mélange]]</f>
        <v/>
      </c>
      <c r="N195">
        <f>_xlfn.XLOOKUP(TableauRecette[[#This Row],[ID]],TableauProduit[ID],TableauProduit[Total (kg) N3],0,0,1)*TableauRecette[[#This Row],[fraction mélange]]</f>
        <v/>
      </c>
      <c r="O195">
        <f>_xlfn.XLOOKUP(TableauRecette[[#This Row],[ID]],TableauProduit[ID],TableauProduit[Total (kg) N4],0,0,1)*TableauRecette[[#This Row],[fraction mélange]]</f>
        <v/>
      </c>
      <c r="P195">
        <f>_xlfn.XLOOKUP(TableauRecette[[#This Row],[ID]],TableauProduit[ID],TableauProduit[Total (kg) N5],0,0,1)*TableauRecette[[#This Row],[fraction mélange]]</f>
        <v/>
      </c>
      <c r="Q195">
        <f>_xlfn.XLOOKUP(TableauRecette[[#This Row],[ID]],TableauProduit[ID],TableauProduit[Total (kg) N6],0,0,1)*TableauRecette[[#This Row],[fraction mélange]]</f>
        <v/>
      </c>
      <c r="R195">
        <f>_xlfn.XLOOKUP(TableauRecette[[#This Row],[ID]],TableauProduit[ID],TableauProduit[Total (kg) N7],0,0,1)*TableauRecette[[#This Row],[fraction mélange]]</f>
        <v/>
      </c>
      <c r="S195">
        <f>_xlfn.XLOOKUP(TableauRecette[[#This Row],[ID]],TableauProduit[ID],TableauProduit[Total (kg) N8],0,0,1)*TableauRecette[[#This Row],[fraction mélange]]</f>
        <v/>
      </c>
      <c r="T195">
        <f>_xlfn.XLOOKUP(TableauRecette[[#This Row],[ID]],TableauProduit[ID],TableauProduit[Total (kg) N9],0,0,1)*TableauRecette[[#This Row],[fraction mélange]]</f>
        <v/>
      </c>
    </row>
    <row r="196">
      <c r="A196" t="inlineStr">
        <is>
          <t>Hawaij</t>
        </is>
      </c>
      <c r="B196">
        <f>TableauRecette[[#This Row],[Recette]]&amp;TableauRecette[[#This Row],[Conditionnement]]</f>
        <v/>
      </c>
      <c r="C196" t="inlineStr">
        <is>
          <t>Poivre Noir</t>
        </is>
      </c>
      <c r="D196" t="n">
        <v>3</v>
      </c>
      <c r="E196" t="inlineStr">
        <is>
          <t>Epice 100ml</t>
        </is>
      </c>
      <c r="F1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6">
        <f>IFERROR(_xlfn.XLOOKUP(TableauRecette[[#This Row],[Ingredients]],TableauIngredients[Ingredients],TableauIngredients[Prix d''achat / kg],0)*TableauRecette[[#This Row],[fraction mélange]],0)</f>
        <v/>
      </c>
      <c r="H196">
        <f>IFERROR(SUMIFS(TableauRecette[Proportion],TableauRecette[Recette],TableauRecette[[#This Row],[Recette]],TableauRecette[Conditionnement],TableauRecette[[#This Row],[Conditionnement]]),0)</f>
        <v/>
      </c>
      <c r="I196">
        <f>IFERROR(TableauRecette[[#This Row],[Prix d''achat / kg]],0)</f>
        <v/>
      </c>
      <c r="L196">
        <f>_xlfn.XLOOKUP(TableauRecette[[#This Row],[ID]],TableauProduit[ID],TableauProduit[Total (kg) N1],0,0,1)*TableauRecette[[#This Row],[fraction mélange]]</f>
        <v/>
      </c>
      <c r="M196">
        <f>_xlfn.XLOOKUP(TableauRecette[[#This Row],[ID]],TableauProduit[ID],TableauProduit[Total (kg) N2],0,0,1)*TableauRecette[[#This Row],[fraction mélange]]</f>
        <v/>
      </c>
      <c r="N196">
        <f>_xlfn.XLOOKUP(TableauRecette[[#This Row],[ID]],TableauProduit[ID],TableauProduit[Total (kg) N3],0,0,1)*TableauRecette[[#This Row],[fraction mélange]]</f>
        <v/>
      </c>
      <c r="O196">
        <f>_xlfn.XLOOKUP(TableauRecette[[#This Row],[ID]],TableauProduit[ID],TableauProduit[Total (kg) N4],0,0,1)*TableauRecette[[#This Row],[fraction mélange]]</f>
        <v/>
      </c>
      <c r="P196">
        <f>_xlfn.XLOOKUP(TableauRecette[[#This Row],[ID]],TableauProduit[ID],TableauProduit[Total (kg) N5],0,0,1)*TableauRecette[[#This Row],[fraction mélange]]</f>
        <v/>
      </c>
      <c r="Q196">
        <f>_xlfn.XLOOKUP(TableauRecette[[#This Row],[ID]],TableauProduit[ID],TableauProduit[Total (kg) N6],0,0,1)*TableauRecette[[#This Row],[fraction mélange]]</f>
        <v/>
      </c>
      <c r="R196">
        <f>_xlfn.XLOOKUP(TableauRecette[[#This Row],[ID]],TableauProduit[ID],TableauProduit[Total (kg) N7],0,0,1)*TableauRecette[[#This Row],[fraction mélange]]</f>
        <v/>
      </c>
      <c r="S196">
        <f>_xlfn.XLOOKUP(TableauRecette[[#This Row],[ID]],TableauProduit[ID],TableauProduit[Total (kg) N8],0,0,1)*TableauRecette[[#This Row],[fraction mélange]]</f>
        <v/>
      </c>
      <c r="T196">
        <f>_xlfn.XLOOKUP(TableauRecette[[#This Row],[ID]],TableauProduit[ID],TableauProduit[Total (kg) N9],0,0,1)*TableauRecette[[#This Row],[fraction mélange]]</f>
        <v/>
      </c>
    </row>
    <row r="197">
      <c r="A197" t="inlineStr">
        <is>
          <t>Hawaij</t>
        </is>
      </c>
      <c r="B197">
        <f>TableauRecette[[#This Row],[Recette]]&amp;TableauRecette[[#This Row],[Conditionnement]]</f>
        <v/>
      </c>
      <c r="C197" t="inlineStr">
        <is>
          <t>Graine De Cumin</t>
        </is>
      </c>
      <c r="D197" t="n">
        <v>7</v>
      </c>
      <c r="E197" t="inlineStr">
        <is>
          <t>Epice 100ml</t>
        </is>
      </c>
      <c r="F19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7">
        <f>IFERROR(_xlfn.XLOOKUP(TableauRecette[[#This Row],[Ingredients]],TableauIngredients[Ingredients],TableauIngredients[Prix d''achat / kg],0)*TableauRecette[[#This Row],[fraction mélange]],0)</f>
        <v/>
      </c>
      <c r="H197">
        <f>IFERROR(SUMIFS(TableauRecette[Proportion],TableauRecette[Recette],TableauRecette[[#This Row],[Recette]],TableauRecette[Conditionnement],TableauRecette[[#This Row],[Conditionnement]]),0)</f>
        <v/>
      </c>
      <c r="I197">
        <f>IFERROR(TableauRecette[[#This Row],[Prix d''achat / kg]],0)</f>
        <v/>
      </c>
      <c r="L197">
        <f>_xlfn.XLOOKUP(TableauRecette[[#This Row],[ID]],TableauProduit[ID],TableauProduit[Total (kg) N1],0,0,1)*TableauRecette[[#This Row],[fraction mélange]]</f>
        <v/>
      </c>
      <c r="M197">
        <f>_xlfn.XLOOKUP(TableauRecette[[#This Row],[ID]],TableauProduit[ID],TableauProduit[Total (kg) N2],0,0,1)*TableauRecette[[#This Row],[fraction mélange]]</f>
        <v/>
      </c>
      <c r="N197">
        <f>_xlfn.XLOOKUP(TableauRecette[[#This Row],[ID]],TableauProduit[ID],TableauProduit[Total (kg) N3],0,0,1)*TableauRecette[[#This Row],[fraction mélange]]</f>
        <v/>
      </c>
      <c r="O197">
        <f>_xlfn.XLOOKUP(TableauRecette[[#This Row],[ID]],TableauProduit[ID],TableauProduit[Total (kg) N4],0,0,1)*TableauRecette[[#This Row],[fraction mélange]]</f>
        <v/>
      </c>
      <c r="P197">
        <f>_xlfn.XLOOKUP(TableauRecette[[#This Row],[ID]],TableauProduit[ID],TableauProduit[Total (kg) N5],0,0,1)*TableauRecette[[#This Row],[fraction mélange]]</f>
        <v/>
      </c>
      <c r="Q197">
        <f>_xlfn.XLOOKUP(TableauRecette[[#This Row],[ID]],TableauProduit[ID],TableauProduit[Total (kg) N6],0,0,1)*TableauRecette[[#This Row],[fraction mélange]]</f>
        <v/>
      </c>
      <c r="R197">
        <f>_xlfn.XLOOKUP(TableauRecette[[#This Row],[ID]],TableauProduit[ID],TableauProduit[Total (kg) N7],0,0,1)*TableauRecette[[#This Row],[fraction mélange]]</f>
        <v/>
      </c>
      <c r="S197">
        <f>_xlfn.XLOOKUP(TableauRecette[[#This Row],[ID]],TableauProduit[ID],TableauProduit[Total (kg) N8],0,0,1)*TableauRecette[[#This Row],[fraction mélange]]</f>
        <v/>
      </c>
      <c r="T197">
        <f>_xlfn.XLOOKUP(TableauRecette[[#This Row],[ID]],TableauProduit[ID],TableauProduit[Total (kg) N9],0,0,1)*TableauRecette[[#This Row],[fraction mélange]]</f>
        <v/>
      </c>
    </row>
    <row r="198">
      <c r="A198" t="inlineStr">
        <is>
          <t>Hawaij</t>
        </is>
      </c>
      <c r="B198">
        <f>TableauRecette[[#This Row],[Recette]]&amp;TableauRecette[[#This Row],[Conditionnement]]</f>
        <v/>
      </c>
      <c r="C198" t="inlineStr">
        <is>
          <t>Graine De Cardamome</t>
        </is>
      </c>
      <c r="D198" t="n">
        <v>3</v>
      </c>
      <c r="E198" t="inlineStr">
        <is>
          <t>Epice 100ml</t>
        </is>
      </c>
      <c r="F1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8">
        <f>IFERROR(_xlfn.XLOOKUP(TableauRecette[[#This Row],[Ingredients]],TableauIngredients[Ingredients],TableauIngredients[Prix d''achat / kg],0)*TableauRecette[[#This Row],[fraction mélange]],0)</f>
        <v/>
      </c>
      <c r="H198">
        <f>IFERROR(SUMIFS(TableauRecette[Proportion],TableauRecette[Recette],TableauRecette[[#This Row],[Recette]],TableauRecette[Conditionnement],TableauRecette[[#This Row],[Conditionnement]]),0)</f>
        <v/>
      </c>
      <c r="I198">
        <f>IFERROR(TableauRecette[[#This Row],[Prix d''achat / kg]],0)</f>
        <v/>
      </c>
      <c r="L198">
        <f>_xlfn.XLOOKUP(TableauRecette[[#This Row],[ID]],TableauProduit[ID],TableauProduit[Total (kg) N1],0,0,1)*TableauRecette[[#This Row],[fraction mélange]]</f>
        <v/>
      </c>
      <c r="M198">
        <f>_xlfn.XLOOKUP(TableauRecette[[#This Row],[ID]],TableauProduit[ID],TableauProduit[Total (kg) N2],0,0,1)*TableauRecette[[#This Row],[fraction mélange]]</f>
        <v/>
      </c>
      <c r="N198">
        <f>_xlfn.XLOOKUP(TableauRecette[[#This Row],[ID]],TableauProduit[ID],TableauProduit[Total (kg) N3],0,0,1)*TableauRecette[[#This Row],[fraction mélange]]</f>
        <v/>
      </c>
      <c r="O198">
        <f>_xlfn.XLOOKUP(TableauRecette[[#This Row],[ID]],TableauProduit[ID],TableauProduit[Total (kg) N4],0,0,1)*TableauRecette[[#This Row],[fraction mélange]]</f>
        <v/>
      </c>
      <c r="P198">
        <f>_xlfn.XLOOKUP(TableauRecette[[#This Row],[ID]],TableauProduit[ID],TableauProduit[Total (kg) N5],0,0,1)*TableauRecette[[#This Row],[fraction mélange]]</f>
        <v/>
      </c>
      <c r="Q198">
        <f>_xlfn.XLOOKUP(TableauRecette[[#This Row],[ID]],TableauProduit[ID],TableauProduit[Total (kg) N6],0,0,1)*TableauRecette[[#This Row],[fraction mélange]]</f>
        <v/>
      </c>
      <c r="R198">
        <f>_xlfn.XLOOKUP(TableauRecette[[#This Row],[ID]],TableauProduit[ID],TableauProduit[Total (kg) N7],0,0,1)*TableauRecette[[#This Row],[fraction mélange]]</f>
        <v/>
      </c>
      <c r="S198">
        <f>_xlfn.XLOOKUP(TableauRecette[[#This Row],[ID]],TableauProduit[ID],TableauProduit[Total (kg) N8],0,0,1)*TableauRecette[[#This Row],[fraction mélange]]</f>
        <v/>
      </c>
      <c r="T198">
        <f>_xlfn.XLOOKUP(TableauRecette[[#This Row],[ID]],TableauProduit[ID],TableauProduit[Total (kg) N9],0,0,1)*TableauRecette[[#This Row],[fraction mélange]]</f>
        <v/>
      </c>
    </row>
    <row r="199">
      <c r="A199" t="inlineStr">
        <is>
          <t>Hawaij</t>
        </is>
      </c>
      <c r="B199">
        <f>TableauRecette[[#This Row],[Recette]]&amp;TableauRecette[[#This Row],[Conditionnement]]</f>
        <v/>
      </c>
      <c r="C199" t="inlineStr">
        <is>
          <t>Coriandre Graine</t>
        </is>
      </c>
      <c r="D199" t="n">
        <v>3</v>
      </c>
      <c r="E199" t="inlineStr">
        <is>
          <t>Epice 100ml</t>
        </is>
      </c>
      <c r="F19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9">
        <f>IFERROR(_xlfn.XLOOKUP(TableauRecette[[#This Row],[Ingredients]],TableauIngredients[Ingredients],TableauIngredients[Prix d''achat / kg],0)*TableauRecette[[#This Row],[fraction mélange]],0)</f>
        <v/>
      </c>
      <c r="H199">
        <f>IFERROR(SUMIFS(TableauRecette[Proportion],TableauRecette[Recette],TableauRecette[[#This Row],[Recette]],TableauRecette[Conditionnement],TableauRecette[[#This Row],[Conditionnement]]),0)</f>
        <v/>
      </c>
      <c r="I199">
        <f>IFERROR(TableauRecette[[#This Row],[Prix d''achat / kg]],0)</f>
        <v/>
      </c>
      <c r="L199">
        <f>_xlfn.XLOOKUP(TableauRecette[[#This Row],[ID]],TableauProduit[ID],TableauProduit[Total (kg) N1],0,0,1)*TableauRecette[[#This Row],[fraction mélange]]</f>
        <v/>
      </c>
      <c r="M199">
        <f>_xlfn.XLOOKUP(TableauRecette[[#This Row],[ID]],TableauProduit[ID],TableauProduit[Total (kg) N2],0,0,1)*TableauRecette[[#This Row],[fraction mélange]]</f>
        <v/>
      </c>
      <c r="N199">
        <f>_xlfn.XLOOKUP(TableauRecette[[#This Row],[ID]],TableauProduit[ID],TableauProduit[Total (kg) N3],0,0,1)*TableauRecette[[#This Row],[fraction mélange]]</f>
        <v/>
      </c>
      <c r="O199">
        <f>_xlfn.XLOOKUP(TableauRecette[[#This Row],[ID]],TableauProduit[ID],TableauProduit[Total (kg) N4],0,0,1)*TableauRecette[[#This Row],[fraction mélange]]</f>
        <v/>
      </c>
      <c r="P199">
        <f>_xlfn.XLOOKUP(TableauRecette[[#This Row],[ID]],TableauProduit[ID],TableauProduit[Total (kg) N5],0,0,1)*TableauRecette[[#This Row],[fraction mélange]]</f>
        <v/>
      </c>
      <c r="Q199">
        <f>_xlfn.XLOOKUP(TableauRecette[[#This Row],[ID]],TableauProduit[ID],TableauProduit[Total (kg) N6],0,0,1)*TableauRecette[[#This Row],[fraction mélange]]</f>
        <v/>
      </c>
      <c r="R199">
        <f>_xlfn.XLOOKUP(TableauRecette[[#This Row],[ID]],TableauProduit[ID],TableauProduit[Total (kg) N7],0,0,1)*TableauRecette[[#This Row],[fraction mélange]]</f>
        <v/>
      </c>
      <c r="S199">
        <f>_xlfn.XLOOKUP(TableauRecette[[#This Row],[ID]],TableauProduit[ID],TableauProduit[Total (kg) N8],0,0,1)*TableauRecette[[#This Row],[fraction mélange]]</f>
        <v/>
      </c>
      <c r="T199">
        <f>_xlfn.XLOOKUP(TableauRecette[[#This Row],[ID]],TableauProduit[ID],TableauProduit[Total (kg) N9],0,0,1)*TableauRecette[[#This Row],[fraction mélange]]</f>
        <v/>
      </c>
    </row>
    <row r="200">
      <c r="A200" t="inlineStr">
        <is>
          <t>Hawaij</t>
        </is>
      </c>
      <c r="B200">
        <f>TableauRecette[[#This Row],[Recette]]&amp;TableauRecette[[#This Row],[Conditionnement]]</f>
        <v/>
      </c>
      <c r="C200" t="inlineStr">
        <is>
          <t>Curcuma Moulu</t>
        </is>
      </c>
      <c r="D200" t="n">
        <v>6</v>
      </c>
      <c r="E200" t="inlineStr">
        <is>
          <t>Epice 100ml</t>
        </is>
      </c>
      <c r="F20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0">
        <f>IFERROR(_xlfn.XLOOKUP(TableauRecette[[#This Row],[Ingredients]],TableauIngredients[Ingredients],TableauIngredients[Prix d''achat / kg],0)*TableauRecette[[#This Row],[fraction mélange]],0)</f>
        <v/>
      </c>
      <c r="H200">
        <f>IFERROR(SUMIFS(TableauRecette[Proportion],TableauRecette[Recette],TableauRecette[[#This Row],[Recette]],TableauRecette[Conditionnement],TableauRecette[[#This Row],[Conditionnement]]),0)</f>
        <v/>
      </c>
      <c r="I200">
        <f>IFERROR(TableauRecette[[#This Row],[Prix d''achat / kg]],0)</f>
        <v/>
      </c>
      <c r="L200">
        <f>_xlfn.XLOOKUP(TableauRecette[[#This Row],[ID]],TableauProduit[ID],TableauProduit[Total (kg) N1],0,0,1)*TableauRecette[[#This Row],[fraction mélange]]</f>
        <v/>
      </c>
      <c r="M200">
        <f>_xlfn.XLOOKUP(TableauRecette[[#This Row],[ID]],TableauProduit[ID],TableauProduit[Total (kg) N2],0,0,1)*TableauRecette[[#This Row],[fraction mélange]]</f>
        <v/>
      </c>
      <c r="N200">
        <f>_xlfn.XLOOKUP(TableauRecette[[#This Row],[ID]],TableauProduit[ID],TableauProduit[Total (kg) N3],0,0,1)*TableauRecette[[#This Row],[fraction mélange]]</f>
        <v/>
      </c>
      <c r="O200">
        <f>_xlfn.XLOOKUP(TableauRecette[[#This Row],[ID]],TableauProduit[ID],TableauProduit[Total (kg) N4],0,0,1)*TableauRecette[[#This Row],[fraction mélange]]</f>
        <v/>
      </c>
      <c r="P200">
        <f>_xlfn.XLOOKUP(TableauRecette[[#This Row],[ID]],TableauProduit[ID],TableauProduit[Total (kg) N5],0,0,1)*TableauRecette[[#This Row],[fraction mélange]]</f>
        <v/>
      </c>
      <c r="Q200">
        <f>_xlfn.XLOOKUP(TableauRecette[[#This Row],[ID]],TableauProduit[ID],TableauProduit[Total (kg) N6],0,0,1)*TableauRecette[[#This Row],[fraction mélange]]</f>
        <v/>
      </c>
      <c r="R200">
        <f>_xlfn.XLOOKUP(TableauRecette[[#This Row],[ID]],TableauProduit[ID],TableauProduit[Total (kg) N7],0,0,1)*TableauRecette[[#This Row],[fraction mélange]]</f>
        <v/>
      </c>
      <c r="S200">
        <f>_xlfn.XLOOKUP(TableauRecette[[#This Row],[ID]],TableauProduit[ID],TableauProduit[Total (kg) N8],0,0,1)*TableauRecette[[#This Row],[fraction mélange]]</f>
        <v/>
      </c>
      <c r="T200">
        <f>_xlfn.XLOOKUP(TableauRecette[[#This Row],[ID]],TableauProduit[ID],TableauProduit[Total (kg) N9],0,0,1)*TableauRecette[[#This Row],[fraction mélange]]</f>
        <v/>
      </c>
    </row>
    <row r="201">
      <c r="A201" t="inlineStr">
        <is>
          <t>Herbes de Provence</t>
        </is>
      </c>
      <c r="B201">
        <f>TableauRecette[[#This Row],[Recette]]&amp;TableauRecette[[#This Row],[Conditionnement]]</f>
        <v/>
      </c>
      <c r="C201" t="inlineStr">
        <is>
          <t>Romarin</t>
        </is>
      </c>
      <c r="D201" t="n">
        <v>26</v>
      </c>
      <c r="E201" t="inlineStr">
        <is>
          <t>Epice 200ml</t>
        </is>
      </c>
      <c r="F20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1">
        <f>IFERROR(_xlfn.XLOOKUP(TableauRecette[[#This Row],[Ingredients]],TableauIngredients[Ingredients],TableauIngredients[Prix d''achat / kg],0)*TableauRecette[[#This Row],[fraction mélange]],0)</f>
        <v/>
      </c>
      <c r="H201">
        <f>IFERROR(SUMIFS(TableauRecette[Proportion],TableauRecette[Recette],TableauRecette[[#This Row],[Recette]],TableauRecette[Conditionnement],TableauRecette[[#This Row],[Conditionnement]]),0)</f>
        <v/>
      </c>
      <c r="I201">
        <f>IFERROR(TableauRecette[[#This Row],[Prix d''achat / kg]],0)</f>
        <v/>
      </c>
      <c r="L201">
        <f>_xlfn.XLOOKUP(TableauRecette[[#This Row],[ID]],TableauProduit[ID],TableauProduit[Total (kg) N1],0,0,1)*TableauRecette[[#This Row],[fraction mélange]]</f>
        <v/>
      </c>
      <c r="M201">
        <f>_xlfn.XLOOKUP(TableauRecette[[#This Row],[ID]],TableauProduit[ID],TableauProduit[Total (kg) N2],0,0,1)*TableauRecette[[#This Row],[fraction mélange]]</f>
        <v/>
      </c>
      <c r="N201">
        <f>_xlfn.XLOOKUP(TableauRecette[[#This Row],[ID]],TableauProduit[ID],TableauProduit[Total (kg) N3],0,0,1)*TableauRecette[[#This Row],[fraction mélange]]</f>
        <v/>
      </c>
      <c r="O201">
        <f>_xlfn.XLOOKUP(TableauRecette[[#This Row],[ID]],TableauProduit[ID],TableauProduit[Total (kg) N4],0,0,1)*TableauRecette[[#This Row],[fraction mélange]]</f>
        <v/>
      </c>
      <c r="P201">
        <f>_xlfn.XLOOKUP(TableauRecette[[#This Row],[ID]],TableauProduit[ID],TableauProduit[Total (kg) N5],0,0,1)*TableauRecette[[#This Row],[fraction mélange]]</f>
        <v/>
      </c>
      <c r="Q201">
        <f>_xlfn.XLOOKUP(TableauRecette[[#This Row],[ID]],TableauProduit[ID],TableauProduit[Total (kg) N6],0,0,1)*TableauRecette[[#This Row],[fraction mélange]]</f>
        <v/>
      </c>
      <c r="R201">
        <f>_xlfn.XLOOKUP(TableauRecette[[#This Row],[ID]],TableauProduit[ID],TableauProduit[Total (kg) N7],0,0,1)*TableauRecette[[#This Row],[fraction mélange]]</f>
        <v/>
      </c>
      <c r="S201">
        <f>_xlfn.XLOOKUP(TableauRecette[[#This Row],[ID]],TableauProduit[ID],TableauProduit[Total (kg) N8],0,0,1)*TableauRecette[[#This Row],[fraction mélange]]</f>
        <v/>
      </c>
      <c r="T201">
        <f>_xlfn.XLOOKUP(TableauRecette[[#This Row],[ID]],TableauProduit[ID],TableauProduit[Total (kg) N9],0,0,1)*TableauRecette[[#This Row],[fraction mélange]]</f>
        <v/>
      </c>
    </row>
    <row r="202">
      <c r="A202" t="inlineStr">
        <is>
          <t>Herbes de Provence</t>
        </is>
      </c>
      <c r="B202">
        <f>TableauRecette[[#This Row],[Recette]]&amp;TableauRecette[[#This Row],[Conditionnement]]</f>
        <v/>
      </c>
      <c r="C202" t="inlineStr">
        <is>
          <t>Sarriette</t>
        </is>
      </c>
      <c r="D202" t="n">
        <v>26</v>
      </c>
      <c r="E202" t="inlineStr">
        <is>
          <t>Epice 200ml</t>
        </is>
      </c>
      <c r="F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2">
        <f>IFERROR(_xlfn.XLOOKUP(TableauRecette[[#This Row],[Ingredients]],TableauIngredients[Ingredients],TableauIngredients[Prix d''achat / kg],0)*TableauRecette[[#This Row],[fraction mélange]],0)</f>
        <v/>
      </c>
      <c r="H202">
        <f>IFERROR(SUMIFS(TableauRecette[Proportion],TableauRecette[Recette],TableauRecette[[#This Row],[Recette]],TableauRecette[Conditionnement],TableauRecette[[#This Row],[Conditionnement]]),0)</f>
        <v/>
      </c>
      <c r="I202">
        <f>IFERROR(TableauRecette[[#This Row],[Prix d''achat / kg]],0)</f>
        <v/>
      </c>
      <c r="L202">
        <f>_xlfn.XLOOKUP(TableauRecette[[#This Row],[ID]],TableauProduit[ID],TableauProduit[Total (kg) N1],0,0,1)*TableauRecette[[#This Row],[fraction mélange]]</f>
        <v/>
      </c>
      <c r="M202">
        <f>_xlfn.XLOOKUP(TableauRecette[[#This Row],[ID]],TableauProduit[ID],TableauProduit[Total (kg) N2],0,0,1)*TableauRecette[[#This Row],[fraction mélange]]</f>
        <v/>
      </c>
      <c r="N202">
        <f>_xlfn.XLOOKUP(TableauRecette[[#This Row],[ID]],TableauProduit[ID],TableauProduit[Total (kg) N3],0,0,1)*TableauRecette[[#This Row],[fraction mélange]]</f>
        <v/>
      </c>
      <c r="O202">
        <f>_xlfn.XLOOKUP(TableauRecette[[#This Row],[ID]],TableauProduit[ID],TableauProduit[Total (kg) N4],0,0,1)*TableauRecette[[#This Row],[fraction mélange]]</f>
        <v/>
      </c>
      <c r="P202">
        <f>_xlfn.XLOOKUP(TableauRecette[[#This Row],[ID]],TableauProduit[ID],TableauProduit[Total (kg) N5],0,0,1)*TableauRecette[[#This Row],[fraction mélange]]</f>
        <v/>
      </c>
      <c r="Q202">
        <f>_xlfn.XLOOKUP(TableauRecette[[#This Row],[ID]],TableauProduit[ID],TableauProduit[Total (kg) N6],0,0,1)*TableauRecette[[#This Row],[fraction mélange]]</f>
        <v/>
      </c>
      <c r="R202">
        <f>_xlfn.XLOOKUP(TableauRecette[[#This Row],[ID]],TableauProduit[ID],TableauProduit[Total (kg) N7],0,0,1)*TableauRecette[[#This Row],[fraction mélange]]</f>
        <v/>
      </c>
      <c r="S202">
        <f>_xlfn.XLOOKUP(TableauRecette[[#This Row],[ID]],TableauProduit[ID],TableauProduit[Total (kg) N8],0,0,1)*TableauRecette[[#This Row],[fraction mélange]]</f>
        <v/>
      </c>
      <c r="T202">
        <f>_xlfn.XLOOKUP(TableauRecette[[#This Row],[ID]],TableauProduit[ID],TableauProduit[Total (kg) N9],0,0,1)*TableauRecette[[#This Row],[fraction mélange]]</f>
        <v/>
      </c>
    </row>
    <row r="203">
      <c r="A203" t="inlineStr">
        <is>
          <t>Herbes de Provence</t>
        </is>
      </c>
      <c r="B203">
        <f>TableauRecette[[#This Row],[Recette]]&amp;TableauRecette[[#This Row],[Conditionnement]]</f>
        <v/>
      </c>
      <c r="C203" t="inlineStr">
        <is>
          <t>Origan</t>
        </is>
      </c>
      <c r="D203" t="n">
        <v>26</v>
      </c>
      <c r="E203" t="inlineStr">
        <is>
          <t>Epice 200ml</t>
        </is>
      </c>
      <c r="F20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3">
        <f>IFERROR(_xlfn.XLOOKUP(TableauRecette[[#This Row],[Ingredients]],TableauIngredients[Ingredients],TableauIngredients[Prix d''achat / kg],0)*TableauRecette[[#This Row],[fraction mélange]],0)</f>
        <v/>
      </c>
      <c r="H203">
        <f>IFERROR(SUMIFS(TableauRecette[Proportion],TableauRecette[Recette],TableauRecette[[#This Row],[Recette]],TableauRecette[Conditionnement],TableauRecette[[#This Row],[Conditionnement]]),0)</f>
        <v/>
      </c>
      <c r="I203">
        <f>IFERROR(TableauRecette[[#This Row],[Prix d''achat / kg]],0)</f>
        <v/>
      </c>
      <c r="L203">
        <f>_xlfn.XLOOKUP(TableauRecette[[#This Row],[ID]],TableauProduit[ID],TableauProduit[Total (kg) N1],0,0,1)*TableauRecette[[#This Row],[fraction mélange]]</f>
        <v/>
      </c>
      <c r="M203">
        <f>_xlfn.XLOOKUP(TableauRecette[[#This Row],[ID]],TableauProduit[ID],TableauProduit[Total (kg) N2],0,0,1)*TableauRecette[[#This Row],[fraction mélange]]</f>
        <v/>
      </c>
      <c r="N203">
        <f>_xlfn.XLOOKUP(TableauRecette[[#This Row],[ID]],TableauProduit[ID],TableauProduit[Total (kg) N3],0,0,1)*TableauRecette[[#This Row],[fraction mélange]]</f>
        <v/>
      </c>
      <c r="O203">
        <f>_xlfn.XLOOKUP(TableauRecette[[#This Row],[ID]],TableauProduit[ID],TableauProduit[Total (kg) N4],0,0,1)*TableauRecette[[#This Row],[fraction mélange]]</f>
        <v/>
      </c>
      <c r="P203">
        <f>_xlfn.XLOOKUP(TableauRecette[[#This Row],[ID]],TableauProduit[ID],TableauProduit[Total (kg) N5],0,0,1)*TableauRecette[[#This Row],[fraction mélange]]</f>
        <v/>
      </c>
      <c r="Q203">
        <f>_xlfn.XLOOKUP(TableauRecette[[#This Row],[ID]],TableauProduit[ID],TableauProduit[Total (kg) N6],0,0,1)*TableauRecette[[#This Row],[fraction mélange]]</f>
        <v/>
      </c>
      <c r="R203">
        <f>_xlfn.XLOOKUP(TableauRecette[[#This Row],[ID]],TableauProduit[ID],TableauProduit[Total (kg) N7],0,0,1)*TableauRecette[[#This Row],[fraction mélange]]</f>
        <v/>
      </c>
      <c r="S203">
        <f>_xlfn.XLOOKUP(TableauRecette[[#This Row],[ID]],TableauProduit[ID],TableauProduit[Total (kg) N8],0,0,1)*TableauRecette[[#This Row],[fraction mélange]]</f>
        <v/>
      </c>
      <c r="T203">
        <f>_xlfn.XLOOKUP(TableauRecette[[#This Row],[ID]],TableauProduit[ID],TableauProduit[Total (kg) N9],0,0,1)*TableauRecette[[#This Row],[fraction mélange]]</f>
        <v/>
      </c>
    </row>
    <row r="204">
      <c r="A204" t="inlineStr">
        <is>
          <t>Herbes de Provence</t>
        </is>
      </c>
      <c r="B204">
        <f>TableauRecette[[#This Row],[Recette]]&amp;TableauRecette[[#This Row],[Conditionnement]]</f>
        <v/>
      </c>
      <c r="C204" t="inlineStr">
        <is>
          <t>Thym</t>
        </is>
      </c>
      <c r="D204" t="n">
        <v>19</v>
      </c>
      <c r="E204" t="inlineStr">
        <is>
          <t>Epice 200ml</t>
        </is>
      </c>
      <c r="F20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4">
        <f>IFERROR(_xlfn.XLOOKUP(TableauRecette[[#This Row],[Ingredients]],TableauIngredients[Ingredients],TableauIngredients[Prix d''achat / kg],0)*TableauRecette[[#This Row],[fraction mélange]],0)</f>
        <v/>
      </c>
      <c r="H204">
        <f>IFERROR(SUMIFS(TableauRecette[Proportion],TableauRecette[Recette],TableauRecette[[#This Row],[Recette]],TableauRecette[Conditionnement],TableauRecette[[#This Row],[Conditionnement]]),0)</f>
        <v/>
      </c>
      <c r="I204">
        <f>IFERROR(TableauRecette[[#This Row],[Prix d''achat / kg]],0)</f>
        <v/>
      </c>
      <c r="L204">
        <f>_xlfn.XLOOKUP(TableauRecette[[#This Row],[ID]],TableauProduit[ID],TableauProduit[Total (kg) N1],0,0,1)*TableauRecette[[#This Row],[fraction mélange]]</f>
        <v/>
      </c>
      <c r="M204">
        <f>_xlfn.XLOOKUP(TableauRecette[[#This Row],[ID]],TableauProduit[ID],TableauProduit[Total (kg) N2],0,0,1)*TableauRecette[[#This Row],[fraction mélange]]</f>
        <v/>
      </c>
      <c r="N204">
        <f>_xlfn.XLOOKUP(TableauRecette[[#This Row],[ID]],TableauProduit[ID],TableauProduit[Total (kg) N3],0,0,1)*TableauRecette[[#This Row],[fraction mélange]]</f>
        <v/>
      </c>
      <c r="O204">
        <f>_xlfn.XLOOKUP(TableauRecette[[#This Row],[ID]],TableauProduit[ID],TableauProduit[Total (kg) N4],0,0,1)*TableauRecette[[#This Row],[fraction mélange]]</f>
        <v/>
      </c>
      <c r="P204">
        <f>_xlfn.XLOOKUP(TableauRecette[[#This Row],[ID]],TableauProduit[ID],TableauProduit[Total (kg) N5],0,0,1)*TableauRecette[[#This Row],[fraction mélange]]</f>
        <v/>
      </c>
      <c r="Q204">
        <f>_xlfn.XLOOKUP(TableauRecette[[#This Row],[ID]],TableauProduit[ID],TableauProduit[Total (kg) N6],0,0,1)*TableauRecette[[#This Row],[fraction mélange]]</f>
        <v/>
      </c>
      <c r="R204">
        <f>_xlfn.XLOOKUP(TableauRecette[[#This Row],[ID]],TableauProduit[ID],TableauProduit[Total (kg) N7],0,0,1)*TableauRecette[[#This Row],[fraction mélange]]</f>
        <v/>
      </c>
      <c r="S204">
        <f>_xlfn.XLOOKUP(TableauRecette[[#This Row],[ID]],TableauProduit[ID],TableauProduit[Total (kg) N8],0,0,1)*TableauRecette[[#This Row],[fraction mélange]]</f>
        <v/>
      </c>
      <c r="T204">
        <f>_xlfn.XLOOKUP(TableauRecette[[#This Row],[ID]],TableauProduit[ID],TableauProduit[Total (kg) N9],0,0,1)*TableauRecette[[#This Row],[fraction mélange]]</f>
        <v/>
      </c>
    </row>
    <row r="205">
      <c r="A205" t="inlineStr">
        <is>
          <t>Herbes de Provence</t>
        </is>
      </c>
      <c r="B205">
        <f>TableauRecette[[#This Row],[Recette]]&amp;TableauRecette[[#This Row],[Conditionnement]]</f>
        <v/>
      </c>
      <c r="C205" t="inlineStr">
        <is>
          <t>Basilic SEC</t>
        </is>
      </c>
      <c r="D205" t="n">
        <v>3</v>
      </c>
      <c r="E205" t="inlineStr">
        <is>
          <t>Epice 200ml</t>
        </is>
      </c>
      <c r="F20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5">
        <f>IFERROR(_xlfn.XLOOKUP(TableauRecette[[#This Row],[Ingredients]],TableauIngredients[Ingredients],TableauIngredients[Prix d''achat / kg],0)*TableauRecette[[#This Row],[fraction mélange]],0)</f>
        <v/>
      </c>
      <c r="H205">
        <f>IFERROR(SUMIFS(TableauRecette[Proportion],TableauRecette[Recette],TableauRecette[[#This Row],[Recette]],TableauRecette[Conditionnement],TableauRecette[[#This Row],[Conditionnement]]),0)</f>
        <v/>
      </c>
      <c r="I205">
        <f>IFERROR(TableauRecette[[#This Row],[Prix d''achat / kg]],0)</f>
        <v/>
      </c>
      <c r="K205" t="inlineStr">
        <is>
          <t>SEC</t>
        </is>
      </c>
      <c r="L205">
        <f>_xlfn.XLOOKUP(TableauRecette[[#This Row],[ID]],TableauProduit[ID],TableauProduit[Total (kg) N1],0,0,1)*TableauRecette[[#This Row],[fraction mélange]]</f>
        <v/>
      </c>
      <c r="M205">
        <f>_xlfn.XLOOKUP(TableauRecette[[#This Row],[ID]],TableauProduit[ID],TableauProduit[Total (kg) N2],0,0,1)*TableauRecette[[#This Row],[fraction mélange]]</f>
        <v/>
      </c>
      <c r="N205">
        <f>_xlfn.XLOOKUP(TableauRecette[[#This Row],[ID]],TableauProduit[ID],TableauProduit[Total (kg) N3],0,0,1)*TableauRecette[[#This Row],[fraction mélange]]</f>
        <v/>
      </c>
      <c r="O205">
        <f>_xlfn.XLOOKUP(TableauRecette[[#This Row],[ID]],TableauProduit[ID],TableauProduit[Total (kg) N4],0,0,1)*TableauRecette[[#This Row],[fraction mélange]]</f>
        <v/>
      </c>
      <c r="P205">
        <f>_xlfn.XLOOKUP(TableauRecette[[#This Row],[ID]],TableauProduit[ID],TableauProduit[Total (kg) N5],0,0,1)*TableauRecette[[#This Row],[fraction mélange]]</f>
        <v/>
      </c>
      <c r="Q205">
        <f>_xlfn.XLOOKUP(TableauRecette[[#This Row],[ID]],TableauProduit[ID],TableauProduit[Total (kg) N6],0,0,1)*TableauRecette[[#This Row],[fraction mélange]]</f>
        <v/>
      </c>
      <c r="R205">
        <f>_xlfn.XLOOKUP(TableauRecette[[#This Row],[ID]],TableauProduit[ID],TableauProduit[Total (kg) N7],0,0,1)*TableauRecette[[#This Row],[fraction mélange]]</f>
        <v/>
      </c>
      <c r="S205">
        <f>_xlfn.XLOOKUP(TableauRecette[[#This Row],[ID]],TableauProduit[ID],TableauProduit[Total (kg) N8],0,0,1)*TableauRecette[[#This Row],[fraction mélange]]</f>
        <v/>
      </c>
      <c r="T205">
        <f>_xlfn.XLOOKUP(TableauRecette[[#This Row],[ID]],TableauProduit[ID],TableauProduit[Total (kg) N9],0,0,1)*TableauRecette[[#This Row],[fraction mélange]]</f>
        <v/>
      </c>
    </row>
    <row r="206">
      <c r="A206" t="inlineStr">
        <is>
          <t>Huile massage anti-arthrite</t>
        </is>
      </c>
      <c r="B206">
        <f>TableauRecette[[#This Row],[Recette]]&amp;TableauRecette[[#This Row],[Conditionnement]]</f>
        <v/>
      </c>
      <c r="C206" t="inlineStr">
        <is>
          <t>Gaultheria Procumbens</t>
        </is>
      </c>
      <c r="D206" t="n">
        <v>1</v>
      </c>
      <c r="E206" t="inlineStr">
        <is>
          <t>Huile 1L</t>
        </is>
      </c>
      <c r="F20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6">
        <f>IFERROR(_xlfn.XLOOKUP(TableauRecette[[#This Row],[Ingredients]],TableauIngredients[Ingredients],TableauIngredients[Prix d''achat / kg],0)*TableauRecette[[#This Row],[fraction mélange]],0)</f>
        <v/>
      </c>
      <c r="H206">
        <f>IFERROR(SUMIFS(TableauRecette[Proportion],TableauRecette[Recette],TableauRecette[[#This Row],[Recette]],TableauRecette[Conditionnement],TableauRecette[[#This Row],[Conditionnement]]),0)</f>
        <v/>
      </c>
      <c r="I206">
        <f>IFERROR(TableauRecette[[#This Row],[Prix d''achat / kg]],0)</f>
        <v/>
      </c>
      <c r="L206">
        <f>_xlfn.XLOOKUP(TableauRecette[[#This Row],[ID]],TableauProduit[ID],TableauProduit[Total (kg) N1],0,0,1)*TableauRecette[[#This Row],[fraction mélange]]</f>
        <v/>
      </c>
      <c r="M206">
        <f>_xlfn.XLOOKUP(TableauRecette[[#This Row],[ID]],TableauProduit[ID],TableauProduit[Total (kg) N2],0,0,1)*TableauRecette[[#This Row],[fraction mélange]]</f>
        <v/>
      </c>
      <c r="N206">
        <f>_xlfn.XLOOKUP(TableauRecette[[#This Row],[ID]],TableauProduit[ID],TableauProduit[Total (kg) N3],0,0,1)*TableauRecette[[#This Row],[fraction mélange]]</f>
        <v/>
      </c>
      <c r="O206">
        <f>_xlfn.XLOOKUP(TableauRecette[[#This Row],[ID]],TableauProduit[ID],TableauProduit[Total (kg) N4],0,0,1)*TableauRecette[[#This Row],[fraction mélange]]</f>
        <v/>
      </c>
      <c r="P206">
        <f>_xlfn.XLOOKUP(TableauRecette[[#This Row],[ID]],TableauProduit[ID],TableauProduit[Total (kg) N5],0,0,1)*TableauRecette[[#This Row],[fraction mélange]]</f>
        <v/>
      </c>
      <c r="Q206">
        <f>_xlfn.XLOOKUP(TableauRecette[[#This Row],[ID]],TableauProduit[ID],TableauProduit[Total (kg) N6],0,0,1)*TableauRecette[[#This Row],[fraction mélange]]</f>
        <v/>
      </c>
      <c r="R206">
        <f>_xlfn.XLOOKUP(TableauRecette[[#This Row],[ID]],TableauProduit[ID],TableauProduit[Total (kg) N7],0,0,1)*TableauRecette[[#This Row],[fraction mélange]]</f>
        <v/>
      </c>
      <c r="S206">
        <f>_xlfn.XLOOKUP(TableauRecette[[#This Row],[ID]],TableauProduit[ID],TableauProduit[Total (kg) N8],0,0,1)*TableauRecette[[#This Row],[fraction mélange]]</f>
        <v/>
      </c>
      <c r="T206">
        <f>_xlfn.XLOOKUP(TableauRecette[[#This Row],[ID]],TableauProduit[ID],TableauProduit[Total (kg) N9],0,0,1)*TableauRecette[[#This Row],[fraction mélange]]</f>
        <v/>
      </c>
    </row>
    <row r="207">
      <c r="A207" t="inlineStr">
        <is>
          <t>Huile massage anti-arthrite</t>
        </is>
      </c>
      <c r="B207">
        <f>TableauRecette[[#This Row],[Recette]]&amp;TableauRecette[[#This Row],[Conditionnement]]</f>
        <v/>
      </c>
      <c r="C207" t="inlineStr">
        <is>
          <t>Harpagophytum Procumbens</t>
        </is>
      </c>
      <c r="D207" t="n">
        <v>2</v>
      </c>
      <c r="E207" t="inlineStr">
        <is>
          <t>Huile 1L</t>
        </is>
      </c>
      <c r="F20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7">
        <f>IFERROR(_xlfn.XLOOKUP(TableauRecette[[#This Row],[Ingredients]],TableauIngredients[Ingredients],TableauIngredients[Prix d''achat / kg],0)*TableauRecette[[#This Row],[fraction mélange]],0)</f>
        <v/>
      </c>
      <c r="H207">
        <f>IFERROR(SUMIFS(TableauRecette[Proportion],TableauRecette[Recette],TableauRecette[[#This Row],[Recette]],TableauRecette[Conditionnement],TableauRecette[[#This Row],[Conditionnement]]),0)</f>
        <v/>
      </c>
      <c r="I207">
        <f>IFERROR(TableauRecette[[#This Row],[Prix d''achat / kg]],0)</f>
        <v/>
      </c>
      <c r="L207">
        <f>_xlfn.XLOOKUP(TableauRecette[[#This Row],[ID]],TableauProduit[ID],TableauProduit[Total (kg) N1],0,0,1)*TableauRecette[[#This Row],[fraction mélange]]</f>
        <v/>
      </c>
      <c r="M207">
        <f>_xlfn.XLOOKUP(TableauRecette[[#This Row],[ID]],TableauProduit[ID],TableauProduit[Total (kg) N2],0,0,1)*TableauRecette[[#This Row],[fraction mélange]]</f>
        <v/>
      </c>
      <c r="N207">
        <f>_xlfn.XLOOKUP(TableauRecette[[#This Row],[ID]],TableauProduit[ID],TableauProduit[Total (kg) N3],0,0,1)*TableauRecette[[#This Row],[fraction mélange]]</f>
        <v/>
      </c>
      <c r="O207">
        <f>_xlfn.XLOOKUP(TableauRecette[[#This Row],[ID]],TableauProduit[ID],TableauProduit[Total (kg) N4],0,0,1)*TableauRecette[[#This Row],[fraction mélange]]</f>
        <v/>
      </c>
      <c r="P207">
        <f>_xlfn.XLOOKUP(TableauRecette[[#This Row],[ID]],TableauProduit[ID],TableauProduit[Total (kg) N5],0,0,1)*TableauRecette[[#This Row],[fraction mélange]]</f>
        <v/>
      </c>
      <c r="Q207">
        <f>_xlfn.XLOOKUP(TableauRecette[[#This Row],[ID]],TableauProduit[ID],TableauProduit[Total (kg) N6],0,0,1)*TableauRecette[[#This Row],[fraction mélange]]</f>
        <v/>
      </c>
      <c r="R207">
        <f>_xlfn.XLOOKUP(TableauRecette[[#This Row],[ID]],TableauProduit[ID],TableauProduit[Total (kg) N7],0,0,1)*TableauRecette[[#This Row],[fraction mélange]]</f>
        <v/>
      </c>
      <c r="S207">
        <f>_xlfn.XLOOKUP(TableauRecette[[#This Row],[ID]],TableauProduit[ID],TableauProduit[Total (kg) N8],0,0,1)*TableauRecette[[#This Row],[fraction mélange]]</f>
        <v/>
      </c>
      <c r="T207">
        <f>_xlfn.XLOOKUP(TableauRecette[[#This Row],[ID]],TableauProduit[ID],TableauProduit[Total (kg) N9],0,0,1)*TableauRecette[[#This Row],[fraction mélange]]</f>
        <v/>
      </c>
    </row>
    <row r="208">
      <c r="A208" t="inlineStr">
        <is>
          <t>Huile massage anti-arthrite</t>
        </is>
      </c>
      <c r="B208">
        <f>TableauRecette[[#This Row],[Recette]]&amp;TableauRecette[[#This Row],[Conditionnement]]</f>
        <v/>
      </c>
      <c r="C208" t="inlineStr">
        <is>
          <t>Curcuma Moulu</t>
        </is>
      </c>
      <c r="D208" t="n">
        <v>2</v>
      </c>
      <c r="E208" t="inlineStr">
        <is>
          <t>Huile 1L</t>
        </is>
      </c>
      <c r="F20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8">
        <f>IFERROR(_xlfn.XLOOKUP(TableauRecette[[#This Row],[Ingredients]],TableauIngredients[Ingredients],TableauIngredients[Prix d''achat / kg],0)*TableauRecette[[#This Row],[fraction mélange]],0)</f>
        <v/>
      </c>
      <c r="H208">
        <f>IFERROR(SUMIFS(TableauRecette[Proportion],TableauRecette[Recette],TableauRecette[[#This Row],[Recette]],TableauRecette[Conditionnement],TableauRecette[[#This Row],[Conditionnement]]),0)</f>
        <v/>
      </c>
      <c r="I208">
        <f>IFERROR(TableauRecette[[#This Row],[Prix d''achat / kg]],0)</f>
        <v/>
      </c>
      <c r="L208">
        <f>_xlfn.XLOOKUP(TableauRecette[[#This Row],[ID]],TableauProduit[ID],TableauProduit[Total (kg) N1],0,0,1)*TableauRecette[[#This Row],[fraction mélange]]</f>
        <v/>
      </c>
      <c r="M208">
        <f>_xlfn.XLOOKUP(TableauRecette[[#This Row],[ID]],TableauProduit[ID],TableauProduit[Total (kg) N2],0,0,1)*TableauRecette[[#This Row],[fraction mélange]]</f>
        <v/>
      </c>
      <c r="N208">
        <f>_xlfn.XLOOKUP(TableauRecette[[#This Row],[ID]],TableauProduit[ID],TableauProduit[Total (kg) N3],0,0,1)*TableauRecette[[#This Row],[fraction mélange]]</f>
        <v/>
      </c>
      <c r="O208">
        <f>_xlfn.XLOOKUP(TableauRecette[[#This Row],[ID]],TableauProduit[ID],TableauProduit[Total (kg) N4],0,0,1)*TableauRecette[[#This Row],[fraction mélange]]</f>
        <v/>
      </c>
      <c r="P208">
        <f>_xlfn.XLOOKUP(TableauRecette[[#This Row],[ID]],TableauProduit[ID],TableauProduit[Total (kg) N5],0,0,1)*TableauRecette[[#This Row],[fraction mélange]]</f>
        <v/>
      </c>
      <c r="Q208">
        <f>_xlfn.XLOOKUP(TableauRecette[[#This Row],[ID]],TableauProduit[ID],TableauProduit[Total (kg) N6],0,0,1)*TableauRecette[[#This Row],[fraction mélange]]</f>
        <v/>
      </c>
      <c r="R208">
        <f>_xlfn.XLOOKUP(TableauRecette[[#This Row],[ID]],TableauProduit[ID],TableauProduit[Total (kg) N7],0,0,1)*TableauRecette[[#This Row],[fraction mélange]]</f>
        <v/>
      </c>
      <c r="S208">
        <f>_xlfn.XLOOKUP(TableauRecette[[#This Row],[ID]],TableauProduit[ID],TableauProduit[Total (kg) N8],0,0,1)*TableauRecette[[#This Row],[fraction mélange]]</f>
        <v/>
      </c>
      <c r="T208">
        <f>_xlfn.XLOOKUP(TableauRecette[[#This Row],[ID]],TableauProduit[ID],TableauProduit[Total (kg) N9],0,0,1)*TableauRecette[[#This Row],[fraction mélange]]</f>
        <v/>
      </c>
    </row>
    <row r="209">
      <c r="A209" t="inlineStr">
        <is>
          <t>Huile massage anti-arthrite</t>
        </is>
      </c>
      <c r="B209">
        <f>TableauRecette[[#This Row],[Recette]]&amp;TableauRecette[[#This Row],[Conditionnement]]</f>
        <v/>
      </c>
      <c r="C209" t="inlineStr">
        <is>
          <t>Grande Ortie</t>
        </is>
      </c>
      <c r="D209" t="n">
        <v>2</v>
      </c>
      <c r="E209" t="inlineStr">
        <is>
          <t>Huile 1L</t>
        </is>
      </c>
      <c r="F2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9">
        <f>IFERROR(_xlfn.XLOOKUP(TableauRecette[[#This Row],[Ingredients]],TableauIngredients[Ingredients],TableauIngredients[Prix d''achat / kg],0)*TableauRecette[[#This Row],[fraction mélange]],0)</f>
        <v/>
      </c>
      <c r="H209">
        <f>IFERROR(SUMIFS(TableauRecette[Proportion],TableauRecette[Recette],TableauRecette[[#This Row],[Recette]],TableauRecette[Conditionnement],TableauRecette[[#This Row],[Conditionnement]]),0)</f>
        <v/>
      </c>
      <c r="I209">
        <f>IFERROR(TableauRecette[[#This Row],[Prix d''achat / kg]],0)</f>
        <v/>
      </c>
      <c r="L209">
        <f>_xlfn.XLOOKUP(TableauRecette[[#This Row],[ID]],TableauProduit[ID],TableauProduit[Total (kg) N1],0,0,1)*TableauRecette[[#This Row],[fraction mélange]]</f>
        <v/>
      </c>
      <c r="M209">
        <f>_xlfn.XLOOKUP(TableauRecette[[#This Row],[ID]],TableauProduit[ID],TableauProduit[Total (kg) N2],0,0,1)*TableauRecette[[#This Row],[fraction mélange]]</f>
        <v/>
      </c>
      <c r="N209">
        <f>_xlfn.XLOOKUP(TableauRecette[[#This Row],[ID]],TableauProduit[ID],TableauProduit[Total (kg) N3],0,0,1)*TableauRecette[[#This Row],[fraction mélange]]</f>
        <v/>
      </c>
      <c r="O209">
        <f>_xlfn.XLOOKUP(TableauRecette[[#This Row],[ID]],TableauProduit[ID],TableauProduit[Total (kg) N4],0,0,1)*TableauRecette[[#This Row],[fraction mélange]]</f>
        <v/>
      </c>
      <c r="P209">
        <f>_xlfn.XLOOKUP(TableauRecette[[#This Row],[ID]],TableauProduit[ID],TableauProduit[Total (kg) N5],0,0,1)*TableauRecette[[#This Row],[fraction mélange]]</f>
        <v/>
      </c>
      <c r="Q209">
        <f>_xlfn.XLOOKUP(TableauRecette[[#This Row],[ID]],TableauProduit[ID],TableauProduit[Total (kg) N6],0,0,1)*TableauRecette[[#This Row],[fraction mélange]]</f>
        <v/>
      </c>
      <c r="R209">
        <f>_xlfn.XLOOKUP(TableauRecette[[#This Row],[ID]],TableauProduit[ID],TableauProduit[Total (kg) N7],0,0,1)*TableauRecette[[#This Row],[fraction mélange]]</f>
        <v/>
      </c>
      <c r="S209">
        <f>_xlfn.XLOOKUP(TableauRecette[[#This Row],[ID]],TableauProduit[ID],TableauProduit[Total (kg) N8],0,0,1)*TableauRecette[[#This Row],[fraction mélange]]</f>
        <v/>
      </c>
      <c r="T209">
        <f>_xlfn.XLOOKUP(TableauRecette[[#This Row],[ID]],TableauProduit[ID],TableauProduit[Total (kg) N9],0,0,1)*TableauRecette[[#This Row],[fraction mélange]]</f>
        <v/>
      </c>
    </row>
    <row r="210">
      <c r="A210" t="inlineStr">
        <is>
          <t>Huile massage anti-arthrite</t>
        </is>
      </c>
      <c r="B210">
        <f>TableauRecette[[#This Row],[Recette]]&amp;TableauRecette[[#This Row],[Conditionnement]]</f>
        <v/>
      </c>
      <c r="C210" t="inlineStr">
        <is>
          <t>Thym</t>
        </is>
      </c>
      <c r="D210" t="n">
        <v>3</v>
      </c>
      <c r="E210" t="inlineStr">
        <is>
          <t>Huile 1L</t>
        </is>
      </c>
      <c r="F21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0">
        <f>IFERROR(_xlfn.XLOOKUP(TableauRecette[[#This Row],[Ingredients]],TableauIngredients[Ingredients],TableauIngredients[Prix d''achat / kg],0)*TableauRecette[[#This Row],[fraction mélange]],0)</f>
        <v/>
      </c>
      <c r="H210">
        <f>IFERROR(SUMIFS(TableauRecette[Proportion],TableauRecette[Recette],TableauRecette[[#This Row],[Recette]],TableauRecette[Conditionnement],TableauRecette[[#This Row],[Conditionnement]]),0)</f>
        <v/>
      </c>
      <c r="I210">
        <f>IFERROR(TableauRecette[[#This Row],[Prix d''achat / kg]],0)</f>
        <v/>
      </c>
      <c r="L210">
        <f>_xlfn.XLOOKUP(TableauRecette[[#This Row],[ID]],TableauProduit[ID],TableauProduit[Total (kg) N1],0,0,1)*TableauRecette[[#This Row],[fraction mélange]]</f>
        <v/>
      </c>
      <c r="M210">
        <f>_xlfn.XLOOKUP(TableauRecette[[#This Row],[ID]],TableauProduit[ID],TableauProduit[Total (kg) N2],0,0,1)*TableauRecette[[#This Row],[fraction mélange]]</f>
        <v/>
      </c>
      <c r="N210">
        <f>_xlfn.XLOOKUP(TableauRecette[[#This Row],[ID]],TableauProduit[ID],TableauProduit[Total (kg) N3],0,0,1)*TableauRecette[[#This Row],[fraction mélange]]</f>
        <v/>
      </c>
      <c r="O210">
        <f>_xlfn.XLOOKUP(TableauRecette[[#This Row],[ID]],TableauProduit[ID],TableauProduit[Total (kg) N4],0,0,1)*TableauRecette[[#This Row],[fraction mélange]]</f>
        <v/>
      </c>
      <c r="P210">
        <f>_xlfn.XLOOKUP(TableauRecette[[#This Row],[ID]],TableauProduit[ID],TableauProduit[Total (kg) N5],0,0,1)*TableauRecette[[#This Row],[fraction mélange]]</f>
        <v/>
      </c>
      <c r="Q210">
        <f>_xlfn.XLOOKUP(TableauRecette[[#This Row],[ID]],TableauProduit[ID],TableauProduit[Total (kg) N6],0,0,1)*TableauRecette[[#This Row],[fraction mélange]]</f>
        <v/>
      </c>
      <c r="R210">
        <f>_xlfn.XLOOKUP(TableauRecette[[#This Row],[ID]],TableauProduit[ID],TableauProduit[Total (kg) N7],0,0,1)*TableauRecette[[#This Row],[fraction mélange]]</f>
        <v/>
      </c>
      <c r="S210">
        <f>_xlfn.XLOOKUP(TableauRecette[[#This Row],[ID]],TableauProduit[ID],TableauProduit[Total (kg) N8],0,0,1)*TableauRecette[[#This Row],[fraction mélange]]</f>
        <v/>
      </c>
      <c r="T210">
        <f>_xlfn.XLOOKUP(TableauRecette[[#This Row],[ID]],TableauProduit[ID],TableauProduit[Total (kg) N9],0,0,1)*TableauRecette[[#This Row],[fraction mélange]]</f>
        <v/>
      </c>
    </row>
    <row r="211">
      <c r="A211" t="inlineStr">
        <is>
          <t>Huile massage anti-arthrite</t>
        </is>
      </c>
      <c r="B211">
        <f>TableauRecette[[#This Row],[Recette]]&amp;TableauRecette[[#This Row],[Conditionnement]]</f>
        <v/>
      </c>
      <c r="C211" t="inlineStr">
        <is>
          <t>Lavande</t>
        </is>
      </c>
      <c r="D211" t="n">
        <v>4</v>
      </c>
      <c r="E211" t="inlineStr">
        <is>
          <t>Huile 1L</t>
        </is>
      </c>
      <c r="F2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1">
        <f>IFERROR(_xlfn.XLOOKUP(TableauRecette[[#This Row],[Ingredients]],TableauIngredients[Ingredients],TableauIngredients[Prix d''achat / kg],0)*TableauRecette[[#This Row],[fraction mélange]],0)</f>
        <v/>
      </c>
      <c r="H211">
        <f>IFERROR(SUMIFS(TableauRecette[Proportion],TableauRecette[Recette],TableauRecette[[#This Row],[Recette]],TableauRecette[Conditionnement],TableauRecette[[#This Row],[Conditionnement]]),0)</f>
        <v/>
      </c>
      <c r="I211">
        <f>IFERROR(TableauRecette[[#This Row],[Prix d''achat / kg]],0)</f>
        <v/>
      </c>
      <c r="L211">
        <f>_xlfn.XLOOKUP(TableauRecette[[#This Row],[ID]],TableauProduit[ID],TableauProduit[Total (kg) N1],0,0,1)*TableauRecette[[#This Row],[fraction mélange]]</f>
        <v/>
      </c>
      <c r="M211">
        <f>_xlfn.XLOOKUP(TableauRecette[[#This Row],[ID]],TableauProduit[ID],TableauProduit[Total (kg) N2],0,0,1)*TableauRecette[[#This Row],[fraction mélange]]</f>
        <v/>
      </c>
      <c r="N211">
        <f>_xlfn.XLOOKUP(TableauRecette[[#This Row],[ID]],TableauProduit[ID],TableauProduit[Total (kg) N3],0,0,1)*TableauRecette[[#This Row],[fraction mélange]]</f>
        <v/>
      </c>
      <c r="O211">
        <f>_xlfn.XLOOKUP(TableauRecette[[#This Row],[ID]],TableauProduit[ID],TableauProduit[Total (kg) N4],0,0,1)*TableauRecette[[#This Row],[fraction mélange]]</f>
        <v/>
      </c>
      <c r="P211">
        <f>_xlfn.XLOOKUP(TableauRecette[[#This Row],[ID]],TableauProduit[ID],TableauProduit[Total (kg) N5],0,0,1)*TableauRecette[[#This Row],[fraction mélange]]</f>
        <v/>
      </c>
      <c r="Q211">
        <f>_xlfn.XLOOKUP(TableauRecette[[#This Row],[ID]],TableauProduit[ID],TableauProduit[Total (kg) N6],0,0,1)*TableauRecette[[#This Row],[fraction mélange]]</f>
        <v/>
      </c>
      <c r="R211">
        <f>_xlfn.XLOOKUP(TableauRecette[[#This Row],[ID]],TableauProduit[ID],TableauProduit[Total (kg) N7],0,0,1)*TableauRecette[[#This Row],[fraction mélange]]</f>
        <v/>
      </c>
      <c r="S211">
        <f>_xlfn.XLOOKUP(TableauRecette[[#This Row],[ID]],TableauProduit[ID],TableauProduit[Total (kg) N8],0,0,1)*TableauRecette[[#This Row],[fraction mélange]]</f>
        <v/>
      </c>
      <c r="T211">
        <f>_xlfn.XLOOKUP(TableauRecette[[#This Row],[ID]],TableauProduit[ID],TableauProduit[Total (kg) N9],0,0,1)*TableauRecette[[#This Row],[fraction mélange]]</f>
        <v/>
      </c>
    </row>
    <row r="212">
      <c r="A212" t="inlineStr">
        <is>
          <t>Huile massage anti-arthrite</t>
        </is>
      </c>
      <c r="B212">
        <f>TableauRecette[[#This Row],[Recette]]&amp;TableauRecette[[#This Row],[Conditionnement]]</f>
        <v/>
      </c>
      <c r="C212" t="inlineStr">
        <is>
          <t>Hélichryse</t>
        </is>
      </c>
      <c r="D212" t="n">
        <v>2</v>
      </c>
      <c r="E212" t="inlineStr">
        <is>
          <t>Huile 1L</t>
        </is>
      </c>
      <c r="F2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2">
        <f>IFERROR(_xlfn.XLOOKUP(TableauRecette[[#This Row],[Ingredients]],TableauIngredients[Ingredients],TableauIngredients[Prix d''achat / kg],0)*TableauRecette[[#This Row],[fraction mélange]],0)</f>
        <v/>
      </c>
      <c r="H212">
        <f>IFERROR(SUMIFS(TableauRecette[Proportion],TableauRecette[Recette],TableauRecette[[#This Row],[Recette]],TableauRecette[Conditionnement],TableauRecette[[#This Row],[Conditionnement]]),0)</f>
        <v/>
      </c>
      <c r="I212">
        <f>IFERROR(TableauRecette[[#This Row],[Prix d''achat / kg]],0)</f>
        <v/>
      </c>
      <c r="L212">
        <f>_xlfn.XLOOKUP(TableauRecette[[#This Row],[ID]],TableauProduit[ID],TableauProduit[Total (kg) N1],0,0,1)*TableauRecette[[#This Row],[fraction mélange]]</f>
        <v/>
      </c>
      <c r="M212">
        <f>_xlfn.XLOOKUP(TableauRecette[[#This Row],[ID]],TableauProduit[ID],TableauProduit[Total (kg) N2],0,0,1)*TableauRecette[[#This Row],[fraction mélange]]</f>
        <v/>
      </c>
      <c r="N212">
        <f>_xlfn.XLOOKUP(TableauRecette[[#This Row],[ID]],TableauProduit[ID],TableauProduit[Total (kg) N3],0,0,1)*TableauRecette[[#This Row],[fraction mélange]]</f>
        <v/>
      </c>
      <c r="O212">
        <f>_xlfn.XLOOKUP(TableauRecette[[#This Row],[ID]],TableauProduit[ID],TableauProduit[Total (kg) N4],0,0,1)*TableauRecette[[#This Row],[fraction mélange]]</f>
        <v/>
      </c>
      <c r="P212">
        <f>_xlfn.XLOOKUP(TableauRecette[[#This Row],[ID]],TableauProduit[ID],TableauProduit[Total (kg) N5],0,0,1)*TableauRecette[[#This Row],[fraction mélange]]</f>
        <v/>
      </c>
      <c r="Q212">
        <f>_xlfn.XLOOKUP(TableauRecette[[#This Row],[ID]],TableauProduit[ID],TableauProduit[Total (kg) N6],0,0,1)*TableauRecette[[#This Row],[fraction mélange]]</f>
        <v/>
      </c>
      <c r="R212">
        <f>_xlfn.XLOOKUP(TableauRecette[[#This Row],[ID]],TableauProduit[ID],TableauProduit[Total (kg) N7],0,0,1)*TableauRecette[[#This Row],[fraction mélange]]</f>
        <v/>
      </c>
      <c r="S212">
        <f>_xlfn.XLOOKUP(TableauRecette[[#This Row],[ID]],TableauProduit[ID],TableauProduit[Total (kg) N8],0,0,1)*TableauRecette[[#This Row],[fraction mélange]]</f>
        <v/>
      </c>
      <c r="T212">
        <f>_xlfn.XLOOKUP(TableauRecette[[#This Row],[ID]],TableauProduit[ID],TableauProduit[Total (kg) N9],0,0,1)*TableauRecette[[#This Row],[fraction mélange]]</f>
        <v/>
      </c>
    </row>
    <row r="213">
      <c r="A213" t="inlineStr">
        <is>
          <t>Huile massage anti-arthrite</t>
        </is>
      </c>
      <c r="B213">
        <f>TableauRecette[[#This Row],[Recette]]&amp;TableauRecette[[#This Row],[Conditionnement]]</f>
        <v/>
      </c>
      <c r="C213" t="inlineStr">
        <is>
          <t>Amande Douce</t>
        </is>
      </c>
      <c r="D213" t="n">
        <v>100</v>
      </c>
      <c r="E213" t="inlineStr">
        <is>
          <t>Huile 1L</t>
        </is>
      </c>
      <c r="F21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3">
        <f>IFERROR(_xlfn.XLOOKUP(TableauRecette[[#This Row],[Ingredients]],TableauIngredients[Ingredients],TableauIngredients[Prix d''achat / kg],0)*TableauRecette[[#This Row],[fraction mélange]],0)</f>
        <v/>
      </c>
      <c r="H213">
        <f>IFERROR(SUMIFS(TableauRecette[Proportion],TableauRecette[Recette],TableauRecette[[#This Row],[Recette]],TableauRecette[Conditionnement],TableauRecette[[#This Row],[Conditionnement]]),0)</f>
        <v/>
      </c>
      <c r="I213">
        <f>IFERROR(TableauRecette[[#This Row],[Prix d''achat / kg]],0)</f>
        <v/>
      </c>
      <c r="L213">
        <f>_xlfn.XLOOKUP(TableauRecette[[#This Row],[ID]],TableauProduit[ID],TableauProduit[Total (kg) N1],0,0,1)*TableauRecette[[#This Row],[fraction mélange]]</f>
        <v/>
      </c>
      <c r="M213">
        <f>_xlfn.XLOOKUP(TableauRecette[[#This Row],[ID]],TableauProduit[ID],TableauProduit[Total (kg) N2],0,0,1)*TableauRecette[[#This Row],[fraction mélange]]</f>
        <v/>
      </c>
      <c r="N213">
        <f>_xlfn.XLOOKUP(TableauRecette[[#This Row],[ID]],TableauProduit[ID],TableauProduit[Total (kg) N3],0,0,1)*TableauRecette[[#This Row],[fraction mélange]]</f>
        <v/>
      </c>
      <c r="O213">
        <f>_xlfn.XLOOKUP(TableauRecette[[#This Row],[ID]],TableauProduit[ID],TableauProduit[Total (kg) N4],0,0,1)*TableauRecette[[#This Row],[fraction mélange]]</f>
        <v/>
      </c>
      <c r="P213">
        <f>_xlfn.XLOOKUP(TableauRecette[[#This Row],[ID]],TableauProduit[ID],TableauProduit[Total (kg) N5],0,0,1)*TableauRecette[[#This Row],[fraction mélange]]</f>
        <v/>
      </c>
      <c r="Q213">
        <f>_xlfn.XLOOKUP(TableauRecette[[#This Row],[ID]],TableauProduit[ID],TableauProduit[Total (kg) N6],0,0,1)*TableauRecette[[#This Row],[fraction mélange]]</f>
        <v/>
      </c>
      <c r="R213">
        <f>_xlfn.XLOOKUP(TableauRecette[[#This Row],[ID]],TableauProduit[ID],TableauProduit[Total (kg) N7],0,0,1)*TableauRecette[[#This Row],[fraction mélange]]</f>
        <v/>
      </c>
      <c r="S213">
        <f>_xlfn.XLOOKUP(TableauRecette[[#This Row],[ID]],TableauProduit[ID],TableauProduit[Total (kg) N8],0,0,1)*TableauRecette[[#This Row],[fraction mélange]]</f>
        <v/>
      </c>
      <c r="T213">
        <f>_xlfn.XLOOKUP(TableauRecette[[#This Row],[ID]],TableauProduit[ID],TableauProduit[Total (kg) N9],0,0,1)*TableauRecette[[#This Row],[fraction mélange]]</f>
        <v/>
      </c>
    </row>
    <row r="214">
      <c r="A214" t="inlineStr">
        <is>
          <t>Huile massage anti-arthrite</t>
        </is>
      </c>
      <c r="B214">
        <f>TableauRecette[[#This Row],[Recette]]&amp;TableauRecette[[#This Row],[Conditionnement]]</f>
        <v/>
      </c>
      <c r="C214" t="inlineStr">
        <is>
          <t>Huile De Tournesol</t>
        </is>
      </c>
      <c r="D214" t="n">
        <v>150</v>
      </c>
      <c r="E214" t="inlineStr">
        <is>
          <t>Huile 1L</t>
        </is>
      </c>
      <c r="F21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4">
        <f>IFERROR(_xlfn.XLOOKUP(TableauRecette[[#This Row],[Ingredients]],TableauIngredients[Ingredients],TableauIngredients[Prix d''achat / kg],0)*TableauRecette[[#This Row],[fraction mélange]],0)</f>
        <v/>
      </c>
      <c r="H214">
        <f>IFERROR(SUMIFS(TableauRecette[Proportion],TableauRecette[Recette],TableauRecette[[#This Row],[Recette]],TableauRecette[Conditionnement],TableauRecette[[#This Row],[Conditionnement]]),0)</f>
        <v/>
      </c>
      <c r="I214">
        <f>IFERROR(TableauRecette[[#This Row],[Prix d''achat / kg]],0)</f>
        <v/>
      </c>
      <c r="L214">
        <f>_xlfn.XLOOKUP(TableauRecette[[#This Row],[ID]],TableauProduit[ID],TableauProduit[Total (kg) N1],0,0,1)*TableauRecette[[#This Row],[fraction mélange]]</f>
        <v/>
      </c>
      <c r="M214">
        <f>_xlfn.XLOOKUP(TableauRecette[[#This Row],[ID]],TableauProduit[ID],TableauProduit[Total (kg) N2],0,0,1)*TableauRecette[[#This Row],[fraction mélange]]</f>
        <v/>
      </c>
      <c r="N214">
        <f>_xlfn.XLOOKUP(TableauRecette[[#This Row],[ID]],TableauProduit[ID],TableauProduit[Total (kg) N3],0,0,1)*TableauRecette[[#This Row],[fraction mélange]]</f>
        <v/>
      </c>
      <c r="O214">
        <f>_xlfn.XLOOKUP(TableauRecette[[#This Row],[ID]],TableauProduit[ID],TableauProduit[Total (kg) N4],0,0,1)*TableauRecette[[#This Row],[fraction mélange]]</f>
        <v/>
      </c>
      <c r="P214">
        <f>_xlfn.XLOOKUP(TableauRecette[[#This Row],[ID]],TableauProduit[ID],TableauProduit[Total (kg) N5],0,0,1)*TableauRecette[[#This Row],[fraction mélange]]</f>
        <v/>
      </c>
      <c r="Q214">
        <f>_xlfn.XLOOKUP(TableauRecette[[#This Row],[ID]],TableauProduit[ID],TableauProduit[Total (kg) N6],0,0,1)*TableauRecette[[#This Row],[fraction mélange]]</f>
        <v/>
      </c>
      <c r="R214">
        <f>_xlfn.XLOOKUP(TableauRecette[[#This Row],[ID]],TableauProduit[ID],TableauProduit[Total (kg) N7],0,0,1)*TableauRecette[[#This Row],[fraction mélange]]</f>
        <v/>
      </c>
      <c r="S214">
        <f>_xlfn.XLOOKUP(TableauRecette[[#This Row],[ID]],TableauProduit[ID],TableauProduit[Total (kg) N8],0,0,1)*TableauRecette[[#This Row],[fraction mélange]]</f>
        <v/>
      </c>
      <c r="T214">
        <f>_xlfn.XLOOKUP(TableauRecette[[#This Row],[ID]],TableauProduit[ID],TableauProduit[Total (kg) N9],0,0,1)*TableauRecette[[#This Row],[fraction mélange]]</f>
        <v/>
      </c>
    </row>
    <row r="215">
      <c r="A215" t="inlineStr">
        <is>
          <t>Huile massage musculaire</t>
        </is>
      </c>
      <c r="B215">
        <f>TableauRecette[[#This Row],[Recette]]&amp;TableauRecette[[#This Row],[Conditionnement]]</f>
        <v/>
      </c>
      <c r="C215" t="inlineStr">
        <is>
          <t>Masera De Piment</t>
        </is>
      </c>
      <c r="D215" t="n">
        <v>1</v>
      </c>
      <c r="E215" t="inlineStr">
        <is>
          <t>Huile 1L</t>
        </is>
      </c>
      <c r="F21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5">
        <f>IFERROR(_xlfn.XLOOKUP(TableauRecette[[#This Row],[Ingredients]],TableauIngredients[Ingredients],TableauIngredients[Prix d''achat / kg],0)*TableauRecette[[#This Row],[fraction mélange]],0)</f>
        <v/>
      </c>
      <c r="H215">
        <f>IFERROR(SUMIFS(TableauRecette[Proportion],TableauRecette[Recette],TableauRecette[[#This Row],[Recette]],TableauRecette[Conditionnement],TableauRecette[[#This Row],[Conditionnement]]),0)</f>
        <v/>
      </c>
      <c r="I215">
        <f>IFERROR(TableauRecette[[#This Row],[Prix d''achat / kg]],0)</f>
        <v/>
      </c>
      <c r="L215">
        <f>_xlfn.XLOOKUP(TableauRecette[[#This Row],[ID]],TableauProduit[ID],TableauProduit[Total (kg) N1],0,0,1)*TableauRecette[[#This Row],[fraction mélange]]</f>
        <v/>
      </c>
      <c r="M215">
        <f>_xlfn.XLOOKUP(TableauRecette[[#This Row],[ID]],TableauProduit[ID],TableauProduit[Total (kg) N2],0,0,1)*TableauRecette[[#This Row],[fraction mélange]]</f>
        <v/>
      </c>
      <c r="N215">
        <f>_xlfn.XLOOKUP(TableauRecette[[#This Row],[ID]],TableauProduit[ID],TableauProduit[Total (kg) N3],0,0,1)*TableauRecette[[#This Row],[fraction mélange]]</f>
        <v/>
      </c>
      <c r="O215">
        <f>_xlfn.XLOOKUP(TableauRecette[[#This Row],[ID]],TableauProduit[ID],TableauProduit[Total (kg) N4],0,0,1)*TableauRecette[[#This Row],[fraction mélange]]</f>
        <v/>
      </c>
      <c r="P215">
        <f>_xlfn.XLOOKUP(TableauRecette[[#This Row],[ID]],TableauProduit[ID],TableauProduit[Total (kg) N5],0,0,1)*TableauRecette[[#This Row],[fraction mélange]]</f>
        <v/>
      </c>
      <c r="Q215">
        <f>_xlfn.XLOOKUP(TableauRecette[[#This Row],[ID]],TableauProduit[ID],TableauProduit[Total (kg) N6],0,0,1)*TableauRecette[[#This Row],[fraction mélange]]</f>
        <v/>
      </c>
      <c r="R215">
        <f>_xlfn.XLOOKUP(TableauRecette[[#This Row],[ID]],TableauProduit[ID],TableauProduit[Total (kg) N7],0,0,1)*TableauRecette[[#This Row],[fraction mélange]]</f>
        <v/>
      </c>
      <c r="S215">
        <f>_xlfn.XLOOKUP(TableauRecette[[#This Row],[ID]],TableauProduit[ID],TableauProduit[Total (kg) N8],0,0,1)*TableauRecette[[#This Row],[fraction mélange]]</f>
        <v/>
      </c>
      <c r="T215">
        <f>_xlfn.XLOOKUP(TableauRecette[[#This Row],[ID]],TableauProduit[ID],TableauProduit[Total (kg) N9],0,0,1)*TableauRecette[[#This Row],[fraction mélange]]</f>
        <v/>
      </c>
    </row>
    <row r="216">
      <c r="A216" t="inlineStr">
        <is>
          <t>Jamaican Jerk</t>
        </is>
      </c>
      <c r="B216">
        <f>TableauRecette[[#This Row],[Recette]]&amp;TableauRecette[[#This Row],[Conditionnement]]</f>
        <v/>
      </c>
      <c r="C216" t="inlineStr">
        <is>
          <t>Sel</t>
        </is>
      </c>
      <c r="D216" t="n">
        <v>2</v>
      </c>
      <c r="E216" t="inlineStr">
        <is>
          <t>Epice 100ml</t>
        </is>
      </c>
      <c r="F21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6">
        <f>IFERROR(_xlfn.XLOOKUP(TableauRecette[[#This Row],[Ingredients]],TableauIngredients[Ingredients],TableauIngredients[Prix d''achat / kg],0)*TableauRecette[[#This Row],[fraction mélange]],0)</f>
        <v/>
      </c>
      <c r="H216">
        <f>IFERROR(SUMIFS(TableauRecette[Proportion],TableauRecette[Recette],TableauRecette[[#This Row],[Recette]],TableauRecette[Conditionnement],TableauRecette[[#This Row],[Conditionnement]]),0)</f>
        <v/>
      </c>
      <c r="I216">
        <f>IFERROR(TableauRecette[[#This Row],[Prix d''achat / kg]],0)</f>
        <v/>
      </c>
      <c r="L216">
        <f>_xlfn.XLOOKUP(TableauRecette[[#This Row],[ID]],TableauProduit[ID],TableauProduit[Total (kg) N1],0,0,1)*TableauRecette[[#This Row],[fraction mélange]]</f>
        <v/>
      </c>
      <c r="M216">
        <f>_xlfn.XLOOKUP(TableauRecette[[#This Row],[ID]],TableauProduit[ID],TableauProduit[Total (kg) N2],0,0,1)*TableauRecette[[#This Row],[fraction mélange]]</f>
        <v/>
      </c>
      <c r="N216">
        <f>_xlfn.XLOOKUP(TableauRecette[[#This Row],[ID]],TableauProduit[ID],TableauProduit[Total (kg) N3],0,0,1)*TableauRecette[[#This Row],[fraction mélange]]</f>
        <v/>
      </c>
      <c r="O216">
        <f>_xlfn.XLOOKUP(TableauRecette[[#This Row],[ID]],TableauProduit[ID],TableauProduit[Total (kg) N4],0,0,1)*TableauRecette[[#This Row],[fraction mélange]]</f>
        <v/>
      </c>
      <c r="P216">
        <f>_xlfn.XLOOKUP(TableauRecette[[#This Row],[ID]],TableauProduit[ID],TableauProduit[Total (kg) N5],0,0,1)*TableauRecette[[#This Row],[fraction mélange]]</f>
        <v/>
      </c>
      <c r="Q216">
        <f>_xlfn.XLOOKUP(TableauRecette[[#This Row],[ID]],TableauProduit[ID],TableauProduit[Total (kg) N6],0,0,1)*TableauRecette[[#This Row],[fraction mélange]]</f>
        <v/>
      </c>
      <c r="R216">
        <f>_xlfn.XLOOKUP(TableauRecette[[#This Row],[ID]],TableauProduit[ID],TableauProduit[Total (kg) N7],0,0,1)*TableauRecette[[#This Row],[fraction mélange]]</f>
        <v/>
      </c>
      <c r="S216">
        <f>_xlfn.XLOOKUP(TableauRecette[[#This Row],[ID]],TableauProduit[ID],TableauProduit[Total (kg) N8],0,0,1)*TableauRecette[[#This Row],[fraction mélange]]</f>
        <v/>
      </c>
      <c r="T216">
        <f>_xlfn.XLOOKUP(TableauRecette[[#This Row],[ID]],TableauProduit[ID],TableauProduit[Total (kg) N9],0,0,1)*TableauRecette[[#This Row],[fraction mélange]]</f>
        <v/>
      </c>
    </row>
    <row r="217">
      <c r="A217" t="inlineStr">
        <is>
          <t>Jamaican Jerk</t>
        </is>
      </c>
      <c r="B217">
        <f>TableauRecette[[#This Row],[Recette]]&amp;TableauRecette[[#This Row],[Conditionnement]]</f>
        <v/>
      </c>
      <c r="C217" t="inlineStr">
        <is>
          <t>Cassonade</t>
        </is>
      </c>
      <c r="D217" t="n">
        <v>2</v>
      </c>
      <c r="E217" t="inlineStr">
        <is>
          <t>Epice 100ml</t>
        </is>
      </c>
      <c r="F2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7">
        <f>IFERROR(_xlfn.XLOOKUP(TableauRecette[[#This Row],[Ingredients]],TableauIngredients[Ingredients],TableauIngredients[Prix d''achat / kg],0)*TableauRecette[[#This Row],[fraction mélange]],0)</f>
        <v/>
      </c>
      <c r="H217">
        <f>IFERROR(SUMIFS(TableauRecette[Proportion],TableauRecette[Recette],TableauRecette[[#This Row],[Recette]],TableauRecette[Conditionnement],TableauRecette[[#This Row],[Conditionnement]]),0)</f>
        <v/>
      </c>
      <c r="I217">
        <f>IFERROR(TableauRecette[[#This Row],[Prix d''achat / kg]],0)</f>
        <v/>
      </c>
      <c r="L217">
        <f>_xlfn.XLOOKUP(TableauRecette[[#This Row],[ID]],TableauProduit[ID],TableauProduit[Total (kg) N1],0,0,1)*TableauRecette[[#This Row],[fraction mélange]]</f>
        <v/>
      </c>
      <c r="M217">
        <f>_xlfn.XLOOKUP(TableauRecette[[#This Row],[ID]],TableauProduit[ID],TableauProduit[Total (kg) N2],0,0,1)*TableauRecette[[#This Row],[fraction mélange]]</f>
        <v/>
      </c>
      <c r="N217">
        <f>_xlfn.XLOOKUP(TableauRecette[[#This Row],[ID]],TableauProduit[ID],TableauProduit[Total (kg) N3],0,0,1)*TableauRecette[[#This Row],[fraction mélange]]</f>
        <v/>
      </c>
      <c r="O217">
        <f>_xlfn.XLOOKUP(TableauRecette[[#This Row],[ID]],TableauProduit[ID],TableauProduit[Total (kg) N4],0,0,1)*TableauRecette[[#This Row],[fraction mélange]]</f>
        <v/>
      </c>
      <c r="P217">
        <f>_xlfn.XLOOKUP(TableauRecette[[#This Row],[ID]],TableauProduit[ID],TableauProduit[Total (kg) N5],0,0,1)*TableauRecette[[#This Row],[fraction mélange]]</f>
        <v/>
      </c>
      <c r="Q217">
        <f>_xlfn.XLOOKUP(TableauRecette[[#This Row],[ID]],TableauProduit[ID],TableauProduit[Total (kg) N6],0,0,1)*TableauRecette[[#This Row],[fraction mélange]]</f>
        <v/>
      </c>
      <c r="R217">
        <f>_xlfn.XLOOKUP(TableauRecette[[#This Row],[ID]],TableauProduit[ID],TableauProduit[Total (kg) N7],0,0,1)*TableauRecette[[#This Row],[fraction mélange]]</f>
        <v/>
      </c>
      <c r="S217">
        <f>_xlfn.XLOOKUP(TableauRecette[[#This Row],[ID]],TableauProduit[ID],TableauProduit[Total (kg) N8],0,0,1)*TableauRecette[[#This Row],[fraction mélange]]</f>
        <v/>
      </c>
      <c r="T217">
        <f>_xlfn.XLOOKUP(TableauRecette[[#This Row],[ID]],TableauProduit[ID],TableauProduit[Total (kg) N9],0,0,1)*TableauRecette[[#This Row],[fraction mélange]]</f>
        <v/>
      </c>
    </row>
    <row r="218">
      <c r="A218" t="inlineStr">
        <is>
          <t>Jamaican Jerk</t>
        </is>
      </c>
      <c r="B218">
        <f>TableauRecette[[#This Row],[Recette]]&amp;TableauRecette[[#This Row],[Conditionnement]]</f>
        <v/>
      </c>
      <c r="C218" t="inlineStr">
        <is>
          <t>Oignon Séché</t>
        </is>
      </c>
      <c r="D218" t="n">
        <v>2</v>
      </c>
      <c r="E218" t="inlineStr">
        <is>
          <t>Epice 100ml</t>
        </is>
      </c>
      <c r="F21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8">
        <f>IFERROR(_xlfn.XLOOKUP(TableauRecette[[#This Row],[Ingredients]],TableauIngredients[Ingredients],TableauIngredients[Prix d''achat / kg],0)*TableauRecette[[#This Row],[fraction mélange]],0)</f>
        <v/>
      </c>
      <c r="H218">
        <f>IFERROR(SUMIFS(TableauRecette[Proportion],TableauRecette[Recette],TableauRecette[[#This Row],[Recette]],TableauRecette[Conditionnement],TableauRecette[[#This Row],[Conditionnement]]),0)</f>
        <v/>
      </c>
      <c r="I218">
        <f>IFERROR(TableauRecette[[#This Row],[Prix d''achat / kg]],0)</f>
        <v/>
      </c>
      <c r="L218">
        <f>_xlfn.XLOOKUP(TableauRecette[[#This Row],[ID]],TableauProduit[ID],TableauProduit[Total (kg) N1],0,0,1)*TableauRecette[[#This Row],[fraction mélange]]</f>
        <v/>
      </c>
      <c r="M218">
        <f>_xlfn.XLOOKUP(TableauRecette[[#This Row],[ID]],TableauProduit[ID],TableauProduit[Total (kg) N2],0,0,1)*TableauRecette[[#This Row],[fraction mélange]]</f>
        <v/>
      </c>
      <c r="N218">
        <f>_xlfn.XLOOKUP(TableauRecette[[#This Row],[ID]],TableauProduit[ID],TableauProduit[Total (kg) N3],0,0,1)*TableauRecette[[#This Row],[fraction mélange]]</f>
        <v/>
      </c>
      <c r="O218">
        <f>_xlfn.XLOOKUP(TableauRecette[[#This Row],[ID]],TableauProduit[ID],TableauProduit[Total (kg) N4],0,0,1)*TableauRecette[[#This Row],[fraction mélange]]</f>
        <v/>
      </c>
      <c r="P218">
        <f>_xlfn.XLOOKUP(TableauRecette[[#This Row],[ID]],TableauProduit[ID],TableauProduit[Total (kg) N5],0,0,1)*TableauRecette[[#This Row],[fraction mélange]]</f>
        <v/>
      </c>
      <c r="Q218">
        <f>_xlfn.XLOOKUP(TableauRecette[[#This Row],[ID]],TableauProduit[ID],TableauProduit[Total (kg) N6],0,0,1)*TableauRecette[[#This Row],[fraction mélange]]</f>
        <v/>
      </c>
      <c r="R218">
        <f>_xlfn.XLOOKUP(TableauRecette[[#This Row],[ID]],TableauProduit[ID],TableauProduit[Total (kg) N7],0,0,1)*TableauRecette[[#This Row],[fraction mélange]]</f>
        <v/>
      </c>
      <c r="S218">
        <f>_xlfn.XLOOKUP(TableauRecette[[#This Row],[ID]],TableauProduit[ID],TableauProduit[Total (kg) N8],0,0,1)*TableauRecette[[#This Row],[fraction mélange]]</f>
        <v/>
      </c>
      <c r="T218">
        <f>_xlfn.XLOOKUP(TableauRecette[[#This Row],[ID]],TableauProduit[ID],TableauProduit[Total (kg) N9],0,0,1)*TableauRecette[[#This Row],[fraction mélange]]</f>
        <v/>
      </c>
    </row>
    <row r="219">
      <c r="A219" t="inlineStr">
        <is>
          <t>Jamaican Jerk</t>
        </is>
      </c>
      <c r="B219">
        <f>TableauRecette[[#This Row],[Recette]]&amp;TableauRecette[[#This Row],[Conditionnement]]</f>
        <v/>
      </c>
      <c r="C219" t="inlineStr">
        <is>
          <t>Muscade</t>
        </is>
      </c>
      <c r="D219" t="n">
        <v>1.5</v>
      </c>
      <c r="E219" t="inlineStr">
        <is>
          <t>Epice 100ml</t>
        </is>
      </c>
      <c r="F2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9">
        <f>IFERROR(_xlfn.XLOOKUP(TableauRecette[[#This Row],[Ingredients]],TableauIngredients[Ingredients],TableauIngredients[Prix d''achat / kg],0)*TableauRecette[[#This Row],[fraction mélange]],0)</f>
        <v/>
      </c>
      <c r="H219">
        <f>IFERROR(SUMIFS(TableauRecette[Proportion],TableauRecette[Recette],TableauRecette[[#This Row],[Recette]],TableauRecette[Conditionnement],TableauRecette[[#This Row],[Conditionnement]]),0)</f>
        <v/>
      </c>
      <c r="I219">
        <f>IFERROR(TableauRecette[[#This Row],[Prix d''achat / kg]],0)</f>
        <v/>
      </c>
      <c r="L219">
        <f>_xlfn.XLOOKUP(TableauRecette[[#This Row],[ID]],TableauProduit[ID],TableauProduit[Total (kg) N1],0,0,1)*TableauRecette[[#This Row],[fraction mélange]]</f>
        <v/>
      </c>
      <c r="M219">
        <f>_xlfn.XLOOKUP(TableauRecette[[#This Row],[ID]],TableauProduit[ID],TableauProduit[Total (kg) N2],0,0,1)*TableauRecette[[#This Row],[fraction mélange]]</f>
        <v/>
      </c>
      <c r="N219">
        <f>_xlfn.XLOOKUP(TableauRecette[[#This Row],[ID]],TableauProduit[ID],TableauProduit[Total (kg) N3],0,0,1)*TableauRecette[[#This Row],[fraction mélange]]</f>
        <v/>
      </c>
      <c r="O219">
        <f>_xlfn.XLOOKUP(TableauRecette[[#This Row],[ID]],TableauProduit[ID],TableauProduit[Total (kg) N4],0,0,1)*TableauRecette[[#This Row],[fraction mélange]]</f>
        <v/>
      </c>
      <c r="P219">
        <f>_xlfn.XLOOKUP(TableauRecette[[#This Row],[ID]],TableauProduit[ID],TableauProduit[Total (kg) N5],0,0,1)*TableauRecette[[#This Row],[fraction mélange]]</f>
        <v/>
      </c>
      <c r="Q219">
        <f>_xlfn.XLOOKUP(TableauRecette[[#This Row],[ID]],TableauProduit[ID],TableauProduit[Total (kg) N6],0,0,1)*TableauRecette[[#This Row],[fraction mélange]]</f>
        <v/>
      </c>
      <c r="R219">
        <f>_xlfn.XLOOKUP(TableauRecette[[#This Row],[ID]],TableauProduit[ID],TableauProduit[Total (kg) N7],0,0,1)*TableauRecette[[#This Row],[fraction mélange]]</f>
        <v/>
      </c>
      <c r="S219">
        <f>_xlfn.XLOOKUP(TableauRecette[[#This Row],[ID]],TableauProduit[ID],TableauProduit[Total (kg) N8],0,0,1)*TableauRecette[[#This Row],[fraction mélange]]</f>
        <v/>
      </c>
      <c r="T219">
        <f>_xlfn.XLOOKUP(TableauRecette[[#This Row],[ID]],TableauProduit[ID],TableauProduit[Total (kg) N9],0,0,1)*TableauRecette[[#This Row],[fraction mélange]]</f>
        <v/>
      </c>
    </row>
    <row r="220">
      <c r="A220" t="inlineStr">
        <is>
          <t>Jamaican Jerk</t>
        </is>
      </c>
      <c r="B220">
        <f>TableauRecette[[#This Row],[Recette]]&amp;TableauRecette[[#This Row],[Conditionnement]]</f>
        <v/>
      </c>
      <c r="C220" t="inlineStr">
        <is>
          <t>Poivre Noir</t>
        </is>
      </c>
      <c r="D220" t="n">
        <v>1.5</v>
      </c>
      <c r="E220" t="inlineStr">
        <is>
          <t>Epice 100ml</t>
        </is>
      </c>
      <c r="F22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0">
        <f>IFERROR(_xlfn.XLOOKUP(TableauRecette[[#This Row],[Ingredients]],TableauIngredients[Ingredients],TableauIngredients[Prix d''achat / kg],0)*TableauRecette[[#This Row],[fraction mélange]],0)</f>
        <v/>
      </c>
      <c r="H220">
        <f>IFERROR(SUMIFS(TableauRecette[Proportion],TableauRecette[Recette],TableauRecette[[#This Row],[Recette]],TableauRecette[Conditionnement],TableauRecette[[#This Row],[Conditionnement]]),0)</f>
        <v/>
      </c>
      <c r="I220">
        <f>IFERROR(TableauRecette[[#This Row],[Prix d''achat / kg]],0)</f>
        <v/>
      </c>
      <c r="L220">
        <f>_xlfn.XLOOKUP(TableauRecette[[#This Row],[ID]],TableauProduit[ID],TableauProduit[Total (kg) N1],0,0,1)*TableauRecette[[#This Row],[fraction mélange]]</f>
        <v/>
      </c>
      <c r="M220">
        <f>_xlfn.XLOOKUP(TableauRecette[[#This Row],[ID]],TableauProduit[ID],TableauProduit[Total (kg) N2],0,0,1)*TableauRecette[[#This Row],[fraction mélange]]</f>
        <v/>
      </c>
      <c r="N220">
        <f>_xlfn.XLOOKUP(TableauRecette[[#This Row],[ID]],TableauProduit[ID],TableauProduit[Total (kg) N3],0,0,1)*TableauRecette[[#This Row],[fraction mélange]]</f>
        <v/>
      </c>
      <c r="O220">
        <f>_xlfn.XLOOKUP(TableauRecette[[#This Row],[ID]],TableauProduit[ID],TableauProduit[Total (kg) N4],0,0,1)*TableauRecette[[#This Row],[fraction mélange]]</f>
        <v/>
      </c>
      <c r="P220">
        <f>_xlfn.XLOOKUP(TableauRecette[[#This Row],[ID]],TableauProduit[ID],TableauProduit[Total (kg) N5],0,0,1)*TableauRecette[[#This Row],[fraction mélange]]</f>
        <v/>
      </c>
      <c r="Q220">
        <f>_xlfn.XLOOKUP(TableauRecette[[#This Row],[ID]],TableauProduit[ID],TableauProduit[Total (kg) N6],0,0,1)*TableauRecette[[#This Row],[fraction mélange]]</f>
        <v/>
      </c>
      <c r="R220">
        <f>_xlfn.XLOOKUP(TableauRecette[[#This Row],[ID]],TableauProduit[ID],TableauProduit[Total (kg) N7],0,0,1)*TableauRecette[[#This Row],[fraction mélange]]</f>
        <v/>
      </c>
      <c r="S220">
        <f>_xlfn.XLOOKUP(TableauRecette[[#This Row],[ID]],TableauProduit[ID],TableauProduit[Total (kg) N8],0,0,1)*TableauRecette[[#This Row],[fraction mélange]]</f>
        <v/>
      </c>
      <c r="T220">
        <f>_xlfn.XLOOKUP(TableauRecette[[#This Row],[ID]],TableauProduit[ID],TableauProduit[Total (kg) N9],0,0,1)*TableauRecette[[#This Row],[fraction mélange]]</f>
        <v/>
      </c>
    </row>
    <row r="221">
      <c r="A221" t="inlineStr">
        <is>
          <t>Jamaican Jerk</t>
        </is>
      </c>
      <c r="B221">
        <f>TableauRecette[[#This Row],[Recette]]&amp;TableauRecette[[#This Row],[Conditionnement]]</f>
        <v/>
      </c>
      <c r="C221" t="inlineStr">
        <is>
          <t>Piment Œil D'Oiseau</t>
        </is>
      </c>
      <c r="D221" t="n">
        <v>1.5</v>
      </c>
      <c r="E221" t="inlineStr">
        <is>
          <t>Epice 100ml</t>
        </is>
      </c>
      <c r="F22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1">
        <f>IFERROR(_xlfn.XLOOKUP(TableauRecette[[#This Row],[Ingredients]],TableauIngredients[Ingredients],TableauIngredients[Prix d''achat / kg],0)*TableauRecette[[#This Row],[fraction mélange]],0)</f>
        <v/>
      </c>
      <c r="H221">
        <f>IFERROR(SUMIFS(TableauRecette[Proportion],TableauRecette[Recette],TableauRecette[[#This Row],[Recette]],TableauRecette[Conditionnement],TableauRecette[[#This Row],[Conditionnement]]),0)</f>
        <v/>
      </c>
      <c r="I221">
        <f>IFERROR(TableauRecette[[#This Row],[Prix d''achat / kg]],0)</f>
        <v/>
      </c>
      <c r="L221">
        <f>_xlfn.XLOOKUP(TableauRecette[[#This Row],[ID]],TableauProduit[ID],TableauProduit[Total (kg) N1],0,0,1)*TableauRecette[[#This Row],[fraction mélange]]</f>
        <v/>
      </c>
      <c r="M221">
        <f>_xlfn.XLOOKUP(TableauRecette[[#This Row],[ID]],TableauProduit[ID],TableauProduit[Total (kg) N2],0,0,1)*TableauRecette[[#This Row],[fraction mélange]]</f>
        <v/>
      </c>
      <c r="N221">
        <f>_xlfn.XLOOKUP(TableauRecette[[#This Row],[ID]],TableauProduit[ID],TableauProduit[Total (kg) N3],0,0,1)*TableauRecette[[#This Row],[fraction mélange]]</f>
        <v/>
      </c>
      <c r="O221">
        <f>_xlfn.XLOOKUP(TableauRecette[[#This Row],[ID]],TableauProduit[ID],TableauProduit[Total (kg) N4],0,0,1)*TableauRecette[[#This Row],[fraction mélange]]</f>
        <v/>
      </c>
      <c r="P221">
        <f>_xlfn.XLOOKUP(TableauRecette[[#This Row],[ID]],TableauProduit[ID],TableauProduit[Total (kg) N5],0,0,1)*TableauRecette[[#This Row],[fraction mélange]]</f>
        <v/>
      </c>
      <c r="Q221">
        <f>_xlfn.XLOOKUP(TableauRecette[[#This Row],[ID]],TableauProduit[ID],TableauProduit[Total (kg) N6],0,0,1)*TableauRecette[[#This Row],[fraction mélange]]</f>
        <v/>
      </c>
      <c r="R221">
        <f>_xlfn.XLOOKUP(TableauRecette[[#This Row],[ID]],TableauProduit[ID],TableauProduit[Total (kg) N7],0,0,1)*TableauRecette[[#This Row],[fraction mélange]]</f>
        <v/>
      </c>
      <c r="S221">
        <f>_xlfn.XLOOKUP(TableauRecette[[#This Row],[ID]],TableauProduit[ID],TableauProduit[Total (kg) N8],0,0,1)*TableauRecette[[#This Row],[fraction mélange]]</f>
        <v/>
      </c>
      <c r="T221">
        <f>_xlfn.XLOOKUP(TableauRecette[[#This Row],[ID]],TableauProduit[ID],TableauProduit[Total (kg) N9],0,0,1)*TableauRecette[[#This Row],[fraction mélange]]</f>
        <v/>
      </c>
    </row>
    <row r="222">
      <c r="A222" t="inlineStr">
        <is>
          <t>Jamaican Jerk</t>
        </is>
      </c>
      <c r="B222">
        <f>TableauRecette[[#This Row],[Recette]]&amp;TableauRecette[[#This Row],[Conditionnement]]</f>
        <v/>
      </c>
      <c r="C222" t="inlineStr">
        <is>
          <t>Piment De Cayenne Jaune SEC</t>
        </is>
      </c>
      <c r="D222" t="n">
        <v>1.5</v>
      </c>
      <c r="E222" t="inlineStr">
        <is>
          <t>Epice 100ml</t>
        </is>
      </c>
      <c r="F2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2">
        <f>IFERROR(_xlfn.XLOOKUP(TableauRecette[[#This Row],[Ingredients]],TableauIngredients[Ingredients],TableauIngredients[Prix d''achat / kg],0)*TableauRecette[[#This Row],[fraction mélange]],0)</f>
        <v/>
      </c>
      <c r="H222">
        <f>IFERROR(SUMIFS(TableauRecette[Proportion],TableauRecette[Recette],TableauRecette[[#This Row],[Recette]],TableauRecette[Conditionnement],TableauRecette[[#This Row],[Conditionnement]]),0)</f>
        <v/>
      </c>
      <c r="I222">
        <f>IFERROR(TableauRecette[[#This Row],[Prix d''achat / kg]],0)</f>
        <v/>
      </c>
      <c r="K222" t="inlineStr">
        <is>
          <t>SEC</t>
        </is>
      </c>
      <c r="L222">
        <f>_xlfn.XLOOKUP(TableauRecette[[#This Row],[ID]],TableauProduit[ID],TableauProduit[Total (kg) N1],0,0,1)*TableauRecette[[#This Row],[fraction mélange]]</f>
        <v/>
      </c>
      <c r="M222">
        <f>_xlfn.XLOOKUP(TableauRecette[[#This Row],[ID]],TableauProduit[ID],TableauProduit[Total (kg) N2],0,0,1)*TableauRecette[[#This Row],[fraction mélange]]</f>
        <v/>
      </c>
      <c r="N222">
        <f>_xlfn.XLOOKUP(TableauRecette[[#This Row],[ID]],TableauProduit[ID],TableauProduit[Total (kg) N3],0,0,1)*TableauRecette[[#This Row],[fraction mélange]]</f>
        <v/>
      </c>
      <c r="O222">
        <f>_xlfn.XLOOKUP(TableauRecette[[#This Row],[ID]],TableauProduit[ID],TableauProduit[Total (kg) N4],0,0,1)*TableauRecette[[#This Row],[fraction mélange]]</f>
        <v/>
      </c>
      <c r="P222">
        <f>_xlfn.XLOOKUP(TableauRecette[[#This Row],[ID]],TableauProduit[ID],TableauProduit[Total (kg) N5],0,0,1)*TableauRecette[[#This Row],[fraction mélange]]</f>
        <v/>
      </c>
      <c r="Q222">
        <f>_xlfn.XLOOKUP(TableauRecette[[#This Row],[ID]],TableauProduit[ID],TableauProduit[Total (kg) N6],0,0,1)*TableauRecette[[#This Row],[fraction mélange]]</f>
        <v/>
      </c>
      <c r="R222">
        <f>_xlfn.XLOOKUP(TableauRecette[[#This Row],[ID]],TableauProduit[ID],TableauProduit[Total (kg) N7],0,0,1)*TableauRecette[[#This Row],[fraction mélange]]</f>
        <v/>
      </c>
      <c r="S222">
        <f>_xlfn.XLOOKUP(TableauRecette[[#This Row],[ID]],TableauProduit[ID],TableauProduit[Total (kg) N8],0,0,1)*TableauRecette[[#This Row],[fraction mélange]]</f>
        <v/>
      </c>
      <c r="T222">
        <f>_xlfn.XLOOKUP(TableauRecette[[#This Row],[ID]],TableauProduit[ID],TableauProduit[Total (kg) N9],0,0,1)*TableauRecette[[#This Row],[fraction mélange]]</f>
        <v/>
      </c>
    </row>
    <row r="223">
      <c r="A223" t="inlineStr">
        <is>
          <t>Jamaican Jerk</t>
        </is>
      </c>
      <c r="B223">
        <f>TableauRecette[[#This Row],[Recette]]&amp;TableauRecette[[#This Row],[Conditionnement]]</f>
        <v/>
      </c>
      <c r="C223" t="inlineStr">
        <is>
          <t>Gingembre Sec</t>
        </is>
      </c>
      <c r="D223" t="n">
        <v>1</v>
      </c>
      <c r="E223" t="inlineStr">
        <is>
          <t>Epice 100ml</t>
        </is>
      </c>
      <c r="F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3">
        <f>IFERROR(_xlfn.XLOOKUP(TableauRecette[[#This Row],[Ingredients]],TableauIngredients[Ingredients],TableauIngredients[Prix d''achat / kg],0)*TableauRecette[[#This Row],[fraction mélange]],0)</f>
        <v/>
      </c>
      <c r="H223">
        <f>IFERROR(SUMIFS(TableauRecette[Proportion],TableauRecette[Recette],TableauRecette[[#This Row],[Recette]],TableauRecette[Conditionnement],TableauRecette[[#This Row],[Conditionnement]]),0)</f>
        <v/>
      </c>
      <c r="I223">
        <f>IFERROR(TableauRecette[[#This Row],[Prix d''achat / kg]],0)</f>
        <v/>
      </c>
      <c r="K223" t="inlineStr">
        <is>
          <t>SEC</t>
        </is>
      </c>
      <c r="L223">
        <f>_xlfn.XLOOKUP(TableauRecette[[#This Row],[ID]],TableauProduit[ID],TableauProduit[Total (kg) N1],0,0,1)*TableauRecette[[#This Row],[fraction mélange]]</f>
        <v/>
      </c>
      <c r="M223">
        <f>_xlfn.XLOOKUP(TableauRecette[[#This Row],[ID]],TableauProduit[ID],TableauProduit[Total (kg) N2],0,0,1)*TableauRecette[[#This Row],[fraction mélange]]</f>
        <v/>
      </c>
      <c r="N223">
        <f>_xlfn.XLOOKUP(TableauRecette[[#This Row],[ID]],TableauProduit[ID],TableauProduit[Total (kg) N3],0,0,1)*TableauRecette[[#This Row],[fraction mélange]]</f>
        <v/>
      </c>
      <c r="O223">
        <f>_xlfn.XLOOKUP(TableauRecette[[#This Row],[ID]],TableauProduit[ID],TableauProduit[Total (kg) N4],0,0,1)*TableauRecette[[#This Row],[fraction mélange]]</f>
        <v/>
      </c>
      <c r="P223">
        <f>_xlfn.XLOOKUP(TableauRecette[[#This Row],[ID]],TableauProduit[ID],TableauProduit[Total (kg) N5],0,0,1)*TableauRecette[[#This Row],[fraction mélange]]</f>
        <v/>
      </c>
      <c r="Q223">
        <f>_xlfn.XLOOKUP(TableauRecette[[#This Row],[ID]],TableauProduit[ID],TableauProduit[Total (kg) N6],0,0,1)*TableauRecette[[#This Row],[fraction mélange]]</f>
        <v/>
      </c>
      <c r="R223">
        <f>_xlfn.XLOOKUP(TableauRecette[[#This Row],[ID]],TableauProduit[ID],TableauProduit[Total (kg) N7],0,0,1)*TableauRecette[[#This Row],[fraction mélange]]</f>
        <v/>
      </c>
      <c r="S223">
        <f>_xlfn.XLOOKUP(TableauRecette[[#This Row],[ID]],TableauProduit[ID],TableauProduit[Total (kg) N8],0,0,1)*TableauRecette[[#This Row],[fraction mélange]]</f>
        <v/>
      </c>
      <c r="T223">
        <f>_xlfn.XLOOKUP(TableauRecette[[#This Row],[ID]],TableauProduit[ID],TableauProduit[Total (kg) N9],0,0,1)*TableauRecette[[#This Row],[fraction mélange]]</f>
        <v/>
      </c>
    </row>
    <row r="224">
      <c r="A224" t="inlineStr">
        <is>
          <t>Jamaican Jerk</t>
        </is>
      </c>
      <c r="B224">
        <f>TableauRecette[[#This Row],[Recette]]&amp;TableauRecette[[#This Row],[Conditionnement]]</f>
        <v/>
      </c>
      <c r="C224" t="inlineStr">
        <is>
          <t>Thym</t>
        </is>
      </c>
      <c r="D224" t="n">
        <v>1</v>
      </c>
      <c r="E224" t="inlineStr">
        <is>
          <t>Epice 100ml</t>
        </is>
      </c>
      <c r="F2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4">
        <f>IFERROR(_xlfn.XLOOKUP(TableauRecette[[#This Row],[Ingredients]],TableauIngredients[Ingredients],TableauIngredients[Prix d''achat / kg],0)*TableauRecette[[#This Row],[fraction mélange]],0)</f>
        <v/>
      </c>
      <c r="H224">
        <f>IFERROR(SUMIFS(TableauRecette[Proportion],TableauRecette[Recette],TableauRecette[[#This Row],[Recette]],TableauRecette[Conditionnement],TableauRecette[[#This Row],[Conditionnement]]),0)</f>
        <v/>
      </c>
      <c r="I224">
        <f>IFERROR(TableauRecette[[#This Row],[Prix d''achat / kg]],0)</f>
        <v/>
      </c>
      <c r="L224">
        <f>_xlfn.XLOOKUP(TableauRecette[[#This Row],[ID]],TableauProduit[ID],TableauProduit[Total (kg) N1],0,0,1)*TableauRecette[[#This Row],[fraction mélange]]</f>
        <v/>
      </c>
      <c r="M224">
        <f>_xlfn.XLOOKUP(TableauRecette[[#This Row],[ID]],TableauProduit[ID],TableauProduit[Total (kg) N2],0,0,1)*TableauRecette[[#This Row],[fraction mélange]]</f>
        <v/>
      </c>
      <c r="N224">
        <f>_xlfn.XLOOKUP(TableauRecette[[#This Row],[ID]],TableauProduit[ID],TableauProduit[Total (kg) N3],0,0,1)*TableauRecette[[#This Row],[fraction mélange]]</f>
        <v/>
      </c>
      <c r="O224">
        <f>_xlfn.XLOOKUP(TableauRecette[[#This Row],[ID]],TableauProduit[ID],TableauProduit[Total (kg) N4],0,0,1)*TableauRecette[[#This Row],[fraction mélange]]</f>
        <v/>
      </c>
      <c r="P224">
        <f>_xlfn.XLOOKUP(TableauRecette[[#This Row],[ID]],TableauProduit[ID],TableauProduit[Total (kg) N5],0,0,1)*TableauRecette[[#This Row],[fraction mélange]]</f>
        <v/>
      </c>
      <c r="Q224">
        <f>_xlfn.XLOOKUP(TableauRecette[[#This Row],[ID]],TableauProduit[ID],TableauProduit[Total (kg) N6],0,0,1)*TableauRecette[[#This Row],[fraction mélange]]</f>
        <v/>
      </c>
      <c r="R224">
        <f>_xlfn.XLOOKUP(TableauRecette[[#This Row],[ID]],TableauProduit[ID],TableauProduit[Total (kg) N7],0,0,1)*TableauRecette[[#This Row],[fraction mélange]]</f>
        <v/>
      </c>
      <c r="S224">
        <f>_xlfn.XLOOKUP(TableauRecette[[#This Row],[ID]],TableauProduit[ID],TableauProduit[Total (kg) N8],0,0,1)*TableauRecette[[#This Row],[fraction mélange]]</f>
        <v/>
      </c>
      <c r="T224">
        <f>_xlfn.XLOOKUP(TableauRecette[[#This Row],[ID]],TableauProduit[ID],TableauProduit[Total (kg) N9],0,0,1)*TableauRecette[[#This Row],[fraction mélange]]</f>
        <v/>
      </c>
    </row>
    <row r="225">
      <c r="A225" t="inlineStr">
        <is>
          <t>Jamaican Jerk</t>
        </is>
      </c>
      <c r="B225">
        <f>TableauRecette[[#This Row],[Recette]]&amp;TableauRecette[[#This Row],[Conditionnement]]</f>
        <v/>
      </c>
      <c r="C225" t="inlineStr">
        <is>
          <t>Cannelle</t>
        </is>
      </c>
      <c r="D225" t="n">
        <v>1</v>
      </c>
      <c r="E225" t="inlineStr">
        <is>
          <t>Epice 100ml</t>
        </is>
      </c>
      <c r="F22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5">
        <f>IFERROR(_xlfn.XLOOKUP(TableauRecette[[#This Row],[Ingredients]],TableauIngredients[Ingredients],TableauIngredients[Prix d''achat / kg],0)*TableauRecette[[#This Row],[fraction mélange]],0)</f>
        <v/>
      </c>
      <c r="H225">
        <f>IFERROR(SUMIFS(TableauRecette[Proportion],TableauRecette[Recette],TableauRecette[[#This Row],[Recette]],TableauRecette[Conditionnement],TableauRecette[[#This Row],[Conditionnement]]),0)</f>
        <v/>
      </c>
      <c r="I225">
        <f>IFERROR(TableauRecette[[#This Row],[Prix d''achat / kg]],0)</f>
        <v/>
      </c>
      <c r="L225">
        <f>_xlfn.XLOOKUP(TableauRecette[[#This Row],[ID]],TableauProduit[ID],TableauProduit[Total (kg) N1],0,0,1)*TableauRecette[[#This Row],[fraction mélange]]</f>
        <v/>
      </c>
      <c r="M225">
        <f>_xlfn.XLOOKUP(TableauRecette[[#This Row],[ID]],TableauProduit[ID],TableauProduit[Total (kg) N2],0,0,1)*TableauRecette[[#This Row],[fraction mélange]]</f>
        <v/>
      </c>
      <c r="N225">
        <f>_xlfn.XLOOKUP(TableauRecette[[#This Row],[ID]],TableauProduit[ID],TableauProduit[Total (kg) N3],0,0,1)*TableauRecette[[#This Row],[fraction mélange]]</f>
        <v/>
      </c>
      <c r="O225">
        <f>_xlfn.XLOOKUP(TableauRecette[[#This Row],[ID]],TableauProduit[ID],TableauProduit[Total (kg) N4],0,0,1)*TableauRecette[[#This Row],[fraction mélange]]</f>
        <v/>
      </c>
      <c r="P225">
        <f>_xlfn.XLOOKUP(TableauRecette[[#This Row],[ID]],TableauProduit[ID],TableauProduit[Total (kg) N5],0,0,1)*TableauRecette[[#This Row],[fraction mélange]]</f>
        <v/>
      </c>
      <c r="Q225">
        <f>_xlfn.XLOOKUP(TableauRecette[[#This Row],[ID]],TableauProduit[ID],TableauProduit[Total (kg) N6],0,0,1)*TableauRecette[[#This Row],[fraction mélange]]</f>
        <v/>
      </c>
      <c r="R225">
        <f>_xlfn.XLOOKUP(TableauRecette[[#This Row],[ID]],TableauProduit[ID],TableauProduit[Total (kg) N7],0,0,1)*TableauRecette[[#This Row],[fraction mélange]]</f>
        <v/>
      </c>
      <c r="S225">
        <f>_xlfn.XLOOKUP(TableauRecette[[#This Row],[ID]],TableauProduit[ID],TableauProduit[Total (kg) N8],0,0,1)*TableauRecette[[#This Row],[fraction mélange]]</f>
        <v/>
      </c>
      <c r="T225">
        <f>_xlfn.XLOOKUP(TableauRecette[[#This Row],[ID]],TableauProduit[ID],TableauProduit[Total (kg) N9],0,0,1)*TableauRecette[[#This Row],[fraction mélange]]</f>
        <v/>
      </c>
    </row>
    <row r="226">
      <c r="A226" t="inlineStr">
        <is>
          <t>Jamaican Jerk</t>
        </is>
      </c>
      <c r="B226">
        <f>TableauRecette[[#This Row],[Recette]]&amp;TableauRecette[[#This Row],[Conditionnement]]</f>
        <v/>
      </c>
      <c r="C226" t="inlineStr">
        <is>
          <t>Ail Sec</t>
        </is>
      </c>
      <c r="D226" t="n">
        <v>1</v>
      </c>
      <c r="E226" t="inlineStr">
        <is>
          <t>Epice 100ml</t>
        </is>
      </c>
      <c r="F22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6">
        <f>IFERROR(_xlfn.XLOOKUP(TableauRecette[[#This Row],[Ingredients]],TableauIngredients[Ingredients],TableauIngredients[Prix d''achat / kg],0)*TableauRecette[[#This Row],[fraction mélange]],0)</f>
        <v/>
      </c>
      <c r="H226">
        <f>IFERROR(SUMIFS(TableauRecette[Proportion],TableauRecette[Recette],TableauRecette[[#This Row],[Recette]],TableauRecette[Conditionnement],TableauRecette[[#This Row],[Conditionnement]]),0)</f>
        <v/>
      </c>
      <c r="I226">
        <f>IFERROR(TableauRecette[[#This Row],[Prix d''achat / kg]],0)</f>
        <v/>
      </c>
      <c r="K226" t="inlineStr">
        <is>
          <t>SEC</t>
        </is>
      </c>
      <c r="L226">
        <f>_xlfn.XLOOKUP(TableauRecette[[#This Row],[ID]],TableauProduit[ID],TableauProduit[Total (kg) N1],0,0,1)*TableauRecette[[#This Row],[fraction mélange]]</f>
        <v/>
      </c>
      <c r="M226">
        <f>_xlfn.XLOOKUP(TableauRecette[[#This Row],[ID]],TableauProduit[ID],TableauProduit[Total (kg) N2],0,0,1)*TableauRecette[[#This Row],[fraction mélange]]</f>
        <v/>
      </c>
      <c r="N226">
        <f>_xlfn.XLOOKUP(TableauRecette[[#This Row],[ID]],TableauProduit[ID],TableauProduit[Total (kg) N3],0,0,1)*TableauRecette[[#This Row],[fraction mélange]]</f>
        <v/>
      </c>
      <c r="O226">
        <f>_xlfn.XLOOKUP(TableauRecette[[#This Row],[ID]],TableauProduit[ID],TableauProduit[Total (kg) N4],0,0,1)*TableauRecette[[#This Row],[fraction mélange]]</f>
        <v/>
      </c>
      <c r="P226">
        <f>_xlfn.XLOOKUP(TableauRecette[[#This Row],[ID]],TableauProduit[ID],TableauProduit[Total (kg) N5],0,0,1)*TableauRecette[[#This Row],[fraction mélange]]</f>
        <v/>
      </c>
      <c r="Q226">
        <f>_xlfn.XLOOKUP(TableauRecette[[#This Row],[ID]],TableauProduit[ID],TableauProduit[Total (kg) N6],0,0,1)*TableauRecette[[#This Row],[fraction mélange]]</f>
        <v/>
      </c>
      <c r="R226">
        <f>_xlfn.XLOOKUP(TableauRecette[[#This Row],[ID]],TableauProduit[ID],TableauProduit[Total (kg) N7],0,0,1)*TableauRecette[[#This Row],[fraction mélange]]</f>
        <v/>
      </c>
      <c r="S226">
        <f>_xlfn.XLOOKUP(TableauRecette[[#This Row],[ID]],TableauProduit[ID],TableauProduit[Total (kg) N8],0,0,1)*TableauRecette[[#This Row],[fraction mélange]]</f>
        <v/>
      </c>
      <c r="T226">
        <f>_xlfn.XLOOKUP(TableauRecette[[#This Row],[ID]],TableauProduit[ID],TableauProduit[Total (kg) N9],0,0,1)*TableauRecette[[#This Row],[fraction mélange]]</f>
        <v/>
      </c>
    </row>
    <row r="227">
      <c r="A227" t="inlineStr">
        <is>
          <t>Ketchup</t>
        </is>
      </c>
      <c r="B227">
        <f>TableauRecette[[#This Row],[Recette]]&amp;TableauRecette[[#This Row],[Conditionnement]]</f>
        <v/>
      </c>
      <c r="C227" t="inlineStr">
        <is>
          <t>Ail</t>
        </is>
      </c>
      <c r="D227" t="n">
        <v>20</v>
      </c>
      <c r="E227" t="inlineStr">
        <is>
          <t>Piment liquide 250ml</t>
        </is>
      </c>
      <c r="F2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7">
        <f>IFERROR(_xlfn.XLOOKUP(TableauRecette[[#This Row],[Ingredients]],TableauIngredients[Ingredients],TableauIngredients[Prix d''achat / kg],0)*TableauRecette[[#This Row],[fraction mélange]],0)</f>
        <v/>
      </c>
      <c r="H227">
        <f>IFERROR(SUMIFS(TableauRecette[Proportion],TableauRecette[Recette],TableauRecette[[#This Row],[Recette]],TableauRecette[Conditionnement],TableauRecette[[#This Row],[Conditionnement]]),0)</f>
        <v/>
      </c>
      <c r="I227">
        <f>IFERROR(TableauRecette[[#This Row],[Prix d''achat / kg]],0)</f>
        <v/>
      </c>
      <c r="L227">
        <f>_xlfn.XLOOKUP(TableauRecette[[#This Row],[ID]],TableauProduit[ID],TableauProduit[Total (kg) N1],0,0,1)*TableauRecette[[#This Row],[fraction mélange]]</f>
        <v/>
      </c>
      <c r="M227">
        <f>_xlfn.XLOOKUP(TableauRecette[[#This Row],[ID]],TableauProduit[ID],TableauProduit[Total (kg) N2],0,0,1)*TableauRecette[[#This Row],[fraction mélange]]</f>
        <v/>
      </c>
      <c r="N227">
        <f>_xlfn.XLOOKUP(TableauRecette[[#This Row],[ID]],TableauProduit[ID],TableauProduit[Total (kg) N3],0,0,1)*TableauRecette[[#This Row],[fraction mélange]]</f>
        <v/>
      </c>
      <c r="O227">
        <f>_xlfn.XLOOKUP(TableauRecette[[#This Row],[ID]],TableauProduit[ID],TableauProduit[Total (kg) N4],0,0,1)*TableauRecette[[#This Row],[fraction mélange]]</f>
        <v/>
      </c>
      <c r="P227">
        <f>_xlfn.XLOOKUP(TableauRecette[[#This Row],[ID]],TableauProduit[ID],TableauProduit[Total (kg) N5],0,0,1)*TableauRecette[[#This Row],[fraction mélange]]</f>
        <v/>
      </c>
      <c r="Q227">
        <f>_xlfn.XLOOKUP(TableauRecette[[#This Row],[ID]],TableauProduit[ID],TableauProduit[Total (kg) N6],0,0,1)*TableauRecette[[#This Row],[fraction mélange]]</f>
        <v/>
      </c>
      <c r="R227">
        <f>_xlfn.XLOOKUP(TableauRecette[[#This Row],[ID]],TableauProduit[ID],TableauProduit[Total (kg) N7],0,0,1)*TableauRecette[[#This Row],[fraction mélange]]</f>
        <v/>
      </c>
      <c r="S227">
        <f>_xlfn.XLOOKUP(TableauRecette[[#This Row],[ID]],TableauProduit[ID],TableauProduit[Total (kg) N8],0,0,1)*TableauRecette[[#This Row],[fraction mélange]]</f>
        <v/>
      </c>
      <c r="T227">
        <f>_xlfn.XLOOKUP(TableauRecette[[#This Row],[ID]],TableauProduit[ID],TableauProduit[Total (kg) N9],0,0,1)*TableauRecette[[#This Row],[fraction mélange]]</f>
        <v/>
      </c>
    </row>
    <row r="228">
      <c r="A228" t="inlineStr">
        <is>
          <t>Ketchup</t>
        </is>
      </c>
      <c r="B228">
        <f>TableauRecette[[#This Row],[Recette]]&amp;TableauRecette[[#This Row],[Conditionnement]]</f>
        <v/>
      </c>
      <c r="C228" t="inlineStr">
        <is>
          <t>Tomate Rouge</t>
        </is>
      </c>
      <c r="D228" t="n">
        <v>2000</v>
      </c>
      <c r="E228" t="inlineStr">
        <is>
          <t>Piment liquide 250ml</t>
        </is>
      </c>
      <c r="F22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8">
        <f>IFERROR(_xlfn.XLOOKUP(TableauRecette[[#This Row],[Ingredients]],TableauIngredients[Ingredients],TableauIngredients[Prix d''achat / kg],0)*TableauRecette[[#This Row],[fraction mélange]],0)</f>
        <v/>
      </c>
      <c r="H228">
        <f>IFERROR(SUMIFS(TableauRecette[Proportion],TableauRecette[Recette],TableauRecette[[#This Row],[Recette]],TableauRecette[Conditionnement],TableauRecette[[#This Row],[Conditionnement]]),0)</f>
        <v/>
      </c>
      <c r="I228">
        <f>IFERROR(TableauRecette[[#This Row],[Prix d''achat / kg]],0)</f>
        <v/>
      </c>
      <c r="L228">
        <f>_xlfn.XLOOKUP(TableauRecette[[#This Row],[ID]],TableauProduit[ID],TableauProduit[Total (kg) N1],0,0,1)*TableauRecette[[#This Row],[fraction mélange]]</f>
        <v/>
      </c>
      <c r="M228">
        <f>_xlfn.XLOOKUP(TableauRecette[[#This Row],[ID]],TableauProduit[ID],TableauProduit[Total (kg) N2],0,0,1)*TableauRecette[[#This Row],[fraction mélange]]</f>
        <v/>
      </c>
      <c r="N228">
        <f>_xlfn.XLOOKUP(TableauRecette[[#This Row],[ID]],TableauProduit[ID],TableauProduit[Total (kg) N3],0,0,1)*TableauRecette[[#This Row],[fraction mélange]]</f>
        <v/>
      </c>
      <c r="O228">
        <f>_xlfn.XLOOKUP(TableauRecette[[#This Row],[ID]],TableauProduit[ID],TableauProduit[Total (kg) N4],0,0,1)*TableauRecette[[#This Row],[fraction mélange]]</f>
        <v/>
      </c>
      <c r="P228">
        <f>_xlfn.XLOOKUP(TableauRecette[[#This Row],[ID]],TableauProduit[ID],TableauProduit[Total (kg) N5],0,0,1)*TableauRecette[[#This Row],[fraction mélange]]</f>
        <v/>
      </c>
      <c r="Q228">
        <f>_xlfn.XLOOKUP(TableauRecette[[#This Row],[ID]],TableauProduit[ID],TableauProduit[Total (kg) N6],0,0,1)*TableauRecette[[#This Row],[fraction mélange]]</f>
        <v/>
      </c>
      <c r="R228">
        <f>_xlfn.XLOOKUP(TableauRecette[[#This Row],[ID]],TableauProduit[ID],TableauProduit[Total (kg) N7],0,0,1)*TableauRecette[[#This Row],[fraction mélange]]</f>
        <v/>
      </c>
      <c r="S228">
        <f>_xlfn.XLOOKUP(TableauRecette[[#This Row],[ID]],TableauProduit[ID],TableauProduit[Total (kg) N8],0,0,1)*TableauRecette[[#This Row],[fraction mélange]]</f>
        <v/>
      </c>
      <c r="T228">
        <f>_xlfn.XLOOKUP(TableauRecette[[#This Row],[ID]],TableauProduit[ID],TableauProduit[Total (kg) N9],0,0,1)*TableauRecette[[#This Row],[fraction mélange]]</f>
        <v/>
      </c>
    </row>
    <row r="229">
      <c r="A229" t="inlineStr">
        <is>
          <t>Ketchup</t>
        </is>
      </c>
      <c r="B229">
        <f>TableauRecette[[#This Row],[Recette]]&amp;TableauRecette[[#This Row],[Conditionnement]]</f>
        <v/>
      </c>
      <c r="C229" t="inlineStr">
        <is>
          <t>Poivre De Timut</t>
        </is>
      </c>
      <c r="D229" t="n">
        <v>3</v>
      </c>
      <c r="E229" t="inlineStr">
        <is>
          <t>Piment liquide 250ml</t>
        </is>
      </c>
      <c r="F2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9">
        <f>IFERROR(_xlfn.XLOOKUP(TableauRecette[[#This Row],[Ingredients]],TableauIngredients[Ingredients],TableauIngredients[Prix d''achat / kg],0)*TableauRecette[[#This Row],[fraction mélange]],0)</f>
        <v/>
      </c>
      <c r="H229">
        <f>IFERROR(SUMIFS(TableauRecette[Proportion],TableauRecette[Recette],TableauRecette[[#This Row],[Recette]],TableauRecette[Conditionnement],TableauRecette[[#This Row],[Conditionnement]]),0)</f>
        <v/>
      </c>
      <c r="I229">
        <f>IFERROR(TableauRecette[[#This Row],[Prix d''achat / kg]],0)</f>
        <v/>
      </c>
      <c r="L229">
        <f>_xlfn.XLOOKUP(TableauRecette[[#This Row],[ID]],TableauProduit[ID],TableauProduit[Total (kg) N1],0,0,1)*TableauRecette[[#This Row],[fraction mélange]]</f>
        <v/>
      </c>
      <c r="M229">
        <f>_xlfn.XLOOKUP(TableauRecette[[#This Row],[ID]],TableauProduit[ID],TableauProduit[Total (kg) N2],0,0,1)*TableauRecette[[#This Row],[fraction mélange]]</f>
        <v/>
      </c>
      <c r="N229">
        <f>_xlfn.XLOOKUP(TableauRecette[[#This Row],[ID]],TableauProduit[ID],TableauProduit[Total (kg) N3],0,0,1)*TableauRecette[[#This Row],[fraction mélange]]</f>
        <v/>
      </c>
      <c r="O229">
        <f>_xlfn.XLOOKUP(TableauRecette[[#This Row],[ID]],TableauProduit[ID],TableauProduit[Total (kg) N4],0,0,1)*TableauRecette[[#This Row],[fraction mélange]]</f>
        <v/>
      </c>
      <c r="P229">
        <f>_xlfn.XLOOKUP(TableauRecette[[#This Row],[ID]],TableauProduit[ID],TableauProduit[Total (kg) N5],0,0,1)*TableauRecette[[#This Row],[fraction mélange]]</f>
        <v/>
      </c>
      <c r="Q229">
        <f>_xlfn.XLOOKUP(TableauRecette[[#This Row],[ID]],TableauProduit[ID],TableauProduit[Total (kg) N6],0,0,1)*TableauRecette[[#This Row],[fraction mélange]]</f>
        <v/>
      </c>
      <c r="R229">
        <f>_xlfn.XLOOKUP(TableauRecette[[#This Row],[ID]],TableauProduit[ID],TableauProduit[Total (kg) N7],0,0,1)*TableauRecette[[#This Row],[fraction mélange]]</f>
        <v/>
      </c>
      <c r="S229">
        <f>_xlfn.XLOOKUP(TableauRecette[[#This Row],[ID]],TableauProduit[ID],TableauProduit[Total (kg) N8],0,0,1)*TableauRecette[[#This Row],[fraction mélange]]</f>
        <v/>
      </c>
      <c r="T229">
        <f>_xlfn.XLOOKUP(TableauRecette[[#This Row],[ID]],TableauProduit[ID],TableauProduit[Total (kg) N9],0,0,1)*TableauRecette[[#This Row],[fraction mélange]]</f>
        <v/>
      </c>
    </row>
    <row r="230">
      <c r="A230" t="inlineStr">
        <is>
          <t>Ketchup</t>
        </is>
      </c>
      <c r="B230">
        <f>TableauRecette[[#This Row],[Recette]]&amp;TableauRecette[[#This Row],[Conditionnement]]</f>
        <v/>
      </c>
      <c r="C230" t="inlineStr">
        <is>
          <t>Poivre Des Moines</t>
        </is>
      </c>
      <c r="D230" t="n">
        <v>3</v>
      </c>
      <c r="E230" t="inlineStr">
        <is>
          <t>Piment liquide 250ml</t>
        </is>
      </c>
      <c r="F23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0">
        <f>IFERROR(_xlfn.XLOOKUP(TableauRecette[[#This Row],[Ingredients]],TableauIngredients[Ingredients],TableauIngredients[Prix d''achat / kg],0)*TableauRecette[[#This Row],[fraction mélange]],0)</f>
        <v/>
      </c>
      <c r="H230">
        <f>IFERROR(SUMIFS(TableauRecette[Proportion],TableauRecette[Recette],TableauRecette[[#This Row],[Recette]],TableauRecette[Conditionnement],TableauRecette[[#This Row],[Conditionnement]]),0)</f>
        <v/>
      </c>
      <c r="I230">
        <f>IFERROR(TableauRecette[[#This Row],[Prix d''achat / kg]],0)</f>
        <v/>
      </c>
      <c r="L230">
        <f>_xlfn.XLOOKUP(TableauRecette[[#This Row],[ID]],TableauProduit[ID],TableauProduit[Total (kg) N1],0,0,1)*TableauRecette[[#This Row],[fraction mélange]]</f>
        <v/>
      </c>
      <c r="M230">
        <f>_xlfn.XLOOKUP(TableauRecette[[#This Row],[ID]],TableauProduit[ID],TableauProduit[Total (kg) N2],0,0,1)*TableauRecette[[#This Row],[fraction mélange]]</f>
        <v/>
      </c>
      <c r="N230">
        <f>_xlfn.XLOOKUP(TableauRecette[[#This Row],[ID]],TableauProduit[ID],TableauProduit[Total (kg) N3],0,0,1)*TableauRecette[[#This Row],[fraction mélange]]</f>
        <v/>
      </c>
      <c r="O230">
        <f>_xlfn.XLOOKUP(TableauRecette[[#This Row],[ID]],TableauProduit[ID],TableauProduit[Total (kg) N4],0,0,1)*TableauRecette[[#This Row],[fraction mélange]]</f>
        <v/>
      </c>
      <c r="P230">
        <f>_xlfn.XLOOKUP(TableauRecette[[#This Row],[ID]],TableauProduit[ID],TableauProduit[Total (kg) N5],0,0,1)*TableauRecette[[#This Row],[fraction mélange]]</f>
        <v/>
      </c>
      <c r="Q230">
        <f>_xlfn.XLOOKUP(TableauRecette[[#This Row],[ID]],TableauProduit[ID],TableauProduit[Total (kg) N6],0,0,1)*TableauRecette[[#This Row],[fraction mélange]]</f>
        <v/>
      </c>
      <c r="R230">
        <f>_xlfn.XLOOKUP(TableauRecette[[#This Row],[ID]],TableauProduit[ID],TableauProduit[Total (kg) N7],0,0,1)*TableauRecette[[#This Row],[fraction mélange]]</f>
        <v/>
      </c>
      <c r="S230">
        <f>_xlfn.XLOOKUP(TableauRecette[[#This Row],[ID]],TableauProduit[ID],TableauProduit[Total (kg) N8],0,0,1)*TableauRecette[[#This Row],[fraction mélange]]</f>
        <v/>
      </c>
      <c r="T230">
        <f>_xlfn.XLOOKUP(TableauRecette[[#This Row],[ID]],TableauProduit[ID],TableauProduit[Total (kg) N9],0,0,1)*TableauRecette[[#This Row],[fraction mélange]]</f>
        <v/>
      </c>
    </row>
    <row r="231">
      <c r="A231" t="inlineStr">
        <is>
          <t>Ketchup</t>
        </is>
      </c>
      <c r="B231">
        <f>TableauRecette[[#This Row],[Recette]]&amp;TableauRecette[[#This Row],[Conditionnement]]</f>
        <v/>
      </c>
      <c r="C231" t="inlineStr">
        <is>
          <t>Oignon</t>
        </is>
      </c>
      <c r="D231" t="n">
        <v>140</v>
      </c>
      <c r="E231" t="inlineStr">
        <is>
          <t>Piment liquide 250ml</t>
        </is>
      </c>
      <c r="F2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1">
        <f>IFERROR(_xlfn.XLOOKUP(TableauRecette[[#This Row],[Ingredients]],TableauIngredients[Ingredients],TableauIngredients[Prix d''achat / kg],0)*TableauRecette[[#This Row],[fraction mélange]],0)</f>
        <v/>
      </c>
      <c r="H231">
        <f>IFERROR(SUMIFS(TableauRecette[Proportion],TableauRecette[Recette],TableauRecette[[#This Row],[Recette]],TableauRecette[Conditionnement],TableauRecette[[#This Row],[Conditionnement]]),0)</f>
        <v/>
      </c>
      <c r="I231">
        <f>IFERROR(TableauRecette[[#This Row],[Prix d''achat / kg]],0)</f>
        <v/>
      </c>
      <c r="L231">
        <f>_xlfn.XLOOKUP(TableauRecette[[#This Row],[ID]],TableauProduit[ID],TableauProduit[Total (kg) N1],0,0,1)*TableauRecette[[#This Row],[fraction mélange]]</f>
        <v/>
      </c>
      <c r="M231">
        <f>_xlfn.XLOOKUP(TableauRecette[[#This Row],[ID]],TableauProduit[ID],TableauProduit[Total (kg) N2],0,0,1)*TableauRecette[[#This Row],[fraction mélange]]</f>
        <v/>
      </c>
      <c r="N231">
        <f>_xlfn.XLOOKUP(TableauRecette[[#This Row],[ID]],TableauProduit[ID],TableauProduit[Total (kg) N3],0,0,1)*TableauRecette[[#This Row],[fraction mélange]]</f>
        <v/>
      </c>
      <c r="O231">
        <f>_xlfn.XLOOKUP(TableauRecette[[#This Row],[ID]],TableauProduit[ID],TableauProduit[Total (kg) N4],0,0,1)*TableauRecette[[#This Row],[fraction mélange]]</f>
        <v/>
      </c>
      <c r="P231">
        <f>_xlfn.XLOOKUP(TableauRecette[[#This Row],[ID]],TableauProduit[ID],TableauProduit[Total (kg) N5],0,0,1)*TableauRecette[[#This Row],[fraction mélange]]</f>
        <v/>
      </c>
      <c r="Q231">
        <f>_xlfn.XLOOKUP(TableauRecette[[#This Row],[ID]],TableauProduit[ID],TableauProduit[Total (kg) N6],0,0,1)*TableauRecette[[#This Row],[fraction mélange]]</f>
        <v/>
      </c>
      <c r="R231">
        <f>_xlfn.XLOOKUP(TableauRecette[[#This Row],[ID]],TableauProduit[ID],TableauProduit[Total (kg) N7],0,0,1)*TableauRecette[[#This Row],[fraction mélange]]</f>
        <v/>
      </c>
      <c r="S231">
        <f>_xlfn.XLOOKUP(TableauRecette[[#This Row],[ID]],TableauProduit[ID],TableauProduit[Total (kg) N8],0,0,1)*TableauRecette[[#This Row],[fraction mélange]]</f>
        <v/>
      </c>
      <c r="T231">
        <f>_xlfn.XLOOKUP(TableauRecette[[#This Row],[ID]],TableauProduit[ID],TableauProduit[Total (kg) N9],0,0,1)*TableauRecette[[#This Row],[fraction mélange]]</f>
        <v/>
      </c>
    </row>
    <row r="232">
      <c r="A232" t="inlineStr">
        <is>
          <t>Ketchup</t>
        </is>
      </c>
      <c r="B232">
        <f>TableauRecette[[#This Row],[Recette]]&amp;TableauRecette[[#This Row],[Conditionnement]]</f>
        <v/>
      </c>
      <c r="C232" t="inlineStr">
        <is>
          <t>Sel</t>
        </is>
      </c>
      <c r="D232" t="n">
        <v>6</v>
      </c>
      <c r="E232" t="inlineStr">
        <is>
          <t>Piment liquide 250ml</t>
        </is>
      </c>
      <c r="F23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2">
        <f>IFERROR(_xlfn.XLOOKUP(TableauRecette[[#This Row],[Ingredients]],TableauIngredients[Ingredients],TableauIngredients[Prix d''achat / kg],0)*TableauRecette[[#This Row],[fraction mélange]],0)</f>
        <v/>
      </c>
      <c r="H232">
        <f>IFERROR(SUMIFS(TableauRecette[Proportion],TableauRecette[Recette],TableauRecette[[#This Row],[Recette]],TableauRecette[Conditionnement],TableauRecette[[#This Row],[Conditionnement]]),0)</f>
        <v/>
      </c>
      <c r="I232">
        <f>IFERROR(TableauRecette[[#This Row],[Prix d''achat / kg]],0)</f>
        <v/>
      </c>
      <c r="L232">
        <f>_xlfn.XLOOKUP(TableauRecette[[#This Row],[ID]],TableauProduit[ID],TableauProduit[Total (kg) N1],0,0,1)*TableauRecette[[#This Row],[fraction mélange]]</f>
        <v/>
      </c>
      <c r="M232">
        <f>_xlfn.XLOOKUP(TableauRecette[[#This Row],[ID]],TableauProduit[ID],TableauProduit[Total (kg) N2],0,0,1)*TableauRecette[[#This Row],[fraction mélange]]</f>
        <v/>
      </c>
      <c r="N232">
        <f>_xlfn.XLOOKUP(TableauRecette[[#This Row],[ID]],TableauProduit[ID],TableauProduit[Total (kg) N3],0,0,1)*TableauRecette[[#This Row],[fraction mélange]]</f>
        <v/>
      </c>
      <c r="O232">
        <f>_xlfn.XLOOKUP(TableauRecette[[#This Row],[ID]],TableauProduit[ID],TableauProduit[Total (kg) N4],0,0,1)*TableauRecette[[#This Row],[fraction mélange]]</f>
        <v/>
      </c>
      <c r="P232">
        <f>_xlfn.XLOOKUP(TableauRecette[[#This Row],[ID]],TableauProduit[ID],TableauProduit[Total (kg) N5],0,0,1)*TableauRecette[[#This Row],[fraction mélange]]</f>
        <v/>
      </c>
      <c r="Q232">
        <f>_xlfn.XLOOKUP(TableauRecette[[#This Row],[ID]],TableauProduit[ID],TableauProduit[Total (kg) N6],0,0,1)*TableauRecette[[#This Row],[fraction mélange]]</f>
        <v/>
      </c>
      <c r="R232">
        <f>_xlfn.XLOOKUP(TableauRecette[[#This Row],[ID]],TableauProduit[ID],TableauProduit[Total (kg) N7],0,0,1)*TableauRecette[[#This Row],[fraction mélange]]</f>
        <v/>
      </c>
      <c r="S232">
        <f>_xlfn.XLOOKUP(TableauRecette[[#This Row],[ID]],TableauProduit[ID],TableauProduit[Total (kg) N8],0,0,1)*TableauRecette[[#This Row],[fraction mélange]]</f>
        <v/>
      </c>
      <c r="T232">
        <f>_xlfn.XLOOKUP(TableauRecette[[#This Row],[ID]],TableauProduit[ID],TableauProduit[Total (kg) N9],0,0,1)*TableauRecette[[#This Row],[fraction mélange]]</f>
        <v/>
      </c>
    </row>
    <row r="233">
      <c r="A233" t="inlineStr">
        <is>
          <t>Ketchup</t>
        </is>
      </c>
      <c r="B233">
        <f>TableauRecette[[#This Row],[Recette]]&amp;TableauRecette[[#This Row],[Conditionnement]]</f>
        <v/>
      </c>
      <c r="C233" t="inlineStr">
        <is>
          <t>Vinaigre De Cidre</t>
        </is>
      </c>
      <c r="D233" t="n">
        <v>15</v>
      </c>
      <c r="E233" t="inlineStr">
        <is>
          <t>Piment liquide 250ml</t>
        </is>
      </c>
      <c r="F2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3">
        <f>IFERROR(_xlfn.XLOOKUP(TableauRecette[[#This Row],[Ingredients]],TableauIngredients[Ingredients],TableauIngredients[Prix d''achat / kg],0)*TableauRecette[[#This Row],[fraction mélange]],0)</f>
        <v/>
      </c>
      <c r="H233">
        <f>IFERROR(SUMIFS(TableauRecette[Proportion],TableauRecette[Recette],TableauRecette[[#This Row],[Recette]],TableauRecette[Conditionnement],TableauRecette[[#This Row],[Conditionnement]]),0)</f>
        <v/>
      </c>
      <c r="I233">
        <f>IFERROR(TableauRecette[[#This Row],[Prix d''achat / kg]],0)</f>
        <v/>
      </c>
      <c r="L233">
        <f>_xlfn.XLOOKUP(TableauRecette[[#This Row],[ID]],TableauProduit[ID],TableauProduit[Total (kg) N1],0,0,1)*TableauRecette[[#This Row],[fraction mélange]]</f>
        <v/>
      </c>
      <c r="M233">
        <f>_xlfn.XLOOKUP(TableauRecette[[#This Row],[ID]],TableauProduit[ID],TableauProduit[Total (kg) N2],0,0,1)*TableauRecette[[#This Row],[fraction mélange]]</f>
        <v/>
      </c>
      <c r="N233">
        <f>_xlfn.XLOOKUP(TableauRecette[[#This Row],[ID]],TableauProduit[ID],TableauProduit[Total (kg) N3],0,0,1)*TableauRecette[[#This Row],[fraction mélange]]</f>
        <v/>
      </c>
      <c r="O233">
        <f>_xlfn.XLOOKUP(TableauRecette[[#This Row],[ID]],TableauProduit[ID],TableauProduit[Total (kg) N4],0,0,1)*TableauRecette[[#This Row],[fraction mélange]]</f>
        <v/>
      </c>
      <c r="P233">
        <f>_xlfn.XLOOKUP(TableauRecette[[#This Row],[ID]],TableauProduit[ID],TableauProduit[Total (kg) N5],0,0,1)*TableauRecette[[#This Row],[fraction mélange]]</f>
        <v/>
      </c>
      <c r="Q233">
        <f>_xlfn.XLOOKUP(TableauRecette[[#This Row],[ID]],TableauProduit[ID],TableauProduit[Total (kg) N6],0,0,1)*TableauRecette[[#This Row],[fraction mélange]]</f>
        <v/>
      </c>
      <c r="R233">
        <f>_xlfn.XLOOKUP(TableauRecette[[#This Row],[ID]],TableauProduit[ID],TableauProduit[Total (kg) N7],0,0,1)*TableauRecette[[#This Row],[fraction mélange]]</f>
        <v/>
      </c>
      <c r="S233">
        <f>_xlfn.XLOOKUP(TableauRecette[[#This Row],[ID]],TableauProduit[ID],TableauProduit[Total (kg) N8],0,0,1)*TableauRecette[[#This Row],[fraction mélange]]</f>
        <v/>
      </c>
      <c r="T233">
        <f>_xlfn.XLOOKUP(TableauRecette[[#This Row],[ID]],TableauProduit[ID],TableauProduit[Total (kg) N9],0,0,1)*TableauRecette[[#This Row],[fraction mélange]]</f>
        <v/>
      </c>
    </row>
    <row r="234">
      <c r="A234" t="inlineStr">
        <is>
          <t>Ketchup</t>
        </is>
      </c>
      <c r="B234">
        <f>TableauRecette[[#This Row],[Recette]]&amp;TableauRecette[[#This Row],[Conditionnement]]</f>
        <v/>
      </c>
      <c r="C234" t="inlineStr">
        <is>
          <t>Figue</t>
        </is>
      </c>
      <c r="D234" t="n">
        <v>0</v>
      </c>
      <c r="E234" t="inlineStr">
        <is>
          <t>Piment liquide 250ml</t>
        </is>
      </c>
      <c r="F23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4">
        <f>IFERROR(_xlfn.XLOOKUP(TableauRecette[[#This Row],[Ingredients]],TableauIngredients[Ingredients],TableauIngredients[Prix d''achat / kg],0)*TableauRecette[[#This Row],[fraction mélange]],0)</f>
        <v/>
      </c>
      <c r="H234">
        <f>IFERROR(SUMIFS(TableauRecette[Proportion],TableauRecette[Recette],TableauRecette[[#This Row],[Recette]],TableauRecette[Conditionnement],TableauRecette[[#This Row],[Conditionnement]]),0)</f>
        <v/>
      </c>
      <c r="I234">
        <f>IFERROR(TableauRecette[[#This Row],[Prix d''achat / kg]],0)</f>
        <v/>
      </c>
      <c r="L234">
        <f>_xlfn.XLOOKUP(TableauRecette[[#This Row],[ID]],TableauProduit[ID],TableauProduit[Total (kg) N1],0,0,1)*TableauRecette[[#This Row],[fraction mélange]]</f>
        <v/>
      </c>
      <c r="M234">
        <f>_xlfn.XLOOKUP(TableauRecette[[#This Row],[ID]],TableauProduit[ID],TableauProduit[Total (kg) N2],0,0,1)*TableauRecette[[#This Row],[fraction mélange]]</f>
        <v/>
      </c>
      <c r="N234">
        <f>_xlfn.XLOOKUP(TableauRecette[[#This Row],[ID]],TableauProduit[ID],TableauProduit[Total (kg) N3],0,0,1)*TableauRecette[[#This Row],[fraction mélange]]</f>
        <v/>
      </c>
      <c r="O234">
        <f>_xlfn.XLOOKUP(TableauRecette[[#This Row],[ID]],TableauProduit[ID],TableauProduit[Total (kg) N4],0,0,1)*TableauRecette[[#This Row],[fraction mélange]]</f>
        <v/>
      </c>
      <c r="P234">
        <f>_xlfn.XLOOKUP(TableauRecette[[#This Row],[ID]],TableauProduit[ID],TableauProduit[Total (kg) N5],0,0,1)*TableauRecette[[#This Row],[fraction mélange]]</f>
        <v/>
      </c>
      <c r="Q234">
        <f>_xlfn.XLOOKUP(TableauRecette[[#This Row],[ID]],TableauProduit[ID],TableauProduit[Total (kg) N6],0,0,1)*TableauRecette[[#This Row],[fraction mélange]]</f>
        <v/>
      </c>
      <c r="R234">
        <f>_xlfn.XLOOKUP(TableauRecette[[#This Row],[ID]],TableauProduit[ID],TableauProduit[Total (kg) N7],0,0,1)*TableauRecette[[#This Row],[fraction mélange]]</f>
        <v/>
      </c>
      <c r="S234">
        <f>_xlfn.XLOOKUP(TableauRecette[[#This Row],[ID]],TableauProduit[ID],TableauProduit[Total (kg) N8],0,0,1)*TableauRecette[[#This Row],[fraction mélange]]</f>
        <v/>
      </c>
      <c r="T234">
        <f>_xlfn.XLOOKUP(TableauRecette[[#This Row],[ID]],TableauProduit[ID],TableauProduit[Total (kg) N9],0,0,1)*TableauRecette[[#This Row],[fraction mélange]]</f>
        <v/>
      </c>
    </row>
    <row r="235">
      <c r="A235" t="inlineStr">
        <is>
          <t>Moutarde à l'ancienne</t>
        </is>
      </c>
      <c r="B235">
        <f>TableauRecette[[#This Row],[Recette]]&amp;TableauRecette[[#This Row],[Conditionnement]]</f>
        <v/>
      </c>
      <c r="C235" t="inlineStr">
        <is>
          <t>Graine De Moutarde</t>
        </is>
      </c>
      <c r="D235" t="n">
        <v>80</v>
      </c>
      <c r="E235" t="inlineStr">
        <is>
          <t>Moutarde verre 265 ml</t>
        </is>
      </c>
      <c r="F23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5">
        <f>IFERROR(_xlfn.XLOOKUP(TableauRecette[[#This Row],[Ingredients]],TableauIngredients[Ingredients],TableauIngredients[Prix d''achat / kg],0)*TableauRecette[[#This Row],[fraction mélange]],0)</f>
        <v/>
      </c>
      <c r="H235">
        <f>IFERROR(SUMIFS(TableauRecette[Proportion],TableauRecette[Recette],TableauRecette[[#This Row],[Recette]],TableauRecette[Conditionnement],TableauRecette[[#This Row],[Conditionnement]]),0)</f>
        <v/>
      </c>
      <c r="I235">
        <f>IFERROR(TableauRecette[[#This Row],[Prix d''achat / kg]],0)</f>
        <v/>
      </c>
      <c r="L235">
        <f>_xlfn.XLOOKUP(TableauRecette[[#This Row],[ID]],TableauProduit[ID],TableauProduit[Total (kg) N1],0,0,1)*TableauRecette[[#This Row],[fraction mélange]]</f>
        <v/>
      </c>
      <c r="M235">
        <f>_xlfn.XLOOKUP(TableauRecette[[#This Row],[ID]],TableauProduit[ID],TableauProduit[Total (kg) N2],0,0,1)*TableauRecette[[#This Row],[fraction mélange]]</f>
        <v/>
      </c>
      <c r="N235">
        <f>_xlfn.XLOOKUP(TableauRecette[[#This Row],[ID]],TableauProduit[ID],TableauProduit[Total (kg) N3],0,0,1)*TableauRecette[[#This Row],[fraction mélange]]</f>
        <v/>
      </c>
      <c r="O235">
        <f>_xlfn.XLOOKUP(TableauRecette[[#This Row],[ID]],TableauProduit[ID],TableauProduit[Total (kg) N4],0,0,1)*TableauRecette[[#This Row],[fraction mélange]]</f>
        <v/>
      </c>
      <c r="P235">
        <f>_xlfn.XLOOKUP(TableauRecette[[#This Row],[ID]],TableauProduit[ID],TableauProduit[Total (kg) N5],0,0,1)*TableauRecette[[#This Row],[fraction mélange]]</f>
        <v/>
      </c>
      <c r="Q235">
        <f>_xlfn.XLOOKUP(TableauRecette[[#This Row],[ID]],TableauProduit[ID],TableauProduit[Total (kg) N6],0,0,1)*TableauRecette[[#This Row],[fraction mélange]]</f>
        <v/>
      </c>
      <c r="R235">
        <f>_xlfn.XLOOKUP(TableauRecette[[#This Row],[ID]],TableauProduit[ID],TableauProduit[Total (kg) N7],0,0,1)*TableauRecette[[#This Row],[fraction mélange]]</f>
        <v/>
      </c>
      <c r="S235">
        <f>_xlfn.XLOOKUP(TableauRecette[[#This Row],[ID]],TableauProduit[ID],TableauProduit[Total (kg) N8],0,0,1)*TableauRecette[[#This Row],[fraction mélange]]</f>
        <v/>
      </c>
      <c r="T235">
        <f>_xlfn.XLOOKUP(TableauRecette[[#This Row],[ID]],TableauProduit[ID],TableauProduit[Total (kg) N9],0,0,1)*TableauRecette[[#This Row],[fraction mélange]]</f>
        <v/>
      </c>
    </row>
    <row r="236">
      <c r="A236" t="inlineStr">
        <is>
          <t>Moutarde à l'ancienne</t>
        </is>
      </c>
      <c r="B236">
        <f>TableauRecette[[#This Row],[Recette]]&amp;TableauRecette[[#This Row],[Conditionnement]]</f>
        <v/>
      </c>
      <c r="C236" t="inlineStr">
        <is>
          <t>Vinaigre De Cidre</t>
        </is>
      </c>
      <c r="D236" t="n">
        <v>20</v>
      </c>
      <c r="E236" t="inlineStr">
        <is>
          <t>Moutarde verre 265 ml</t>
        </is>
      </c>
      <c r="F23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6">
        <f>IFERROR(_xlfn.XLOOKUP(TableauRecette[[#This Row],[Ingredients]],TableauIngredients[Ingredients],TableauIngredients[Prix d''achat / kg],0)*TableauRecette[[#This Row],[fraction mélange]],0)</f>
        <v/>
      </c>
      <c r="H236">
        <f>IFERROR(SUMIFS(TableauRecette[Proportion],TableauRecette[Recette],TableauRecette[[#This Row],[Recette]],TableauRecette[Conditionnement],TableauRecette[[#This Row],[Conditionnement]]),0)</f>
        <v/>
      </c>
      <c r="I236">
        <f>IFERROR(TableauRecette[[#This Row],[Prix d''achat / kg]],0)</f>
        <v/>
      </c>
      <c r="L236">
        <f>_xlfn.XLOOKUP(TableauRecette[[#This Row],[ID]],TableauProduit[ID],TableauProduit[Total (kg) N1],0,0,1)*TableauRecette[[#This Row],[fraction mélange]]</f>
        <v/>
      </c>
      <c r="M236">
        <f>_xlfn.XLOOKUP(TableauRecette[[#This Row],[ID]],TableauProduit[ID],TableauProduit[Total (kg) N2],0,0,1)*TableauRecette[[#This Row],[fraction mélange]]</f>
        <v/>
      </c>
      <c r="N236">
        <f>_xlfn.XLOOKUP(TableauRecette[[#This Row],[ID]],TableauProduit[ID],TableauProduit[Total (kg) N3],0,0,1)*TableauRecette[[#This Row],[fraction mélange]]</f>
        <v/>
      </c>
      <c r="O236">
        <f>_xlfn.XLOOKUP(TableauRecette[[#This Row],[ID]],TableauProduit[ID],TableauProduit[Total (kg) N4],0,0,1)*TableauRecette[[#This Row],[fraction mélange]]</f>
        <v/>
      </c>
      <c r="P236">
        <f>_xlfn.XLOOKUP(TableauRecette[[#This Row],[ID]],TableauProduit[ID],TableauProduit[Total (kg) N5],0,0,1)*TableauRecette[[#This Row],[fraction mélange]]</f>
        <v/>
      </c>
      <c r="Q236">
        <f>_xlfn.XLOOKUP(TableauRecette[[#This Row],[ID]],TableauProduit[ID],TableauProduit[Total (kg) N6],0,0,1)*TableauRecette[[#This Row],[fraction mélange]]</f>
        <v/>
      </c>
      <c r="R236">
        <f>_xlfn.XLOOKUP(TableauRecette[[#This Row],[ID]],TableauProduit[ID],TableauProduit[Total (kg) N7],0,0,1)*TableauRecette[[#This Row],[fraction mélange]]</f>
        <v/>
      </c>
      <c r="S236">
        <f>_xlfn.XLOOKUP(TableauRecette[[#This Row],[ID]],TableauProduit[ID],TableauProduit[Total (kg) N8],0,0,1)*TableauRecette[[#This Row],[fraction mélange]]</f>
        <v/>
      </c>
      <c r="T236">
        <f>_xlfn.XLOOKUP(TableauRecette[[#This Row],[ID]],TableauProduit[ID],TableauProduit[Total (kg) N9],0,0,1)*TableauRecette[[#This Row],[fraction mélange]]</f>
        <v/>
      </c>
    </row>
    <row r="237">
      <c r="A237" t="inlineStr">
        <is>
          <t>Moutarde à l'ancienne</t>
        </is>
      </c>
      <c r="B237">
        <f>TableauRecette[[#This Row],[Recette]]&amp;TableauRecette[[#This Row],[Conditionnement]]</f>
        <v/>
      </c>
      <c r="C237" t="inlineStr">
        <is>
          <t>Eau</t>
        </is>
      </c>
      <c r="D237" t="n">
        <v>20</v>
      </c>
      <c r="E237" t="inlineStr">
        <is>
          <t>Moutarde verre 265 ml</t>
        </is>
      </c>
      <c r="F23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7">
        <f>IFERROR(_xlfn.XLOOKUP(TableauRecette[[#This Row],[Ingredients]],TableauIngredients[Ingredients],TableauIngredients[Prix d''achat / kg],0)*TableauRecette[[#This Row],[fraction mélange]],0)</f>
        <v/>
      </c>
      <c r="H237">
        <f>IFERROR(SUMIFS(TableauRecette[Proportion],TableauRecette[Recette],TableauRecette[[#This Row],[Recette]],TableauRecette[Conditionnement],TableauRecette[[#This Row],[Conditionnement]]),0)</f>
        <v/>
      </c>
      <c r="I237">
        <f>IFERROR(TableauRecette[[#This Row],[Prix d''achat / kg]],0)</f>
        <v/>
      </c>
      <c r="L237">
        <f>_xlfn.XLOOKUP(TableauRecette[[#This Row],[ID]],TableauProduit[ID],TableauProduit[Total (kg) N1],0,0,1)*TableauRecette[[#This Row],[fraction mélange]]</f>
        <v/>
      </c>
      <c r="M237">
        <f>_xlfn.XLOOKUP(TableauRecette[[#This Row],[ID]],TableauProduit[ID],TableauProduit[Total (kg) N2],0,0,1)*TableauRecette[[#This Row],[fraction mélange]]</f>
        <v/>
      </c>
      <c r="N237">
        <f>_xlfn.XLOOKUP(TableauRecette[[#This Row],[ID]],TableauProduit[ID],TableauProduit[Total (kg) N3],0,0,1)*TableauRecette[[#This Row],[fraction mélange]]</f>
        <v/>
      </c>
      <c r="O237">
        <f>_xlfn.XLOOKUP(TableauRecette[[#This Row],[ID]],TableauProduit[ID],TableauProduit[Total (kg) N4],0,0,1)*TableauRecette[[#This Row],[fraction mélange]]</f>
        <v/>
      </c>
      <c r="P237">
        <f>_xlfn.XLOOKUP(TableauRecette[[#This Row],[ID]],TableauProduit[ID],TableauProduit[Total (kg) N5],0,0,1)*TableauRecette[[#This Row],[fraction mélange]]</f>
        <v/>
      </c>
      <c r="Q237">
        <f>_xlfn.XLOOKUP(TableauRecette[[#This Row],[ID]],TableauProduit[ID],TableauProduit[Total (kg) N6],0,0,1)*TableauRecette[[#This Row],[fraction mélange]]</f>
        <v/>
      </c>
      <c r="R237">
        <f>_xlfn.XLOOKUP(TableauRecette[[#This Row],[ID]],TableauProduit[ID],TableauProduit[Total (kg) N7],0,0,1)*TableauRecette[[#This Row],[fraction mélange]]</f>
        <v/>
      </c>
      <c r="S237">
        <f>_xlfn.XLOOKUP(TableauRecette[[#This Row],[ID]],TableauProduit[ID],TableauProduit[Total (kg) N8],0,0,1)*TableauRecette[[#This Row],[fraction mélange]]</f>
        <v/>
      </c>
      <c r="T237">
        <f>_xlfn.XLOOKUP(TableauRecette[[#This Row],[ID]],TableauProduit[ID],TableauProduit[Total (kg) N9],0,0,1)*TableauRecette[[#This Row],[fraction mélange]]</f>
        <v/>
      </c>
    </row>
    <row r="238">
      <c r="A238" t="inlineStr">
        <is>
          <t>Moutarde à l'ancienne</t>
        </is>
      </c>
      <c r="B238">
        <f>TableauRecette[[#This Row],[Recette]]&amp;TableauRecette[[#This Row],[Conditionnement]]</f>
        <v/>
      </c>
      <c r="C238" t="inlineStr">
        <is>
          <t>Sel</t>
        </is>
      </c>
      <c r="D238" t="n">
        <v>15</v>
      </c>
      <c r="E238" t="inlineStr">
        <is>
          <t>Moutarde verre 265 ml</t>
        </is>
      </c>
      <c r="F23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8">
        <f>IFERROR(_xlfn.XLOOKUP(TableauRecette[[#This Row],[Ingredients]],TableauIngredients[Ingredients],TableauIngredients[Prix d''achat / kg],0)*TableauRecette[[#This Row],[fraction mélange]],0)</f>
        <v/>
      </c>
      <c r="H238">
        <f>IFERROR(SUMIFS(TableauRecette[Proportion],TableauRecette[Recette],TableauRecette[[#This Row],[Recette]],TableauRecette[Conditionnement],TableauRecette[[#This Row],[Conditionnement]]),0)</f>
        <v/>
      </c>
      <c r="I238">
        <f>IFERROR(TableauRecette[[#This Row],[Prix d''achat / kg]],0)</f>
        <v/>
      </c>
      <c r="L238">
        <f>_xlfn.XLOOKUP(TableauRecette[[#This Row],[ID]],TableauProduit[ID],TableauProduit[Total (kg) N1],0,0,1)*TableauRecette[[#This Row],[fraction mélange]]</f>
        <v/>
      </c>
      <c r="M238">
        <f>_xlfn.XLOOKUP(TableauRecette[[#This Row],[ID]],TableauProduit[ID],TableauProduit[Total (kg) N2],0,0,1)*TableauRecette[[#This Row],[fraction mélange]]</f>
        <v/>
      </c>
      <c r="N238">
        <f>_xlfn.XLOOKUP(TableauRecette[[#This Row],[ID]],TableauProduit[ID],TableauProduit[Total (kg) N3],0,0,1)*TableauRecette[[#This Row],[fraction mélange]]</f>
        <v/>
      </c>
      <c r="O238">
        <f>_xlfn.XLOOKUP(TableauRecette[[#This Row],[ID]],TableauProduit[ID],TableauProduit[Total (kg) N4],0,0,1)*TableauRecette[[#This Row],[fraction mélange]]</f>
        <v/>
      </c>
      <c r="P238">
        <f>_xlfn.XLOOKUP(TableauRecette[[#This Row],[ID]],TableauProduit[ID],TableauProduit[Total (kg) N5],0,0,1)*TableauRecette[[#This Row],[fraction mélange]]</f>
        <v/>
      </c>
      <c r="Q238">
        <f>_xlfn.XLOOKUP(TableauRecette[[#This Row],[ID]],TableauProduit[ID],TableauProduit[Total (kg) N6],0,0,1)*TableauRecette[[#This Row],[fraction mélange]]</f>
        <v/>
      </c>
      <c r="R238">
        <f>_xlfn.XLOOKUP(TableauRecette[[#This Row],[ID]],TableauProduit[ID],TableauProduit[Total (kg) N7],0,0,1)*TableauRecette[[#This Row],[fraction mélange]]</f>
        <v/>
      </c>
      <c r="S238">
        <f>_xlfn.XLOOKUP(TableauRecette[[#This Row],[ID]],TableauProduit[ID],TableauProduit[Total (kg) N8],0,0,1)*TableauRecette[[#This Row],[fraction mélange]]</f>
        <v/>
      </c>
      <c r="T238">
        <f>_xlfn.XLOOKUP(TableauRecette[[#This Row],[ID]],TableauProduit[ID],TableauProduit[Total (kg) N9],0,0,1)*TableauRecette[[#This Row],[fraction mélange]]</f>
        <v/>
      </c>
    </row>
    <row r="239">
      <c r="A239" t="inlineStr">
        <is>
          <t>Moutarde à l'estragon</t>
        </is>
      </c>
      <c r="B239">
        <f>TableauRecette[[#This Row],[Recette]]&amp;TableauRecette[[#This Row],[Conditionnement]]</f>
        <v/>
      </c>
      <c r="C239" t="inlineStr">
        <is>
          <t>Graine De Moutarde</t>
        </is>
      </c>
      <c r="D239" t="n">
        <v>80</v>
      </c>
      <c r="E239" t="inlineStr">
        <is>
          <t>Moutarde verre 212 ml</t>
        </is>
      </c>
      <c r="F23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9">
        <f>IFERROR(_xlfn.XLOOKUP(TableauRecette[[#This Row],[Ingredients]],TableauIngredients[Ingredients],TableauIngredients[Prix d''achat / kg],0)*TableauRecette[[#This Row],[fraction mélange]],0)</f>
        <v/>
      </c>
      <c r="H239">
        <f>IFERROR(SUMIFS(TableauRecette[Proportion],TableauRecette[Recette],TableauRecette[[#This Row],[Recette]],TableauRecette[Conditionnement],TableauRecette[[#This Row],[Conditionnement]]),0)</f>
        <v/>
      </c>
      <c r="I239">
        <f>IFERROR(TableauRecette[[#This Row],[Prix d''achat / kg]],0)</f>
        <v/>
      </c>
      <c r="L239">
        <f>_xlfn.XLOOKUP(TableauRecette[[#This Row],[ID]],TableauProduit[ID],TableauProduit[Total (kg) N1],0,0,1)*TableauRecette[[#This Row],[fraction mélange]]</f>
        <v/>
      </c>
      <c r="M239">
        <f>_xlfn.XLOOKUP(TableauRecette[[#This Row],[ID]],TableauProduit[ID],TableauProduit[Total (kg) N2],0,0,1)*TableauRecette[[#This Row],[fraction mélange]]</f>
        <v/>
      </c>
      <c r="N239">
        <f>_xlfn.XLOOKUP(TableauRecette[[#This Row],[ID]],TableauProduit[ID],TableauProduit[Total (kg) N3],0,0,1)*TableauRecette[[#This Row],[fraction mélange]]</f>
        <v/>
      </c>
      <c r="O239">
        <f>_xlfn.XLOOKUP(TableauRecette[[#This Row],[ID]],TableauProduit[ID],TableauProduit[Total (kg) N4],0,0,1)*TableauRecette[[#This Row],[fraction mélange]]</f>
        <v/>
      </c>
      <c r="P239">
        <f>_xlfn.XLOOKUP(TableauRecette[[#This Row],[ID]],TableauProduit[ID],TableauProduit[Total (kg) N5],0,0,1)*TableauRecette[[#This Row],[fraction mélange]]</f>
        <v/>
      </c>
      <c r="Q239">
        <f>_xlfn.XLOOKUP(TableauRecette[[#This Row],[ID]],TableauProduit[ID],TableauProduit[Total (kg) N6],0,0,1)*TableauRecette[[#This Row],[fraction mélange]]</f>
        <v/>
      </c>
      <c r="R239">
        <f>_xlfn.XLOOKUP(TableauRecette[[#This Row],[ID]],TableauProduit[ID],TableauProduit[Total (kg) N7],0,0,1)*TableauRecette[[#This Row],[fraction mélange]]</f>
        <v/>
      </c>
      <c r="S239">
        <f>_xlfn.XLOOKUP(TableauRecette[[#This Row],[ID]],TableauProduit[ID],TableauProduit[Total (kg) N8],0,0,1)*TableauRecette[[#This Row],[fraction mélange]]</f>
        <v/>
      </c>
      <c r="T239">
        <f>_xlfn.XLOOKUP(TableauRecette[[#This Row],[ID]],TableauProduit[ID],TableauProduit[Total (kg) N9],0,0,1)*TableauRecette[[#This Row],[fraction mélange]]</f>
        <v/>
      </c>
    </row>
    <row r="240">
      <c r="A240" t="inlineStr">
        <is>
          <t>Moutarde à l'estragon</t>
        </is>
      </c>
      <c r="B240">
        <f>TableauRecette[[#This Row],[Recette]]&amp;TableauRecette[[#This Row],[Conditionnement]]</f>
        <v/>
      </c>
      <c r="C240" t="inlineStr">
        <is>
          <t>Vinaigre De Cidre</t>
        </is>
      </c>
      <c r="D240" t="n">
        <v>20</v>
      </c>
      <c r="E240" t="inlineStr">
        <is>
          <t>Moutarde verre 212 ml</t>
        </is>
      </c>
      <c r="F24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0">
        <f>IFERROR(_xlfn.XLOOKUP(TableauRecette[[#This Row],[Ingredients]],TableauIngredients[Ingredients],TableauIngredients[Prix d''achat / kg],0)*TableauRecette[[#This Row],[fraction mélange]],0)</f>
        <v/>
      </c>
      <c r="H240">
        <f>IFERROR(SUMIFS(TableauRecette[Proportion],TableauRecette[Recette],TableauRecette[[#This Row],[Recette]],TableauRecette[Conditionnement],TableauRecette[[#This Row],[Conditionnement]]),0)</f>
        <v/>
      </c>
      <c r="I240">
        <f>IFERROR(TableauRecette[[#This Row],[Prix d''achat / kg]],0)</f>
        <v/>
      </c>
      <c r="L240">
        <f>_xlfn.XLOOKUP(TableauRecette[[#This Row],[ID]],TableauProduit[ID],TableauProduit[Total (kg) N1],0,0,1)*TableauRecette[[#This Row],[fraction mélange]]</f>
        <v/>
      </c>
      <c r="M240">
        <f>_xlfn.XLOOKUP(TableauRecette[[#This Row],[ID]],TableauProduit[ID],TableauProduit[Total (kg) N2],0,0,1)*TableauRecette[[#This Row],[fraction mélange]]</f>
        <v/>
      </c>
      <c r="N240">
        <f>_xlfn.XLOOKUP(TableauRecette[[#This Row],[ID]],TableauProduit[ID],TableauProduit[Total (kg) N3],0,0,1)*TableauRecette[[#This Row],[fraction mélange]]</f>
        <v/>
      </c>
      <c r="O240">
        <f>_xlfn.XLOOKUP(TableauRecette[[#This Row],[ID]],TableauProduit[ID],TableauProduit[Total (kg) N4],0,0,1)*TableauRecette[[#This Row],[fraction mélange]]</f>
        <v/>
      </c>
      <c r="P240">
        <f>_xlfn.XLOOKUP(TableauRecette[[#This Row],[ID]],TableauProduit[ID],TableauProduit[Total (kg) N5],0,0,1)*TableauRecette[[#This Row],[fraction mélange]]</f>
        <v/>
      </c>
      <c r="Q240">
        <f>_xlfn.XLOOKUP(TableauRecette[[#This Row],[ID]],TableauProduit[ID],TableauProduit[Total (kg) N6],0,0,1)*TableauRecette[[#This Row],[fraction mélange]]</f>
        <v/>
      </c>
      <c r="R240">
        <f>_xlfn.XLOOKUP(TableauRecette[[#This Row],[ID]],TableauProduit[ID],TableauProduit[Total (kg) N7],0,0,1)*TableauRecette[[#This Row],[fraction mélange]]</f>
        <v/>
      </c>
      <c r="S240">
        <f>_xlfn.XLOOKUP(TableauRecette[[#This Row],[ID]],TableauProduit[ID],TableauProduit[Total (kg) N8],0,0,1)*TableauRecette[[#This Row],[fraction mélange]]</f>
        <v/>
      </c>
      <c r="T240">
        <f>_xlfn.XLOOKUP(TableauRecette[[#This Row],[ID]],TableauProduit[ID],TableauProduit[Total (kg) N9],0,0,1)*TableauRecette[[#This Row],[fraction mélange]]</f>
        <v/>
      </c>
    </row>
    <row r="241">
      <c r="A241" t="inlineStr">
        <is>
          <t>Moutarde à l'estragon</t>
        </is>
      </c>
      <c r="B241">
        <f>TableauRecette[[#This Row],[Recette]]&amp;TableauRecette[[#This Row],[Conditionnement]]</f>
        <v/>
      </c>
      <c r="C241" t="inlineStr">
        <is>
          <t>Eau</t>
        </is>
      </c>
      <c r="D241" t="n">
        <v>80</v>
      </c>
      <c r="E241" t="inlineStr">
        <is>
          <t>Moutarde verre 212 ml</t>
        </is>
      </c>
      <c r="F24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1">
        <f>IFERROR(_xlfn.XLOOKUP(TableauRecette[[#This Row],[Ingredients]],TableauIngredients[Ingredients],TableauIngredients[Prix d''achat / kg],0)*TableauRecette[[#This Row],[fraction mélange]],0)</f>
        <v/>
      </c>
      <c r="H241">
        <f>IFERROR(SUMIFS(TableauRecette[Proportion],TableauRecette[Recette],TableauRecette[[#This Row],[Recette]],TableauRecette[Conditionnement],TableauRecette[[#This Row],[Conditionnement]]),0)</f>
        <v/>
      </c>
      <c r="I241">
        <f>IFERROR(TableauRecette[[#This Row],[Prix d''achat / kg]],0)</f>
        <v/>
      </c>
      <c r="L241">
        <f>_xlfn.XLOOKUP(TableauRecette[[#This Row],[ID]],TableauProduit[ID],TableauProduit[Total (kg) N1],0,0,1)*TableauRecette[[#This Row],[fraction mélange]]</f>
        <v/>
      </c>
      <c r="M241">
        <f>_xlfn.XLOOKUP(TableauRecette[[#This Row],[ID]],TableauProduit[ID],TableauProduit[Total (kg) N2],0,0,1)*TableauRecette[[#This Row],[fraction mélange]]</f>
        <v/>
      </c>
      <c r="N241">
        <f>_xlfn.XLOOKUP(TableauRecette[[#This Row],[ID]],TableauProduit[ID],TableauProduit[Total (kg) N3],0,0,1)*TableauRecette[[#This Row],[fraction mélange]]</f>
        <v/>
      </c>
      <c r="O241">
        <f>_xlfn.XLOOKUP(TableauRecette[[#This Row],[ID]],TableauProduit[ID],TableauProduit[Total (kg) N4],0,0,1)*TableauRecette[[#This Row],[fraction mélange]]</f>
        <v/>
      </c>
      <c r="P241">
        <f>_xlfn.XLOOKUP(TableauRecette[[#This Row],[ID]],TableauProduit[ID],TableauProduit[Total (kg) N5],0,0,1)*TableauRecette[[#This Row],[fraction mélange]]</f>
        <v/>
      </c>
      <c r="Q241">
        <f>_xlfn.XLOOKUP(TableauRecette[[#This Row],[ID]],TableauProduit[ID],TableauProduit[Total (kg) N6],0,0,1)*TableauRecette[[#This Row],[fraction mélange]]</f>
        <v/>
      </c>
      <c r="R241">
        <f>_xlfn.XLOOKUP(TableauRecette[[#This Row],[ID]],TableauProduit[ID],TableauProduit[Total (kg) N7],0,0,1)*TableauRecette[[#This Row],[fraction mélange]]</f>
        <v/>
      </c>
      <c r="S241">
        <f>_xlfn.XLOOKUP(TableauRecette[[#This Row],[ID]],TableauProduit[ID],TableauProduit[Total (kg) N8],0,0,1)*TableauRecette[[#This Row],[fraction mélange]]</f>
        <v/>
      </c>
      <c r="T241">
        <f>_xlfn.XLOOKUP(TableauRecette[[#This Row],[ID]],TableauProduit[ID],TableauProduit[Total (kg) N9],0,0,1)*TableauRecette[[#This Row],[fraction mélange]]</f>
        <v/>
      </c>
    </row>
    <row r="242">
      <c r="A242" t="inlineStr">
        <is>
          <t>Moutarde à l'estragon</t>
        </is>
      </c>
      <c r="B242">
        <f>TableauRecette[[#This Row],[Recette]]&amp;TableauRecette[[#This Row],[Conditionnement]]</f>
        <v/>
      </c>
      <c r="C242" t="inlineStr">
        <is>
          <t>Sel</t>
        </is>
      </c>
      <c r="D242" t="n">
        <v>15</v>
      </c>
      <c r="E242" t="inlineStr">
        <is>
          <t>Moutarde verre 212 ml</t>
        </is>
      </c>
      <c r="F24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2">
        <f>IFERROR(_xlfn.XLOOKUP(TableauRecette[[#This Row],[Ingredients]],TableauIngredients[Ingredients],TableauIngredients[Prix d''achat / kg],0)*TableauRecette[[#This Row],[fraction mélange]],0)</f>
        <v/>
      </c>
      <c r="H242">
        <f>IFERROR(SUMIFS(TableauRecette[Proportion],TableauRecette[Recette],TableauRecette[[#This Row],[Recette]],TableauRecette[Conditionnement],TableauRecette[[#This Row],[Conditionnement]]),0)</f>
        <v/>
      </c>
      <c r="I242">
        <f>IFERROR(TableauRecette[[#This Row],[Prix d''achat / kg]],0)</f>
        <v/>
      </c>
      <c r="L242">
        <f>_xlfn.XLOOKUP(TableauRecette[[#This Row],[ID]],TableauProduit[ID],TableauProduit[Total (kg) N1],0,0,1)*TableauRecette[[#This Row],[fraction mélange]]</f>
        <v/>
      </c>
      <c r="M242">
        <f>_xlfn.XLOOKUP(TableauRecette[[#This Row],[ID]],TableauProduit[ID],TableauProduit[Total (kg) N2],0,0,1)*TableauRecette[[#This Row],[fraction mélange]]</f>
        <v/>
      </c>
      <c r="N242">
        <f>_xlfn.XLOOKUP(TableauRecette[[#This Row],[ID]],TableauProduit[ID],TableauProduit[Total (kg) N3],0,0,1)*TableauRecette[[#This Row],[fraction mélange]]</f>
        <v/>
      </c>
      <c r="O242">
        <f>_xlfn.XLOOKUP(TableauRecette[[#This Row],[ID]],TableauProduit[ID],TableauProduit[Total (kg) N4],0,0,1)*TableauRecette[[#This Row],[fraction mélange]]</f>
        <v/>
      </c>
      <c r="P242">
        <f>_xlfn.XLOOKUP(TableauRecette[[#This Row],[ID]],TableauProduit[ID],TableauProduit[Total (kg) N5],0,0,1)*TableauRecette[[#This Row],[fraction mélange]]</f>
        <v/>
      </c>
      <c r="Q242">
        <f>_xlfn.XLOOKUP(TableauRecette[[#This Row],[ID]],TableauProduit[ID],TableauProduit[Total (kg) N6],0,0,1)*TableauRecette[[#This Row],[fraction mélange]]</f>
        <v/>
      </c>
      <c r="R242">
        <f>_xlfn.XLOOKUP(TableauRecette[[#This Row],[ID]],TableauProduit[ID],TableauProduit[Total (kg) N7],0,0,1)*TableauRecette[[#This Row],[fraction mélange]]</f>
        <v/>
      </c>
      <c r="S242">
        <f>_xlfn.XLOOKUP(TableauRecette[[#This Row],[ID]],TableauProduit[ID],TableauProduit[Total (kg) N8],0,0,1)*TableauRecette[[#This Row],[fraction mélange]]</f>
        <v/>
      </c>
      <c r="T242">
        <f>_xlfn.XLOOKUP(TableauRecette[[#This Row],[ID]],TableauProduit[ID],TableauProduit[Total (kg) N9],0,0,1)*TableauRecette[[#This Row],[fraction mélange]]</f>
        <v/>
      </c>
    </row>
    <row r="243">
      <c r="A243" t="inlineStr">
        <is>
          <t>Moutarde à l'estragon</t>
        </is>
      </c>
      <c r="B243">
        <f>TableauRecette[[#This Row],[Recette]]&amp;TableauRecette[[#This Row],[Conditionnement]]</f>
        <v/>
      </c>
      <c r="C243" t="inlineStr">
        <is>
          <t>Estragon</t>
        </is>
      </c>
      <c r="D243" t="n">
        <v>5</v>
      </c>
      <c r="E243" t="inlineStr">
        <is>
          <t>Moutarde verre 212 ml</t>
        </is>
      </c>
      <c r="F24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3">
        <f>IFERROR(_xlfn.XLOOKUP(TableauRecette[[#This Row],[Ingredients]],TableauIngredients[Ingredients],TableauIngredients[Prix d''achat / kg],0)*TableauRecette[[#This Row],[fraction mélange]],0)</f>
        <v/>
      </c>
      <c r="H243">
        <f>IFERROR(SUMIFS(TableauRecette[Proportion],TableauRecette[Recette],TableauRecette[[#This Row],[Recette]],TableauRecette[Conditionnement],TableauRecette[[#This Row],[Conditionnement]]),0)</f>
        <v/>
      </c>
      <c r="I243">
        <f>IFERROR(TableauRecette[[#This Row],[Prix d''achat / kg]],0)</f>
        <v/>
      </c>
      <c r="L243">
        <f>_xlfn.XLOOKUP(TableauRecette[[#This Row],[ID]],TableauProduit[ID],TableauProduit[Total (kg) N1],0,0,1)*TableauRecette[[#This Row],[fraction mélange]]</f>
        <v/>
      </c>
      <c r="M243">
        <f>_xlfn.XLOOKUP(TableauRecette[[#This Row],[ID]],TableauProduit[ID],TableauProduit[Total (kg) N2],0,0,1)*TableauRecette[[#This Row],[fraction mélange]]</f>
        <v/>
      </c>
      <c r="N243">
        <f>_xlfn.XLOOKUP(TableauRecette[[#This Row],[ID]],TableauProduit[ID],TableauProduit[Total (kg) N3],0,0,1)*TableauRecette[[#This Row],[fraction mélange]]</f>
        <v/>
      </c>
      <c r="O243">
        <f>_xlfn.XLOOKUP(TableauRecette[[#This Row],[ID]],TableauProduit[ID],TableauProduit[Total (kg) N4],0,0,1)*TableauRecette[[#This Row],[fraction mélange]]</f>
        <v/>
      </c>
      <c r="P243">
        <f>_xlfn.XLOOKUP(TableauRecette[[#This Row],[ID]],TableauProduit[ID],TableauProduit[Total (kg) N5],0,0,1)*TableauRecette[[#This Row],[fraction mélange]]</f>
        <v/>
      </c>
      <c r="Q243">
        <f>_xlfn.XLOOKUP(TableauRecette[[#This Row],[ID]],TableauProduit[ID],TableauProduit[Total (kg) N6],0,0,1)*TableauRecette[[#This Row],[fraction mélange]]</f>
        <v/>
      </c>
      <c r="R243">
        <f>_xlfn.XLOOKUP(TableauRecette[[#This Row],[ID]],TableauProduit[ID],TableauProduit[Total (kg) N7],0,0,1)*TableauRecette[[#This Row],[fraction mélange]]</f>
        <v/>
      </c>
      <c r="S243">
        <f>_xlfn.XLOOKUP(TableauRecette[[#This Row],[ID]],TableauProduit[ID],TableauProduit[Total (kg) N8],0,0,1)*TableauRecette[[#This Row],[fraction mélange]]</f>
        <v/>
      </c>
      <c r="T243">
        <f>_xlfn.XLOOKUP(TableauRecette[[#This Row],[ID]],TableauProduit[ID],TableauProduit[Total (kg) N9],0,0,1)*TableauRecette[[#This Row],[fraction mélange]]</f>
        <v/>
      </c>
    </row>
    <row r="244">
      <c r="A244" t="inlineStr">
        <is>
          <t>Nuoc cham</t>
        </is>
      </c>
      <c r="B244">
        <f>TableauRecette[[#This Row],[Recette]]&amp;TableauRecette[[#This Row],[Conditionnement]]</f>
        <v/>
      </c>
      <c r="C244" t="inlineStr">
        <is>
          <t>Piment Œil D'Oiseau</t>
        </is>
      </c>
      <c r="D244" t="n">
        <v>2</v>
      </c>
      <c r="E244" t="inlineStr">
        <is>
          <t>Epice 100ml</t>
        </is>
      </c>
      <c r="F24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4">
        <f>IFERROR(_xlfn.XLOOKUP(TableauRecette[[#This Row],[Ingredients]],TableauIngredients[Ingredients],TableauIngredients[Prix d''achat / kg],0)*TableauRecette[[#This Row],[fraction mélange]],0)</f>
        <v/>
      </c>
      <c r="H244">
        <f>IFERROR(SUMIFS(TableauRecette[Proportion],TableauRecette[Recette],TableauRecette[[#This Row],[Recette]],TableauRecette[Conditionnement],TableauRecette[[#This Row],[Conditionnement]]),0)</f>
        <v/>
      </c>
      <c r="I244">
        <f>IFERROR(TableauRecette[[#This Row],[Prix d''achat / kg]],0)</f>
        <v/>
      </c>
      <c r="L244">
        <f>_xlfn.XLOOKUP(TableauRecette[[#This Row],[ID]],TableauProduit[ID],TableauProduit[Total (kg) N1],0,0,1)*TableauRecette[[#This Row],[fraction mélange]]</f>
        <v/>
      </c>
      <c r="M244">
        <f>_xlfn.XLOOKUP(TableauRecette[[#This Row],[ID]],TableauProduit[ID],TableauProduit[Total (kg) N2],0,0,1)*TableauRecette[[#This Row],[fraction mélange]]</f>
        <v/>
      </c>
      <c r="N244">
        <f>_xlfn.XLOOKUP(TableauRecette[[#This Row],[ID]],TableauProduit[ID],TableauProduit[Total (kg) N3],0,0,1)*TableauRecette[[#This Row],[fraction mélange]]</f>
        <v/>
      </c>
      <c r="O244">
        <f>_xlfn.XLOOKUP(TableauRecette[[#This Row],[ID]],TableauProduit[ID],TableauProduit[Total (kg) N4],0,0,1)*TableauRecette[[#This Row],[fraction mélange]]</f>
        <v/>
      </c>
      <c r="P244">
        <f>_xlfn.XLOOKUP(TableauRecette[[#This Row],[ID]],TableauProduit[ID],TableauProduit[Total (kg) N5],0,0,1)*TableauRecette[[#This Row],[fraction mélange]]</f>
        <v/>
      </c>
      <c r="Q244">
        <f>_xlfn.XLOOKUP(TableauRecette[[#This Row],[ID]],TableauProduit[ID],TableauProduit[Total (kg) N6],0,0,1)*TableauRecette[[#This Row],[fraction mélange]]</f>
        <v/>
      </c>
      <c r="R244">
        <f>_xlfn.XLOOKUP(TableauRecette[[#This Row],[ID]],TableauProduit[ID],TableauProduit[Total (kg) N7],0,0,1)*TableauRecette[[#This Row],[fraction mélange]]</f>
        <v/>
      </c>
      <c r="S244">
        <f>_xlfn.XLOOKUP(TableauRecette[[#This Row],[ID]],TableauProduit[ID],TableauProduit[Total (kg) N8],0,0,1)*TableauRecette[[#This Row],[fraction mélange]]</f>
        <v/>
      </c>
      <c r="T244">
        <f>_xlfn.XLOOKUP(TableauRecette[[#This Row],[ID]],TableauProduit[ID],TableauProduit[Total (kg) N9],0,0,1)*TableauRecette[[#This Row],[fraction mélange]]</f>
        <v/>
      </c>
    </row>
    <row r="245">
      <c r="A245" t="inlineStr">
        <is>
          <t>Nuoc cham</t>
        </is>
      </c>
      <c r="B245">
        <f>TableauRecette[[#This Row],[Recette]]&amp;TableauRecette[[#This Row],[Conditionnement]]</f>
        <v/>
      </c>
      <c r="C245" t="inlineStr">
        <is>
          <t>Gousse D'Ail</t>
        </is>
      </c>
      <c r="D245" t="n">
        <v>6</v>
      </c>
      <c r="E245" t="inlineStr">
        <is>
          <t>Epice 100ml</t>
        </is>
      </c>
      <c r="F24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5">
        <f>IFERROR(_xlfn.XLOOKUP(TableauRecette[[#This Row],[Ingredients]],TableauIngredients[Ingredients],TableauIngredients[Prix d''achat / kg],0)*TableauRecette[[#This Row],[fraction mélange]],0)</f>
        <v/>
      </c>
      <c r="H245">
        <f>IFERROR(SUMIFS(TableauRecette[Proportion],TableauRecette[Recette],TableauRecette[[#This Row],[Recette]],TableauRecette[Conditionnement],TableauRecette[[#This Row],[Conditionnement]]),0)</f>
        <v/>
      </c>
      <c r="I245">
        <f>IFERROR(TableauRecette[[#This Row],[Prix d''achat / kg]],0)</f>
        <v/>
      </c>
      <c r="L245">
        <f>_xlfn.XLOOKUP(TableauRecette[[#This Row],[ID]],TableauProduit[ID],TableauProduit[Total (kg) N1],0,0,1)*TableauRecette[[#This Row],[fraction mélange]]</f>
        <v/>
      </c>
      <c r="M245">
        <f>_xlfn.XLOOKUP(TableauRecette[[#This Row],[ID]],TableauProduit[ID],TableauProduit[Total (kg) N2],0,0,1)*TableauRecette[[#This Row],[fraction mélange]]</f>
        <v/>
      </c>
      <c r="N245">
        <f>_xlfn.XLOOKUP(TableauRecette[[#This Row],[ID]],TableauProduit[ID],TableauProduit[Total (kg) N3],0,0,1)*TableauRecette[[#This Row],[fraction mélange]]</f>
        <v/>
      </c>
      <c r="O245">
        <f>_xlfn.XLOOKUP(TableauRecette[[#This Row],[ID]],TableauProduit[ID],TableauProduit[Total (kg) N4],0,0,1)*TableauRecette[[#This Row],[fraction mélange]]</f>
        <v/>
      </c>
      <c r="P245">
        <f>_xlfn.XLOOKUP(TableauRecette[[#This Row],[ID]],TableauProduit[ID],TableauProduit[Total (kg) N5],0,0,1)*TableauRecette[[#This Row],[fraction mélange]]</f>
        <v/>
      </c>
      <c r="Q245">
        <f>_xlfn.XLOOKUP(TableauRecette[[#This Row],[ID]],TableauProduit[ID],TableauProduit[Total (kg) N6],0,0,1)*TableauRecette[[#This Row],[fraction mélange]]</f>
        <v/>
      </c>
      <c r="R245">
        <f>_xlfn.XLOOKUP(TableauRecette[[#This Row],[ID]],TableauProduit[ID],TableauProduit[Total (kg) N7],0,0,1)*TableauRecette[[#This Row],[fraction mélange]]</f>
        <v/>
      </c>
      <c r="S245">
        <f>_xlfn.XLOOKUP(TableauRecette[[#This Row],[ID]],TableauProduit[ID],TableauProduit[Total (kg) N8],0,0,1)*TableauRecette[[#This Row],[fraction mélange]]</f>
        <v/>
      </c>
      <c r="T245">
        <f>_xlfn.XLOOKUP(TableauRecette[[#This Row],[ID]],TableauProduit[ID],TableauProduit[Total (kg) N9],0,0,1)*TableauRecette[[#This Row],[fraction mélange]]</f>
        <v/>
      </c>
    </row>
    <row r="246">
      <c r="A246" t="inlineStr">
        <is>
          <t>Nuoc cham</t>
        </is>
      </c>
      <c r="B246">
        <f>TableauRecette[[#This Row],[Recette]]&amp;TableauRecette[[#This Row],[Conditionnement]]</f>
        <v/>
      </c>
      <c r="C246" t="inlineStr">
        <is>
          <t>Sucre De Palme</t>
        </is>
      </c>
      <c r="D246" t="n">
        <v>6</v>
      </c>
      <c r="E246" t="inlineStr">
        <is>
          <t>Epice 100ml</t>
        </is>
      </c>
      <c r="F24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6">
        <f>IFERROR(_xlfn.XLOOKUP(TableauRecette[[#This Row],[Ingredients]],TableauIngredients[Ingredients],TableauIngredients[Prix d''achat / kg],0)*TableauRecette[[#This Row],[fraction mélange]],0)</f>
        <v/>
      </c>
      <c r="H246">
        <f>IFERROR(SUMIFS(TableauRecette[Proportion],TableauRecette[Recette],TableauRecette[[#This Row],[Recette]],TableauRecette[Conditionnement],TableauRecette[[#This Row],[Conditionnement]]),0)</f>
        <v/>
      </c>
      <c r="I246">
        <f>IFERROR(TableauRecette[[#This Row],[Prix d''achat / kg]],0)</f>
        <v/>
      </c>
      <c r="L246">
        <f>_xlfn.XLOOKUP(TableauRecette[[#This Row],[ID]],TableauProduit[ID],TableauProduit[Total (kg) N1],0,0,1)*TableauRecette[[#This Row],[fraction mélange]]</f>
        <v/>
      </c>
      <c r="M246">
        <f>_xlfn.XLOOKUP(TableauRecette[[#This Row],[ID]],TableauProduit[ID],TableauProduit[Total (kg) N2],0,0,1)*TableauRecette[[#This Row],[fraction mélange]]</f>
        <v/>
      </c>
      <c r="N246">
        <f>_xlfn.XLOOKUP(TableauRecette[[#This Row],[ID]],TableauProduit[ID],TableauProduit[Total (kg) N3],0,0,1)*TableauRecette[[#This Row],[fraction mélange]]</f>
        <v/>
      </c>
      <c r="O246">
        <f>_xlfn.XLOOKUP(TableauRecette[[#This Row],[ID]],TableauProduit[ID],TableauProduit[Total (kg) N4],0,0,1)*TableauRecette[[#This Row],[fraction mélange]]</f>
        <v/>
      </c>
      <c r="P246">
        <f>_xlfn.XLOOKUP(TableauRecette[[#This Row],[ID]],TableauProduit[ID],TableauProduit[Total (kg) N5],0,0,1)*TableauRecette[[#This Row],[fraction mélange]]</f>
        <v/>
      </c>
      <c r="Q246">
        <f>_xlfn.XLOOKUP(TableauRecette[[#This Row],[ID]],TableauProduit[ID],TableauProduit[Total (kg) N6],0,0,1)*TableauRecette[[#This Row],[fraction mélange]]</f>
        <v/>
      </c>
      <c r="R246">
        <f>_xlfn.XLOOKUP(TableauRecette[[#This Row],[ID]],TableauProduit[ID],TableauProduit[Total (kg) N7],0,0,1)*TableauRecette[[#This Row],[fraction mélange]]</f>
        <v/>
      </c>
      <c r="S246">
        <f>_xlfn.XLOOKUP(TableauRecette[[#This Row],[ID]],TableauProduit[ID],TableauProduit[Total (kg) N8],0,0,1)*TableauRecette[[#This Row],[fraction mélange]]</f>
        <v/>
      </c>
      <c r="T246">
        <f>_xlfn.XLOOKUP(TableauRecette[[#This Row],[ID]],TableauProduit[ID],TableauProduit[Total (kg) N9],0,0,1)*TableauRecette[[#This Row],[fraction mélange]]</f>
        <v/>
      </c>
    </row>
    <row r="247">
      <c r="A247" t="inlineStr">
        <is>
          <t>Nuoc cham</t>
        </is>
      </c>
      <c r="B247">
        <f>TableauRecette[[#This Row],[Recette]]&amp;TableauRecette[[#This Row],[Conditionnement]]</f>
        <v/>
      </c>
      <c r="C247" t="inlineStr">
        <is>
          <t>Citron Vert</t>
        </is>
      </c>
      <c r="D247" t="n">
        <v>6</v>
      </c>
      <c r="E247" t="inlineStr">
        <is>
          <t>Epice 100ml</t>
        </is>
      </c>
      <c r="F24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7">
        <f>IFERROR(_xlfn.XLOOKUP(TableauRecette[[#This Row],[Ingredients]],TableauIngredients[Ingredients],TableauIngredients[Prix d''achat / kg],0)*TableauRecette[[#This Row],[fraction mélange]],0)</f>
        <v/>
      </c>
      <c r="H247">
        <f>IFERROR(SUMIFS(TableauRecette[Proportion],TableauRecette[Recette],TableauRecette[[#This Row],[Recette]],TableauRecette[Conditionnement],TableauRecette[[#This Row],[Conditionnement]]),0)</f>
        <v/>
      </c>
      <c r="I247">
        <f>IFERROR(TableauRecette[[#This Row],[Prix d''achat / kg]],0)</f>
        <v/>
      </c>
      <c r="L247">
        <f>_xlfn.XLOOKUP(TableauRecette[[#This Row],[ID]],TableauProduit[ID],TableauProduit[Total (kg) N1],0,0,1)*TableauRecette[[#This Row],[fraction mélange]]</f>
        <v/>
      </c>
      <c r="M247">
        <f>_xlfn.XLOOKUP(TableauRecette[[#This Row],[ID]],TableauProduit[ID],TableauProduit[Total (kg) N2],0,0,1)*TableauRecette[[#This Row],[fraction mélange]]</f>
        <v/>
      </c>
      <c r="N247">
        <f>_xlfn.XLOOKUP(TableauRecette[[#This Row],[ID]],TableauProduit[ID],TableauProduit[Total (kg) N3],0,0,1)*TableauRecette[[#This Row],[fraction mélange]]</f>
        <v/>
      </c>
      <c r="O247">
        <f>_xlfn.XLOOKUP(TableauRecette[[#This Row],[ID]],TableauProduit[ID],TableauProduit[Total (kg) N4],0,0,1)*TableauRecette[[#This Row],[fraction mélange]]</f>
        <v/>
      </c>
      <c r="P247">
        <f>_xlfn.XLOOKUP(TableauRecette[[#This Row],[ID]],TableauProduit[ID],TableauProduit[Total (kg) N5],0,0,1)*TableauRecette[[#This Row],[fraction mélange]]</f>
        <v/>
      </c>
      <c r="Q247">
        <f>_xlfn.XLOOKUP(TableauRecette[[#This Row],[ID]],TableauProduit[ID],TableauProduit[Total (kg) N6],0,0,1)*TableauRecette[[#This Row],[fraction mélange]]</f>
        <v/>
      </c>
      <c r="R247">
        <f>_xlfn.XLOOKUP(TableauRecette[[#This Row],[ID]],TableauProduit[ID],TableauProduit[Total (kg) N7],0,0,1)*TableauRecette[[#This Row],[fraction mélange]]</f>
        <v/>
      </c>
      <c r="S247">
        <f>_xlfn.XLOOKUP(TableauRecette[[#This Row],[ID]],TableauProduit[ID],TableauProduit[Total (kg) N8],0,0,1)*TableauRecette[[#This Row],[fraction mélange]]</f>
        <v/>
      </c>
      <c r="T247">
        <f>_xlfn.XLOOKUP(TableauRecette[[#This Row],[ID]],TableauProduit[ID],TableauProduit[Total (kg) N9],0,0,1)*TableauRecette[[#This Row],[fraction mélange]]</f>
        <v/>
      </c>
    </row>
    <row r="248">
      <c r="A248" t="inlineStr">
        <is>
          <t>Nuoc cham</t>
        </is>
      </c>
      <c r="B248">
        <f>TableauRecette[[#This Row],[Recette]]&amp;TableauRecette[[#This Row],[Conditionnement]]</f>
        <v/>
      </c>
      <c r="C248" t="inlineStr">
        <is>
          <t>Nuoc-Mâm</t>
        </is>
      </c>
      <c r="D248" t="n">
        <v>12</v>
      </c>
      <c r="E248" t="inlineStr">
        <is>
          <t>Epice 100ml</t>
        </is>
      </c>
      <c r="F24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8">
        <f>IFERROR(_xlfn.XLOOKUP(TableauRecette[[#This Row],[Ingredients]],TableauIngredients[Ingredients],TableauIngredients[Prix d''achat / kg],0)*TableauRecette[[#This Row],[fraction mélange]],0)</f>
        <v/>
      </c>
      <c r="H248">
        <f>IFERROR(SUMIFS(TableauRecette[Proportion],TableauRecette[Recette],TableauRecette[[#This Row],[Recette]],TableauRecette[Conditionnement],TableauRecette[[#This Row],[Conditionnement]]),0)</f>
        <v/>
      </c>
      <c r="I248">
        <f>IFERROR(TableauRecette[[#This Row],[Prix d''achat / kg]],0)</f>
        <v/>
      </c>
      <c r="L248">
        <f>_xlfn.XLOOKUP(TableauRecette[[#This Row],[ID]],TableauProduit[ID],TableauProduit[Total (kg) N1],0,0,1)*TableauRecette[[#This Row],[fraction mélange]]</f>
        <v/>
      </c>
      <c r="M248">
        <f>_xlfn.XLOOKUP(TableauRecette[[#This Row],[ID]],TableauProduit[ID],TableauProduit[Total (kg) N2],0,0,1)*TableauRecette[[#This Row],[fraction mélange]]</f>
        <v/>
      </c>
      <c r="N248">
        <f>_xlfn.XLOOKUP(TableauRecette[[#This Row],[ID]],TableauProduit[ID],TableauProduit[Total (kg) N3],0,0,1)*TableauRecette[[#This Row],[fraction mélange]]</f>
        <v/>
      </c>
      <c r="O248">
        <f>_xlfn.XLOOKUP(TableauRecette[[#This Row],[ID]],TableauProduit[ID],TableauProduit[Total (kg) N4],0,0,1)*TableauRecette[[#This Row],[fraction mélange]]</f>
        <v/>
      </c>
      <c r="P248">
        <f>_xlfn.XLOOKUP(TableauRecette[[#This Row],[ID]],TableauProduit[ID],TableauProduit[Total (kg) N5],0,0,1)*TableauRecette[[#This Row],[fraction mélange]]</f>
        <v/>
      </c>
      <c r="Q248">
        <f>_xlfn.XLOOKUP(TableauRecette[[#This Row],[ID]],TableauProduit[ID],TableauProduit[Total (kg) N6],0,0,1)*TableauRecette[[#This Row],[fraction mélange]]</f>
        <v/>
      </c>
      <c r="R248">
        <f>_xlfn.XLOOKUP(TableauRecette[[#This Row],[ID]],TableauProduit[ID],TableauProduit[Total (kg) N7],0,0,1)*TableauRecette[[#This Row],[fraction mélange]]</f>
        <v/>
      </c>
      <c r="S248">
        <f>_xlfn.XLOOKUP(TableauRecette[[#This Row],[ID]],TableauProduit[ID],TableauProduit[Total (kg) N8],0,0,1)*TableauRecette[[#This Row],[fraction mélange]]</f>
        <v/>
      </c>
      <c r="T248">
        <f>_xlfn.XLOOKUP(TableauRecette[[#This Row],[ID]],TableauProduit[ID],TableauProduit[Total (kg) N9],0,0,1)*TableauRecette[[#This Row],[fraction mélange]]</f>
        <v/>
      </c>
    </row>
    <row r="249">
      <c r="A249" t="inlineStr">
        <is>
          <t>Panch phoron</t>
        </is>
      </c>
      <c r="B249">
        <f>TableauRecette[[#This Row],[Recette]]&amp;TableauRecette[[#This Row],[Conditionnement]]</f>
        <v/>
      </c>
      <c r="C249" t="inlineStr">
        <is>
          <t>Graine De Cumin</t>
        </is>
      </c>
      <c r="D249" t="n">
        <v>2</v>
      </c>
      <c r="E249" t="inlineStr">
        <is>
          <t>Epice 100ml</t>
        </is>
      </c>
      <c r="F24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9">
        <f>IFERROR(_xlfn.XLOOKUP(TableauRecette[[#This Row],[Ingredients]],TableauIngredients[Ingredients],TableauIngredients[Prix d''achat / kg],0)*TableauRecette[[#This Row],[fraction mélange]],0)</f>
        <v/>
      </c>
      <c r="H249">
        <f>IFERROR(SUMIFS(TableauRecette[Proportion],TableauRecette[Recette],TableauRecette[[#This Row],[Recette]],TableauRecette[Conditionnement],TableauRecette[[#This Row],[Conditionnement]]),0)</f>
        <v/>
      </c>
      <c r="I249">
        <f>IFERROR(TableauRecette[[#This Row],[Prix d''achat / kg]],0)</f>
        <v/>
      </c>
      <c r="L249">
        <f>_xlfn.XLOOKUP(TableauRecette[[#This Row],[ID]],TableauProduit[ID],TableauProduit[Total (kg) N1],0,0,1)*TableauRecette[[#This Row],[fraction mélange]]</f>
        <v/>
      </c>
      <c r="M249">
        <f>_xlfn.XLOOKUP(TableauRecette[[#This Row],[ID]],TableauProduit[ID],TableauProduit[Total (kg) N2],0,0,1)*TableauRecette[[#This Row],[fraction mélange]]</f>
        <v/>
      </c>
      <c r="N249">
        <f>_xlfn.XLOOKUP(TableauRecette[[#This Row],[ID]],TableauProduit[ID],TableauProduit[Total (kg) N3],0,0,1)*TableauRecette[[#This Row],[fraction mélange]]</f>
        <v/>
      </c>
      <c r="O249">
        <f>_xlfn.XLOOKUP(TableauRecette[[#This Row],[ID]],TableauProduit[ID],TableauProduit[Total (kg) N4],0,0,1)*TableauRecette[[#This Row],[fraction mélange]]</f>
        <v/>
      </c>
      <c r="P249">
        <f>_xlfn.XLOOKUP(TableauRecette[[#This Row],[ID]],TableauProduit[ID],TableauProduit[Total (kg) N5],0,0,1)*TableauRecette[[#This Row],[fraction mélange]]</f>
        <v/>
      </c>
      <c r="Q249">
        <f>_xlfn.XLOOKUP(TableauRecette[[#This Row],[ID]],TableauProduit[ID],TableauProduit[Total (kg) N6],0,0,1)*TableauRecette[[#This Row],[fraction mélange]]</f>
        <v/>
      </c>
      <c r="R249">
        <f>_xlfn.XLOOKUP(TableauRecette[[#This Row],[ID]],TableauProduit[ID],TableauProduit[Total (kg) N7],0,0,1)*TableauRecette[[#This Row],[fraction mélange]]</f>
        <v/>
      </c>
      <c r="S249">
        <f>_xlfn.XLOOKUP(TableauRecette[[#This Row],[ID]],TableauProduit[ID],TableauProduit[Total (kg) N8],0,0,1)*TableauRecette[[#This Row],[fraction mélange]]</f>
        <v/>
      </c>
      <c r="T249">
        <f>_xlfn.XLOOKUP(TableauRecette[[#This Row],[ID]],TableauProduit[ID],TableauProduit[Total (kg) N9],0,0,1)*TableauRecette[[#This Row],[fraction mélange]]</f>
        <v/>
      </c>
    </row>
    <row r="250">
      <c r="A250" t="inlineStr">
        <is>
          <t>Panch phoron</t>
        </is>
      </c>
      <c r="B250">
        <f>TableauRecette[[#This Row],[Recette]]&amp;TableauRecette[[#This Row],[Conditionnement]]</f>
        <v/>
      </c>
      <c r="C250" t="inlineStr">
        <is>
          <t>Graine De Moutarde</t>
        </is>
      </c>
      <c r="D250" t="n">
        <v>2</v>
      </c>
      <c r="E250" t="inlineStr">
        <is>
          <t>Epice 100ml</t>
        </is>
      </c>
      <c r="F25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0">
        <f>IFERROR(_xlfn.XLOOKUP(TableauRecette[[#This Row],[Ingredients]],TableauIngredients[Ingredients],TableauIngredients[Prix d''achat / kg],0)*TableauRecette[[#This Row],[fraction mélange]],0)</f>
        <v/>
      </c>
      <c r="H250">
        <f>IFERROR(SUMIFS(TableauRecette[Proportion],TableauRecette[Recette],TableauRecette[[#This Row],[Recette]],TableauRecette[Conditionnement],TableauRecette[[#This Row],[Conditionnement]]),0)</f>
        <v/>
      </c>
      <c r="I250">
        <f>IFERROR(TableauRecette[[#This Row],[Prix d''achat / kg]],0)</f>
        <v/>
      </c>
      <c r="L250">
        <f>_xlfn.XLOOKUP(TableauRecette[[#This Row],[ID]],TableauProduit[ID],TableauProduit[Total (kg) N1],0,0,1)*TableauRecette[[#This Row],[fraction mélange]]</f>
        <v/>
      </c>
      <c r="M250">
        <f>_xlfn.XLOOKUP(TableauRecette[[#This Row],[ID]],TableauProduit[ID],TableauProduit[Total (kg) N2],0,0,1)*TableauRecette[[#This Row],[fraction mélange]]</f>
        <v/>
      </c>
      <c r="N250">
        <f>_xlfn.XLOOKUP(TableauRecette[[#This Row],[ID]],TableauProduit[ID],TableauProduit[Total (kg) N3],0,0,1)*TableauRecette[[#This Row],[fraction mélange]]</f>
        <v/>
      </c>
      <c r="O250">
        <f>_xlfn.XLOOKUP(TableauRecette[[#This Row],[ID]],TableauProduit[ID],TableauProduit[Total (kg) N4],0,0,1)*TableauRecette[[#This Row],[fraction mélange]]</f>
        <v/>
      </c>
      <c r="P250">
        <f>_xlfn.XLOOKUP(TableauRecette[[#This Row],[ID]],TableauProduit[ID],TableauProduit[Total (kg) N5],0,0,1)*TableauRecette[[#This Row],[fraction mélange]]</f>
        <v/>
      </c>
      <c r="Q250">
        <f>_xlfn.XLOOKUP(TableauRecette[[#This Row],[ID]],TableauProduit[ID],TableauProduit[Total (kg) N6],0,0,1)*TableauRecette[[#This Row],[fraction mélange]]</f>
        <v/>
      </c>
      <c r="R250">
        <f>_xlfn.XLOOKUP(TableauRecette[[#This Row],[ID]],TableauProduit[ID],TableauProduit[Total (kg) N7],0,0,1)*TableauRecette[[#This Row],[fraction mélange]]</f>
        <v/>
      </c>
      <c r="S250">
        <f>_xlfn.XLOOKUP(TableauRecette[[#This Row],[ID]],TableauProduit[ID],TableauProduit[Total (kg) N8],0,0,1)*TableauRecette[[#This Row],[fraction mélange]]</f>
        <v/>
      </c>
      <c r="T250">
        <f>_xlfn.XLOOKUP(TableauRecette[[#This Row],[ID]],TableauProduit[ID],TableauProduit[Total (kg) N9],0,0,1)*TableauRecette[[#This Row],[fraction mélange]]</f>
        <v/>
      </c>
    </row>
    <row r="251">
      <c r="A251" t="inlineStr">
        <is>
          <t>Panch phoron</t>
        </is>
      </c>
      <c r="B251">
        <f>TableauRecette[[#This Row],[Recette]]&amp;TableauRecette[[#This Row],[Conditionnement]]</f>
        <v/>
      </c>
      <c r="C251" t="inlineStr">
        <is>
          <t>Graine De Fenouil</t>
        </is>
      </c>
      <c r="D251" t="n">
        <v>2</v>
      </c>
      <c r="E251" t="inlineStr">
        <is>
          <t>Epice 100ml</t>
        </is>
      </c>
      <c r="F25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1">
        <f>IFERROR(_xlfn.XLOOKUP(TableauRecette[[#This Row],[Ingredients]],TableauIngredients[Ingredients],TableauIngredients[Prix d''achat / kg],0)*TableauRecette[[#This Row],[fraction mélange]],0)</f>
        <v/>
      </c>
      <c r="H251">
        <f>IFERROR(SUMIFS(TableauRecette[Proportion],TableauRecette[Recette],TableauRecette[[#This Row],[Recette]],TableauRecette[Conditionnement],TableauRecette[[#This Row],[Conditionnement]]),0)</f>
        <v/>
      </c>
      <c r="I251">
        <f>IFERROR(TableauRecette[[#This Row],[Prix d''achat / kg]],0)</f>
        <v/>
      </c>
      <c r="L251">
        <f>_xlfn.XLOOKUP(TableauRecette[[#This Row],[ID]],TableauProduit[ID],TableauProduit[Total (kg) N1],0,0,1)*TableauRecette[[#This Row],[fraction mélange]]</f>
        <v/>
      </c>
      <c r="M251">
        <f>_xlfn.XLOOKUP(TableauRecette[[#This Row],[ID]],TableauProduit[ID],TableauProduit[Total (kg) N2],0,0,1)*TableauRecette[[#This Row],[fraction mélange]]</f>
        <v/>
      </c>
      <c r="N251">
        <f>_xlfn.XLOOKUP(TableauRecette[[#This Row],[ID]],TableauProduit[ID],TableauProduit[Total (kg) N3],0,0,1)*TableauRecette[[#This Row],[fraction mélange]]</f>
        <v/>
      </c>
      <c r="O251">
        <f>_xlfn.XLOOKUP(TableauRecette[[#This Row],[ID]],TableauProduit[ID],TableauProduit[Total (kg) N4],0,0,1)*TableauRecette[[#This Row],[fraction mélange]]</f>
        <v/>
      </c>
      <c r="P251">
        <f>_xlfn.XLOOKUP(TableauRecette[[#This Row],[ID]],TableauProduit[ID],TableauProduit[Total (kg) N5],0,0,1)*TableauRecette[[#This Row],[fraction mélange]]</f>
        <v/>
      </c>
      <c r="Q251">
        <f>_xlfn.XLOOKUP(TableauRecette[[#This Row],[ID]],TableauProduit[ID],TableauProduit[Total (kg) N6],0,0,1)*TableauRecette[[#This Row],[fraction mélange]]</f>
        <v/>
      </c>
      <c r="R251">
        <f>_xlfn.XLOOKUP(TableauRecette[[#This Row],[ID]],TableauProduit[ID],TableauProduit[Total (kg) N7],0,0,1)*TableauRecette[[#This Row],[fraction mélange]]</f>
        <v/>
      </c>
      <c r="S251">
        <f>_xlfn.XLOOKUP(TableauRecette[[#This Row],[ID]],TableauProduit[ID],TableauProduit[Total (kg) N8],0,0,1)*TableauRecette[[#This Row],[fraction mélange]]</f>
        <v/>
      </c>
      <c r="T251">
        <f>_xlfn.XLOOKUP(TableauRecette[[#This Row],[ID]],TableauProduit[ID],TableauProduit[Total (kg) N9],0,0,1)*TableauRecette[[#This Row],[fraction mélange]]</f>
        <v/>
      </c>
    </row>
    <row r="252">
      <c r="A252" t="inlineStr">
        <is>
          <t>Panch phoron</t>
        </is>
      </c>
      <c r="B252">
        <f>TableauRecette[[#This Row],[Recette]]&amp;TableauRecette[[#This Row],[Conditionnement]]</f>
        <v/>
      </c>
      <c r="C252" t="inlineStr">
        <is>
          <t>Graine De Nigelle</t>
        </is>
      </c>
      <c r="D252" t="n">
        <v>1</v>
      </c>
      <c r="E252" t="inlineStr">
        <is>
          <t>Epice 100ml</t>
        </is>
      </c>
      <c r="F25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2">
        <f>IFERROR(_xlfn.XLOOKUP(TableauRecette[[#This Row],[Ingredients]],TableauIngredients[Ingredients],TableauIngredients[Prix d''achat / kg],0)*TableauRecette[[#This Row],[fraction mélange]],0)</f>
        <v/>
      </c>
      <c r="H252">
        <f>IFERROR(SUMIFS(TableauRecette[Proportion],TableauRecette[Recette],TableauRecette[[#This Row],[Recette]],TableauRecette[Conditionnement],TableauRecette[[#This Row],[Conditionnement]]),0)</f>
        <v/>
      </c>
      <c r="I252">
        <f>IFERROR(TableauRecette[[#This Row],[Prix d''achat / kg]],0)</f>
        <v/>
      </c>
      <c r="L252">
        <f>_xlfn.XLOOKUP(TableauRecette[[#This Row],[ID]],TableauProduit[ID],TableauProduit[Total (kg) N1],0,0,1)*TableauRecette[[#This Row],[fraction mélange]]</f>
        <v/>
      </c>
      <c r="M252">
        <f>_xlfn.XLOOKUP(TableauRecette[[#This Row],[ID]],TableauProduit[ID],TableauProduit[Total (kg) N2],0,0,1)*TableauRecette[[#This Row],[fraction mélange]]</f>
        <v/>
      </c>
      <c r="N252">
        <f>_xlfn.XLOOKUP(TableauRecette[[#This Row],[ID]],TableauProduit[ID],TableauProduit[Total (kg) N3],0,0,1)*TableauRecette[[#This Row],[fraction mélange]]</f>
        <v/>
      </c>
      <c r="O252">
        <f>_xlfn.XLOOKUP(TableauRecette[[#This Row],[ID]],TableauProduit[ID],TableauProduit[Total (kg) N4],0,0,1)*TableauRecette[[#This Row],[fraction mélange]]</f>
        <v/>
      </c>
      <c r="P252">
        <f>_xlfn.XLOOKUP(TableauRecette[[#This Row],[ID]],TableauProduit[ID],TableauProduit[Total (kg) N5],0,0,1)*TableauRecette[[#This Row],[fraction mélange]]</f>
        <v/>
      </c>
      <c r="Q252">
        <f>_xlfn.XLOOKUP(TableauRecette[[#This Row],[ID]],TableauProduit[ID],TableauProduit[Total (kg) N6],0,0,1)*TableauRecette[[#This Row],[fraction mélange]]</f>
        <v/>
      </c>
      <c r="R252">
        <f>_xlfn.XLOOKUP(TableauRecette[[#This Row],[ID]],TableauProduit[ID],TableauProduit[Total (kg) N7],0,0,1)*TableauRecette[[#This Row],[fraction mélange]]</f>
        <v/>
      </c>
      <c r="S252">
        <f>_xlfn.XLOOKUP(TableauRecette[[#This Row],[ID]],TableauProduit[ID],TableauProduit[Total (kg) N8],0,0,1)*TableauRecette[[#This Row],[fraction mélange]]</f>
        <v/>
      </c>
      <c r="T252">
        <f>_xlfn.XLOOKUP(TableauRecette[[#This Row],[ID]],TableauProduit[ID],TableauProduit[Total (kg) N9],0,0,1)*TableauRecette[[#This Row],[fraction mélange]]</f>
        <v/>
      </c>
    </row>
    <row r="253">
      <c r="A253" t="inlineStr">
        <is>
          <t>Panch phoron</t>
        </is>
      </c>
      <c r="B253">
        <f>TableauRecette[[#This Row],[Recette]]&amp;TableauRecette[[#This Row],[Conditionnement]]</f>
        <v/>
      </c>
      <c r="C253" t="inlineStr">
        <is>
          <t>Graine De Fenugrec</t>
        </is>
      </c>
      <c r="D253" t="n">
        <v>1</v>
      </c>
      <c r="E253" t="inlineStr">
        <is>
          <t>Epice 100ml</t>
        </is>
      </c>
      <c r="F25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3">
        <f>IFERROR(_xlfn.XLOOKUP(TableauRecette[[#This Row],[Ingredients]],TableauIngredients[Ingredients],TableauIngredients[Prix d''achat / kg],0)*TableauRecette[[#This Row],[fraction mélange]],0)</f>
        <v/>
      </c>
      <c r="H253">
        <f>IFERROR(SUMIFS(TableauRecette[Proportion],TableauRecette[Recette],TableauRecette[[#This Row],[Recette]],TableauRecette[Conditionnement],TableauRecette[[#This Row],[Conditionnement]]),0)</f>
        <v/>
      </c>
      <c r="I253">
        <f>IFERROR(TableauRecette[[#This Row],[Prix d''achat / kg]],0)</f>
        <v/>
      </c>
      <c r="L253">
        <f>_xlfn.XLOOKUP(TableauRecette[[#This Row],[ID]],TableauProduit[ID],TableauProduit[Total (kg) N1],0,0,1)*TableauRecette[[#This Row],[fraction mélange]]</f>
        <v/>
      </c>
      <c r="M253">
        <f>_xlfn.XLOOKUP(TableauRecette[[#This Row],[ID]],TableauProduit[ID],TableauProduit[Total (kg) N2],0,0,1)*TableauRecette[[#This Row],[fraction mélange]]</f>
        <v/>
      </c>
      <c r="N253">
        <f>_xlfn.XLOOKUP(TableauRecette[[#This Row],[ID]],TableauProduit[ID],TableauProduit[Total (kg) N3],0,0,1)*TableauRecette[[#This Row],[fraction mélange]]</f>
        <v/>
      </c>
      <c r="O253">
        <f>_xlfn.XLOOKUP(TableauRecette[[#This Row],[ID]],TableauProduit[ID],TableauProduit[Total (kg) N4],0,0,1)*TableauRecette[[#This Row],[fraction mélange]]</f>
        <v/>
      </c>
      <c r="P253">
        <f>_xlfn.XLOOKUP(TableauRecette[[#This Row],[ID]],TableauProduit[ID],TableauProduit[Total (kg) N5],0,0,1)*TableauRecette[[#This Row],[fraction mélange]]</f>
        <v/>
      </c>
      <c r="Q253">
        <f>_xlfn.XLOOKUP(TableauRecette[[#This Row],[ID]],TableauProduit[ID],TableauProduit[Total (kg) N6],0,0,1)*TableauRecette[[#This Row],[fraction mélange]]</f>
        <v/>
      </c>
      <c r="R253">
        <f>_xlfn.XLOOKUP(TableauRecette[[#This Row],[ID]],TableauProduit[ID],TableauProduit[Total (kg) N7],0,0,1)*TableauRecette[[#This Row],[fraction mélange]]</f>
        <v/>
      </c>
      <c r="S253">
        <f>_xlfn.XLOOKUP(TableauRecette[[#This Row],[ID]],TableauProduit[ID],TableauProduit[Total (kg) N8],0,0,1)*TableauRecette[[#This Row],[fraction mélange]]</f>
        <v/>
      </c>
      <c r="T253">
        <f>_xlfn.XLOOKUP(TableauRecette[[#This Row],[ID]],TableauProduit[ID],TableauProduit[Total (kg) N9],0,0,1)*TableauRecette[[#This Row],[fraction mélange]]</f>
        <v/>
      </c>
    </row>
    <row r="254">
      <c r="A254" t="inlineStr">
        <is>
          <t>Paprika</t>
        </is>
      </c>
      <c r="B254">
        <f>TableauRecette[[#This Row],[Recette]]&amp;TableauRecette[[#This Row],[Conditionnement]]</f>
        <v/>
      </c>
      <c r="C254" t="inlineStr">
        <is>
          <t>Piment Doux Rouge En Poudre</t>
        </is>
      </c>
      <c r="D254" t="n">
        <v>1</v>
      </c>
      <c r="E254" t="inlineStr">
        <is>
          <t>Epice 100ml</t>
        </is>
      </c>
      <c r="F25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4">
        <f>IFERROR(_xlfn.XLOOKUP(TableauRecette[[#This Row],[Ingredients]],TableauIngredients[Ingredients],TableauIngredients[Prix d''achat / kg],0)*TableauRecette[[#This Row],[fraction mélange]],0)</f>
        <v/>
      </c>
      <c r="H254">
        <f>IFERROR(SUMIFS(TableauRecette[Proportion],TableauRecette[Recette],TableauRecette[[#This Row],[Recette]],TableauRecette[Conditionnement],TableauRecette[[#This Row],[Conditionnement]]),0)</f>
        <v/>
      </c>
      <c r="I254">
        <f>IFERROR(TableauRecette[[#This Row],[Prix d''achat / kg]],0)</f>
        <v/>
      </c>
      <c r="L254">
        <f>_xlfn.XLOOKUP(TableauRecette[[#This Row],[ID]],TableauProduit[ID],TableauProduit[Total (kg) N1],0,0,1)*TableauRecette[[#This Row],[fraction mélange]]</f>
        <v/>
      </c>
      <c r="M254">
        <f>_xlfn.XLOOKUP(TableauRecette[[#This Row],[ID]],TableauProduit[ID],TableauProduit[Total (kg) N2],0,0,1)*TableauRecette[[#This Row],[fraction mélange]]</f>
        <v/>
      </c>
      <c r="N254">
        <f>_xlfn.XLOOKUP(TableauRecette[[#This Row],[ID]],TableauProduit[ID],TableauProduit[Total (kg) N3],0,0,1)*TableauRecette[[#This Row],[fraction mélange]]</f>
        <v/>
      </c>
      <c r="O254">
        <f>_xlfn.XLOOKUP(TableauRecette[[#This Row],[ID]],TableauProduit[ID],TableauProduit[Total (kg) N4],0,0,1)*TableauRecette[[#This Row],[fraction mélange]]</f>
        <v/>
      </c>
      <c r="P254">
        <f>_xlfn.XLOOKUP(TableauRecette[[#This Row],[ID]],TableauProduit[ID],TableauProduit[Total (kg) N5],0,0,1)*TableauRecette[[#This Row],[fraction mélange]]</f>
        <v/>
      </c>
      <c r="Q254">
        <f>_xlfn.XLOOKUP(TableauRecette[[#This Row],[ID]],TableauProduit[ID],TableauProduit[Total (kg) N6],0,0,1)*TableauRecette[[#This Row],[fraction mélange]]</f>
        <v/>
      </c>
      <c r="R254">
        <f>_xlfn.XLOOKUP(TableauRecette[[#This Row],[ID]],TableauProduit[ID],TableauProduit[Total (kg) N7],0,0,1)*TableauRecette[[#This Row],[fraction mélange]]</f>
        <v/>
      </c>
      <c r="S254">
        <f>_xlfn.XLOOKUP(TableauRecette[[#This Row],[ID]],TableauProduit[ID],TableauProduit[Total (kg) N8],0,0,1)*TableauRecette[[#This Row],[fraction mélange]]</f>
        <v/>
      </c>
      <c r="T254">
        <f>_xlfn.XLOOKUP(TableauRecette[[#This Row],[ID]],TableauProduit[ID],TableauProduit[Total (kg) N9],0,0,1)*TableauRecette[[#This Row],[fraction mélange]]</f>
        <v/>
      </c>
    </row>
    <row r="255">
      <c r="A255" t="inlineStr">
        <is>
          <t>Paprika fumé</t>
        </is>
      </c>
      <c r="B255">
        <f>TableauRecette[[#This Row],[Recette]]&amp;TableauRecette[[#This Row],[Conditionnement]]</f>
        <v/>
      </c>
      <c r="C255" t="inlineStr">
        <is>
          <t>Piment Doux Rouge En Poudre</t>
        </is>
      </c>
      <c r="D255" t="n">
        <v>1</v>
      </c>
      <c r="E255" t="inlineStr">
        <is>
          <t>Epice 100ml</t>
        </is>
      </c>
      <c r="F25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5">
        <f>IFERROR(_xlfn.XLOOKUP(TableauRecette[[#This Row],[Ingredients]],TableauIngredients[Ingredients],TableauIngredients[Prix d''achat / kg],0)*TableauRecette[[#This Row],[fraction mélange]],0)</f>
        <v/>
      </c>
      <c r="H255">
        <f>IFERROR(SUMIFS(TableauRecette[Proportion],TableauRecette[Recette],TableauRecette[[#This Row],[Recette]],TableauRecette[Conditionnement],TableauRecette[[#This Row],[Conditionnement]]),0)</f>
        <v/>
      </c>
      <c r="I255">
        <f>IFERROR(TableauRecette[[#This Row],[Prix d''achat / kg]],0)</f>
        <v/>
      </c>
      <c r="L255">
        <f>_xlfn.XLOOKUP(TableauRecette[[#This Row],[ID]],TableauProduit[ID],TableauProduit[Total (kg) N1],0,0,1)*TableauRecette[[#This Row],[fraction mélange]]</f>
        <v/>
      </c>
      <c r="M255">
        <f>_xlfn.XLOOKUP(TableauRecette[[#This Row],[ID]],TableauProduit[ID],TableauProduit[Total (kg) N2],0,0,1)*TableauRecette[[#This Row],[fraction mélange]]</f>
        <v/>
      </c>
      <c r="N255">
        <f>_xlfn.XLOOKUP(TableauRecette[[#This Row],[ID]],TableauProduit[ID],TableauProduit[Total (kg) N3],0,0,1)*TableauRecette[[#This Row],[fraction mélange]]</f>
        <v/>
      </c>
      <c r="O255">
        <f>_xlfn.XLOOKUP(TableauRecette[[#This Row],[ID]],TableauProduit[ID],TableauProduit[Total (kg) N4],0,0,1)*TableauRecette[[#This Row],[fraction mélange]]</f>
        <v/>
      </c>
      <c r="P255">
        <f>_xlfn.XLOOKUP(TableauRecette[[#This Row],[ID]],TableauProduit[ID],TableauProduit[Total (kg) N5],0,0,1)*TableauRecette[[#This Row],[fraction mélange]]</f>
        <v/>
      </c>
      <c r="Q255">
        <f>_xlfn.XLOOKUP(TableauRecette[[#This Row],[ID]],TableauProduit[ID],TableauProduit[Total (kg) N6],0,0,1)*TableauRecette[[#This Row],[fraction mélange]]</f>
        <v/>
      </c>
      <c r="R255">
        <f>_xlfn.XLOOKUP(TableauRecette[[#This Row],[ID]],TableauProduit[ID],TableauProduit[Total (kg) N7],0,0,1)*TableauRecette[[#This Row],[fraction mélange]]</f>
        <v/>
      </c>
      <c r="S255">
        <f>_xlfn.XLOOKUP(TableauRecette[[#This Row],[ID]],TableauProduit[ID],TableauProduit[Total (kg) N8],0,0,1)*TableauRecette[[#This Row],[fraction mélange]]</f>
        <v/>
      </c>
      <c r="T255">
        <f>_xlfn.XLOOKUP(TableauRecette[[#This Row],[ID]],TableauProduit[ID],TableauProduit[Total (kg) N9],0,0,1)*TableauRecette[[#This Row],[fraction mélange]]</f>
        <v/>
      </c>
    </row>
    <row r="256">
      <c r="A256" t="inlineStr">
        <is>
          <t>Pâte vindaloo</t>
        </is>
      </c>
      <c r="B256">
        <f>TableauRecette[[#This Row],[Recette]]&amp;TableauRecette[[#This Row],[Conditionnement]]</f>
        <v/>
      </c>
      <c r="C256" t="inlineStr">
        <is>
          <t>Graine De Cumin</t>
        </is>
      </c>
      <c r="D256" t="n">
        <v>1</v>
      </c>
      <c r="E256" t="inlineStr">
        <is>
          <t>Epice 100ml</t>
        </is>
      </c>
      <c r="F25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6">
        <f>IFERROR(_xlfn.XLOOKUP(TableauRecette[[#This Row],[Ingredients]],TableauIngredients[Ingredients],TableauIngredients[Prix d''achat / kg],0)*TableauRecette[[#This Row],[fraction mélange]],0)</f>
        <v/>
      </c>
      <c r="H256">
        <f>IFERROR(SUMIFS(TableauRecette[Proportion],TableauRecette[Recette],TableauRecette[[#This Row],[Recette]],TableauRecette[Conditionnement],TableauRecette[[#This Row],[Conditionnement]]),0)</f>
        <v/>
      </c>
      <c r="I256">
        <f>IFERROR(TableauRecette[[#This Row],[Prix d''achat / kg]],0)</f>
        <v/>
      </c>
      <c r="L256">
        <f>_xlfn.XLOOKUP(TableauRecette[[#This Row],[ID]],TableauProduit[ID],TableauProduit[Total (kg) N1],0,0,1)*TableauRecette[[#This Row],[fraction mélange]]</f>
        <v/>
      </c>
      <c r="M256">
        <f>_xlfn.XLOOKUP(TableauRecette[[#This Row],[ID]],TableauProduit[ID],TableauProduit[Total (kg) N2],0,0,1)*TableauRecette[[#This Row],[fraction mélange]]</f>
        <v/>
      </c>
      <c r="N256">
        <f>_xlfn.XLOOKUP(TableauRecette[[#This Row],[ID]],TableauProduit[ID],TableauProduit[Total (kg) N3],0,0,1)*TableauRecette[[#This Row],[fraction mélange]]</f>
        <v/>
      </c>
      <c r="O256">
        <f>_xlfn.XLOOKUP(TableauRecette[[#This Row],[ID]],TableauProduit[ID],TableauProduit[Total (kg) N4],0,0,1)*TableauRecette[[#This Row],[fraction mélange]]</f>
        <v/>
      </c>
      <c r="P256">
        <f>_xlfn.XLOOKUP(TableauRecette[[#This Row],[ID]],TableauProduit[ID],TableauProduit[Total (kg) N5],0,0,1)*TableauRecette[[#This Row],[fraction mélange]]</f>
        <v/>
      </c>
      <c r="Q256">
        <f>_xlfn.XLOOKUP(TableauRecette[[#This Row],[ID]],TableauProduit[ID],TableauProduit[Total (kg) N6],0,0,1)*TableauRecette[[#This Row],[fraction mélange]]</f>
        <v/>
      </c>
      <c r="R256">
        <f>_xlfn.XLOOKUP(TableauRecette[[#This Row],[ID]],TableauProduit[ID],TableauProduit[Total (kg) N7],0,0,1)*TableauRecette[[#This Row],[fraction mélange]]</f>
        <v/>
      </c>
      <c r="S256">
        <f>_xlfn.XLOOKUP(TableauRecette[[#This Row],[ID]],TableauProduit[ID],TableauProduit[Total (kg) N8],0,0,1)*TableauRecette[[#This Row],[fraction mélange]]</f>
        <v/>
      </c>
      <c r="T256">
        <f>_xlfn.XLOOKUP(TableauRecette[[#This Row],[ID]],TableauProduit[ID],TableauProduit[Total (kg) N9],0,0,1)*TableauRecette[[#This Row],[fraction mélange]]</f>
        <v/>
      </c>
    </row>
    <row r="257">
      <c r="A257" t="inlineStr">
        <is>
          <t>Pâte vindaloo</t>
        </is>
      </c>
      <c r="B257">
        <f>TableauRecette[[#This Row],[Recette]]&amp;TableauRecette[[#This Row],[Conditionnement]]</f>
        <v/>
      </c>
      <c r="C257" t="inlineStr">
        <is>
          <t>Piments Kashmiri Séchés Entier</t>
        </is>
      </c>
      <c r="D257" t="n">
        <v>1</v>
      </c>
      <c r="E257" t="inlineStr">
        <is>
          <t>Epice 100ml</t>
        </is>
      </c>
      <c r="F25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7">
        <f>IFERROR(_xlfn.XLOOKUP(TableauRecette[[#This Row],[Ingredients]],TableauIngredients[Ingredients],TableauIngredients[Prix d''achat / kg],0)*TableauRecette[[#This Row],[fraction mélange]],0)</f>
        <v/>
      </c>
      <c r="H257">
        <f>IFERROR(SUMIFS(TableauRecette[Proportion],TableauRecette[Recette],TableauRecette[[#This Row],[Recette]],TableauRecette[Conditionnement],TableauRecette[[#This Row],[Conditionnement]]),0)</f>
        <v/>
      </c>
      <c r="I257">
        <f>IFERROR(TableauRecette[[#This Row],[Prix d''achat / kg]],0)</f>
        <v/>
      </c>
      <c r="L257">
        <f>_xlfn.XLOOKUP(TableauRecette[[#This Row],[ID]],TableauProduit[ID],TableauProduit[Total (kg) N1],0,0,1)*TableauRecette[[#This Row],[fraction mélange]]</f>
        <v/>
      </c>
      <c r="M257">
        <f>_xlfn.XLOOKUP(TableauRecette[[#This Row],[ID]],TableauProduit[ID],TableauProduit[Total (kg) N2],0,0,1)*TableauRecette[[#This Row],[fraction mélange]]</f>
        <v/>
      </c>
      <c r="N257">
        <f>_xlfn.XLOOKUP(TableauRecette[[#This Row],[ID]],TableauProduit[ID],TableauProduit[Total (kg) N3],0,0,1)*TableauRecette[[#This Row],[fraction mélange]]</f>
        <v/>
      </c>
      <c r="O257">
        <f>_xlfn.XLOOKUP(TableauRecette[[#This Row],[ID]],TableauProduit[ID],TableauProduit[Total (kg) N4],0,0,1)*TableauRecette[[#This Row],[fraction mélange]]</f>
        <v/>
      </c>
      <c r="P257">
        <f>_xlfn.XLOOKUP(TableauRecette[[#This Row],[ID]],TableauProduit[ID],TableauProduit[Total (kg) N5],0,0,1)*TableauRecette[[#This Row],[fraction mélange]]</f>
        <v/>
      </c>
      <c r="Q257">
        <f>_xlfn.XLOOKUP(TableauRecette[[#This Row],[ID]],TableauProduit[ID],TableauProduit[Total (kg) N6],0,0,1)*TableauRecette[[#This Row],[fraction mélange]]</f>
        <v/>
      </c>
      <c r="R257">
        <f>_xlfn.XLOOKUP(TableauRecette[[#This Row],[ID]],TableauProduit[ID],TableauProduit[Total (kg) N7],0,0,1)*TableauRecette[[#This Row],[fraction mélange]]</f>
        <v/>
      </c>
      <c r="S257">
        <f>_xlfn.XLOOKUP(TableauRecette[[#This Row],[ID]],TableauProduit[ID],TableauProduit[Total (kg) N8],0,0,1)*TableauRecette[[#This Row],[fraction mélange]]</f>
        <v/>
      </c>
      <c r="T257">
        <f>_xlfn.XLOOKUP(TableauRecette[[#This Row],[ID]],TableauProduit[ID],TableauProduit[Total (kg) N9],0,0,1)*TableauRecette[[#This Row],[fraction mélange]]</f>
        <v/>
      </c>
    </row>
    <row r="258">
      <c r="A258" t="inlineStr">
        <is>
          <t>Pâte vindaloo</t>
        </is>
      </c>
      <c r="B258">
        <f>TableauRecette[[#This Row],[Recette]]&amp;TableauRecette[[#This Row],[Conditionnement]]</f>
        <v/>
      </c>
      <c r="C258" t="inlineStr">
        <is>
          <t>Poivre Noir</t>
        </is>
      </c>
      <c r="D258" t="n">
        <v>1</v>
      </c>
      <c r="E258" t="inlineStr">
        <is>
          <t>Epice 100ml</t>
        </is>
      </c>
      <c r="F25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8">
        <f>IFERROR(_xlfn.XLOOKUP(TableauRecette[[#This Row],[Ingredients]],TableauIngredients[Ingredients],TableauIngredients[Prix d''achat / kg],0)*TableauRecette[[#This Row],[fraction mélange]],0)</f>
        <v/>
      </c>
      <c r="H258">
        <f>IFERROR(SUMIFS(TableauRecette[Proportion],TableauRecette[Recette],TableauRecette[[#This Row],[Recette]],TableauRecette[Conditionnement],TableauRecette[[#This Row],[Conditionnement]]),0)</f>
        <v/>
      </c>
      <c r="I258">
        <f>IFERROR(TableauRecette[[#This Row],[Prix d''achat / kg]],0)</f>
        <v/>
      </c>
      <c r="L258">
        <f>_xlfn.XLOOKUP(TableauRecette[[#This Row],[ID]],TableauProduit[ID],TableauProduit[Total (kg) N1],0,0,1)*TableauRecette[[#This Row],[fraction mélange]]</f>
        <v/>
      </c>
      <c r="M258">
        <f>_xlfn.XLOOKUP(TableauRecette[[#This Row],[ID]],TableauProduit[ID],TableauProduit[Total (kg) N2],0,0,1)*TableauRecette[[#This Row],[fraction mélange]]</f>
        <v/>
      </c>
      <c r="N258">
        <f>_xlfn.XLOOKUP(TableauRecette[[#This Row],[ID]],TableauProduit[ID],TableauProduit[Total (kg) N3],0,0,1)*TableauRecette[[#This Row],[fraction mélange]]</f>
        <v/>
      </c>
      <c r="O258">
        <f>_xlfn.XLOOKUP(TableauRecette[[#This Row],[ID]],TableauProduit[ID],TableauProduit[Total (kg) N4],0,0,1)*TableauRecette[[#This Row],[fraction mélange]]</f>
        <v/>
      </c>
      <c r="P258">
        <f>_xlfn.XLOOKUP(TableauRecette[[#This Row],[ID]],TableauProduit[ID],TableauProduit[Total (kg) N5],0,0,1)*TableauRecette[[#This Row],[fraction mélange]]</f>
        <v/>
      </c>
      <c r="Q258">
        <f>_xlfn.XLOOKUP(TableauRecette[[#This Row],[ID]],TableauProduit[ID],TableauProduit[Total (kg) N6],0,0,1)*TableauRecette[[#This Row],[fraction mélange]]</f>
        <v/>
      </c>
      <c r="R258">
        <f>_xlfn.XLOOKUP(TableauRecette[[#This Row],[ID]],TableauProduit[ID],TableauProduit[Total (kg) N7],0,0,1)*TableauRecette[[#This Row],[fraction mélange]]</f>
        <v/>
      </c>
      <c r="S258">
        <f>_xlfn.XLOOKUP(TableauRecette[[#This Row],[ID]],TableauProduit[ID],TableauProduit[Total (kg) N8],0,0,1)*TableauRecette[[#This Row],[fraction mélange]]</f>
        <v/>
      </c>
      <c r="T258">
        <f>_xlfn.XLOOKUP(TableauRecette[[#This Row],[ID]],TableauProduit[ID],TableauProduit[Total (kg) N9],0,0,1)*TableauRecette[[#This Row],[fraction mélange]]</f>
        <v/>
      </c>
    </row>
    <row r="259">
      <c r="A259" t="inlineStr">
        <is>
          <t>Pâte vindaloo</t>
        </is>
      </c>
      <c r="B259">
        <f>TableauRecette[[#This Row],[Recette]]&amp;TableauRecette[[#This Row],[Conditionnement]]</f>
        <v/>
      </c>
      <c r="C259" t="inlineStr">
        <is>
          <t>Graine De Moutarde Noire</t>
        </is>
      </c>
      <c r="D259" t="n">
        <v>1</v>
      </c>
      <c r="E259" t="inlineStr">
        <is>
          <t>Epice 100ml</t>
        </is>
      </c>
      <c r="F25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9">
        <f>IFERROR(_xlfn.XLOOKUP(TableauRecette[[#This Row],[Ingredients]],TableauIngredients[Ingredients],TableauIngredients[Prix d''achat / kg],0)*TableauRecette[[#This Row],[fraction mélange]],0)</f>
        <v/>
      </c>
      <c r="H259">
        <f>IFERROR(SUMIFS(TableauRecette[Proportion],TableauRecette[Recette],TableauRecette[[#This Row],[Recette]],TableauRecette[Conditionnement],TableauRecette[[#This Row],[Conditionnement]]),0)</f>
        <v/>
      </c>
      <c r="I259">
        <f>IFERROR(TableauRecette[[#This Row],[Prix d''achat / kg]],0)</f>
        <v/>
      </c>
      <c r="L259">
        <f>_xlfn.XLOOKUP(TableauRecette[[#This Row],[ID]],TableauProduit[ID],TableauProduit[Total (kg) N1],0,0,1)*TableauRecette[[#This Row],[fraction mélange]]</f>
        <v/>
      </c>
      <c r="M259">
        <f>_xlfn.XLOOKUP(TableauRecette[[#This Row],[ID]],TableauProduit[ID],TableauProduit[Total (kg) N2],0,0,1)*TableauRecette[[#This Row],[fraction mélange]]</f>
        <v/>
      </c>
      <c r="N259">
        <f>_xlfn.XLOOKUP(TableauRecette[[#This Row],[ID]],TableauProduit[ID],TableauProduit[Total (kg) N3],0,0,1)*TableauRecette[[#This Row],[fraction mélange]]</f>
        <v/>
      </c>
      <c r="O259">
        <f>_xlfn.XLOOKUP(TableauRecette[[#This Row],[ID]],TableauProduit[ID],TableauProduit[Total (kg) N4],0,0,1)*TableauRecette[[#This Row],[fraction mélange]]</f>
        <v/>
      </c>
      <c r="P259">
        <f>_xlfn.XLOOKUP(TableauRecette[[#This Row],[ID]],TableauProduit[ID],TableauProduit[Total (kg) N5],0,0,1)*TableauRecette[[#This Row],[fraction mélange]]</f>
        <v/>
      </c>
      <c r="Q259">
        <f>_xlfn.XLOOKUP(TableauRecette[[#This Row],[ID]],TableauProduit[ID],TableauProduit[Total (kg) N6],0,0,1)*TableauRecette[[#This Row],[fraction mélange]]</f>
        <v/>
      </c>
      <c r="R259">
        <f>_xlfn.XLOOKUP(TableauRecette[[#This Row],[ID]],TableauProduit[ID],TableauProduit[Total (kg) N7],0,0,1)*TableauRecette[[#This Row],[fraction mélange]]</f>
        <v/>
      </c>
      <c r="S259">
        <f>_xlfn.XLOOKUP(TableauRecette[[#This Row],[ID]],TableauProduit[ID],TableauProduit[Total (kg) N8],0,0,1)*TableauRecette[[#This Row],[fraction mélange]]</f>
        <v/>
      </c>
      <c r="T259">
        <f>_xlfn.XLOOKUP(TableauRecette[[#This Row],[ID]],TableauProduit[ID],TableauProduit[Total (kg) N9],0,0,1)*TableauRecette[[#This Row],[fraction mélange]]</f>
        <v/>
      </c>
    </row>
    <row r="260">
      <c r="A260" t="inlineStr">
        <is>
          <t>Pâte vindaloo</t>
        </is>
      </c>
      <c r="B260">
        <f>TableauRecette[[#This Row],[Recette]]&amp;TableauRecette[[#This Row],[Conditionnement]]</f>
        <v/>
      </c>
      <c r="C260" t="inlineStr">
        <is>
          <t>Graine De Fenugrec</t>
        </is>
      </c>
      <c r="D260" t="n">
        <v>1</v>
      </c>
      <c r="E260" t="inlineStr">
        <is>
          <t>Epice 100ml</t>
        </is>
      </c>
      <c r="F26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0">
        <f>IFERROR(_xlfn.XLOOKUP(TableauRecette[[#This Row],[Ingredients]],TableauIngredients[Ingredients],TableauIngredients[Prix d''achat / kg],0)*TableauRecette[[#This Row],[fraction mélange]],0)</f>
        <v/>
      </c>
      <c r="H260">
        <f>IFERROR(SUMIFS(TableauRecette[Proportion],TableauRecette[Recette],TableauRecette[[#This Row],[Recette]],TableauRecette[Conditionnement],TableauRecette[[#This Row],[Conditionnement]]),0)</f>
        <v/>
      </c>
      <c r="I260">
        <f>IFERROR(TableauRecette[[#This Row],[Prix d''achat / kg]],0)</f>
        <v/>
      </c>
      <c r="L260">
        <f>_xlfn.XLOOKUP(TableauRecette[[#This Row],[ID]],TableauProduit[ID],TableauProduit[Total (kg) N1],0,0,1)*TableauRecette[[#This Row],[fraction mélange]]</f>
        <v/>
      </c>
      <c r="M260">
        <f>_xlfn.XLOOKUP(TableauRecette[[#This Row],[ID]],TableauProduit[ID],TableauProduit[Total (kg) N2],0,0,1)*TableauRecette[[#This Row],[fraction mélange]]</f>
        <v/>
      </c>
      <c r="N260">
        <f>_xlfn.XLOOKUP(TableauRecette[[#This Row],[ID]],TableauProduit[ID],TableauProduit[Total (kg) N3],0,0,1)*TableauRecette[[#This Row],[fraction mélange]]</f>
        <v/>
      </c>
      <c r="O260">
        <f>_xlfn.XLOOKUP(TableauRecette[[#This Row],[ID]],TableauProduit[ID],TableauProduit[Total (kg) N4],0,0,1)*TableauRecette[[#This Row],[fraction mélange]]</f>
        <v/>
      </c>
      <c r="P260">
        <f>_xlfn.XLOOKUP(TableauRecette[[#This Row],[ID]],TableauProduit[ID],TableauProduit[Total (kg) N5],0,0,1)*TableauRecette[[#This Row],[fraction mélange]]</f>
        <v/>
      </c>
      <c r="Q260">
        <f>_xlfn.XLOOKUP(TableauRecette[[#This Row],[ID]],TableauProduit[ID],TableauProduit[Total (kg) N6],0,0,1)*TableauRecette[[#This Row],[fraction mélange]]</f>
        <v/>
      </c>
      <c r="R260">
        <f>_xlfn.XLOOKUP(TableauRecette[[#This Row],[ID]],TableauProduit[ID],TableauProduit[Total (kg) N7],0,0,1)*TableauRecette[[#This Row],[fraction mélange]]</f>
        <v/>
      </c>
      <c r="S260">
        <f>_xlfn.XLOOKUP(TableauRecette[[#This Row],[ID]],TableauProduit[ID],TableauProduit[Total (kg) N8],0,0,1)*TableauRecette[[#This Row],[fraction mélange]]</f>
        <v/>
      </c>
      <c r="T260">
        <f>_xlfn.XLOOKUP(TableauRecette[[#This Row],[ID]],TableauProduit[ID],TableauProduit[Total (kg) N9],0,0,1)*TableauRecette[[#This Row],[fraction mélange]]</f>
        <v/>
      </c>
    </row>
    <row r="261">
      <c r="A261" t="inlineStr">
        <is>
          <t>Pâte vindaloo</t>
        </is>
      </c>
      <c r="B261">
        <f>TableauRecette[[#This Row],[Recette]]&amp;TableauRecette[[#This Row],[Conditionnement]]</f>
        <v/>
      </c>
      <c r="C261" t="inlineStr">
        <is>
          <t>Clous De Girofle</t>
        </is>
      </c>
      <c r="D261" t="n">
        <v>1</v>
      </c>
      <c r="E261" t="inlineStr">
        <is>
          <t>Epice 100ml</t>
        </is>
      </c>
      <c r="F26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1">
        <f>IFERROR(_xlfn.XLOOKUP(TableauRecette[[#This Row],[Ingredients]],TableauIngredients[Ingredients],TableauIngredients[Prix d''achat / kg],0)*TableauRecette[[#This Row],[fraction mélange]],0)</f>
        <v/>
      </c>
      <c r="H261">
        <f>IFERROR(SUMIFS(TableauRecette[Proportion],TableauRecette[Recette],TableauRecette[[#This Row],[Recette]],TableauRecette[Conditionnement],TableauRecette[[#This Row],[Conditionnement]]),0)</f>
        <v/>
      </c>
      <c r="I261">
        <f>IFERROR(TableauRecette[[#This Row],[Prix d''achat / kg]],0)</f>
        <v/>
      </c>
      <c r="L261">
        <f>_xlfn.XLOOKUP(TableauRecette[[#This Row],[ID]],TableauProduit[ID],TableauProduit[Total (kg) N1],0,0,1)*TableauRecette[[#This Row],[fraction mélange]]</f>
        <v/>
      </c>
      <c r="M261">
        <f>_xlfn.XLOOKUP(TableauRecette[[#This Row],[ID]],TableauProduit[ID],TableauProduit[Total (kg) N2],0,0,1)*TableauRecette[[#This Row],[fraction mélange]]</f>
        <v/>
      </c>
      <c r="N261">
        <f>_xlfn.XLOOKUP(TableauRecette[[#This Row],[ID]],TableauProduit[ID],TableauProduit[Total (kg) N3],0,0,1)*TableauRecette[[#This Row],[fraction mélange]]</f>
        <v/>
      </c>
      <c r="O261">
        <f>_xlfn.XLOOKUP(TableauRecette[[#This Row],[ID]],TableauProduit[ID],TableauProduit[Total (kg) N4],0,0,1)*TableauRecette[[#This Row],[fraction mélange]]</f>
        <v/>
      </c>
      <c r="P261">
        <f>_xlfn.XLOOKUP(TableauRecette[[#This Row],[ID]],TableauProduit[ID],TableauProduit[Total (kg) N5],0,0,1)*TableauRecette[[#This Row],[fraction mélange]]</f>
        <v/>
      </c>
      <c r="Q261">
        <f>_xlfn.XLOOKUP(TableauRecette[[#This Row],[ID]],TableauProduit[ID],TableauProduit[Total (kg) N6],0,0,1)*TableauRecette[[#This Row],[fraction mélange]]</f>
        <v/>
      </c>
      <c r="R261">
        <f>_xlfn.XLOOKUP(TableauRecette[[#This Row],[ID]],TableauProduit[ID],TableauProduit[Total (kg) N7],0,0,1)*TableauRecette[[#This Row],[fraction mélange]]</f>
        <v/>
      </c>
      <c r="S261">
        <f>_xlfn.XLOOKUP(TableauRecette[[#This Row],[ID]],TableauProduit[ID],TableauProduit[Total (kg) N8],0,0,1)*TableauRecette[[#This Row],[fraction mélange]]</f>
        <v/>
      </c>
      <c r="T261">
        <f>_xlfn.XLOOKUP(TableauRecette[[#This Row],[ID]],TableauProduit[ID],TableauProduit[Total (kg) N9],0,0,1)*TableauRecette[[#This Row],[fraction mélange]]</f>
        <v/>
      </c>
    </row>
    <row r="262">
      <c r="A262" t="inlineStr">
        <is>
          <t>Pâte vindaloo</t>
        </is>
      </c>
      <c r="B262">
        <f>TableauRecette[[#This Row],[Recette]]&amp;TableauRecette[[#This Row],[Conditionnement]]</f>
        <v/>
      </c>
      <c r="C262" t="inlineStr">
        <is>
          <t>Graine De Cardamome</t>
        </is>
      </c>
      <c r="D262" t="n">
        <v>1</v>
      </c>
      <c r="E262" t="inlineStr">
        <is>
          <t>Epice 100ml</t>
        </is>
      </c>
      <c r="F26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2">
        <f>IFERROR(_xlfn.XLOOKUP(TableauRecette[[#This Row],[Ingredients]],TableauIngredients[Ingredients],TableauIngredients[Prix d''achat / kg],0)*TableauRecette[[#This Row],[fraction mélange]],0)</f>
        <v/>
      </c>
      <c r="H262">
        <f>IFERROR(SUMIFS(TableauRecette[Proportion],TableauRecette[Recette],TableauRecette[[#This Row],[Recette]],TableauRecette[Conditionnement],TableauRecette[[#This Row],[Conditionnement]]),0)</f>
        <v/>
      </c>
      <c r="I262">
        <f>IFERROR(TableauRecette[[#This Row],[Prix d''achat / kg]],0)</f>
        <v/>
      </c>
      <c r="L262">
        <f>_xlfn.XLOOKUP(TableauRecette[[#This Row],[ID]],TableauProduit[ID],TableauProduit[Total (kg) N1],0,0,1)*TableauRecette[[#This Row],[fraction mélange]]</f>
        <v/>
      </c>
      <c r="M262">
        <f>_xlfn.XLOOKUP(TableauRecette[[#This Row],[ID]],TableauProduit[ID],TableauProduit[Total (kg) N2],0,0,1)*TableauRecette[[#This Row],[fraction mélange]]</f>
        <v/>
      </c>
      <c r="N262">
        <f>_xlfn.XLOOKUP(TableauRecette[[#This Row],[ID]],TableauProduit[ID],TableauProduit[Total (kg) N3],0,0,1)*TableauRecette[[#This Row],[fraction mélange]]</f>
        <v/>
      </c>
      <c r="O262">
        <f>_xlfn.XLOOKUP(TableauRecette[[#This Row],[ID]],TableauProduit[ID],TableauProduit[Total (kg) N4],0,0,1)*TableauRecette[[#This Row],[fraction mélange]]</f>
        <v/>
      </c>
      <c r="P262">
        <f>_xlfn.XLOOKUP(TableauRecette[[#This Row],[ID]],TableauProduit[ID],TableauProduit[Total (kg) N5],0,0,1)*TableauRecette[[#This Row],[fraction mélange]]</f>
        <v/>
      </c>
      <c r="Q262">
        <f>_xlfn.XLOOKUP(TableauRecette[[#This Row],[ID]],TableauProduit[ID],TableauProduit[Total (kg) N6],0,0,1)*TableauRecette[[#This Row],[fraction mélange]]</f>
        <v/>
      </c>
      <c r="R262">
        <f>_xlfn.XLOOKUP(TableauRecette[[#This Row],[ID]],TableauProduit[ID],TableauProduit[Total (kg) N7],0,0,1)*TableauRecette[[#This Row],[fraction mélange]]</f>
        <v/>
      </c>
      <c r="S262">
        <f>_xlfn.XLOOKUP(TableauRecette[[#This Row],[ID]],TableauProduit[ID],TableauProduit[Total (kg) N8],0,0,1)*TableauRecette[[#This Row],[fraction mélange]]</f>
        <v/>
      </c>
      <c r="T262">
        <f>_xlfn.XLOOKUP(TableauRecette[[#This Row],[ID]],TableauProduit[ID],TableauProduit[Total (kg) N9],0,0,1)*TableauRecette[[#This Row],[fraction mélange]]</f>
        <v/>
      </c>
    </row>
    <row r="263">
      <c r="A263" t="inlineStr">
        <is>
          <t>Pâte vindaloo</t>
        </is>
      </c>
      <c r="B263">
        <f>TableauRecette[[#This Row],[Recette]]&amp;TableauRecette[[#This Row],[Conditionnement]]</f>
        <v/>
      </c>
      <c r="C263" t="inlineStr">
        <is>
          <t>Casse Concassée</t>
        </is>
      </c>
      <c r="D263" t="n">
        <v>1</v>
      </c>
      <c r="E263" t="inlineStr">
        <is>
          <t>Epice 100ml</t>
        </is>
      </c>
      <c r="F26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3">
        <f>IFERROR(_xlfn.XLOOKUP(TableauRecette[[#This Row],[Ingredients]],TableauIngredients[Ingredients],TableauIngredients[Prix d''achat / kg],0)*TableauRecette[[#This Row],[fraction mélange]],0)</f>
        <v/>
      </c>
      <c r="H263">
        <f>IFERROR(SUMIFS(TableauRecette[Proportion],TableauRecette[Recette],TableauRecette[[#This Row],[Recette]],TableauRecette[Conditionnement],TableauRecette[[#This Row],[Conditionnement]]),0)</f>
        <v/>
      </c>
      <c r="I263">
        <f>IFERROR(TableauRecette[[#This Row],[Prix d''achat / kg]],0)</f>
        <v/>
      </c>
      <c r="L263">
        <f>_xlfn.XLOOKUP(TableauRecette[[#This Row],[ID]],TableauProduit[ID],TableauProduit[Total (kg) N1],0,0,1)*TableauRecette[[#This Row],[fraction mélange]]</f>
        <v/>
      </c>
      <c r="M263">
        <f>_xlfn.XLOOKUP(TableauRecette[[#This Row],[ID]],TableauProduit[ID],TableauProduit[Total (kg) N2],0,0,1)*TableauRecette[[#This Row],[fraction mélange]]</f>
        <v/>
      </c>
      <c r="N263">
        <f>_xlfn.XLOOKUP(TableauRecette[[#This Row],[ID]],TableauProduit[ID],TableauProduit[Total (kg) N3],0,0,1)*TableauRecette[[#This Row],[fraction mélange]]</f>
        <v/>
      </c>
      <c r="O263">
        <f>_xlfn.XLOOKUP(TableauRecette[[#This Row],[ID]],TableauProduit[ID],TableauProduit[Total (kg) N4],0,0,1)*TableauRecette[[#This Row],[fraction mélange]]</f>
        <v/>
      </c>
      <c r="P263">
        <f>_xlfn.XLOOKUP(TableauRecette[[#This Row],[ID]],TableauProduit[ID],TableauProduit[Total (kg) N5],0,0,1)*TableauRecette[[#This Row],[fraction mélange]]</f>
        <v/>
      </c>
      <c r="Q263">
        <f>_xlfn.XLOOKUP(TableauRecette[[#This Row],[ID]],TableauProduit[ID],TableauProduit[Total (kg) N6],0,0,1)*TableauRecette[[#This Row],[fraction mélange]]</f>
        <v/>
      </c>
      <c r="R263">
        <f>_xlfn.XLOOKUP(TableauRecette[[#This Row],[ID]],TableauProduit[ID],TableauProduit[Total (kg) N7],0,0,1)*TableauRecette[[#This Row],[fraction mélange]]</f>
        <v/>
      </c>
      <c r="S263">
        <f>_xlfn.XLOOKUP(TableauRecette[[#This Row],[ID]],TableauProduit[ID],TableauProduit[Total (kg) N8],0,0,1)*TableauRecette[[#This Row],[fraction mélange]]</f>
        <v/>
      </c>
      <c r="T263">
        <f>_xlfn.XLOOKUP(TableauRecette[[#This Row],[ID]],TableauProduit[ID],TableauProduit[Total (kg) N9],0,0,1)*TableauRecette[[#This Row],[fraction mélange]]</f>
        <v/>
      </c>
    </row>
    <row r="264">
      <c r="A264" t="inlineStr">
        <is>
          <t>Pâte vindaloo</t>
        </is>
      </c>
      <c r="B264">
        <f>TableauRecette[[#This Row],[Recette]]&amp;TableauRecette[[#This Row],[Conditionnement]]</f>
        <v/>
      </c>
      <c r="C264" t="inlineStr">
        <is>
          <t>Anis Étoilé</t>
        </is>
      </c>
      <c r="D264" t="n">
        <v>1</v>
      </c>
      <c r="E264" t="inlineStr">
        <is>
          <t>Epice 100ml</t>
        </is>
      </c>
      <c r="F26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4">
        <f>IFERROR(_xlfn.XLOOKUP(TableauRecette[[#This Row],[Ingredients]],TableauIngredients[Ingredients],TableauIngredients[Prix d''achat / kg],0)*TableauRecette[[#This Row],[fraction mélange]],0)</f>
        <v/>
      </c>
      <c r="H264">
        <f>IFERROR(SUMIFS(TableauRecette[Proportion],TableauRecette[Recette],TableauRecette[[#This Row],[Recette]],TableauRecette[Conditionnement],TableauRecette[[#This Row],[Conditionnement]]),0)</f>
        <v/>
      </c>
      <c r="I264">
        <f>IFERROR(TableauRecette[[#This Row],[Prix d''achat / kg]],0)</f>
        <v/>
      </c>
      <c r="L264">
        <f>_xlfn.XLOOKUP(TableauRecette[[#This Row],[ID]],TableauProduit[ID],TableauProduit[Total (kg) N1],0,0,1)*TableauRecette[[#This Row],[fraction mélange]]</f>
        <v/>
      </c>
      <c r="M264">
        <f>_xlfn.XLOOKUP(TableauRecette[[#This Row],[ID]],TableauProduit[ID],TableauProduit[Total (kg) N2],0,0,1)*TableauRecette[[#This Row],[fraction mélange]]</f>
        <v/>
      </c>
      <c r="N264">
        <f>_xlfn.XLOOKUP(TableauRecette[[#This Row],[ID]],TableauProduit[ID],TableauProduit[Total (kg) N3],0,0,1)*TableauRecette[[#This Row],[fraction mélange]]</f>
        <v/>
      </c>
      <c r="O264">
        <f>_xlfn.XLOOKUP(TableauRecette[[#This Row],[ID]],TableauProduit[ID],TableauProduit[Total (kg) N4],0,0,1)*TableauRecette[[#This Row],[fraction mélange]]</f>
        <v/>
      </c>
      <c r="P264">
        <f>_xlfn.XLOOKUP(TableauRecette[[#This Row],[ID]],TableauProduit[ID],TableauProduit[Total (kg) N5],0,0,1)*TableauRecette[[#This Row],[fraction mélange]]</f>
        <v/>
      </c>
      <c r="Q264">
        <f>_xlfn.XLOOKUP(TableauRecette[[#This Row],[ID]],TableauProduit[ID],TableauProduit[Total (kg) N6],0,0,1)*TableauRecette[[#This Row],[fraction mélange]]</f>
        <v/>
      </c>
      <c r="R264">
        <f>_xlfn.XLOOKUP(TableauRecette[[#This Row],[ID]],TableauProduit[ID],TableauProduit[Total (kg) N7],0,0,1)*TableauRecette[[#This Row],[fraction mélange]]</f>
        <v/>
      </c>
      <c r="S264">
        <f>_xlfn.XLOOKUP(TableauRecette[[#This Row],[ID]],TableauProduit[ID],TableauProduit[Total (kg) N8],0,0,1)*TableauRecette[[#This Row],[fraction mélange]]</f>
        <v/>
      </c>
      <c r="T264">
        <f>_xlfn.XLOOKUP(TableauRecette[[#This Row],[ID]],TableauProduit[ID],TableauProduit[Total (kg) N9],0,0,1)*TableauRecette[[#This Row],[fraction mélange]]</f>
        <v/>
      </c>
    </row>
    <row r="265">
      <c r="A265" t="inlineStr">
        <is>
          <t>Pâte vindaloo</t>
        </is>
      </c>
      <c r="B265">
        <f>TableauRecette[[#This Row],[Recette]]&amp;TableauRecette[[#This Row],[Conditionnement]]</f>
        <v/>
      </c>
      <c r="C265" t="inlineStr">
        <is>
          <t>Vinaigre De Cidre</t>
        </is>
      </c>
      <c r="D265" t="n">
        <v>1</v>
      </c>
      <c r="E265" t="inlineStr">
        <is>
          <t>Epice 100ml</t>
        </is>
      </c>
      <c r="F26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5">
        <f>IFERROR(_xlfn.XLOOKUP(TableauRecette[[#This Row],[Ingredients]],TableauIngredients[Ingredients],TableauIngredients[Prix d''achat / kg],0)*TableauRecette[[#This Row],[fraction mélange]],0)</f>
        <v/>
      </c>
      <c r="H265">
        <f>IFERROR(SUMIFS(TableauRecette[Proportion],TableauRecette[Recette],TableauRecette[[#This Row],[Recette]],TableauRecette[Conditionnement],TableauRecette[[#This Row],[Conditionnement]]),0)</f>
        <v/>
      </c>
      <c r="I265">
        <f>IFERROR(TableauRecette[[#This Row],[Prix d''achat / kg]],0)</f>
        <v/>
      </c>
      <c r="L265">
        <f>_xlfn.XLOOKUP(TableauRecette[[#This Row],[ID]],TableauProduit[ID],TableauProduit[Total (kg) N1],0,0,1)*TableauRecette[[#This Row],[fraction mélange]]</f>
        <v/>
      </c>
      <c r="M265">
        <f>_xlfn.XLOOKUP(TableauRecette[[#This Row],[ID]],TableauProduit[ID],TableauProduit[Total (kg) N2],0,0,1)*TableauRecette[[#This Row],[fraction mélange]]</f>
        <v/>
      </c>
      <c r="N265">
        <f>_xlfn.XLOOKUP(TableauRecette[[#This Row],[ID]],TableauProduit[ID],TableauProduit[Total (kg) N3],0,0,1)*TableauRecette[[#This Row],[fraction mélange]]</f>
        <v/>
      </c>
      <c r="O265">
        <f>_xlfn.XLOOKUP(TableauRecette[[#This Row],[ID]],TableauProduit[ID],TableauProduit[Total (kg) N4],0,0,1)*TableauRecette[[#This Row],[fraction mélange]]</f>
        <v/>
      </c>
      <c r="P265">
        <f>_xlfn.XLOOKUP(TableauRecette[[#This Row],[ID]],TableauProduit[ID],TableauProduit[Total (kg) N5],0,0,1)*TableauRecette[[#This Row],[fraction mélange]]</f>
        <v/>
      </c>
      <c r="Q265">
        <f>_xlfn.XLOOKUP(TableauRecette[[#This Row],[ID]],TableauProduit[ID],TableauProduit[Total (kg) N6],0,0,1)*TableauRecette[[#This Row],[fraction mélange]]</f>
        <v/>
      </c>
      <c r="R265">
        <f>_xlfn.XLOOKUP(TableauRecette[[#This Row],[ID]],TableauProduit[ID],TableauProduit[Total (kg) N7],0,0,1)*TableauRecette[[#This Row],[fraction mélange]]</f>
        <v/>
      </c>
      <c r="S265">
        <f>_xlfn.XLOOKUP(TableauRecette[[#This Row],[ID]],TableauProduit[ID],TableauProduit[Total (kg) N8],0,0,1)*TableauRecette[[#This Row],[fraction mélange]]</f>
        <v/>
      </c>
      <c r="T265">
        <f>_xlfn.XLOOKUP(TableauRecette[[#This Row],[ID]],TableauProduit[ID],TableauProduit[Total (kg) N9],0,0,1)*TableauRecette[[#This Row],[fraction mélange]]</f>
        <v/>
      </c>
    </row>
    <row r="266">
      <c r="A266" t="inlineStr">
        <is>
          <t>Pâte vindaloo</t>
        </is>
      </c>
      <c r="B266">
        <f>TableauRecette[[#This Row],[Recette]]&amp;TableauRecette[[#This Row],[Conditionnement]]</f>
        <v/>
      </c>
      <c r="C266" t="inlineStr">
        <is>
          <t>Sel</t>
        </is>
      </c>
      <c r="D266" t="n">
        <v>1</v>
      </c>
      <c r="E266" t="inlineStr">
        <is>
          <t>Epice 100ml</t>
        </is>
      </c>
      <c r="F26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6">
        <f>IFERROR(_xlfn.XLOOKUP(TableauRecette[[#This Row],[Ingredients]],TableauIngredients[Ingredients],TableauIngredients[Prix d''achat / kg],0)*TableauRecette[[#This Row],[fraction mélange]],0)</f>
        <v/>
      </c>
      <c r="H266">
        <f>IFERROR(SUMIFS(TableauRecette[Proportion],TableauRecette[Recette],TableauRecette[[#This Row],[Recette]],TableauRecette[Conditionnement],TableauRecette[[#This Row],[Conditionnement]]),0)</f>
        <v/>
      </c>
      <c r="I266">
        <f>IFERROR(TableauRecette[[#This Row],[Prix d''achat / kg]],0)</f>
        <v/>
      </c>
      <c r="L266">
        <f>_xlfn.XLOOKUP(TableauRecette[[#This Row],[ID]],TableauProduit[ID],TableauProduit[Total (kg) N1],0,0,1)*TableauRecette[[#This Row],[fraction mélange]]</f>
        <v/>
      </c>
      <c r="M266">
        <f>_xlfn.XLOOKUP(TableauRecette[[#This Row],[ID]],TableauProduit[ID],TableauProduit[Total (kg) N2],0,0,1)*TableauRecette[[#This Row],[fraction mélange]]</f>
        <v/>
      </c>
      <c r="N266">
        <f>_xlfn.XLOOKUP(TableauRecette[[#This Row],[ID]],TableauProduit[ID],TableauProduit[Total (kg) N3],0,0,1)*TableauRecette[[#This Row],[fraction mélange]]</f>
        <v/>
      </c>
      <c r="O266">
        <f>_xlfn.XLOOKUP(TableauRecette[[#This Row],[ID]],TableauProduit[ID],TableauProduit[Total (kg) N4],0,0,1)*TableauRecette[[#This Row],[fraction mélange]]</f>
        <v/>
      </c>
      <c r="P266">
        <f>_xlfn.XLOOKUP(TableauRecette[[#This Row],[ID]],TableauProduit[ID],TableauProduit[Total (kg) N5],0,0,1)*TableauRecette[[#This Row],[fraction mélange]]</f>
        <v/>
      </c>
      <c r="Q266">
        <f>_xlfn.XLOOKUP(TableauRecette[[#This Row],[ID]],TableauProduit[ID],TableauProduit[Total (kg) N6],0,0,1)*TableauRecette[[#This Row],[fraction mélange]]</f>
        <v/>
      </c>
      <c r="R266">
        <f>_xlfn.XLOOKUP(TableauRecette[[#This Row],[ID]],TableauProduit[ID],TableauProduit[Total (kg) N7],0,0,1)*TableauRecette[[#This Row],[fraction mélange]]</f>
        <v/>
      </c>
      <c r="S266">
        <f>_xlfn.XLOOKUP(TableauRecette[[#This Row],[ID]],TableauProduit[ID],TableauProduit[Total (kg) N8],0,0,1)*TableauRecette[[#This Row],[fraction mélange]]</f>
        <v/>
      </c>
      <c r="T266">
        <f>_xlfn.XLOOKUP(TableauRecette[[#This Row],[ID]],TableauProduit[ID],TableauProduit[Total (kg) N9],0,0,1)*TableauRecette[[#This Row],[fraction mélange]]</f>
        <v/>
      </c>
    </row>
    <row r="267">
      <c r="A267" t="inlineStr">
        <is>
          <t>Pâte vindaloo</t>
        </is>
      </c>
      <c r="B267">
        <f>TableauRecette[[#This Row],[Recette]]&amp;TableauRecette[[#This Row],[Conditionnement]]</f>
        <v/>
      </c>
      <c r="C267" t="inlineStr">
        <is>
          <t>Jaggery</t>
        </is>
      </c>
      <c r="D267" t="n">
        <v>1</v>
      </c>
      <c r="E267" t="inlineStr">
        <is>
          <t>Epice 100ml</t>
        </is>
      </c>
      <c r="F26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7">
        <f>IFERROR(_xlfn.XLOOKUP(TableauRecette[[#This Row],[Ingredients]],TableauIngredients[Ingredients],TableauIngredients[Prix d''achat / kg],0)*TableauRecette[[#This Row],[fraction mélange]],0)</f>
        <v/>
      </c>
      <c r="H267">
        <f>IFERROR(SUMIFS(TableauRecette[Proportion],TableauRecette[Recette],TableauRecette[[#This Row],[Recette]],TableauRecette[Conditionnement],TableauRecette[[#This Row],[Conditionnement]]),0)</f>
        <v/>
      </c>
      <c r="I267">
        <f>IFERROR(TableauRecette[[#This Row],[Prix d''achat / kg]],0)</f>
        <v/>
      </c>
      <c r="L267">
        <f>_xlfn.XLOOKUP(TableauRecette[[#This Row],[ID]],TableauProduit[ID],TableauProduit[Total (kg) N1],0,0,1)*TableauRecette[[#This Row],[fraction mélange]]</f>
        <v/>
      </c>
      <c r="M267">
        <f>_xlfn.XLOOKUP(TableauRecette[[#This Row],[ID]],TableauProduit[ID],TableauProduit[Total (kg) N2],0,0,1)*TableauRecette[[#This Row],[fraction mélange]]</f>
        <v/>
      </c>
      <c r="N267">
        <f>_xlfn.XLOOKUP(TableauRecette[[#This Row],[ID]],TableauProduit[ID],TableauProduit[Total (kg) N3],0,0,1)*TableauRecette[[#This Row],[fraction mélange]]</f>
        <v/>
      </c>
      <c r="O267">
        <f>_xlfn.XLOOKUP(TableauRecette[[#This Row],[ID]],TableauProduit[ID],TableauProduit[Total (kg) N4],0,0,1)*TableauRecette[[#This Row],[fraction mélange]]</f>
        <v/>
      </c>
      <c r="P267">
        <f>_xlfn.XLOOKUP(TableauRecette[[#This Row],[ID]],TableauProduit[ID],TableauProduit[Total (kg) N5],0,0,1)*TableauRecette[[#This Row],[fraction mélange]]</f>
        <v/>
      </c>
      <c r="Q267">
        <f>_xlfn.XLOOKUP(TableauRecette[[#This Row],[ID]],TableauProduit[ID],TableauProduit[Total (kg) N6],0,0,1)*TableauRecette[[#This Row],[fraction mélange]]</f>
        <v/>
      </c>
      <c r="R267">
        <f>_xlfn.XLOOKUP(TableauRecette[[#This Row],[ID]],TableauProduit[ID],TableauProduit[Total (kg) N7],0,0,1)*TableauRecette[[#This Row],[fraction mélange]]</f>
        <v/>
      </c>
      <c r="S267">
        <f>_xlfn.XLOOKUP(TableauRecette[[#This Row],[ID]],TableauProduit[ID],TableauProduit[Total (kg) N8],0,0,1)*TableauRecette[[#This Row],[fraction mélange]]</f>
        <v/>
      </c>
      <c r="T267">
        <f>_xlfn.XLOOKUP(TableauRecette[[#This Row],[ID]],TableauProduit[ID],TableauProduit[Total (kg) N9],0,0,1)*TableauRecette[[#This Row],[fraction mélange]]</f>
        <v/>
      </c>
    </row>
    <row r="268">
      <c r="A268" t="inlineStr">
        <is>
          <t>Quatre épices</t>
        </is>
      </c>
      <c r="B268">
        <f>TableauRecette[[#This Row],[Recette]]&amp;TableauRecette[[#This Row],[Conditionnement]]</f>
        <v/>
      </c>
      <c r="C268" t="inlineStr">
        <is>
          <t>Poivre Noir</t>
        </is>
      </c>
      <c r="D268" t="n">
        <v>20</v>
      </c>
      <c r="E268" t="inlineStr">
        <is>
          <t>Epice 100ml</t>
        </is>
      </c>
      <c r="F26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8">
        <f>IFERROR(_xlfn.XLOOKUP(TableauRecette[[#This Row],[Ingredients]],TableauIngredients[Ingredients],TableauIngredients[Prix d''achat / kg],0)*TableauRecette[[#This Row],[fraction mélange]],0)</f>
        <v/>
      </c>
      <c r="H268">
        <f>IFERROR(SUMIFS(TableauRecette[Proportion],TableauRecette[Recette],TableauRecette[[#This Row],[Recette]],TableauRecette[Conditionnement],TableauRecette[[#This Row],[Conditionnement]]),0)</f>
        <v/>
      </c>
      <c r="I268">
        <f>IFERROR(TableauRecette[[#This Row],[Prix d''achat / kg]],0)</f>
        <v/>
      </c>
      <c r="L268">
        <f>_xlfn.XLOOKUP(TableauRecette[[#This Row],[ID]],TableauProduit[ID],TableauProduit[Total (kg) N1],0,0,1)*TableauRecette[[#This Row],[fraction mélange]]</f>
        <v/>
      </c>
      <c r="M268">
        <f>_xlfn.XLOOKUP(TableauRecette[[#This Row],[ID]],TableauProduit[ID],TableauProduit[Total (kg) N2],0,0,1)*TableauRecette[[#This Row],[fraction mélange]]</f>
        <v/>
      </c>
      <c r="N268">
        <f>_xlfn.XLOOKUP(TableauRecette[[#This Row],[ID]],TableauProduit[ID],TableauProduit[Total (kg) N3],0,0,1)*TableauRecette[[#This Row],[fraction mélange]]</f>
        <v/>
      </c>
      <c r="O268">
        <f>_xlfn.XLOOKUP(TableauRecette[[#This Row],[ID]],TableauProduit[ID],TableauProduit[Total (kg) N4],0,0,1)*TableauRecette[[#This Row],[fraction mélange]]</f>
        <v/>
      </c>
      <c r="P268">
        <f>_xlfn.XLOOKUP(TableauRecette[[#This Row],[ID]],TableauProduit[ID],TableauProduit[Total (kg) N5],0,0,1)*TableauRecette[[#This Row],[fraction mélange]]</f>
        <v/>
      </c>
      <c r="Q268">
        <f>_xlfn.XLOOKUP(TableauRecette[[#This Row],[ID]],TableauProduit[ID],TableauProduit[Total (kg) N6],0,0,1)*TableauRecette[[#This Row],[fraction mélange]]</f>
        <v/>
      </c>
      <c r="R268">
        <f>_xlfn.XLOOKUP(TableauRecette[[#This Row],[ID]],TableauProduit[ID],TableauProduit[Total (kg) N7],0,0,1)*TableauRecette[[#This Row],[fraction mélange]]</f>
        <v/>
      </c>
      <c r="S268">
        <f>_xlfn.XLOOKUP(TableauRecette[[#This Row],[ID]],TableauProduit[ID],TableauProduit[Total (kg) N8],0,0,1)*TableauRecette[[#This Row],[fraction mélange]]</f>
        <v/>
      </c>
      <c r="T268">
        <f>_xlfn.XLOOKUP(TableauRecette[[#This Row],[ID]],TableauProduit[ID],TableauProduit[Total (kg) N9],0,0,1)*TableauRecette[[#This Row],[fraction mélange]]</f>
        <v/>
      </c>
    </row>
    <row r="269">
      <c r="A269" t="inlineStr">
        <is>
          <t>Quatre épices</t>
        </is>
      </c>
      <c r="B269">
        <f>TableauRecette[[#This Row],[Recette]]&amp;TableauRecette[[#This Row],[Conditionnement]]</f>
        <v/>
      </c>
      <c r="C269" t="inlineStr">
        <is>
          <t>Muscade Moulue</t>
        </is>
      </c>
      <c r="D269" t="n">
        <v>6</v>
      </c>
      <c r="E269" t="inlineStr">
        <is>
          <t>Epice 100ml</t>
        </is>
      </c>
      <c r="F26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9">
        <f>IFERROR(_xlfn.XLOOKUP(TableauRecette[[#This Row],[Ingredients]],TableauIngredients[Ingredients],TableauIngredients[Prix d''achat / kg],0)*TableauRecette[[#This Row],[fraction mélange]],0)</f>
        <v/>
      </c>
      <c r="H269">
        <f>IFERROR(SUMIFS(TableauRecette[Proportion],TableauRecette[Recette],TableauRecette[[#This Row],[Recette]],TableauRecette[Conditionnement],TableauRecette[[#This Row],[Conditionnement]]),0)</f>
        <v/>
      </c>
      <c r="I269">
        <f>IFERROR(TableauRecette[[#This Row],[Prix d''achat / kg]],0)</f>
        <v/>
      </c>
      <c r="L269">
        <f>_xlfn.XLOOKUP(TableauRecette[[#This Row],[ID]],TableauProduit[ID],TableauProduit[Total (kg) N1],0,0,1)*TableauRecette[[#This Row],[fraction mélange]]</f>
        <v/>
      </c>
      <c r="M269">
        <f>_xlfn.XLOOKUP(TableauRecette[[#This Row],[ID]],TableauProduit[ID],TableauProduit[Total (kg) N2],0,0,1)*TableauRecette[[#This Row],[fraction mélange]]</f>
        <v/>
      </c>
      <c r="N269">
        <f>_xlfn.XLOOKUP(TableauRecette[[#This Row],[ID]],TableauProduit[ID],TableauProduit[Total (kg) N3],0,0,1)*TableauRecette[[#This Row],[fraction mélange]]</f>
        <v/>
      </c>
      <c r="O269">
        <f>_xlfn.XLOOKUP(TableauRecette[[#This Row],[ID]],TableauProduit[ID],TableauProduit[Total (kg) N4],0,0,1)*TableauRecette[[#This Row],[fraction mélange]]</f>
        <v/>
      </c>
      <c r="P269">
        <f>_xlfn.XLOOKUP(TableauRecette[[#This Row],[ID]],TableauProduit[ID],TableauProduit[Total (kg) N5],0,0,1)*TableauRecette[[#This Row],[fraction mélange]]</f>
        <v/>
      </c>
      <c r="Q269">
        <f>_xlfn.XLOOKUP(TableauRecette[[#This Row],[ID]],TableauProduit[ID],TableauProduit[Total (kg) N6],0,0,1)*TableauRecette[[#This Row],[fraction mélange]]</f>
        <v/>
      </c>
      <c r="R269">
        <f>_xlfn.XLOOKUP(TableauRecette[[#This Row],[ID]],TableauProduit[ID],TableauProduit[Total (kg) N7],0,0,1)*TableauRecette[[#This Row],[fraction mélange]]</f>
        <v/>
      </c>
      <c r="S269">
        <f>_xlfn.XLOOKUP(TableauRecette[[#This Row],[ID]],TableauProduit[ID],TableauProduit[Total (kg) N8],0,0,1)*TableauRecette[[#This Row],[fraction mélange]]</f>
        <v/>
      </c>
      <c r="T269">
        <f>_xlfn.XLOOKUP(TableauRecette[[#This Row],[ID]],TableauProduit[ID],TableauProduit[Total (kg) N9],0,0,1)*TableauRecette[[#This Row],[fraction mélange]]</f>
        <v/>
      </c>
    </row>
    <row r="270">
      <c r="A270" t="inlineStr">
        <is>
          <t>Quatre épices</t>
        </is>
      </c>
      <c r="B270">
        <f>TableauRecette[[#This Row],[Recette]]&amp;TableauRecette[[#This Row],[Conditionnement]]</f>
        <v/>
      </c>
      <c r="C270" t="inlineStr">
        <is>
          <t>Clous De Girofle</t>
        </is>
      </c>
      <c r="D270" t="n">
        <v>6</v>
      </c>
      <c r="E270" t="inlineStr">
        <is>
          <t>Epice 100ml</t>
        </is>
      </c>
      <c r="F27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0">
        <f>IFERROR(_xlfn.XLOOKUP(TableauRecette[[#This Row],[Ingredients]],TableauIngredients[Ingredients],TableauIngredients[Prix d''achat / kg],0)*TableauRecette[[#This Row],[fraction mélange]],0)</f>
        <v/>
      </c>
      <c r="H270">
        <f>IFERROR(SUMIFS(TableauRecette[Proportion],TableauRecette[Recette],TableauRecette[[#This Row],[Recette]],TableauRecette[Conditionnement],TableauRecette[[#This Row],[Conditionnement]]),0)</f>
        <v/>
      </c>
      <c r="I270">
        <f>IFERROR(TableauRecette[[#This Row],[Prix d''achat / kg]],0)</f>
        <v/>
      </c>
      <c r="L270">
        <f>_xlfn.XLOOKUP(TableauRecette[[#This Row],[ID]],TableauProduit[ID],TableauProduit[Total (kg) N1],0,0,1)*TableauRecette[[#This Row],[fraction mélange]]</f>
        <v/>
      </c>
      <c r="M270">
        <f>_xlfn.XLOOKUP(TableauRecette[[#This Row],[ID]],TableauProduit[ID],TableauProduit[Total (kg) N2],0,0,1)*TableauRecette[[#This Row],[fraction mélange]]</f>
        <v/>
      </c>
      <c r="N270">
        <f>_xlfn.XLOOKUP(TableauRecette[[#This Row],[ID]],TableauProduit[ID],TableauProduit[Total (kg) N3],0,0,1)*TableauRecette[[#This Row],[fraction mélange]]</f>
        <v/>
      </c>
      <c r="O270">
        <f>_xlfn.XLOOKUP(TableauRecette[[#This Row],[ID]],TableauProduit[ID],TableauProduit[Total (kg) N4],0,0,1)*TableauRecette[[#This Row],[fraction mélange]]</f>
        <v/>
      </c>
      <c r="P270">
        <f>_xlfn.XLOOKUP(TableauRecette[[#This Row],[ID]],TableauProduit[ID],TableauProduit[Total (kg) N5],0,0,1)*TableauRecette[[#This Row],[fraction mélange]]</f>
        <v/>
      </c>
      <c r="Q270">
        <f>_xlfn.XLOOKUP(TableauRecette[[#This Row],[ID]],TableauProduit[ID],TableauProduit[Total (kg) N6],0,0,1)*TableauRecette[[#This Row],[fraction mélange]]</f>
        <v/>
      </c>
      <c r="R270">
        <f>_xlfn.XLOOKUP(TableauRecette[[#This Row],[ID]],TableauProduit[ID],TableauProduit[Total (kg) N7],0,0,1)*TableauRecette[[#This Row],[fraction mélange]]</f>
        <v/>
      </c>
      <c r="S270">
        <f>_xlfn.XLOOKUP(TableauRecette[[#This Row],[ID]],TableauProduit[ID],TableauProduit[Total (kg) N8],0,0,1)*TableauRecette[[#This Row],[fraction mélange]]</f>
        <v/>
      </c>
      <c r="T270">
        <f>_xlfn.XLOOKUP(TableauRecette[[#This Row],[ID]],TableauProduit[ID],TableauProduit[Total (kg) N9],0,0,1)*TableauRecette[[#This Row],[fraction mélange]]</f>
        <v/>
      </c>
    </row>
    <row r="271">
      <c r="A271" t="inlineStr">
        <is>
          <t>Quatre épices</t>
        </is>
      </c>
      <c r="B271">
        <f>TableauRecette[[#This Row],[Recette]]&amp;TableauRecette[[#This Row],[Conditionnement]]</f>
        <v/>
      </c>
      <c r="C271" t="inlineStr">
        <is>
          <t>Cannelle Moulue</t>
        </is>
      </c>
      <c r="D271" t="n">
        <v>6</v>
      </c>
      <c r="E271" t="inlineStr">
        <is>
          <t>Epice 100ml</t>
        </is>
      </c>
      <c r="F27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1">
        <f>IFERROR(_xlfn.XLOOKUP(TableauRecette[[#This Row],[Ingredients]],TableauIngredients[Ingredients],TableauIngredients[Prix d''achat / kg],0)*TableauRecette[[#This Row],[fraction mélange]],0)</f>
        <v/>
      </c>
      <c r="H271">
        <f>IFERROR(SUMIFS(TableauRecette[Proportion],TableauRecette[Recette],TableauRecette[[#This Row],[Recette]],TableauRecette[Conditionnement],TableauRecette[[#This Row],[Conditionnement]]),0)</f>
        <v/>
      </c>
      <c r="I271">
        <f>IFERROR(TableauRecette[[#This Row],[Prix d''achat / kg]],0)</f>
        <v/>
      </c>
      <c r="L271">
        <f>_xlfn.XLOOKUP(TableauRecette[[#This Row],[ID]],TableauProduit[ID],TableauProduit[Total (kg) N1],0,0,1)*TableauRecette[[#This Row],[fraction mélange]]</f>
        <v/>
      </c>
      <c r="M271">
        <f>_xlfn.XLOOKUP(TableauRecette[[#This Row],[ID]],TableauProduit[ID],TableauProduit[Total (kg) N2],0,0,1)*TableauRecette[[#This Row],[fraction mélange]]</f>
        <v/>
      </c>
      <c r="N271">
        <f>_xlfn.XLOOKUP(TableauRecette[[#This Row],[ID]],TableauProduit[ID],TableauProduit[Total (kg) N3],0,0,1)*TableauRecette[[#This Row],[fraction mélange]]</f>
        <v/>
      </c>
      <c r="O271">
        <f>_xlfn.XLOOKUP(TableauRecette[[#This Row],[ID]],TableauProduit[ID],TableauProduit[Total (kg) N4],0,0,1)*TableauRecette[[#This Row],[fraction mélange]]</f>
        <v/>
      </c>
      <c r="P271">
        <f>_xlfn.XLOOKUP(TableauRecette[[#This Row],[ID]],TableauProduit[ID],TableauProduit[Total (kg) N5],0,0,1)*TableauRecette[[#This Row],[fraction mélange]]</f>
        <v/>
      </c>
      <c r="Q271">
        <f>_xlfn.XLOOKUP(TableauRecette[[#This Row],[ID]],TableauProduit[ID],TableauProduit[Total (kg) N6],0,0,1)*TableauRecette[[#This Row],[fraction mélange]]</f>
        <v/>
      </c>
      <c r="R271">
        <f>_xlfn.XLOOKUP(TableauRecette[[#This Row],[ID]],TableauProduit[ID],TableauProduit[Total (kg) N7],0,0,1)*TableauRecette[[#This Row],[fraction mélange]]</f>
        <v/>
      </c>
      <c r="S271">
        <f>_xlfn.XLOOKUP(TableauRecette[[#This Row],[ID]],TableauProduit[ID],TableauProduit[Total (kg) N8],0,0,1)*TableauRecette[[#This Row],[fraction mélange]]</f>
        <v/>
      </c>
      <c r="T271">
        <f>_xlfn.XLOOKUP(TableauRecette[[#This Row],[ID]],TableauProduit[ID],TableauProduit[Total (kg) N9],0,0,1)*TableauRecette[[#This Row],[fraction mélange]]</f>
        <v/>
      </c>
    </row>
    <row r="272">
      <c r="A272" t="inlineStr">
        <is>
          <t>Quatre épices</t>
        </is>
      </c>
      <c r="B272">
        <f>TableauRecette[[#This Row],[Recette]]&amp;TableauRecette[[#This Row],[Conditionnement]]</f>
        <v/>
      </c>
      <c r="C272" t="inlineStr">
        <is>
          <t>Gingembre Sec</t>
        </is>
      </c>
      <c r="D272" t="n">
        <v>6</v>
      </c>
      <c r="E272" t="inlineStr">
        <is>
          <t>Epice 100ml</t>
        </is>
      </c>
      <c r="F27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2">
        <f>IFERROR(_xlfn.XLOOKUP(TableauRecette[[#This Row],[Ingredients]],TableauIngredients[Ingredients],TableauIngredients[Prix d''achat / kg],0)*TableauRecette[[#This Row],[fraction mélange]],0)</f>
        <v/>
      </c>
      <c r="H272">
        <f>IFERROR(SUMIFS(TableauRecette[Proportion],TableauRecette[Recette],TableauRecette[[#This Row],[Recette]],TableauRecette[Conditionnement],TableauRecette[[#This Row],[Conditionnement]]),0)</f>
        <v/>
      </c>
      <c r="I272">
        <f>IFERROR(TableauRecette[[#This Row],[Prix d''achat / kg]],0)</f>
        <v/>
      </c>
      <c r="K272" t="inlineStr">
        <is>
          <t>SEC</t>
        </is>
      </c>
      <c r="L272">
        <f>_xlfn.XLOOKUP(TableauRecette[[#This Row],[ID]],TableauProduit[ID],TableauProduit[Total (kg) N1],0,0,1)*TableauRecette[[#This Row],[fraction mélange]]</f>
        <v/>
      </c>
      <c r="M272">
        <f>_xlfn.XLOOKUP(TableauRecette[[#This Row],[ID]],TableauProduit[ID],TableauProduit[Total (kg) N2],0,0,1)*TableauRecette[[#This Row],[fraction mélange]]</f>
        <v/>
      </c>
      <c r="N272">
        <f>_xlfn.XLOOKUP(TableauRecette[[#This Row],[ID]],TableauProduit[ID],TableauProduit[Total (kg) N3],0,0,1)*TableauRecette[[#This Row],[fraction mélange]]</f>
        <v/>
      </c>
      <c r="O272">
        <f>_xlfn.XLOOKUP(TableauRecette[[#This Row],[ID]],TableauProduit[ID],TableauProduit[Total (kg) N4],0,0,1)*TableauRecette[[#This Row],[fraction mélange]]</f>
        <v/>
      </c>
      <c r="P272">
        <f>_xlfn.XLOOKUP(TableauRecette[[#This Row],[ID]],TableauProduit[ID],TableauProduit[Total (kg) N5],0,0,1)*TableauRecette[[#This Row],[fraction mélange]]</f>
        <v/>
      </c>
      <c r="Q272">
        <f>_xlfn.XLOOKUP(TableauRecette[[#This Row],[ID]],TableauProduit[ID],TableauProduit[Total (kg) N6],0,0,1)*TableauRecette[[#This Row],[fraction mélange]]</f>
        <v/>
      </c>
      <c r="R272">
        <f>_xlfn.XLOOKUP(TableauRecette[[#This Row],[ID]],TableauProduit[ID],TableauProduit[Total (kg) N7],0,0,1)*TableauRecette[[#This Row],[fraction mélange]]</f>
        <v/>
      </c>
      <c r="S272">
        <f>_xlfn.XLOOKUP(TableauRecette[[#This Row],[ID]],TableauProduit[ID],TableauProduit[Total (kg) N8],0,0,1)*TableauRecette[[#This Row],[fraction mélange]]</f>
        <v/>
      </c>
      <c r="T272">
        <f>_xlfn.XLOOKUP(TableauRecette[[#This Row],[ID]],TableauProduit[ID],TableauProduit[Total (kg) N9],0,0,1)*TableauRecette[[#This Row],[fraction mélange]]</f>
        <v/>
      </c>
    </row>
    <row r="273">
      <c r="A273" t="inlineStr">
        <is>
          <t>Ras el hanout</t>
        </is>
      </c>
      <c r="B273">
        <f>TableauRecette[[#This Row],[Recette]]&amp;TableauRecette[[#This Row],[Conditionnement]]</f>
        <v/>
      </c>
      <c r="C273" t="inlineStr">
        <is>
          <t>Sel</t>
        </is>
      </c>
      <c r="D273" t="n">
        <v>1</v>
      </c>
      <c r="E273" t="inlineStr">
        <is>
          <t>Epice 100ml</t>
        </is>
      </c>
      <c r="F27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3">
        <f>IFERROR(_xlfn.XLOOKUP(TableauRecette[[#This Row],[Ingredients]],TableauIngredients[Ingredients],TableauIngredients[Prix d''achat / kg],0)*TableauRecette[[#This Row],[fraction mélange]],0)</f>
        <v/>
      </c>
      <c r="H273">
        <f>IFERROR(SUMIFS(TableauRecette[Proportion],TableauRecette[Recette],TableauRecette[[#This Row],[Recette]],TableauRecette[Conditionnement],TableauRecette[[#This Row],[Conditionnement]]),0)</f>
        <v/>
      </c>
      <c r="I273">
        <f>IFERROR(TableauRecette[[#This Row],[Prix d''achat / kg]],0)</f>
        <v/>
      </c>
      <c r="L273">
        <f>_xlfn.XLOOKUP(TableauRecette[[#This Row],[ID]],TableauProduit[ID],TableauProduit[Total (kg) N1],0,0,1)*TableauRecette[[#This Row],[fraction mélange]]</f>
        <v/>
      </c>
      <c r="M273">
        <f>_xlfn.XLOOKUP(TableauRecette[[#This Row],[ID]],TableauProduit[ID],TableauProduit[Total (kg) N2],0,0,1)*TableauRecette[[#This Row],[fraction mélange]]</f>
        <v/>
      </c>
      <c r="N273">
        <f>_xlfn.XLOOKUP(TableauRecette[[#This Row],[ID]],TableauProduit[ID],TableauProduit[Total (kg) N3],0,0,1)*TableauRecette[[#This Row],[fraction mélange]]</f>
        <v/>
      </c>
      <c r="O273">
        <f>_xlfn.XLOOKUP(TableauRecette[[#This Row],[ID]],TableauProduit[ID],TableauProduit[Total (kg) N4],0,0,1)*TableauRecette[[#This Row],[fraction mélange]]</f>
        <v/>
      </c>
      <c r="P273">
        <f>_xlfn.XLOOKUP(TableauRecette[[#This Row],[ID]],TableauProduit[ID],TableauProduit[Total (kg) N5],0,0,1)*TableauRecette[[#This Row],[fraction mélange]]</f>
        <v/>
      </c>
      <c r="Q273">
        <f>_xlfn.XLOOKUP(TableauRecette[[#This Row],[ID]],TableauProduit[ID],TableauProduit[Total (kg) N6],0,0,1)*TableauRecette[[#This Row],[fraction mélange]]</f>
        <v/>
      </c>
      <c r="R273">
        <f>_xlfn.XLOOKUP(TableauRecette[[#This Row],[ID]],TableauProduit[ID],TableauProduit[Total (kg) N7],0,0,1)*TableauRecette[[#This Row],[fraction mélange]]</f>
        <v/>
      </c>
      <c r="S273">
        <f>_xlfn.XLOOKUP(TableauRecette[[#This Row],[ID]],TableauProduit[ID],TableauProduit[Total (kg) N8],0,0,1)*TableauRecette[[#This Row],[fraction mélange]]</f>
        <v/>
      </c>
      <c r="T273">
        <f>_xlfn.XLOOKUP(TableauRecette[[#This Row],[ID]],TableauProduit[ID],TableauProduit[Total (kg) N9],0,0,1)*TableauRecette[[#This Row],[fraction mélange]]</f>
        <v/>
      </c>
    </row>
    <row r="274">
      <c r="A274" t="inlineStr">
        <is>
          <t>Ras el hanout</t>
        </is>
      </c>
      <c r="B274">
        <f>TableauRecette[[#This Row],[Recette]]&amp;TableauRecette[[#This Row],[Conditionnement]]</f>
        <v/>
      </c>
      <c r="C274" t="inlineStr">
        <is>
          <t>Cumin Moulu</t>
        </is>
      </c>
      <c r="D274" t="n">
        <v>1</v>
      </c>
      <c r="E274" t="inlineStr">
        <is>
          <t>Epice 100ml</t>
        </is>
      </c>
      <c r="F27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4">
        <f>IFERROR(_xlfn.XLOOKUP(TableauRecette[[#This Row],[Ingredients]],TableauIngredients[Ingredients],TableauIngredients[Prix d''achat / kg],0)*TableauRecette[[#This Row],[fraction mélange]],0)</f>
        <v/>
      </c>
      <c r="H274">
        <f>IFERROR(SUMIFS(TableauRecette[Proportion],TableauRecette[Recette],TableauRecette[[#This Row],[Recette]],TableauRecette[Conditionnement],TableauRecette[[#This Row],[Conditionnement]]),0)</f>
        <v/>
      </c>
      <c r="I274">
        <f>IFERROR(TableauRecette[[#This Row],[Prix d''achat / kg]],0)</f>
        <v/>
      </c>
      <c r="L274">
        <f>_xlfn.XLOOKUP(TableauRecette[[#This Row],[ID]],TableauProduit[ID],TableauProduit[Total (kg) N1],0,0,1)*TableauRecette[[#This Row],[fraction mélange]]</f>
        <v/>
      </c>
      <c r="M274">
        <f>_xlfn.XLOOKUP(TableauRecette[[#This Row],[ID]],TableauProduit[ID],TableauProduit[Total (kg) N2],0,0,1)*TableauRecette[[#This Row],[fraction mélange]]</f>
        <v/>
      </c>
      <c r="N274">
        <f>_xlfn.XLOOKUP(TableauRecette[[#This Row],[ID]],TableauProduit[ID],TableauProduit[Total (kg) N3],0,0,1)*TableauRecette[[#This Row],[fraction mélange]]</f>
        <v/>
      </c>
      <c r="O274">
        <f>_xlfn.XLOOKUP(TableauRecette[[#This Row],[ID]],TableauProduit[ID],TableauProduit[Total (kg) N4],0,0,1)*TableauRecette[[#This Row],[fraction mélange]]</f>
        <v/>
      </c>
      <c r="P274">
        <f>_xlfn.XLOOKUP(TableauRecette[[#This Row],[ID]],TableauProduit[ID],TableauProduit[Total (kg) N5],0,0,1)*TableauRecette[[#This Row],[fraction mélange]]</f>
        <v/>
      </c>
      <c r="Q274">
        <f>_xlfn.XLOOKUP(TableauRecette[[#This Row],[ID]],TableauProduit[ID],TableauProduit[Total (kg) N6],0,0,1)*TableauRecette[[#This Row],[fraction mélange]]</f>
        <v/>
      </c>
      <c r="R274">
        <f>_xlfn.XLOOKUP(TableauRecette[[#This Row],[ID]],TableauProduit[ID],TableauProduit[Total (kg) N7],0,0,1)*TableauRecette[[#This Row],[fraction mélange]]</f>
        <v/>
      </c>
      <c r="S274">
        <f>_xlfn.XLOOKUP(TableauRecette[[#This Row],[ID]],TableauProduit[ID],TableauProduit[Total (kg) N8],0,0,1)*TableauRecette[[#This Row],[fraction mélange]]</f>
        <v/>
      </c>
      <c r="T274">
        <f>_xlfn.XLOOKUP(TableauRecette[[#This Row],[ID]],TableauProduit[ID],TableauProduit[Total (kg) N9],0,0,1)*TableauRecette[[#This Row],[fraction mélange]]</f>
        <v/>
      </c>
    </row>
    <row r="275">
      <c r="A275" t="inlineStr">
        <is>
          <t>Ras el hanout</t>
        </is>
      </c>
      <c r="B275">
        <f>TableauRecette[[#This Row],[Recette]]&amp;TableauRecette[[#This Row],[Conditionnement]]</f>
        <v/>
      </c>
      <c r="C275" t="inlineStr">
        <is>
          <t>Gingembre Sec</t>
        </is>
      </c>
      <c r="D275" t="n">
        <v>1</v>
      </c>
      <c r="E275" t="inlineStr">
        <is>
          <t>Epice 100ml</t>
        </is>
      </c>
      <c r="F27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5">
        <f>IFERROR(_xlfn.XLOOKUP(TableauRecette[[#This Row],[Ingredients]],TableauIngredients[Ingredients],TableauIngredients[Prix d''achat / kg],0)*TableauRecette[[#This Row],[fraction mélange]],0)</f>
        <v/>
      </c>
      <c r="H275">
        <f>IFERROR(SUMIFS(TableauRecette[Proportion],TableauRecette[Recette],TableauRecette[[#This Row],[Recette]],TableauRecette[Conditionnement],TableauRecette[[#This Row],[Conditionnement]]),0)</f>
        <v/>
      </c>
      <c r="I275">
        <f>IFERROR(TableauRecette[[#This Row],[Prix d''achat / kg]],0)</f>
        <v/>
      </c>
      <c r="K275" t="inlineStr">
        <is>
          <t>SEC</t>
        </is>
      </c>
      <c r="L275">
        <f>_xlfn.XLOOKUP(TableauRecette[[#This Row],[ID]],TableauProduit[ID],TableauProduit[Total (kg) N1],0,0,1)*TableauRecette[[#This Row],[fraction mélange]]</f>
        <v/>
      </c>
      <c r="M275">
        <f>_xlfn.XLOOKUP(TableauRecette[[#This Row],[ID]],TableauProduit[ID],TableauProduit[Total (kg) N2],0,0,1)*TableauRecette[[#This Row],[fraction mélange]]</f>
        <v/>
      </c>
      <c r="N275">
        <f>_xlfn.XLOOKUP(TableauRecette[[#This Row],[ID]],TableauProduit[ID],TableauProduit[Total (kg) N3],0,0,1)*TableauRecette[[#This Row],[fraction mélange]]</f>
        <v/>
      </c>
      <c r="O275">
        <f>_xlfn.XLOOKUP(TableauRecette[[#This Row],[ID]],TableauProduit[ID],TableauProduit[Total (kg) N4],0,0,1)*TableauRecette[[#This Row],[fraction mélange]]</f>
        <v/>
      </c>
      <c r="P275">
        <f>_xlfn.XLOOKUP(TableauRecette[[#This Row],[ID]],TableauProduit[ID],TableauProduit[Total (kg) N5],0,0,1)*TableauRecette[[#This Row],[fraction mélange]]</f>
        <v/>
      </c>
      <c r="Q275">
        <f>_xlfn.XLOOKUP(TableauRecette[[#This Row],[ID]],TableauProduit[ID],TableauProduit[Total (kg) N6],0,0,1)*TableauRecette[[#This Row],[fraction mélange]]</f>
        <v/>
      </c>
      <c r="R275">
        <f>_xlfn.XLOOKUP(TableauRecette[[#This Row],[ID]],TableauProduit[ID],TableauProduit[Total (kg) N7],0,0,1)*TableauRecette[[#This Row],[fraction mélange]]</f>
        <v/>
      </c>
      <c r="S275">
        <f>_xlfn.XLOOKUP(TableauRecette[[#This Row],[ID]],TableauProduit[ID],TableauProduit[Total (kg) N8],0,0,1)*TableauRecette[[#This Row],[fraction mélange]]</f>
        <v/>
      </c>
      <c r="T275">
        <f>_xlfn.XLOOKUP(TableauRecette[[#This Row],[ID]],TableauProduit[ID],TableauProduit[Total (kg) N9],0,0,1)*TableauRecette[[#This Row],[fraction mélange]]</f>
        <v/>
      </c>
    </row>
    <row r="276">
      <c r="A276" t="inlineStr">
        <is>
          <t>Ras el hanout</t>
        </is>
      </c>
      <c r="B276">
        <f>TableauRecette[[#This Row],[Recette]]&amp;TableauRecette[[#This Row],[Conditionnement]]</f>
        <v/>
      </c>
      <c r="C276" t="inlineStr">
        <is>
          <t>Curcuma Moulu</t>
        </is>
      </c>
      <c r="D276" t="n">
        <v>1</v>
      </c>
      <c r="E276" t="inlineStr">
        <is>
          <t>Epice 100ml</t>
        </is>
      </c>
      <c r="F27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6">
        <f>IFERROR(_xlfn.XLOOKUP(TableauRecette[[#This Row],[Ingredients]],TableauIngredients[Ingredients],TableauIngredients[Prix d''achat / kg],0)*TableauRecette[[#This Row],[fraction mélange]],0)</f>
        <v/>
      </c>
      <c r="H276">
        <f>IFERROR(SUMIFS(TableauRecette[Proportion],TableauRecette[Recette],TableauRecette[[#This Row],[Recette]],TableauRecette[Conditionnement],TableauRecette[[#This Row],[Conditionnement]]),0)</f>
        <v/>
      </c>
      <c r="I276">
        <f>IFERROR(TableauRecette[[#This Row],[Prix d''achat / kg]],0)</f>
        <v/>
      </c>
      <c r="L276">
        <f>_xlfn.XLOOKUP(TableauRecette[[#This Row],[ID]],TableauProduit[ID],TableauProduit[Total (kg) N1],0,0,1)*TableauRecette[[#This Row],[fraction mélange]]</f>
        <v/>
      </c>
      <c r="M276">
        <f>_xlfn.XLOOKUP(TableauRecette[[#This Row],[ID]],TableauProduit[ID],TableauProduit[Total (kg) N2],0,0,1)*TableauRecette[[#This Row],[fraction mélange]]</f>
        <v/>
      </c>
      <c r="N276">
        <f>_xlfn.XLOOKUP(TableauRecette[[#This Row],[ID]],TableauProduit[ID],TableauProduit[Total (kg) N3],0,0,1)*TableauRecette[[#This Row],[fraction mélange]]</f>
        <v/>
      </c>
      <c r="O276">
        <f>_xlfn.XLOOKUP(TableauRecette[[#This Row],[ID]],TableauProduit[ID],TableauProduit[Total (kg) N4],0,0,1)*TableauRecette[[#This Row],[fraction mélange]]</f>
        <v/>
      </c>
      <c r="P276">
        <f>_xlfn.XLOOKUP(TableauRecette[[#This Row],[ID]],TableauProduit[ID],TableauProduit[Total (kg) N5],0,0,1)*TableauRecette[[#This Row],[fraction mélange]]</f>
        <v/>
      </c>
      <c r="Q276">
        <f>_xlfn.XLOOKUP(TableauRecette[[#This Row],[ID]],TableauProduit[ID],TableauProduit[Total (kg) N6],0,0,1)*TableauRecette[[#This Row],[fraction mélange]]</f>
        <v/>
      </c>
      <c r="R276">
        <f>_xlfn.XLOOKUP(TableauRecette[[#This Row],[ID]],TableauProduit[ID],TableauProduit[Total (kg) N7],0,0,1)*TableauRecette[[#This Row],[fraction mélange]]</f>
        <v/>
      </c>
      <c r="S276">
        <f>_xlfn.XLOOKUP(TableauRecette[[#This Row],[ID]],TableauProduit[ID],TableauProduit[Total (kg) N8],0,0,1)*TableauRecette[[#This Row],[fraction mélange]]</f>
        <v/>
      </c>
      <c r="T276">
        <f>_xlfn.XLOOKUP(TableauRecette[[#This Row],[ID]],TableauProduit[ID],TableauProduit[Total (kg) N9],0,0,1)*TableauRecette[[#This Row],[fraction mélange]]</f>
        <v/>
      </c>
    </row>
    <row r="277">
      <c r="A277" t="inlineStr">
        <is>
          <t>Ras el hanout</t>
        </is>
      </c>
      <c r="B277">
        <f>TableauRecette[[#This Row],[Recette]]&amp;TableauRecette[[#This Row],[Conditionnement]]</f>
        <v/>
      </c>
      <c r="C277" t="inlineStr">
        <is>
          <t>Cannelle Moulue</t>
        </is>
      </c>
      <c r="D277">
        <f>3/4</f>
        <v/>
      </c>
      <c r="E277" t="inlineStr">
        <is>
          <t>Epice 100ml</t>
        </is>
      </c>
      <c r="F27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7">
        <f>IFERROR(_xlfn.XLOOKUP(TableauRecette[[#This Row],[Ingredients]],TableauIngredients[Ingredients],TableauIngredients[Prix d''achat / kg],0)*TableauRecette[[#This Row],[fraction mélange]],0)</f>
        <v/>
      </c>
      <c r="H277">
        <f>IFERROR(SUMIFS(TableauRecette[Proportion],TableauRecette[Recette],TableauRecette[[#This Row],[Recette]],TableauRecette[Conditionnement],TableauRecette[[#This Row],[Conditionnement]]),0)</f>
        <v/>
      </c>
      <c r="I277">
        <f>IFERROR(TableauRecette[[#This Row],[Prix d''achat / kg]],0)</f>
        <v/>
      </c>
      <c r="L277">
        <f>_xlfn.XLOOKUP(TableauRecette[[#This Row],[ID]],TableauProduit[ID],TableauProduit[Total (kg) N1],0,0,1)*TableauRecette[[#This Row],[fraction mélange]]</f>
        <v/>
      </c>
      <c r="M277">
        <f>_xlfn.XLOOKUP(TableauRecette[[#This Row],[ID]],TableauProduit[ID],TableauProduit[Total (kg) N2],0,0,1)*TableauRecette[[#This Row],[fraction mélange]]</f>
        <v/>
      </c>
      <c r="N277">
        <f>_xlfn.XLOOKUP(TableauRecette[[#This Row],[ID]],TableauProduit[ID],TableauProduit[Total (kg) N3],0,0,1)*TableauRecette[[#This Row],[fraction mélange]]</f>
        <v/>
      </c>
      <c r="O277">
        <f>_xlfn.XLOOKUP(TableauRecette[[#This Row],[ID]],TableauProduit[ID],TableauProduit[Total (kg) N4],0,0,1)*TableauRecette[[#This Row],[fraction mélange]]</f>
        <v/>
      </c>
      <c r="P277">
        <f>_xlfn.XLOOKUP(TableauRecette[[#This Row],[ID]],TableauProduit[ID],TableauProduit[Total (kg) N5],0,0,1)*TableauRecette[[#This Row],[fraction mélange]]</f>
        <v/>
      </c>
      <c r="Q277">
        <f>_xlfn.XLOOKUP(TableauRecette[[#This Row],[ID]],TableauProduit[ID],TableauProduit[Total (kg) N6],0,0,1)*TableauRecette[[#This Row],[fraction mélange]]</f>
        <v/>
      </c>
      <c r="R277">
        <f>_xlfn.XLOOKUP(TableauRecette[[#This Row],[ID]],TableauProduit[ID],TableauProduit[Total (kg) N7],0,0,1)*TableauRecette[[#This Row],[fraction mélange]]</f>
        <v/>
      </c>
      <c r="S277">
        <f>_xlfn.XLOOKUP(TableauRecette[[#This Row],[ID]],TableauProduit[ID],TableauProduit[Total (kg) N8],0,0,1)*TableauRecette[[#This Row],[fraction mélange]]</f>
        <v/>
      </c>
      <c r="T277">
        <f>_xlfn.XLOOKUP(TableauRecette[[#This Row],[ID]],TableauProduit[ID],TableauProduit[Total (kg) N9],0,0,1)*TableauRecette[[#This Row],[fraction mélange]]</f>
        <v/>
      </c>
    </row>
    <row r="278">
      <c r="A278" t="inlineStr">
        <is>
          <t>Ras el hanout</t>
        </is>
      </c>
      <c r="B278">
        <f>TableauRecette[[#This Row],[Recette]]&amp;TableauRecette[[#This Row],[Conditionnement]]</f>
        <v/>
      </c>
      <c r="C278" t="inlineStr">
        <is>
          <t>Poivre Noir</t>
        </is>
      </c>
      <c r="D278">
        <f>3/4</f>
        <v/>
      </c>
      <c r="E278" t="inlineStr">
        <is>
          <t>Epice 100ml</t>
        </is>
      </c>
      <c r="F27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8">
        <f>IFERROR(_xlfn.XLOOKUP(TableauRecette[[#This Row],[Ingredients]],TableauIngredients[Ingredients],TableauIngredients[Prix d''achat / kg],0)*TableauRecette[[#This Row],[fraction mélange]],0)</f>
        <v/>
      </c>
      <c r="H278">
        <f>IFERROR(SUMIFS(TableauRecette[Proportion],TableauRecette[Recette],TableauRecette[[#This Row],[Recette]],TableauRecette[Conditionnement],TableauRecette[[#This Row],[Conditionnement]]),0)</f>
        <v/>
      </c>
      <c r="I278">
        <f>IFERROR(TableauRecette[[#This Row],[Prix d''achat / kg]],0)</f>
        <v/>
      </c>
      <c r="L278">
        <f>_xlfn.XLOOKUP(TableauRecette[[#This Row],[ID]],TableauProduit[ID],TableauProduit[Total (kg) N1],0,0,1)*TableauRecette[[#This Row],[fraction mélange]]</f>
        <v/>
      </c>
      <c r="M278">
        <f>_xlfn.XLOOKUP(TableauRecette[[#This Row],[ID]],TableauProduit[ID],TableauProduit[Total (kg) N2],0,0,1)*TableauRecette[[#This Row],[fraction mélange]]</f>
        <v/>
      </c>
      <c r="N278">
        <f>_xlfn.XLOOKUP(TableauRecette[[#This Row],[ID]],TableauProduit[ID],TableauProduit[Total (kg) N3],0,0,1)*TableauRecette[[#This Row],[fraction mélange]]</f>
        <v/>
      </c>
      <c r="O278">
        <f>_xlfn.XLOOKUP(TableauRecette[[#This Row],[ID]],TableauProduit[ID],TableauProduit[Total (kg) N4],0,0,1)*TableauRecette[[#This Row],[fraction mélange]]</f>
        <v/>
      </c>
      <c r="P278">
        <f>_xlfn.XLOOKUP(TableauRecette[[#This Row],[ID]],TableauProduit[ID],TableauProduit[Total (kg) N5],0,0,1)*TableauRecette[[#This Row],[fraction mélange]]</f>
        <v/>
      </c>
      <c r="Q278">
        <f>_xlfn.XLOOKUP(TableauRecette[[#This Row],[ID]],TableauProduit[ID],TableauProduit[Total (kg) N6],0,0,1)*TableauRecette[[#This Row],[fraction mélange]]</f>
        <v/>
      </c>
      <c r="R278">
        <f>_xlfn.XLOOKUP(TableauRecette[[#This Row],[ID]],TableauProduit[ID],TableauProduit[Total (kg) N7],0,0,1)*TableauRecette[[#This Row],[fraction mélange]]</f>
        <v/>
      </c>
      <c r="S278">
        <f>_xlfn.XLOOKUP(TableauRecette[[#This Row],[ID]],TableauProduit[ID],TableauProduit[Total (kg) N8],0,0,1)*TableauRecette[[#This Row],[fraction mélange]]</f>
        <v/>
      </c>
      <c r="T278">
        <f>_xlfn.XLOOKUP(TableauRecette[[#This Row],[ID]],TableauProduit[ID],TableauProduit[Total (kg) N9],0,0,1)*TableauRecette[[#This Row],[fraction mélange]]</f>
        <v/>
      </c>
    </row>
    <row r="279">
      <c r="A279" t="inlineStr">
        <is>
          <t>Ras el hanout</t>
        </is>
      </c>
      <c r="B279">
        <f>TableauRecette[[#This Row],[Recette]]&amp;TableauRecette[[#This Row],[Conditionnement]]</f>
        <v/>
      </c>
      <c r="C279" t="inlineStr">
        <is>
          <t>Poivre Blanc</t>
        </is>
      </c>
      <c r="D279" t="n">
        <v>0.5</v>
      </c>
      <c r="E279" t="inlineStr">
        <is>
          <t>Epice 100ml</t>
        </is>
      </c>
      <c r="F2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9">
        <f>IFERROR(_xlfn.XLOOKUP(TableauRecette[[#This Row],[Ingredients]],TableauIngredients[Ingredients],TableauIngredients[Prix d''achat / kg],0)*TableauRecette[[#This Row],[fraction mélange]],0)</f>
        <v/>
      </c>
      <c r="H279">
        <f>IFERROR(SUMIFS(TableauRecette[Proportion],TableauRecette[Recette],TableauRecette[[#This Row],[Recette]],TableauRecette[Conditionnement],TableauRecette[[#This Row],[Conditionnement]]),0)</f>
        <v/>
      </c>
      <c r="I279">
        <f>IFERROR(TableauRecette[[#This Row],[Prix d''achat / kg]],0)</f>
        <v/>
      </c>
      <c r="L279">
        <f>_xlfn.XLOOKUP(TableauRecette[[#This Row],[ID]],TableauProduit[ID],TableauProduit[Total (kg) N1],0,0,1)*TableauRecette[[#This Row],[fraction mélange]]</f>
        <v/>
      </c>
      <c r="M279">
        <f>_xlfn.XLOOKUP(TableauRecette[[#This Row],[ID]],TableauProduit[ID],TableauProduit[Total (kg) N2],0,0,1)*TableauRecette[[#This Row],[fraction mélange]]</f>
        <v/>
      </c>
      <c r="N279">
        <f>_xlfn.XLOOKUP(TableauRecette[[#This Row],[ID]],TableauProduit[ID],TableauProduit[Total (kg) N3],0,0,1)*TableauRecette[[#This Row],[fraction mélange]]</f>
        <v/>
      </c>
      <c r="O279">
        <f>_xlfn.XLOOKUP(TableauRecette[[#This Row],[ID]],TableauProduit[ID],TableauProduit[Total (kg) N4],0,0,1)*TableauRecette[[#This Row],[fraction mélange]]</f>
        <v/>
      </c>
      <c r="P279">
        <f>_xlfn.XLOOKUP(TableauRecette[[#This Row],[ID]],TableauProduit[ID],TableauProduit[Total (kg) N5],0,0,1)*TableauRecette[[#This Row],[fraction mélange]]</f>
        <v/>
      </c>
      <c r="Q279">
        <f>_xlfn.XLOOKUP(TableauRecette[[#This Row],[ID]],TableauProduit[ID],TableauProduit[Total (kg) N6],0,0,1)*TableauRecette[[#This Row],[fraction mélange]]</f>
        <v/>
      </c>
      <c r="R279">
        <f>_xlfn.XLOOKUP(TableauRecette[[#This Row],[ID]],TableauProduit[ID],TableauProduit[Total (kg) N7],0,0,1)*TableauRecette[[#This Row],[fraction mélange]]</f>
        <v/>
      </c>
      <c r="S279">
        <f>_xlfn.XLOOKUP(TableauRecette[[#This Row],[ID]],TableauProduit[ID],TableauProduit[Total (kg) N8],0,0,1)*TableauRecette[[#This Row],[fraction mélange]]</f>
        <v/>
      </c>
      <c r="T279">
        <f>_xlfn.XLOOKUP(TableauRecette[[#This Row],[ID]],TableauProduit[ID],TableauProduit[Total (kg) N9],0,0,1)*TableauRecette[[#This Row],[fraction mélange]]</f>
        <v/>
      </c>
    </row>
    <row r="280">
      <c r="A280" t="inlineStr">
        <is>
          <t>Ras el hanout</t>
        </is>
      </c>
      <c r="B280">
        <f>TableauRecette[[#This Row],[Recette]]&amp;TableauRecette[[#This Row],[Conditionnement]]</f>
        <v/>
      </c>
      <c r="C280" t="inlineStr">
        <is>
          <t>Coriandre Graine</t>
        </is>
      </c>
      <c r="D280" t="n">
        <v>0.5</v>
      </c>
      <c r="E280" t="inlineStr">
        <is>
          <t>Epice 100ml</t>
        </is>
      </c>
      <c r="F28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0">
        <f>IFERROR(_xlfn.XLOOKUP(TableauRecette[[#This Row],[Ingredients]],TableauIngredients[Ingredients],TableauIngredients[Prix d''achat / kg],0)*TableauRecette[[#This Row],[fraction mélange]],0)</f>
        <v/>
      </c>
      <c r="H280">
        <f>IFERROR(SUMIFS(TableauRecette[Proportion],TableauRecette[Recette],TableauRecette[[#This Row],[Recette]],TableauRecette[Conditionnement],TableauRecette[[#This Row],[Conditionnement]]),0)</f>
        <v/>
      </c>
      <c r="I280">
        <f>IFERROR(TableauRecette[[#This Row],[Prix d''achat / kg]],0)</f>
        <v/>
      </c>
      <c r="L280">
        <f>_xlfn.XLOOKUP(TableauRecette[[#This Row],[ID]],TableauProduit[ID],TableauProduit[Total (kg) N1],0,0,1)*TableauRecette[[#This Row],[fraction mélange]]</f>
        <v/>
      </c>
      <c r="M280">
        <f>_xlfn.XLOOKUP(TableauRecette[[#This Row],[ID]],TableauProduit[ID],TableauProduit[Total (kg) N2],0,0,1)*TableauRecette[[#This Row],[fraction mélange]]</f>
        <v/>
      </c>
      <c r="N280">
        <f>_xlfn.XLOOKUP(TableauRecette[[#This Row],[ID]],TableauProduit[ID],TableauProduit[Total (kg) N3],0,0,1)*TableauRecette[[#This Row],[fraction mélange]]</f>
        <v/>
      </c>
      <c r="O280">
        <f>_xlfn.XLOOKUP(TableauRecette[[#This Row],[ID]],TableauProduit[ID],TableauProduit[Total (kg) N4],0,0,1)*TableauRecette[[#This Row],[fraction mélange]]</f>
        <v/>
      </c>
      <c r="P280">
        <f>_xlfn.XLOOKUP(TableauRecette[[#This Row],[ID]],TableauProduit[ID],TableauProduit[Total (kg) N5],0,0,1)*TableauRecette[[#This Row],[fraction mélange]]</f>
        <v/>
      </c>
      <c r="Q280">
        <f>_xlfn.XLOOKUP(TableauRecette[[#This Row],[ID]],TableauProduit[ID],TableauProduit[Total (kg) N6],0,0,1)*TableauRecette[[#This Row],[fraction mélange]]</f>
        <v/>
      </c>
      <c r="R280">
        <f>_xlfn.XLOOKUP(TableauRecette[[#This Row],[ID]],TableauProduit[ID],TableauProduit[Total (kg) N7],0,0,1)*TableauRecette[[#This Row],[fraction mélange]]</f>
        <v/>
      </c>
      <c r="S280">
        <f>_xlfn.XLOOKUP(TableauRecette[[#This Row],[ID]],TableauProduit[ID],TableauProduit[Total (kg) N8],0,0,1)*TableauRecette[[#This Row],[fraction mélange]]</f>
        <v/>
      </c>
      <c r="T280">
        <f>_xlfn.XLOOKUP(TableauRecette[[#This Row],[ID]],TableauProduit[ID],TableauProduit[Total (kg) N9],0,0,1)*TableauRecette[[#This Row],[fraction mélange]]</f>
        <v/>
      </c>
    </row>
    <row r="281">
      <c r="A281" t="inlineStr">
        <is>
          <t>Ras el hanout</t>
        </is>
      </c>
      <c r="B281">
        <f>TableauRecette[[#This Row],[Recette]]&amp;TableauRecette[[#This Row],[Conditionnement]]</f>
        <v/>
      </c>
      <c r="C281" t="inlineStr">
        <is>
          <t>Piment De Cayenne Jaune SEC</t>
        </is>
      </c>
      <c r="D281" t="n">
        <v>0.5</v>
      </c>
      <c r="E281" t="inlineStr">
        <is>
          <t>Epice 100ml</t>
        </is>
      </c>
      <c r="F28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1">
        <f>IFERROR(_xlfn.XLOOKUP(TableauRecette[[#This Row],[Ingredients]],TableauIngredients[Ingredients],TableauIngredients[Prix d''achat / kg],0)*TableauRecette[[#This Row],[fraction mélange]],0)</f>
        <v/>
      </c>
      <c r="H281">
        <f>IFERROR(SUMIFS(TableauRecette[Proportion],TableauRecette[Recette],TableauRecette[[#This Row],[Recette]],TableauRecette[Conditionnement],TableauRecette[[#This Row],[Conditionnement]]),0)</f>
        <v/>
      </c>
      <c r="I281">
        <f>IFERROR(TableauRecette[[#This Row],[Prix d''achat / kg]],0)</f>
        <v/>
      </c>
      <c r="K281" t="inlineStr">
        <is>
          <t>SEC</t>
        </is>
      </c>
      <c r="L281">
        <f>_xlfn.XLOOKUP(TableauRecette[[#This Row],[ID]],TableauProduit[ID],TableauProduit[Total (kg) N1],0,0,1)*TableauRecette[[#This Row],[fraction mélange]]</f>
        <v/>
      </c>
      <c r="M281">
        <f>_xlfn.XLOOKUP(TableauRecette[[#This Row],[ID]],TableauProduit[ID],TableauProduit[Total (kg) N2],0,0,1)*TableauRecette[[#This Row],[fraction mélange]]</f>
        <v/>
      </c>
      <c r="N281">
        <f>_xlfn.XLOOKUP(TableauRecette[[#This Row],[ID]],TableauProduit[ID],TableauProduit[Total (kg) N3],0,0,1)*TableauRecette[[#This Row],[fraction mélange]]</f>
        <v/>
      </c>
      <c r="O281">
        <f>_xlfn.XLOOKUP(TableauRecette[[#This Row],[ID]],TableauProduit[ID],TableauProduit[Total (kg) N4],0,0,1)*TableauRecette[[#This Row],[fraction mélange]]</f>
        <v/>
      </c>
      <c r="P281">
        <f>_xlfn.XLOOKUP(TableauRecette[[#This Row],[ID]],TableauProduit[ID],TableauProduit[Total (kg) N5],0,0,1)*TableauRecette[[#This Row],[fraction mélange]]</f>
        <v/>
      </c>
      <c r="Q281">
        <f>_xlfn.XLOOKUP(TableauRecette[[#This Row],[ID]],TableauProduit[ID],TableauProduit[Total (kg) N6],0,0,1)*TableauRecette[[#This Row],[fraction mélange]]</f>
        <v/>
      </c>
      <c r="R281">
        <f>_xlfn.XLOOKUP(TableauRecette[[#This Row],[ID]],TableauProduit[ID],TableauProduit[Total (kg) N7],0,0,1)*TableauRecette[[#This Row],[fraction mélange]]</f>
        <v/>
      </c>
      <c r="S281">
        <f>_xlfn.XLOOKUP(TableauRecette[[#This Row],[ID]],TableauProduit[ID],TableauProduit[Total (kg) N8],0,0,1)*TableauRecette[[#This Row],[fraction mélange]]</f>
        <v/>
      </c>
      <c r="T281">
        <f>_xlfn.XLOOKUP(TableauRecette[[#This Row],[ID]],TableauProduit[ID],TableauProduit[Total (kg) N9],0,0,1)*TableauRecette[[#This Row],[fraction mélange]]</f>
        <v/>
      </c>
    </row>
    <row r="282">
      <c r="A282" t="inlineStr">
        <is>
          <t>Ras el hanout</t>
        </is>
      </c>
      <c r="B282">
        <f>TableauRecette[[#This Row],[Recette]]&amp;TableauRecette[[#This Row],[Conditionnement]]</f>
        <v/>
      </c>
      <c r="C282" t="inlineStr">
        <is>
          <t>Poivre De Jamaïque</t>
        </is>
      </c>
      <c r="D282" t="n">
        <v>0.5</v>
      </c>
      <c r="E282" t="inlineStr">
        <is>
          <t>Epice 100ml</t>
        </is>
      </c>
      <c r="F28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2">
        <f>IFERROR(_xlfn.XLOOKUP(TableauRecette[[#This Row],[Ingredients]],TableauIngredients[Ingredients],TableauIngredients[Prix d''achat / kg],0)*TableauRecette[[#This Row],[fraction mélange]],0)</f>
        <v/>
      </c>
      <c r="H282">
        <f>IFERROR(SUMIFS(TableauRecette[Proportion],TableauRecette[Recette],TableauRecette[[#This Row],[Recette]],TableauRecette[Conditionnement],TableauRecette[[#This Row],[Conditionnement]]),0)</f>
        <v/>
      </c>
      <c r="I282">
        <f>IFERROR(TableauRecette[[#This Row],[Prix d''achat / kg]],0)</f>
        <v/>
      </c>
      <c r="L282">
        <f>_xlfn.XLOOKUP(TableauRecette[[#This Row],[ID]],TableauProduit[ID],TableauProduit[Total (kg) N1],0,0,1)*TableauRecette[[#This Row],[fraction mélange]]</f>
        <v/>
      </c>
      <c r="M282">
        <f>_xlfn.XLOOKUP(TableauRecette[[#This Row],[ID]],TableauProduit[ID],TableauProduit[Total (kg) N2],0,0,1)*TableauRecette[[#This Row],[fraction mélange]]</f>
        <v/>
      </c>
      <c r="N282">
        <f>_xlfn.XLOOKUP(TableauRecette[[#This Row],[ID]],TableauProduit[ID],TableauProduit[Total (kg) N3],0,0,1)*TableauRecette[[#This Row],[fraction mélange]]</f>
        <v/>
      </c>
      <c r="O282">
        <f>_xlfn.XLOOKUP(TableauRecette[[#This Row],[ID]],TableauProduit[ID],TableauProduit[Total (kg) N4],0,0,1)*TableauRecette[[#This Row],[fraction mélange]]</f>
        <v/>
      </c>
      <c r="P282">
        <f>_xlfn.XLOOKUP(TableauRecette[[#This Row],[ID]],TableauProduit[ID],TableauProduit[Total (kg) N5],0,0,1)*TableauRecette[[#This Row],[fraction mélange]]</f>
        <v/>
      </c>
      <c r="Q282">
        <f>_xlfn.XLOOKUP(TableauRecette[[#This Row],[ID]],TableauProduit[ID],TableauProduit[Total (kg) N6],0,0,1)*TableauRecette[[#This Row],[fraction mélange]]</f>
        <v/>
      </c>
      <c r="R282">
        <f>_xlfn.XLOOKUP(TableauRecette[[#This Row],[ID]],TableauProduit[ID],TableauProduit[Total (kg) N7],0,0,1)*TableauRecette[[#This Row],[fraction mélange]]</f>
        <v/>
      </c>
      <c r="S282">
        <f>_xlfn.XLOOKUP(TableauRecette[[#This Row],[ID]],TableauProduit[ID],TableauProduit[Total (kg) N8],0,0,1)*TableauRecette[[#This Row],[fraction mélange]]</f>
        <v/>
      </c>
      <c r="T282">
        <f>_xlfn.XLOOKUP(TableauRecette[[#This Row],[ID]],TableauProduit[ID],TableauProduit[Total (kg) N9],0,0,1)*TableauRecette[[#This Row],[fraction mélange]]</f>
        <v/>
      </c>
    </row>
    <row r="283">
      <c r="A283" t="inlineStr">
        <is>
          <t>Ras el hanout</t>
        </is>
      </c>
      <c r="B283">
        <f>TableauRecette[[#This Row],[Recette]]&amp;TableauRecette[[#This Row],[Conditionnement]]</f>
        <v/>
      </c>
      <c r="C283" t="inlineStr">
        <is>
          <t>Muscade Moulue</t>
        </is>
      </c>
      <c r="D283" t="n">
        <v>0.5</v>
      </c>
      <c r="E283" t="inlineStr">
        <is>
          <t>Epice 100ml</t>
        </is>
      </c>
      <c r="F28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3">
        <f>IFERROR(_xlfn.XLOOKUP(TableauRecette[[#This Row],[Ingredients]],TableauIngredients[Ingredients],TableauIngredients[Prix d''achat / kg],0)*TableauRecette[[#This Row],[fraction mélange]],0)</f>
        <v/>
      </c>
      <c r="H283">
        <f>IFERROR(SUMIFS(TableauRecette[Proportion],TableauRecette[Recette],TableauRecette[[#This Row],[Recette]],TableauRecette[Conditionnement],TableauRecette[[#This Row],[Conditionnement]]),0)</f>
        <v/>
      </c>
      <c r="I283">
        <f>IFERROR(TableauRecette[[#This Row],[Prix d''achat / kg]],0)</f>
        <v/>
      </c>
      <c r="L283">
        <f>_xlfn.XLOOKUP(TableauRecette[[#This Row],[ID]],TableauProduit[ID],TableauProduit[Total (kg) N1],0,0,1)*TableauRecette[[#This Row],[fraction mélange]]</f>
        <v/>
      </c>
      <c r="M283">
        <f>_xlfn.XLOOKUP(TableauRecette[[#This Row],[ID]],TableauProduit[ID],TableauProduit[Total (kg) N2],0,0,1)*TableauRecette[[#This Row],[fraction mélange]]</f>
        <v/>
      </c>
      <c r="N283">
        <f>_xlfn.XLOOKUP(TableauRecette[[#This Row],[ID]],TableauProduit[ID],TableauProduit[Total (kg) N3],0,0,1)*TableauRecette[[#This Row],[fraction mélange]]</f>
        <v/>
      </c>
      <c r="O283">
        <f>_xlfn.XLOOKUP(TableauRecette[[#This Row],[ID]],TableauProduit[ID],TableauProduit[Total (kg) N4],0,0,1)*TableauRecette[[#This Row],[fraction mélange]]</f>
        <v/>
      </c>
      <c r="P283">
        <f>_xlfn.XLOOKUP(TableauRecette[[#This Row],[ID]],TableauProduit[ID],TableauProduit[Total (kg) N5],0,0,1)*TableauRecette[[#This Row],[fraction mélange]]</f>
        <v/>
      </c>
      <c r="Q283">
        <f>_xlfn.XLOOKUP(TableauRecette[[#This Row],[ID]],TableauProduit[ID],TableauProduit[Total (kg) N6],0,0,1)*TableauRecette[[#This Row],[fraction mélange]]</f>
        <v/>
      </c>
      <c r="R283">
        <f>_xlfn.XLOOKUP(TableauRecette[[#This Row],[ID]],TableauProduit[ID],TableauProduit[Total (kg) N7],0,0,1)*TableauRecette[[#This Row],[fraction mélange]]</f>
        <v/>
      </c>
      <c r="S283">
        <f>_xlfn.XLOOKUP(TableauRecette[[#This Row],[ID]],TableauProduit[ID],TableauProduit[Total (kg) N8],0,0,1)*TableauRecette[[#This Row],[fraction mélange]]</f>
        <v/>
      </c>
      <c r="T283">
        <f>_xlfn.XLOOKUP(TableauRecette[[#This Row],[ID]],TableauProduit[ID],TableauProduit[Total (kg) N9],0,0,1)*TableauRecette[[#This Row],[fraction mélange]]</f>
        <v/>
      </c>
    </row>
    <row r="284">
      <c r="A284" t="inlineStr">
        <is>
          <t>Ras el hanout</t>
        </is>
      </c>
      <c r="B284">
        <f>TableauRecette[[#This Row],[Recette]]&amp;TableauRecette[[#This Row],[Conditionnement]]</f>
        <v/>
      </c>
      <c r="C284" t="inlineStr">
        <is>
          <t>Clous De Girofle</t>
        </is>
      </c>
      <c r="D284" t="n">
        <v>0.25</v>
      </c>
      <c r="E284" t="inlineStr">
        <is>
          <t>Epice 100ml</t>
        </is>
      </c>
      <c r="F28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4">
        <f>IFERROR(_xlfn.XLOOKUP(TableauRecette[[#This Row],[Ingredients]],TableauIngredients[Ingredients],TableauIngredients[Prix d''achat / kg],0)*TableauRecette[[#This Row],[fraction mélange]],0)</f>
        <v/>
      </c>
      <c r="H284">
        <f>IFERROR(SUMIFS(TableauRecette[Proportion],TableauRecette[Recette],TableauRecette[[#This Row],[Recette]],TableauRecette[Conditionnement],TableauRecette[[#This Row],[Conditionnement]]),0)</f>
        <v/>
      </c>
      <c r="I284">
        <f>IFERROR(TableauRecette[[#This Row],[Prix d''achat / kg]],0)</f>
        <v/>
      </c>
      <c r="L284">
        <f>_xlfn.XLOOKUP(TableauRecette[[#This Row],[ID]],TableauProduit[ID],TableauProduit[Total (kg) N1],0,0,1)*TableauRecette[[#This Row],[fraction mélange]]</f>
        <v/>
      </c>
      <c r="M284">
        <f>_xlfn.XLOOKUP(TableauRecette[[#This Row],[ID]],TableauProduit[ID],TableauProduit[Total (kg) N2],0,0,1)*TableauRecette[[#This Row],[fraction mélange]]</f>
        <v/>
      </c>
      <c r="N284">
        <f>_xlfn.XLOOKUP(TableauRecette[[#This Row],[ID]],TableauProduit[ID],TableauProduit[Total (kg) N3],0,0,1)*TableauRecette[[#This Row],[fraction mélange]]</f>
        <v/>
      </c>
      <c r="O284">
        <f>_xlfn.XLOOKUP(TableauRecette[[#This Row],[ID]],TableauProduit[ID],TableauProduit[Total (kg) N4],0,0,1)*TableauRecette[[#This Row],[fraction mélange]]</f>
        <v/>
      </c>
      <c r="P284">
        <f>_xlfn.XLOOKUP(TableauRecette[[#This Row],[ID]],TableauProduit[ID],TableauProduit[Total (kg) N5],0,0,1)*TableauRecette[[#This Row],[fraction mélange]]</f>
        <v/>
      </c>
      <c r="Q284">
        <f>_xlfn.XLOOKUP(TableauRecette[[#This Row],[ID]],TableauProduit[ID],TableauProduit[Total (kg) N6],0,0,1)*TableauRecette[[#This Row],[fraction mélange]]</f>
        <v/>
      </c>
      <c r="R284">
        <f>_xlfn.XLOOKUP(TableauRecette[[#This Row],[ID]],TableauProduit[ID],TableauProduit[Total (kg) N7],0,0,1)*TableauRecette[[#This Row],[fraction mélange]]</f>
        <v/>
      </c>
      <c r="S284">
        <f>_xlfn.XLOOKUP(TableauRecette[[#This Row],[ID]],TableauProduit[ID],TableauProduit[Total (kg) N8],0,0,1)*TableauRecette[[#This Row],[fraction mélange]]</f>
        <v/>
      </c>
      <c r="T284">
        <f>_xlfn.XLOOKUP(TableauRecette[[#This Row],[ID]],TableauProduit[ID],TableauProduit[Total (kg) N9],0,0,1)*TableauRecette[[#This Row],[fraction mélange]]</f>
        <v/>
      </c>
    </row>
    <row r="285">
      <c r="A285" t="inlineStr">
        <is>
          <t>Sans sel</t>
        </is>
      </c>
      <c r="B285">
        <f>TableauRecette[[#This Row],[Recette]]&amp;TableauRecette[[#This Row],[Conditionnement]]</f>
        <v/>
      </c>
      <c r="C285" t="inlineStr">
        <is>
          <t>Paprika</t>
        </is>
      </c>
      <c r="D285" t="n">
        <v>1</v>
      </c>
      <c r="E285" t="inlineStr">
        <is>
          <t>Epice 100ml</t>
        </is>
      </c>
      <c r="F2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5">
        <f>IFERROR(_xlfn.XLOOKUP(TableauRecette[[#This Row],[Ingredients]],TableauIngredients[Ingredients],TableauIngredients[Prix d''achat / kg],0)*TableauRecette[[#This Row],[fraction mélange]],0)</f>
        <v/>
      </c>
      <c r="H285">
        <f>IFERROR(SUMIFS(TableauRecette[Proportion],TableauRecette[Recette],TableauRecette[[#This Row],[Recette]],TableauRecette[Conditionnement],TableauRecette[[#This Row],[Conditionnement]]),0)</f>
        <v/>
      </c>
      <c r="I285">
        <f>IFERROR(TableauRecette[[#This Row],[Prix d''achat / kg]],0)</f>
        <v/>
      </c>
      <c r="L285">
        <f>_xlfn.XLOOKUP(TableauRecette[[#This Row],[ID]],TableauProduit[ID],TableauProduit[Total (kg) N1],0,0,1)*TableauRecette[[#This Row],[fraction mélange]]</f>
        <v/>
      </c>
      <c r="M285">
        <f>_xlfn.XLOOKUP(TableauRecette[[#This Row],[ID]],TableauProduit[ID],TableauProduit[Total (kg) N2],0,0,1)*TableauRecette[[#This Row],[fraction mélange]]</f>
        <v/>
      </c>
      <c r="N285">
        <f>_xlfn.XLOOKUP(TableauRecette[[#This Row],[ID]],TableauProduit[ID],TableauProduit[Total (kg) N3],0,0,1)*TableauRecette[[#This Row],[fraction mélange]]</f>
        <v/>
      </c>
      <c r="O285">
        <f>_xlfn.XLOOKUP(TableauRecette[[#This Row],[ID]],TableauProduit[ID],TableauProduit[Total (kg) N4],0,0,1)*TableauRecette[[#This Row],[fraction mélange]]</f>
        <v/>
      </c>
      <c r="P285">
        <f>_xlfn.XLOOKUP(TableauRecette[[#This Row],[ID]],TableauProduit[ID],TableauProduit[Total (kg) N5],0,0,1)*TableauRecette[[#This Row],[fraction mélange]]</f>
        <v/>
      </c>
      <c r="Q285">
        <f>_xlfn.XLOOKUP(TableauRecette[[#This Row],[ID]],TableauProduit[ID],TableauProduit[Total (kg) N6],0,0,1)*TableauRecette[[#This Row],[fraction mélange]]</f>
        <v/>
      </c>
      <c r="R285">
        <f>_xlfn.XLOOKUP(TableauRecette[[#This Row],[ID]],TableauProduit[ID],TableauProduit[Total (kg) N7],0,0,1)*TableauRecette[[#This Row],[fraction mélange]]</f>
        <v/>
      </c>
      <c r="S285">
        <f>_xlfn.XLOOKUP(TableauRecette[[#This Row],[ID]],TableauProduit[ID],TableauProduit[Total (kg) N8],0,0,1)*TableauRecette[[#This Row],[fraction mélange]]</f>
        <v/>
      </c>
      <c r="T285">
        <f>_xlfn.XLOOKUP(TableauRecette[[#This Row],[ID]],TableauProduit[ID],TableauProduit[Total (kg) N9],0,0,1)*TableauRecette[[#This Row],[fraction mélange]]</f>
        <v/>
      </c>
    </row>
    <row r="286">
      <c r="A286" t="inlineStr">
        <is>
          <t>Sans sel</t>
        </is>
      </c>
      <c r="B286">
        <f>TableauRecette[[#This Row],[Recette]]&amp;TableauRecette[[#This Row],[Conditionnement]]</f>
        <v/>
      </c>
      <c r="C286" t="inlineStr">
        <is>
          <t>Basilic SEC</t>
        </is>
      </c>
      <c r="D286" t="n">
        <v>2</v>
      </c>
      <c r="E286" t="inlineStr">
        <is>
          <t>Epice 100ml</t>
        </is>
      </c>
      <c r="F28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6">
        <f>IFERROR(_xlfn.XLOOKUP(TableauRecette[[#This Row],[Ingredients]],TableauIngredients[Ingredients],TableauIngredients[Prix d''achat / kg],0)*TableauRecette[[#This Row],[fraction mélange]],0)</f>
        <v/>
      </c>
      <c r="H286">
        <f>IFERROR(SUMIFS(TableauRecette[Proportion],TableauRecette[Recette],TableauRecette[[#This Row],[Recette]],TableauRecette[Conditionnement],TableauRecette[[#This Row],[Conditionnement]]),0)</f>
        <v/>
      </c>
      <c r="I286">
        <f>IFERROR(TableauRecette[[#This Row],[Prix d''achat / kg]],0)</f>
        <v/>
      </c>
      <c r="K286" t="inlineStr">
        <is>
          <t>SEC</t>
        </is>
      </c>
      <c r="L286">
        <f>_xlfn.XLOOKUP(TableauRecette[[#This Row],[ID]],TableauProduit[ID],TableauProduit[Total (kg) N1],0,0,1)*TableauRecette[[#This Row],[fraction mélange]]</f>
        <v/>
      </c>
      <c r="M286">
        <f>_xlfn.XLOOKUP(TableauRecette[[#This Row],[ID]],TableauProduit[ID],TableauProduit[Total (kg) N2],0,0,1)*TableauRecette[[#This Row],[fraction mélange]]</f>
        <v/>
      </c>
      <c r="N286">
        <f>_xlfn.XLOOKUP(TableauRecette[[#This Row],[ID]],TableauProduit[ID],TableauProduit[Total (kg) N3],0,0,1)*TableauRecette[[#This Row],[fraction mélange]]</f>
        <v/>
      </c>
      <c r="O286">
        <f>_xlfn.XLOOKUP(TableauRecette[[#This Row],[ID]],TableauProduit[ID],TableauProduit[Total (kg) N4],0,0,1)*TableauRecette[[#This Row],[fraction mélange]]</f>
        <v/>
      </c>
      <c r="P286">
        <f>_xlfn.XLOOKUP(TableauRecette[[#This Row],[ID]],TableauProduit[ID],TableauProduit[Total (kg) N5],0,0,1)*TableauRecette[[#This Row],[fraction mélange]]</f>
        <v/>
      </c>
      <c r="Q286">
        <f>_xlfn.XLOOKUP(TableauRecette[[#This Row],[ID]],TableauProduit[ID],TableauProduit[Total (kg) N6],0,0,1)*TableauRecette[[#This Row],[fraction mélange]]</f>
        <v/>
      </c>
      <c r="R286">
        <f>_xlfn.XLOOKUP(TableauRecette[[#This Row],[ID]],TableauProduit[ID],TableauProduit[Total (kg) N7],0,0,1)*TableauRecette[[#This Row],[fraction mélange]]</f>
        <v/>
      </c>
      <c r="S286">
        <f>_xlfn.XLOOKUP(TableauRecette[[#This Row],[ID]],TableauProduit[ID],TableauProduit[Total (kg) N8],0,0,1)*TableauRecette[[#This Row],[fraction mélange]]</f>
        <v/>
      </c>
      <c r="T286">
        <f>_xlfn.XLOOKUP(TableauRecette[[#This Row],[ID]],TableauProduit[ID],TableauProduit[Total (kg) N9],0,0,1)*TableauRecette[[#This Row],[fraction mélange]]</f>
        <v/>
      </c>
    </row>
    <row r="287">
      <c r="A287" t="inlineStr">
        <is>
          <t>Sans sel</t>
        </is>
      </c>
      <c r="B287">
        <f>TableauRecette[[#This Row],[Recette]]&amp;TableauRecette[[#This Row],[Conditionnement]]</f>
        <v/>
      </c>
      <c r="C287" t="inlineStr">
        <is>
          <t>Poivre Blanc</t>
        </is>
      </c>
      <c r="D287" t="n">
        <v>2</v>
      </c>
      <c r="E287" t="inlineStr">
        <is>
          <t>Epice 100ml</t>
        </is>
      </c>
      <c r="F28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7">
        <f>IFERROR(_xlfn.XLOOKUP(TableauRecette[[#This Row],[Ingredients]],TableauIngredients[Ingredients],TableauIngredients[Prix d''achat / kg],0)*TableauRecette[[#This Row],[fraction mélange]],0)</f>
        <v/>
      </c>
      <c r="H287">
        <f>IFERROR(SUMIFS(TableauRecette[Proportion],TableauRecette[Recette],TableauRecette[[#This Row],[Recette]],TableauRecette[Conditionnement],TableauRecette[[#This Row],[Conditionnement]]),0)</f>
        <v/>
      </c>
      <c r="I287">
        <f>IFERROR(TableauRecette[[#This Row],[Prix d''achat / kg]],0)</f>
        <v/>
      </c>
      <c r="L287">
        <f>_xlfn.XLOOKUP(TableauRecette[[#This Row],[ID]],TableauProduit[ID],TableauProduit[Total (kg) N1],0,0,1)*TableauRecette[[#This Row],[fraction mélange]]</f>
        <v/>
      </c>
      <c r="M287">
        <f>_xlfn.XLOOKUP(TableauRecette[[#This Row],[ID]],TableauProduit[ID],TableauProduit[Total (kg) N2],0,0,1)*TableauRecette[[#This Row],[fraction mélange]]</f>
        <v/>
      </c>
      <c r="N287">
        <f>_xlfn.XLOOKUP(TableauRecette[[#This Row],[ID]],TableauProduit[ID],TableauProduit[Total (kg) N3],0,0,1)*TableauRecette[[#This Row],[fraction mélange]]</f>
        <v/>
      </c>
      <c r="O287">
        <f>_xlfn.XLOOKUP(TableauRecette[[#This Row],[ID]],TableauProduit[ID],TableauProduit[Total (kg) N4],0,0,1)*TableauRecette[[#This Row],[fraction mélange]]</f>
        <v/>
      </c>
      <c r="P287">
        <f>_xlfn.XLOOKUP(TableauRecette[[#This Row],[ID]],TableauProduit[ID],TableauProduit[Total (kg) N5],0,0,1)*TableauRecette[[#This Row],[fraction mélange]]</f>
        <v/>
      </c>
      <c r="Q287">
        <f>_xlfn.XLOOKUP(TableauRecette[[#This Row],[ID]],TableauProduit[ID],TableauProduit[Total (kg) N6],0,0,1)*TableauRecette[[#This Row],[fraction mélange]]</f>
        <v/>
      </c>
      <c r="R287">
        <f>_xlfn.XLOOKUP(TableauRecette[[#This Row],[ID]],TableauProduit[ID],TableauProduit[Total (kg) N7],0,0,1)*TableauRecette[[#This Row],[fraction mélange]]</f>
        <v/>
      </c>
      <c r="S287">
        <f>_xlfn.XLOOKUP(TableauRecette[[#This Row],[ID]],TableauProduit[ID],TableauProduit[Total (kg) N8],0,0,1)*TableauRecette[[#This Row],[fraction mélange]]</f>
        <v/>
      </c>
      <c r="T287">
        <f>_xlfn.XLOOKUP(TableauRecette[[#This Row],[ID]],TableauProduit[ID],TableauProduit[Total (kg) N9],0,0,1)*TableauRecette[[#This Row],[fraction mélange]]</f>
        <v/>
      </c>
    </row>
    <row r="288">
      <c r="A288" t="inlineStr">
        <is>
          <t>Sans sel</t>
        </is>
      </c>
      <c r="B288">
        <f>TableauRecette[[#This Row],[Recette]]&amp;TableauRecette[[#This Row],[Conditionnement]]</f>
        <v/>
      </c>
      <c r="C288" t="inlineStr">
        <is>
          <t>Sumac</t>
        </is>
      </c>
      <c r="D288" t="n">
        <v>1</v>
      </c>
      <c r="E288" t="inlineStr">
        <is>
          <t>Epice 100ml</t>
        </is>
      </c>
      <c r="F28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8">
        <f>IFERROR(_xlfn.XLOOKUP(TableauRecette[[#This Row],[Ingredients]],TableauIngredients[Ingredients],TableauIngredients[Prix d''achat / kg],0)*TableauRecette[[#This Row],[fraction mélange]],0)</f>
        <v/>
      </c>
      <c r="H288">
        <f>IFERROR(SUMIFS(TableauRecette[Proportion],TableauRecette[Recette],TableauRecette[[#This Row],[Recette]],TableauRecette[Conditionnement],TableauRecette[[#This Row],[Conditionnement]]),0)</f>
        <v/>
      </c>
      <c r="I288">
        <f>IFERROR(TableauRecette[[#This Row],[Prix d''achat / kg]],0)</f>
        <v/>
      </c>
      <c r="L288">
        <f>_xlfn.XLOOKUP(TableauRecette[[#This Row],[ID]],TableauProduit[ID],TableauProduit[Total (kg) N1],0,0,1)*TableauRecette[[#This Row],[fraction mélange]]</f>
        <v/>
      </c>
      <c r="M288">
        <f>_xlfn.XLOOKUP(TableauRecette[[#This Row],[ID]],TableauProduit[ID],TableauProduit[Total (kg) N2],0,0,1)*TableauRecette[[#This Row],[fraction mélange]]</f>
        <v/>
      </c>
      <c r="N288">
        <f>_xlfn.XLOOKUP(TableauRecette[[#This Row],[ID]],TableauProduit[ID],TableauProduit[Total (kg) N3],0,0,1)*TableauRecette[[#This Row],[fraction mélange]]</f>
        <v/>
      </c>
      <c r="O288">
        <f>_xlfn.XLOOKUP(TableauRecette[[#This Row],[ID]],TableauProduit[ID],TableauProduit[Total (kg) N4],0,0,1)*TableauRecette[[#This Row],[fraction mélange]]</f>
        <v/>
      </c>
      <c r="P288">
        <f>_xlfn.XLOOKUP(TableauRecette[[#This Row],[ID]],TableauProduit[ID],TableauProduit[Total (kg) N5],0,0,1)*TableauRecette[[#This Row],[fraction mélange]]</f>
        <v/>
      </c>
      <c r="Q288">
        <f>_xlfn.XLOOKUP(TableauRecette[[#This Row],[ID]],TableauProduit[ID],TableauProduit[Total (kg) N6],0,0,1)*TableauRecette[[#This Row],[fraction mélange]]</f>
        <v/>
      </c>
      <c r="R288">
        <f>_xlfn.XLOOKUP(TableauRecette[[#This Row],[ID]],TableauProduit[ID],TableauProduit[Total (kg) N7],0,0,1)*TableauRecette[[#This Row],[fraction mélange]]</f>
        <v/>
      </c>
      <c r="S288">
        <f>_xlfn.XLOOKUP(TableauRecette[[#This Row],[ID]],TableauProduit[ID],TableauProduit[Total (kg) N8],0,0,1)*TableauRecette[[#This Row],[fraction mélange]]</f>
        <v/>
      </c>
      <c r="T288">
        <f>_xlfn.XLOOKUP(TableauRecette[[#This Row],[ID]],TableauProduit[ID],TableauProduit[Total (kg) N9],0,0,1)*TableauRecette[[#This Row],[fraction mélange]]</f>
        <v/>
      </c>
    </row>
    <row r="289">
      <c r="A289" t="inlineStr">
        <is>
          <t>Sans sel</t>
        </is>
      </c>
      <c r="B289">
        <f>TableauRecette[[#This Row],[Recette]]&amp;TableauRecette[[#This Row],[Conditionnement]]</f>
        <v/>
      </c>
      <c r="C289" t="inlineStr">
        <is>
          <t>Oignon Séché</t>
        </is>
      </c>
      <c r="D289" t="n">
        <v>2</v>
      </c>
      <c r="E289" t="inlineStr">
        <is>
          <t>Epice 100ml</t>
        </is>
      </c>
      <c r="F2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9">
        <f>IFERROR(_xlfn.XLOOKUP(TableauRecette[[#This Row],[Ingredients]],TableauIngredients[Ingredients],TableauIngredients[Prix d''achat / kg],0)*TableauRecette[[#This Row],[fraction mélange]],0)</f>
        <v/>
      </c>
      <c r="H289">
        <f>IFERROR(SUMIFS(TableauRecette[Proportion],TableauRecette[Recette],TableauRecette[[#This Row],[Recette]],TableauRecette[Conditionnement],TableauRecette[[#This Row],[Conditionnement]]),0)</f>
        <v/>
      </c>
      <c r="I289">
        <f>IFERROR(TableauRecette[[#This Row],[Prix d''achat / kg]],0)</f>
        <v/>
      </c>
      <c r="L289">
        <f>_xlfn.XLOOKUP(TableauRecette[[#This Row],[ID]],TableauProduit[ID],TableauProduit[Total (kg) N1],0,0,1)*TableauRecette[[#This Row],[fraction mélange]]</f>
        <v/>
      </c>
      <c r="M289">
        <f>_xlfn.XLOOKUP(TableauRecette[[#This Row],[ID]],TableauProduit[ID],TableauProduit[Total (kg) N2],0,0,1)*TableauRecette[[#This Row],[fraction mélange]]</f>
        <v/>
      </c>
      <c r="N289">
        <f>_xlfn.XLOOKUP(TableauRecette[[#This Row],[ID]],TableauProduit[ID],TableauProduit[Total (kg) N3],0,0,1)*TableauRecette[[#This Row],[fraction mélange]]</f>
        <v/>
      </c>
      <c r="O289">
        <f>_xlfn.XLOOKUP(TableauRecette[[#This Row],[ID]],TableauProduit[ID],TableauProduit[Total (kg) N4],0,0,1)*TableauRecette[[#This Row],[fraction mélange]]</f>
        <v/>
      </c>
      <c r="P289">
        <f>_xlfn.XLOOKUP(TableauRecette[[#This Row],[ID]],TableauProduit[ID],TableauProduit[Total (kg) N5],0,0,1)*TableauRecette[[#This Row],[fraction mélange]]</f>
        <v/>
      </c>
      <c r="Q289">
        <f>_xlfn.XLOOKUP(TableauRecette[[#This Row],[ID]],TableauProduit[ID],TableauProduit[Total (kg) N6],0,0,1)*TableauRecette[[#This Row],[fraction mélange]]</f>
        <v/>
      </c>
      <c r="R289">
        <f>_xlfn.XLOOKUP(TableauRecette[[#This Row],[ID]],TableauProduit[ID],TableauProduit[Total (kg) N7],0,0,1)*TableauRecette[[#This Row],[fraction mélange]]</f>
        <v/>
      </c>
      <c r="S289">
        <f>_xlfn.XLOOKUP(TableauRecette[[#This Row],[ID]],TableauProduit[ID],TableauProduit[Total (kg) N8],0,0,1)*TableauRecette[[#This Row],[fraction mélange]]</f>
        <v/>
      </c>
      <c r="T289">
        <f>_xlfn.XLOOKUP(TableauRecette[[#This Row],[ID]],TableauProduit[ID],TableauProduit[Total (kg) N9],0,0,1)*TableauRecette[[#This Row],[fraction mélange]]</f>
        <v/>
      </c>
    </row>
    <row r="290">
      <c r="A290" t="inlineStr">
        <is>
          <t>Sans sel</t>
        </is>
      </c>
      <c r="B290">
        <f>TableauRecette[[#This Row],[Recette]]&amp;TableauRecette[[#This Row],[Conditionnement]]</f>
        <v/>
      </c>
      <c r="C290" t="inlineStr">
        <is>
          <t>Persil</t>
        </is>
      </c>
      <c r="D290" t="n">
        <v>2</v>
      </c>
      <c r="E290" t="inlineStr">
        <is>
          <t>Epice 100ml</t>
        </is>
      </c>
      <c r="F2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0">
        <f>IFERROR(_xlfn.XLOOKUP(TableauRecette[[#This Row],[Ingredients]],TableauIngredients[Ingredients],TableauIngredients[Prix d''achat / kg],0)*TableauRecette[[#This Row],[fraction mélange]],0)</f>
        <v/>
      </c>
      <c r="H290">
        <f>IFERROR(SUMIFS(TableauRecette[Proportion],TableauRecette[Recette],TableauRecette[[#This Row],[Recette]],TableauRecette[Conditionnement],TableauRecette[[#This Row],[Conditionnement]]),0)</f>
        <v/>
      </c>
      <c r="I290">
        <f>IFERROR(TableauRecette[[#This Row],[Prix d''achat / kg]],0)</f>
        <v/>
      </c>
      <c r="L290">
        <f>_xlfn.XLOOKUP(TableauRecette[[#This Row],[ID]],TableauProduit[ID],TableauProduit[Total (kg) N1],0,0,1)*TableauRecette[[#This Row],[fraction mélange]]</f>
        <v/>
      </c>
      <c r="M290">
        <f>_xlfn.XLOOKUP(TableauRecette[[#This Row],[ID]],TableauProduit[ID],TableauProduit[Total (kg) N2],0,0,1)*TableauRecette[[#This Row],[fraction mélange]]</f>
        <v/>
      </c>
      <c r="N290">
        <f>_xlfn.XLOOKUP(TableauRecette[[#This Row],[ID]],TableauProduit[ID],TableauProduit[Total (kg) N3],0,0,1)*TableauRecette[[#This Row],[fraction mélange]]</f>
        <v/>
      </c>
      <c r="O290">
        <f>_xlfn.XLOOKUP(TableauRecette[[#This Row],[ID]],TableauProduit[ID],TableauProduit[Total (kg) N4],0,0,1)*TableauRecette[[#This Row],[fraction mélange]]</f>
        <v/>
      </c>
      <c r="P290">
        <f>_xlfn.XLOOKUP(TableauRecette[[#This Row],[ID]],TableauProduit[ID],TableauProduit[Total (kg) N5],0,0,1)*TableauRecette[[#This Row],[fraction mélange]]</f>
        <v/>
      </c>
      <c r="Q290">
        <f>_xlfn.XLOOKUP(TableauRecette[[#This Row],[ID]],TableauProduit[ID],TableauProduit[Total (kg) N6],0,0,1)*TableauRecette[[#This Row],[fraction mélange]]</f>
        <v/>
      </c>
      <c r="R290">
        <f>_xlfn.XLOOKUP(TableauRecette[[#This Row],[ID]],TableauProduit[ID],TableauProduit[Total (kg) N7],0,0,1)*TableauRecette[[#This Row],[fraction mélange]]</f>
        <v/>
      </c>
      <c r="S290">
        <f>_xlfn.XLOOKUP(TableauRecette[[#This Row],[ID]],TableauProduit[ID],TableauProduit[Total (kg) N8],0,0,1)*TableauRecette[[#This Row],[fraction mélange]]</f>
        <v/>
      </c>
      <c r="T290">
        <f>_xlfn.XLOOKUP(TableauRecette[[#This Row],[ID]],TableauProduit[ID],TableauProduit[Total (kg) N9],0,0,1)*TableauRecette[[#This Row],[fraction mélange]]</f>
        <v/>
      </c>
    </row>
    <row r="291">
      <c r="A291" t="inlineStr">
        <is>
          <t>Sans sel</t>
        </is>
      </c>
      <c r="B291">
        <f>TableauRecette[[#This Row],[Recette]]&amp;TableauRecette[[#This Row],[Conditionnement]]</f>
        <v/>
      </c>
      <c r="C291" t="inlineStr">
        <is>
          <t>Ail Sec</t>
        </is>
      </c>
      <c r="D291" t="n">
        <v>1</v>
      </c>
      <c r="E291" t="inlineStr">
        <is>
          <t>Epice 100ml</t>
        </is>
      </c>
      <c r="F2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1">
        <f>IFERROR(_xlfn.XLOOKUP(TableauRecette[[#This Row],[Ingredients]],TableauIngredients[Ingredients],TableauIngredients[Prix d''achat / kg],0)*TableauRecette[[#This Row],[fraction mélange]],0)</f>
        <v/>
      </c>
      <c r="H291">
        <f>IFERROR(SUMIFS(TableauRecette[Proportion],TableauRecette[Recette],TableauRecette[[#This Row],[Recette]],TableauRecette[Conditionnement],TableauRecette[[#This Row],[Conditionnement]]),0)</f>
        <v/>
      </c>
      <c r="I291">
        <f>IFERROR(TableauRecette[[#This Row],[Prix d''achat / kg]],0)</f>
        <v/>
      </c>
      <c r="K291" t="inlineStr">
        <is>
          <t>SEC</t>
        </is>
      </c>
      <c r="L291">
        <f>_xlfn.XLOOKUP(TableauRecette[[#This Row],[ID]],TableauProduit[ID],TableauProduit[Total (kg) N1],0,0,1)*TableauRecette[[#This Row],[fraction mélange]]</f>
        <v/>
      </c>
      <c r="M291">
        <f>_xlfn.XLOOKUP(TableauRecette[[#This Row],[ID]],TableauProduit[ID],TableauProduit[Total (kg) N2],0,0,1)*TableauRecette[[#This Row],[fraction mélange]]</f>
        <v/>
      </c>
      <c r="N291">
        <f>_xlfn.XLOOKUP(TableauRecette[[#This Row],[ID]],TableauProduit[ID],TableauProduit[Total (kg) N3],0,0,1)*TableauRecette[[#This Row],[fraction mélange]]</f>
        <v/>
      </c>
      <c r="O291">
        <f>_xlfn.XLOOKUP(TableauRecette[[#This Row],[ID]],TableauProduit[ID],TableauProduit[Total (kg) N4],0,0,1)*TableauRecette[[#This Row],[fraction mélange]]</f>
        <v/>
      </c>
      <c r="P291">
        <f>_xlfn.XLOOKUP(TableauRecette[[#This Row],[ID]],TableauProduit[ID],TableauProduit[Total (kg) N5],0,0,1)*TableauRecette[[#This Row],[fraction mélange]]</f>
        <v/>
      </c>
      <c r="Q291">
        <f>_xlfn.XLOOKUP(TableauRecette[[#This Row],[ID]],TableauProduit[ID],TableauProduit[Total (kg) N6],0,0,1)*TableauRecette[[#This Row],[fraction mélange]]</f>
        <v/>
      </c>
      <c r="R291">
        <f>_xlfn.XLOOKUP(TableauRecette[[#This Row],[ID]],TableauProduit[ID],TableauProduit[Total (kg) N7],0,0,1)*TableauRecette[[#This Row],[fraction mélange]]</f>
        <v/>
      </c>
      <c r="S291">
        <f>_xlfn.XLOOKUP(TableauRecette[[#This Row],[ID]],TableauProduit[ID],TableauProduit[Total (kg) N8],0,0,1)*TableauRecette[[#This Row],[fraction mélange]]</f>
        <v/>
      </c>
      <c r="T291">
        <f>_xlfn.XLOOKUP(TableauRecette[[#This Row],[ID]],TableauProduit[ID],TableauProduit[Total (kg) N9],0,0,1)*TableauRecette[[#This Row],[fraction mélange]]</f>
        <v/>
      </c>
    </row>
    <row r="292">
      <c r="A292" t="inlineStr">
        <is>
          <t>Shichimi togarashi</t>
        </is>
      </c>
      <c r="B292">
        <f>TableauRecette[[#This Row],[Recette]]&amp;TableauRecette[[#This Row],[Conditionnement]]</f>
        <v/>
      </c>
      <c r="C292" t="inlineStr">
        <is>
          <t>Feuille D'Algue Nori Séchée</t>
        </is>
      </c>
      <c r="D292" t="n">
        <v>0</v>
      </c>
      <c r="E292" t="inlineStr">
        <is>
          <t>Epice 100ml</t>
        </is>
      </c>
      <c r="F29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2">
        <f>IFERROR(_xlfn.XLOOKUP(TableauRecette[[#This Row],[Ingredients]],TableauIngredients[Ingredients],TableauIngredients[Prix d''achat / kg],0)*TableauRecette[[#This Row],[fraction mélange]],0)</f>
        <v/>
      </c>
      <c r="H292">
        <f>IFERROR(SUMIFS(TableauRecette[Proportion],TableauRecette[Recette],TableauRecette[[#This Row],[Recette]],TableauRecette[Conditionnement],TableauRecette[[#This Row],[Conditionnement]]),0)</f>
        <v/>
      </c>
      <c r="I292">
        <f>IFERROR(TableauRecette[[#This Row],[Prix d''achat / kg]],0)</f>
        <v/>
      </c>
      <c r="L292">
        <f>_xlfn.XLOOKUP(TableauRecette[[#This Row],[ID]],TableauProduit[ID],TableauProduit[Total (kg) N1],0,0,1)*TableauRecette[[#This Row],[fraction mélange]]</f>
        <v/>
      </c>
      <c r="M292">
        <f>_xlfn.XLOOKUP(TableauRecette[[#This Row],[ID]],TableauProduit[ID],TableauProduit[Total (kg) N2],0,0,1)*TableauRecette[[#This Row],[fraction mélange]]</f>
        <v/>
      </c>
      <c r="N292">
        <f>_xlfn.XLOOKUP(TableauRecette[[#This Row],[ID]],TableauProduit[ID],TableauProduit[Total (kg) N3],0,0,1)*TableauRecette[[#This Row],[fraction mélange]]</f>
        <v/>
      </c>
      <c r="O292">
        <f>_xlfn.XLOOKUP(TableauRecette[[#This Row],[ID]],TableauProduit[ID],TableauProduit[Total (kg) N4],0,0,1)*TableauRecette[[#This Row],[fraction mélange]]</f>
        <v/>
      </c>
      <c r="P292">
        <f>_xlfn.XLOOKUP(TableauRecette[[#This Row],[ID]],TableauProduit[ID],TableauProduit[Total (kg) N5],0,0,1)*TableauRecette[[#This Row],[fraction mélange]]</f>
        <v/>
      </c>
      <c r="Q292">
        <f>_xlfn.XLOOKUP(TableauRecette[[#This Row],[ID]],TableauProduit[ID],TableauProduit[Total (kg) N6],0,0,1)*TableauRecette[[#This Row],[fraction mélange]]</f>
        <v/>
      </c>
      <c r="R292">
        <f>_xlfn.XLOOKUP(TableauRecette[[#This Row],[ID]],TableauProduit[ID],TableauProduit[Total (kg) N7],0,0,1)*TableauRecette[[#This Row],[fraction mélange]]</f>
        <v/>
      </c>
      <c r="S292">
        <f>_xlfn.XLOOKUP(TableauRecette[[#This Row],[ID]],TableauProduit[ID],TableauProduit[Total (kg) N8],0,0,1)*TableauRecette[[#This Row],[fraction mélange]]</f>
        <v/>
      </c>
      <c r="T292">
        <f>_xlfn.XLOOKUP(TableauRecette[[#This Row],[ID]],TableauProduit[ID],TableauProduit[Total (kg) N9],0,0,1)*TableauRecette[[#This Row],[fraction mélange]]</f>
        <v/>
      </c>
    </row>
    <row r="293">
      <c r="A293" t="inlineStr">
        <is>
          <t>Shichimi togarashi</t>
        </is>
      </c>
      <c r="B293">
        <f>TableauRecette[[#This Row],[Recette]]&amp;TableauRecette[[#This Row],[Conditionnement]]</f>
        <v/>
      </c>
      <c r="C293" t="inlineStr">
        <is>
          <t>Piment De Cayenne Jaune</t>
        </is>
      </c>
      <c r="D293" t="n">
        <v>6</v>
      </c>
      <c r="E293" t="inlineStr">
        <is>
          <t>Epice 100ml</t>
        </is>
      </c>
      <c r="F2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3">
        <f>IFERROR(_xlfn.XLOOKUP(TableauRecette[[#This Row],[Ingredients]],TableauIngredients[Ingredients],TableauIngredients[Prix d''achat / kg],0)*TableauRecette[[#This Row],[fraction mélange]],0)</f>
        <v/>
      </c>
      <c r="H293">
        <f>IFERROR(SUMIFS(TableauRecette[Proportion],TableauRecette[Recette],TableauRecette[[#This Row],[Recette]],TableauRecette[Conditionnement],TableauRecette[[#This Row],[Conditionnement]]),0)</f>
        <v/>
      </c>
      <c r="I293">
        <f>IFERROR(TableauRecette[[#This Row],[Prix d''achat / kg]],0)</f>
        <v/>
      </c>
      <c r="L293">
        <f>_xlfn.XLOOKUP(TableauRecette[[#This Row],[ID]],TableauProduit[ID],TableauProduit[Total (kg) N1],0,0,1)*TableauRecette[[#This Row],[fraction mélange]]</f>
        <v/>
      </c>
      <c r="M293">
        <f>_xlfn.XLOOKUP(TableauRecette[[#This Row],[ID]],TableauProduit[ID],TableauProduit[Total (kg) N2],0,0,1)*TableauRecette[[#This Row],[fraction mélange]]</f>
        <v/>
      </c>
      <c r="N293">
        <f>_xlfn.XLOOKUP(TableauRecette[[#This Row],[ID]],TableauProduit[ID],TableauProduit[Total (kg) N3],0,0,1)*TableauRecette[[#This Row],[fraction mélange]]</f>
        <v/>
      </c>
      <c r="O293">
        <f>_xlfn.XLOOKUP(TableauRecette[[#This Row],[ID]],TableauProduit[ID],TableauProduit[Total (kg) N4],0,0,1)*TableauRecette[[#This Row],[fraction mélange]]</f>
        <v/>
      </c>
      <c r="P293">
        <f>_xlfn.XLOOKUP(TableauRecette[[#This Row],[ID]],TableauProduit[ID],TableauProduit[Total (kg) N5],0,0,1)*TableauRecette[[#This Row],[fraction mélange]]</f>
        <v/>
      </c>
      <c r="Q293">
        <f>_xlfn.XLOOKUP(TableauRecette[[#This Row],[ID]],TableauProduit[ID],TableauProduit[Total (kg) N6],0,0,1)*TableauRecette[[#This Row],[fraction mélange]]</f>
        <v/>
      </c>
      <c r="R293">
        <f>_xlfn.XLOOKUP(TableauRecette[[#This Row],[ID]],TableauProduit[ID],TableauProduit[Total (kg) N7],0,0,1)*TableauRecette[[#This Row],[fraction mélange]]</f>
        <v/>
      </c>
      <c r="S293">
        <f>_xlfn.XLOOKUP(TableauRecette[[#This Row],[ID]],TableauProduit[ID],TableauProduit[Total (kg) N8],0,0,1)*TableauRecette[[#This Row],[fraction mélange]]</f>
        <v/>
      </c>
      <c r="T293">
        <f>_xlfn.XLOOKUP(TableauRecette[[#This Row],[ID]],TableauProduit[ID],TableauProduit[Total (kg) N9],0,0,1)*TableauRecette[[#This Row],[fraction mélange]]</f>
        <v/>
      </c>
    </row>
    <row r="294">
      <c r="A294" t="inlineStr">
        <is>
          <t>Shichimi togarashi</t>
        </is>
      </c>
      <c r="B294">
        <f>TableauRecette[[#This Row],[Recette]]&amp;TableauRecette[[#This Row],[Conditionnement]]</f>
        <v/>
      </c>
      <c r="C294" t="inlineStr">
        <is>
          <t>Graines De Pavot</t>
        </is>
      </c>
      <c r="D294" t="n">
        <v>3</v>
      </c>
      <c r="E294" t="inlineStr">
        <is>
          <t>Epice 100ml</t>
        </is>
      </c>
      <c r="F2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4">
        <f>IFERROR(_xlfn.XLOOKUP(TableauRecette[[#This Row],[Ingredients]],TableauIngredients[Ingredients],TableauIngredients[Prix d''achat / kg],0)*TableauRecette[[#This Row],[fraction mélange]],0)</f>
        <v/>
      </c>
      <c r="H294">
        <f>IFERROR(SUMIFS(TableauRecette[Proportion],TableauRecette[Recette],TableauRecette[[#This Row],[Recette]],TableauRecette[Conditionnement],TableauRecette[[#This Row],[Conditionnement]]),0)</f>
        <v/>
      </c>
      <c r="I294">
        <f>IFERROR(TableauRecette[[#This Row],[Prix d''achat / kg]],0)</f>
        <v/>
      </c>
      <c r="L294">
        <f>_xlfn.XLOOKUP(TableauRecette[[#This Row],[ID]],TableauProduit[ID],TableauProduit[Total (kg) N1],0,0,1)*TableauRecette[[#This Row],[fraction mélange]]</f>
        <v/>
      </c>
      <c r="M294">
        <f>_xlfn.XLOOKUP(TableauRecette[[#This Row],[ID]],TableauProduit[ID],TableauProduit[Total (kg) N2],0,0,1)*TableauRecette[[#This Row],[fraction mélange]]</f>
        <v/>
      </c>
      <c r="N294">
        <f>_xlfn.XLOOKUP(TableauRecette[[#This Row],[ID]],TableauProduit[ID],TableauProduit[Total (kg) N3],0,0,1)*TableauRecette[[#This Row],[fraction mélange]]</f>
        <v/>
      </c>
      <c r="O294">
        <f>_xlfn.XLOOKUP(TableauRecette[[#This Row],[ID]],TableauProduit[ID],TableauProduit[Total (kg) N4],0,0,1)*TableauRecette[[#This Row],[fraction mélange]]</f>
        <v/>
      </c>
      <c r="P294">
        <f>_xlfn.XLOOKUP(TableauRecette[[#This Row],[ID]],TableauProduit[ID],TableauProduit[Total (kg) N5],0,0,1)*TableauRecette[[#This Row],[fraction mélange]]</f>
        <v/>
      </c>
      <c r="Q294">
        <f>_xlfn.XLOOKUP(TableauRecette[[#This Row],[ID]],TableauProduit[ID],TableauProduit[Total (kg) N6],0,0,1)*TableauRecette[[#This Row],[fraction mélange]]</f>
        <v/>
      </c>
      <c r="R294">
        <f>_xlfn.XLOOKUP(TableauRecette[[#This Row],[ID]],TableauProduit[ID],TableauProduit[Total (kg) N7],0,0,1)*TableauRecette[[#This Row],[fraction mélange]]</f>
        <v/>
      </c>
      <c r="S294">
        <f>_xlfn.XLOOKUP(TableauRecette[[#This Row],[ID]],TableauProduit[ID],TableauProduit[Total (kg) N8],0,0,1)*TableauRecette[[#This Row],[fraction mélange]]</f>
        <v/>
      </c>
      <c r="T294">
        <f>_xlfn.XLOOKUP(TableauRecette[[#This Row],[ID]],TableauProduit[ID],TableauProduit[Total (kg) N9],0,0,1)*TableauRecette[[#This Row],[fraction mélange]]</f>
        <v/>
      </c>
    </row>
    <row r="295">
      <c r="A295" t="inlineStr">
        <is>
          <t>Shichimi togarashi</t>
        </is>
      </c>
      <c r="B295">
        <f>TableauRecette[[#This Row],[Recette]]&amp;TableauRecette[[#This Row],[Conditionnement]]</f>
        <v/>
      </c>
      <c r="C295" t="inlineStr">
        <is>
          <t>Poivre De Sichuan</t>
        </is>
      </c>
      <c r="D295" t="n">
        <v>1.5</v>
      </c>
      <c r="E295" t="inlineStr">
        <is>
          <t>Epice 100ml</t>
        </is>
      </c>
      <c r="F29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5">
        <f>IFERROR(_xlfn.XLOOKUP(TableauRecette[[#This Row],[Ingredients]],TableauIngredients[Ingredients],TableauIngredients[Prix d''achat / kg],0)*TableauRecette[[#This Row],[fraction mélange]],0)</f>
        <v/>
      </c>
      <c r="H295">
        <f>IFERROR(SUMIFS(TableauRecette[Proportion],TableauRecette[Recette],TableauRecette[[#This Row],[Recette]],TableauRecette[Conditionnement],TableauRecette[[#This Row],[Conditionnement]]),0)</f>
        <v/>
      </c>
      <c r="I295">
        <f>IFERROR(TableauRecette[[#This Row],[Prix d''achat / kg]],0)</f>
        <v/>
      </c>
      <c r="L295">
        <f>_xlfn.XLOOKUP(TableauRecette[[#This Row],[ID]],TableauProduit[ID],TableauProduit[Total (kg) N1],0,0,1)*TableauRecette[[#This Row],[fraction mélange]]</f>
        <v/>
      </c>
      <c r="M295">
        <f>_xlfn.XLOOKUP(TableauRecette[[#This Row],[ID]],TableauProduit[ID],TableauProduit[Total (kg) N2],0,0,1)*TableauRecette[[#This Row],[fraction mélange]]</f>
        <v/>
      </c>
      <c r="N295">
        <f>_xlfn.XLOOKUP(TableauRecette[[#This Row],[ID]],TableauProduit[ID],TableauProduit[Total (kg) N3],0,0,1)*TableauRecette[[#This Row],[fraction mélange]]</f>
        <v/>
      </c>
      <c r="O295">
        <f>_xlfn.XLOOKUP(TableauRecette[[#This Row],[ID]],TableauProduit[ID],TableauProduit[Total (kg) N4],0,0,1)*TableauRecette[[#This Row],[fraction mélange]]</f>
        <v/>
      </c>
      <c r="P295">
        <f>_xlfn.XLOOKUP(TableauRecette[[#This Row],[ID]],TableauProduit[ID],TableauProduit[Total (kg) N5],0,0,1)*TableauRecette[[#This Row],[fraction mélange]]</f>
        <v/>
      </c>
      <c r="Q295">
        <f>_xlfn.XLOOKUP(TableauRecette[[#This Row],[ID]],TableauProduit[ID],TableauProduit[Total (kg) N6],0,0,1)*TableauRecette[[#This Row],[fraction mélange]]</f>
        <v/>
      </c>
      <c r="R295">
        <f>_xlfn.XLOOKUP(TableauRecette[[#This Row],[ID]],TableauProduit[ID],TableauProduit[Total (kg) N7],0,0,1)*TableauRecette[[#This Row],[fraction mélange]]</f>
        <v/>
      </c>
      <c r="S295">
        <f>_xlfn.XLOOKUP(TableauRecette[[#This Row],[ID]],TableauProduit[ID],TableauProduit[Total (kg) N8],0,0,1)*TableauRecette[[#This Row],[fraction mélange]]</f>
        <v/>
      </c>
      <c r="T295">
        <f>_xlfn.XLOOKUP(TableauRecette[[#This Row],[ID]],TableauProduit[ID],TableauProduit[Total (kg) N9],0,0,1)*TableauRecette[[#This Row],[fraction mélange]]</f>
        <v/>
      </c>
    </row>
    <row r="296">
      <c r="A296" t="inlineStr">
        <is>
          <t>Shichimi togarashi</t>
        </is>
      </c>
      <c r="B296">
        <f>TableauRecette[[#This Row],[Recette]]&amp;TableauRecette[[#This Row],[Conditionnement]]</f>
        <v/>
      </c>
      <c r="C296" t="inlineStr">
        <is>
          <t>Poivre De Timut</t>
        </is>
      </c>
      <c r="D296" t="n">
        <v>1.5</v>
      </c>
      <c r="E296" t="inlineStr">
        <is>
          <t>Epice 100ml</t>
        </is>
      </c>
      <c r="F2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6">
        <f>IFERROR(_xlfn.XLOOKUP(TableauRecette[[#This Row],[Ingredients]],TableauIngredients[Ingredients],TableauIngredients[Prix d''achat / kg],0)*TableauRecette[[#This Row],[fraction mélange]],0)</f>
        <v/>
      </c>
      <c r="H296">
        <f>IFERROR(SUMIFS(TableauRecette[Proportion],TableauRecette[Recette],TableauRecette[[#This Row],[Recette]],TableauRecette[Conditionnement],TableauRecette[[#This Row],[Conditionnement]]),0)</f>
        <v/>
      </c>
      <c r="I296">
        <f>IFERROR(TableauRecette[[#This Row],[Prix d''achat / kg]],0)</f>
        <v/>
      </c>
      <c r="L296">
        <f>_xlfn.XLOOKUP(TableauRecette[[#This Row],[ID]],TableauProduit[ID],TableauProduit[Total (kg) N1],0,0,1)*TableauRecette[[#This Row],[fraction mélange]]</f>
        <v/>
      </c>
      <c r="M296">
        <f>_xlfn.XLOOKUP(TableauRecette[[#This Row],[ID]],TableauProduit[ID],TableauProduit[Total (kg) N2],0,0,1)*TableauRecette[[#This Row],[fraction mélange]]</f>
        <v/>
      </c>
      <c r="N296">
        <f>_xlfn.XLOOKUP(TableauRecette[[#This Row],[ID]],TableauProduit[ID],TableauProduit[Total (kg) N3],0,0,1)*TableauRecette[[#This Row],[fraction mélange]]</f>
        <v/>
      </c>
      <c r="O296">
        <f>_xlfn.XLOOKUP(TableauRecette[[#This Row],[ID]],TableauProduit[ID],TableauProduit[Total (kg) N4],0,0,1)*TableauRecette[[#This Row],[fraction mélange]]</f>
        <v/>
      </c>
      <c r="P296">
        <f>_xlfn.XLOOKUP(TableauRecette[[#This Row],[ID]],TableauProduit[ID],TableauProduit[Total (kg) N5],0,0,1)*TableauRecette[[#This Row],[fraction mélange]]</f>
        <v/>
      </c>
      <c r="Q296">
        <f>_xlfn.XLOOKUP(TableauRecette[[#This Row],[ID]],TableauProduit[ID],TableauProduit[Total (kg) N6],0,0,1)*TableauRecette[[#This Row],[fraction mélange]]</f>
        <v/>
      </c>
      <c r="R296">
        <f>_xlfn.XLOOKUP(TableauRecette[[#This Row],[ID]],TableauProduit[ID],TableauProduit[Total (kg) N7],0,0,1)*TableauRecette[[#This Row],[fraction mélange]]</f>
        <v/>
      </c>
      <c r="S296">
        <f>_xlfn.XLOOKUP(TableauRecette[[#This Row],[ID]],TableauProduit[ID],TableauProduit[Total (kg) N8],0,0,1)*TableauRecette[[#This Row],[fraction mélange]]</f>
        <v/>
      </c>
      <c r="T296">
        <f>_xlfn.XLOOKUP(TableauRecette[[#This Row],[ID]],TableauProduit[ID],TableauProduit[Total (kg) N9],0,0,1)*TableauRecette[[#This Row],[fraction mélange]]</f>
        <v/>
      </c>
    </row>
    <row r="297">
      <c r="A297" t="inlineStr">
        <is>
          <t>Shichimi togarashi</t>
        </is>
      </c>
      <c r="B297">
        <f>TableauRecette[[#This Row],[Recette]]&amp;TableauRecette[[#This Row],[Conditionnement]]</f>
        <v/>
      </c>
      <c r="C297" t="inlineStr">
        <is>
          <t>Chenpi (Peau De Mandarine Séchée)</t>
        </is>
      </c>
      <c r="D297" t="n">
        <v>3</v>
      </c>
      <c r="E297" t="inlineStr">
        <is>
          <t>Epice 100ml</t>
        </is>
      </c>
      <c r="F29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7">
        <f>IFERROR(_xlfn.XLOOKUP(TableauRecette[[#This Row],[Ingredients]],TableauIngredients[Ingredients],TableauIngredients[Prix d''achat / kg],0)*TableauRecette[[#This Row],[fraction mélange]],0)</f>
        <v/>
      </c>
      <c r="H297">
        <f>IFERROR(SUMIFS(TableauRecette[Proportion],TableauRecette[Recette],TableauRecette[[#This Row],[Recette]],TableauRecette[Conditionnement],TableauRecette[[#This Row],[Conditionnement]]),0)</f>
        <v/>
      </c>
      <c r="I297">
        <f>IFERROR(TableauRecette[[#This Row],[Prix d''achat / kg]],0)</f>
        <v/>
      </c>
      <c r="L297">
        <f>_xlfn.XLOOKUP(TableauRecette[[#This Row],[ID]],TableauProduit[ID],TableauProduit[Total (kg) N1],0,0,1)*TableauRecette[[#This Row],[fraction mélange]]</f>
        <v/>
      </c>
      <c r="M297">
        <f>_xlfn.XLOOKUP(TableauRecette[[#This Row],[ID]],TableauProduit[ID],TableauProduit[Total (kg) N2],0,0,1)*TableauRecette[[#This Row],[fraction mélange]]</f>
        <v/>
      </c>
      <c r="N297">
        <f>_xlfn.XLOOKUP(TableauRecette[[#This Row],[ID]],TableauProduit[ID],TableauProduit[Total (kg) N3],0,0,1)*TableauRecette[[#This Row],[fraction mélange]]</f>
        <v/>
      </c>
      <c r="O297">
        <f>_xlfn.XLOOKUP(TableauRecette[[#This Row],[ID]],TableauProduit[ID],TableauProduit[Total (kg) N4],0,0,1)*TableauRecette[[#This Row],[fraction mélange]]</f>
        <v/>
      </c>
      <c r="P297">
        <f>_xlfn.XLOOKUP(TableauRecette[[#This Row],[ID]],TableauProduit[ID],TableauProduit[Total (kg) N5],0,0,1)*TableauRecette[[#This Row],[fraction mélange]]</f>
        <v/>
      </c>
      <c r="Q297">
        <f>_xlfn.XLOOKUP(TableauRecette[[#This Row],[ID]],TableauProduit[ID],TableauProduit[Total (kg) N6],0,0,1)*TableauRecette[[#This Row],[fraction mélange]]</f>
        <v/>
      </c>
      <c r="R297">
        <f>_xlfn.XLOOKUP(TableauRecette[[#This Row],[ID]],TableauProduit[ID],TableauProduit[Total (kg) N7],0,0,1)*TableauRecette[[#This Row],[fraction mélange]]</f>
        <v/>
      </c>
      <c r="S297">
        <f>_xlfn.XLOOKUP(TableauRecette[[#This Row],[ID]],TableauProduit[ID],TableauProduit[Total (kg) N8],0,0,1)*TableauRecette[[#This Row],[fraction mélange]]</f>
        <v/>
      </c>
      <c r="T297">
        <f>_xlfn.XLOOKUP(TableauRecette[[#This Row],[ID]],TableauProduit[ID],TableauProduit[Total (kg) N9],0,0,1)*TableauRecette[[#This Row],[fraction mélange]]</f>
        <v/>
      </c>
    </row>
    <row r="298">
      <c r="A298" t="inlineStr">
        <is>
          <t>Shichimi togarashi</t>
        </is>
      </c>
      <c r="B298">
        <f>TableauRecette[[#This Row],[Recette]]&amp;TableauRecette[[#This Row],[Conditionnement]]</f>
        <v/>
      </c>
      <c r="C298" t="inlineStr">
        <is>
          <t>Graines De Sésame</t>
        </is>
      </c>
      <c r="D298" t="n">
        <v>3</v>
      </c>
      <c r="E298" t="inlineStr">
        <is>
          <t>Epice 100ml</t>
        </is>
      </c>
      <c r="F2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8">
        <f>IFERROR(_xlfn.XLOOKUP(TableauRecette[[#This Row],[Ingredients]],TableauIngredients[Ingredients],TableauIngredients[Prix d''achat / kg],0)*TableauRecette[[#This Row],[fraction mélange]],0)</f>
        <v/>
      </c>
      <c r="H298">
        <f>IFERROR(SUMIFS(TableauRecette[Proportion],TableauRecette[Recette],TableauRecette[[#This Row],[Recette]],TableauRecette[Conditionnement],TableauRecette[[#This Row],[Conditionnement]]),0)</f>
        <v/>
      </c>
      <c r="I298">
        <f>IFERROR(TableauRecette[[#This Row],[Prix d''achat / kg]],0)</f>
        <v/>
      </c>
      <c r="L298">
        <f>_xlfn.XLOOKUP(TableauRecette[[#This Row],[ID]],TableauProduit[ID],TableauProduit[Total (kg) N1],0,0,1)*TableauRecette[[#This Row],[fraction mélange]]</f>
        <v/>
      </c>
      <c r="M298">
        <f>_xlfn.XLOOKUP(TableauRecette[[#This Row],[ID]],TableauProduit[ID],TableauProduit[Total (kg) N2],0,0,1)*TableauRecette[[#This Row],[fraction mélange]]</f>
        <v/>
      </c>
      <c r="N298">
        <f>_xlfn.XLOOKUP(TableauRecette[[#This Row],[ID]],TableauProduit[ID],TableauProduit[Total (kg) N3],0,0,1)*TableauRecette[[#This Row],[fraction mélange]]</f>
        <v/>
      </c>
      <c r="O298">
        <f>_xlfn.XLOOKUP(TableauRecette[[#This Row],[ID]],TableauProduit[ID],TableauProduit[Total (kg) N4],0,0,1)*TableauRecette[[#This Row],[fraction mélange]]</f>
        <v/>
      </c>
      <c r="P298">
        <f>_xlfn.XLOOKUP(TableauRecette[[#This Row],[ID]],TableauProduit[ID],TableauProduit[Total (kg) N5],0,0,1)*TableauRecette[[#This Row],[fraction mélange]]</f>
        <v/>
      </c>
      <c r="Q298">
        <f>_xlfn.XLOOKUP(TableauRecette[[#This Row],[ID]],TableauProduit[ID],TableauProduit[Total (kg) N6],0,0,1)*TableauRecette[[#This Row],[fraction mélange]]</f>
        <v/>
      </c>
      <c r="R298">
        <f>_xlfn.XLOOKUP(TableauRecette[[#This Row],[ID]],TableauProduit[ID],TableauProduit[Total (kg) N7],0,0,1)*TableauRecette[[#This Row],[fraction mélange]]</f>
        <v/>
      </c>
      <c r="S298">
        <f>_xlfn.XLOOKUP(TableauRecette[[#This Row],[ID]],TableauProduit[ID],TableauProduit[Total (kg) N8],0,0,1)*TableauRecette[[#This Row],[fraction mélange]]</f>
        <v/>
      </c>
      <c r="T298">
        <f>_xlfn.XLOOKUP(TableauRecette[[#This Row],[ID]],TableauProduit[ID],TableauProduit[Total (kg) N9],0,0,1)*TableauRecette[[#This Row],[fraction mélange]]</f>
        <v/>
      </c>
    </row>
    <row r="299">
      <c r="A299" t="inlineStr">
        <is>
          <t>Shichimi togarashi</t>
        </is>
      </c>
      <c r="B299">
        <f>TableauRecette[[#This Row],[Recette]]&amp;TableauRecette[[#This Row],[Conditionnement]]</f>
        <v/>
      </c>
      <c r="C299" t="inlineStr">
        <is>
          <t>Gingembre Sec</t>
        </is>
      </c>
      <c r="D299" t="n">
        <v>2</v>
      </c>
      <c r="E299" t="inlineStr">
        <is>
          <t>Epice 100ml</t>
        </is>
      </c>
      <c r="F29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9">
        <f>IFERROR(_xlfn.XLOOKUP(TableauRecette[[#This Row],[Ingredients]],TableauIngredients[Ingredients],TableauIngredients[Prix d''achat / kg],0)*TableauRecette[[#This Row],[fraction mélange]],0)</f>
        <v/>
      </c>
      <c r="H299">
        <f>IFERROR(SUMIFS(TableauRecette[Proportion],TableauRecette[Recette],TableauRecette[[#This Row],[Recette]],TableauRecette[Conditionnement],TableauRecette[[#This Row],[Conditionnement]]),0)</f>
        <v/>
      </c>
      <c r="I299">
        <f>IFERROR(TableauRecette[[#This Row],[Prix d''achat / kg]],0)</f>
        <v/>
      </c>
      <c r="K299" t="inlineStr">
        <is>
          <t>SEC</t>
        </is>
      </c>
      <c r="L299">
        <f>_xlfn.XLOOKUP(TableauRecette[[#This Row],[ID]],TableauProduit[ID],TableauProduit[Total (kg) N1],0,0,1)*TableauRecette[[#This Row],[fraction mélange]]</f>
        <v/>
      </c>
      <c r="M299">
        <f>_xlfn.XLOOKUP(TableauRecette[[#This Row],[ID]],TableauProduit[ID],TableauProduit[Total (kg) N2],0,0,1)*TableauRecette[[#This Row],[fraction mélange]]</f>
        <v/>
      </c>
      <c r="N299">
        <f>_xlfn.XLOOKUP(TableauRecette[[#This Row],[ID]],TableauProduit[ID],TableauProduit[Total (kg) N3],0,0,1)*TableauRecette[[#This Row],[fraction mélange]]</f>
        <v/>
      </c>
      <c r="O299">
        <f>_xlfn.XLOOKUP(TableauRecette[[#This Row],[ID]],TableauProduit[ID],TableauProduit[Total (kg) N4],0,0,1)*TableauRecette[[#This Row],[fraction mélange]]</f>
        <v/>
      </c>
      <c r="P299">
        <f>_xlfn.XLOOKUP(TableauRecette[[#This Row],[ID]],TableauProduit[ID],TableauProduit[Total (kg) N5],0,0,1)*TableauRecette[[#This Row],[fraction mélange]]</f>
        <v/>
      </c>
      <c r="Q299">
        <f>_xlfn.XLOOKUP(TableauRecette[[#This Row],[ID]],TableauProduit[ID],TableauProduit[Total (kg) N6],0,0,1)*TableauRecette[[#This Row],[fraction mélange]]</f>
        <v/>
      </c>
      <c r="R299">
        <f>_xlfn.XLOOKUP(TableauRecette[[#This Row],[ID]],TableauProduit[ID],TableauProduit[Total (kg) N7],0,0,1)*TableauRecette[[#This Row],[fraction mélange]]</f>
        <v/>
      </c>
      <c r="S299">
        <f>_xlfn.XLOOKUP(TableauRecette[[#This Row],[ID]],TableauProduit[ID],TableauProduit[Total (kg) N8],0,0,1)*TableauRecette[[#This Row],[fraction mélange]]</f>
        <v/>
      </c>
      <c r="T299">
        <f>_xlfn.XLOOKUP(TableauRecette[[#This Row],[ID]],TableauProduit[ID],TableauProduit[Total (kg) N9],0,0,1)*TableauRecette[[#This Row],[fraction mélange]]</f>
        <v/>
      </c>
    </row>
    <row r="300">
      <c r="A300" t="inlineStr">
        <is>
          <t>Sirop aux fleurs</t>
        </is>
      </c>
      <c r="B300">
        <f>TableauRecette[[#This Row],[Recette]]&amp;TableauRecette[[#This Row],[Conditionnement]]</f>
        <v/>
      </c>
      <c r="C300" t="inlineStr">
        <is>
          <t>Sucre Blanc</t>
        </is>
      </c>
      <c r="D300" t="n">
        <v>610.5</v>
      </c>
      <c r="E300" t="inlineStr">
        <is>
          <t>Sirop 500 ml</t>
        </is>
      </c>
      <c r="F30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0">
        <f>IFERROR(_xlfn.XLOOKUP(TableauRecette[[#This Row],[Ingredients]],TableauIngredients[Ingredients],TableauIngredients[Prix d''achat / kg],0)*TableauRecette[[#This Row],[fraction mélange]],0)</f>
        <v/>
      </c>
      <c r="H300">
        <f>IFERROR(SUMIFS(TableauRecette[Proportion],TableauRecette[Recette],TableauRecette[[#This Row],[Recette]],TableauRecette[Conditionnement],TableauRecette[[#This Row],[Conditionnement]]),0)</f>
        <v/>
      </c>
      <c r="I300">
        <f>IFERROR(TableauRecette[[#This Row],[Prix d''achat / kg]],0)</f>
        <v/>
      </c>
      <c r="L300">
        <f>_xlfn.XLOOKUP(TableauRecette[[#This Row],[ID]],TableauProduit[ID],TableauProduit[Total (kg) N1],0,0,1)*TableauRecette[[#This Row],[fraction mélange]]</f>
        <v/>
      </c>
      <c r="M300">
        <f>_xlfn.XLOOKUP(TableauRecette[[#This Row],[ID]],TableauProduit[ID],TableauProduit[Total (kg) N2],0,0,1)*TableauRecette[[#This Row],[fraction mélange]]</f>
        <v/>
      </c>
      <c r="N300">
        <f>_xlfn.XLOOKUP(TableauRecette[[#This Row],[ID]],TableauProduit[ID],TableauProduit[Total (kg) N3],0,0,1)*TableauRecette[[#This Row],[fraction mélange]]</f>
        <v/>
      </c>
      <c r="O300">
        <f>_xlfn.XLOOKUP(TableauRecette[[#This Row],[ID]],TableauProduit[ID],TableauProduit[Total (kg) N4],0,0,1)*TableauRecette[[#This Row],[fraction mélange]]</f>
        <v/>
      </c>
      <c r="P300">
        <f>_xlfn.XLOOKUP(TableauRecette[[#This Row],[ID]],TableauProduit[ID],TableauProduit[Total (kg) N5],0,0,1)*TableauRecette[[#This Row],[fraction mélange]]</f>
        <v/>
      </c>
      <c r="Q300">
        <f>_xlfn.XLOOKUP(TableauRecette[[#This Row],[ID]],TableauProduit[ID],TableauProduit[Total (kg) N6],0,0,1)*TableauRecette[[#This Row],[fraction mélange]]</f>
        <v/>
      </c>
      <c r="R300">
        <f>_xlfn.XLOOKUP(TableauRecette[[#This Row],[ID]],TableauProduit[ID],TableauProduit[Total (kg) N7],0,0,1)*TableauRecette[[#This Row],[fraction mélange]]</f>
        <v/>
      </c>
      <c r="S300">
        <f>_xlfn.XLOOKUP(TableauRecette[[#This Row],[ID]],TableauProduit[ID],TableauProduit[Total (kg) N8],0,0,1)*TableauRecette[[#This Row],[fraction mélange]]</f>
        <v/>
      </c>
      <c r="T300">
        <f>_xlfn.XLOOKUP(TableauRecette[[#This Row],[ID]],TableauProduit[ID],TableauProduit[Total (kg) N9],0,0,1)*TableauRecette[[#This Row],[fraction mélange]]</f>
        <v/>
      </c>
    </row>
    <row r="301">
      <c r="A301" t="inlineStr">
        <is>
          <t>Sirop aux fleurs</t>
        </is>
      </c>
      <c r="B301">
        <f>TableauRecette[[#This Row],[Recette]]&amp;TableauRecette[[#This Row],[Conditionnement]]</f>
        <v/>
      </c>
      <c r="C301" t="inlineStr">
        <is>
          <t>Eau</t>
        </is>
      </c>
      <c r="D301" t="n">
        <v>1000</v>
      </c>
      <c r="E301" t="inlineStr">
        <is>
          <t>Sirop 500 ml</t>
        </is>
      </c>
      <c r="F30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1">
        <f>IFERROR(_xlfn.XLOOKUP(TableauRecette[[#This Row],[Ingredients]],TableauIngredients[Ingredients],TableauIngredients[Prix d''achat / kg],0)*TableauRecette[[#This Row],[fraction mélange]],0)</f>
        <v/>
      </c>
      <c r="H301">
        <f>IFERROR(SUMIFS(TableauRecette[Proportion],TableauRecette[Recette],TableauRecette[[#This Row],[Recette]],TableauRecette[Conditionnement],TableauRecette[[#This Row],[Conditionnement]]),0)</f>
        <v/>
      </c>
      <c r="I301">
        <f>IFERROR(TableauRecette[[#This Row],[Prix d''achat / kg]],0)</f>
        <v/>
      </c>
      <c r="L301">
        <f>_xlfn.XLOOKUP(TableauRecette[[#This Row],[ID]],TableauProduit[ID],TableauProduit[Total (kg) N1],0,0,1)*TableauRecette[[#This Row],[fraction mélange]]</f>
        <v/>
      </c>
      <c r="M301">
        <f>_xlfn.XLOOKUP(TableauRecette[[#This Row],[ID]],TableauProduit[ID],TableauProduit[Total (kg) N2],0,0,1)*TableauRecette[[#This Row],[fraction mélange]]</f>
        <v/>
      </c>
      <c r="N301">
        <f>_xlfn.XLOOKUP(TableauRecette[[#This Row],[ID]],TableauProduit[ID],TableauProduit[Total (kg) N3],0,0,1)*TableauRecette[[#This Row],[fraction mélange]]</f>
        <v/>
      </c>
      <c r="O301">
        <f>_xlfn.XLOOKUP(TableauRecette[[#This Row],[ID]],TableauProduit[ID],TableauProduit[Total (kg) N4],0,0,1)*TableauRecette[[#This Row],[fraction mélange]]</f>
        <v/>
      </c>
      <c r="P301">
        <f>_xlfn.XLOOKUP(TableauRecette[[#This Row],[ID]],TableauProduit[ID],TableauProduit[Total (kg) N5],0,0,1)*TableauRecette[[#This Row],[fraction mélange]]</f>
        <v/>
      </c>
      <c r="Q301">
        <f>_xlfn.XLOOKUP(TableauRecette[[#This Row],[ID]],TableauProduit[ID],TableauProduit[Total (kg) N6],0,0,1)*TableauRecette[[#This Row],[fraction mélange]]</f>
        <v/>
      </c>
      <c r="R301">
        <f>_xlfn.XLOOKUP(TableauRecette[[#This Row],[ID]],TableauProduit[ID],TableauProduit[Total (kg) N7],0,0,1)*TableauRecette[[#This Row],[fraction mélange]]</f>
        <v/>
      </c>
      <c r="S301">
        <f>_xlfn.XLOOKUP(TableauRecette[[#This Row],[ID]],TableauProduit[ID],TableauProduit[Total (kg) N8],0,0,1)*TableauRecette[[#This Row],[fraction mélange]]</f>
        <v/>
      </c>
      <c r="T301">
        <f>_xlfn.XLOOKUP(TableauRecette[[#This Row],[ID]],TableauProduit[ID],TableauProduit[Total (kg) N9],0,0,1)*TableauRecette[[#This Row],[fraction mélange]]</f>
        <v/>
      </c>
    </row>
    <row r="302">
      <c r="A302" t="inlineStr">
        <is>
          <t>Sirop aux fleurs</t>
        </is>
      </c>
      <c r="B302">
        <f>TableauRecette[[#This Row],[Recette]]&amp;TableauRecette[[#This Row],[Conditionnement]]</f>
        <v/>
      </c>
      <c r="C302" t="inlineStr">
        <is>
          <t>Monarde SEC</t>
        </is>
      </c>
      <c r="D302" t="n">
        <v>40</v>
      </c>
      <c r="E302" t="inlineStr">
        <is>
          <t>Sirop 500 ml</t>
        </is>
      </c>
      <c r="F3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2">
        <f>IFERROR(_xlfn.XLOOKUP(TableauRecette[[#This Row],[Ingredients]],TableauIngredients[Ingredients],TableauIngredients[Prix d''achat / kg],0)*TableauRecette[[#This Row],[fraction mélange]],0)</f>
        <v/>
      </c>
      <c r="H302">
        <f>IFERROR(SUMIFS(TableauRecette[Proportion],TableauRecette[Recette],TableauRecette[[#This Row],[Recette]],TableauRecette[Conditionnement],TableauRecette[[#This Row],[Conditionnement]]),0)</f>
        <v/>
      </c>
      <c r="I302">
        <f>IFERROR(TableauRecette[[#This Row],[Prix d''achat / kg]],0)</f>
        <v/>
      </c>
      <c r="K302" t="inlineStr">
        <is>
          <t>SEC</t>
        </is>
      </c>
      <c r="L302">
        <f>_xlfn.XLOOKUP(TableauRecette[[#This Row],[ID]],TableauProduit[ID],TableauProduit[Total (kg) N1],0,0,1)*TableauRecette[[#This Row],[fraction mélange]]</f>
        <v/>
      </c>
      <c r="M302">
        <f>_xlfn.XLOOKUP(TableauRecette[[#This Row],[ID]],TableauProduit[ID],TableauProduit[Total (kg) N2],0,0,1)*TableauRecette[[#This Row],[fraction mélange]]</f>
        <v/>
      </c>
      <c r="N302">
        <f>_xlfn.XLOOKUP(TableauRecette[[#This Row],[ID]],TableauProduit[ID],TableauProduit[Total (kg) N3],0,0,1)*TableauRecette[[#This Row],[fraction mélange]]</f>
        <v/>
      </c>
      <c r="O302">
        <f>_xlfn.XLOOKUP(TableauRecette[[#This Row],[ID]],TableauProduit[ID],TableauProduit[Total (kg) N4],0,0,1)*TableauRecette[[#This Row],[fraction mélange]]</f>
        <v/>
      </c>
      <c r="P302">
        <f>_xlfn.XLOOKUP(TableauRecette[[#This Row],[ID]],TableauProduit[ID],TableauProduit[Total (kg) N5],0,0,1)*TableauRecette[[#This Row],[fraction mélange]]</f>
        <v/>
      </c>
      <c r="Q302">
        <f>_xlfn.XLOOKUP(TableauRecette[[#This Row],[ID]],TableauProduit[ID],TableauProduit[Total (kg) N6],0,0,1)*TableauRecette[[#This Row],[fraction mélange]]</f>
        <v/>
      </c>
      <c r="R302">
        <f>_xlfn.XLOOKUP(TableauRecette[[#This Row],[ID]],TableauProduit[ID],TableauProduit[Total (kg) N7],0,0,1)*TableauRecette[[#This Row],[fraction mélange]]</f>
        <v/>
      </c>
      <c r="S302">
        <f>_xlfn.XLOOKUP(TableauRecette[[#This Row],[ID]],TableauProduit[ID],TableauProduit[Total (kg) N8],0,0,1)*TableauRecette[[#This Row],[fraction mélange]]</f>
        <v/>
      </c>
      <c r="T302">
        <f>_xlfn.XLOOKUP(TableauRecette[[#This Row],[ID]],TableauProduit[ID],TableauProduit[Total (kg) N9],0,0,1)*TableauRecette[[#This Row],[fraction mélange]]</f>
        <v/>
      </c>
    </row>
    <row r="303">
      <c r="A303" t="inlineStr">
        <is>
          <t>Sirop aux fleurs</t>
        </is>
      </c>
      <c r="B303">
        <f>TableauRecette[[#This Row],[Recette]]&amp;TableauRecette[[#This Row],[Conditionnement]]</f>
        <v/>
      </c>
      <c r="C303" t="inlineStr">
        <is>
          <t>Mauve SEC</t>
        </is>
      </c>
      <c r="D303" t="n">
        <v>40</v>
      </c>
      <c r="E303" t="inlineStr">
        <is>
          <t>Sirop 500 ml</t>
        </is>
      </c>
      <c r="F30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3">
        <f>IFERROR(_xlfn.XLOOKUP(TableauRecette[[#This Row],[Ingredients]],TableauIngredients[Ingredients],TableauIngredients[Prix d''achat / kg],0)*TableauRecette[[#This Row],[fraction mélange]],0)</f>
        <v/>
      </c>
      <c r="H303">
        <f>IFERROR(SUMIFS(TableauRecette[Proportion],TableauRecette[Recette],TableauRecette[[#This Row],[Recette]],TableauRecette[Conditionnement],TableauRecette[[#This Row],[Conditionnement]]),0)</f>
        <v/>
      </c>
      <c r="I303">
        <f>IFERROR(TableauRecette[[#This Row],[Prix d''achat / kg]],0)</f>
        <v/>
      </c>
      <c r="K303" t="inlineStr">
        <is>
          <t>SEC</t>
        </is>
      </c>
      <c r="L303">
        <f>_xlfn.XLOOKUP(TableauRecette[[#This Row],[ID]],TableauProduit[ID],TableauProduit[Total (kg) N1],0,0,1)*TableauRecette[[#This Row],[fraction mélange]]</f>
        <v/>
      </c>
      <c r="M303">
        <f>_xlfn.XLOOKUP(TableauRecette[[#This Row],[ID]],TableauProduit[ID],TableauProduit[Total (kg) N2],0,0,1)*TableauRecette[[#This Row],[fraction mélange]]</f>
        <v/>
      </c>
      <c r="N303">
        <f>_xlfn.XLOOKUP(TableauRecette[[#This Row],[ID]],TableauProduit[ID],TableauProduit[Total (kg) N3],0,0,1)*TableauRecette[[#This Row],[fraction mélange]]</f>
        <v/>
      </c>
      <c r="O303">
        <f>_xlfn.XLOOKUP(TableauRecette[[#This Row],[ID]],TableauProduit[ID],TableauProduit[Total (kg) N4],0,0,1)*TableauRecette[[#This Row],[fraction mélange]]</f>
        <v/>
      </c>
      <c r="P303">
        <f>_xlfn.XLOOKUP(TableauRecette[[#This Row],[ID]],TableauProduit[ID],TableauProduit[Total (kg) N5],0,0,1)*TableauRecette[[#This Row],[fraction mélange]]</f>
        <v/>
      </c>
      <c r="Q303">
        <f>_xlfn.XLOOKUP(TableauRecette[[#This Row],[ID]],TableauProduit[ID],TableauProduit[Total (kg) N6],0,0,1)*TableauRecette[[#This Row],[fraction mélange]]</f>
        <v/>
      </c>
      <c r="R303">
        <f>_xlfn.XLOOKUP(TableauRecette[[#This Row],[ID]],TableauProduit[ID],TableauProduit[Total (kg) N7],0,0,1)*TableauRecette[[#This Row],[fraction mélange]]</f>
        <v/>
      </c>
      <c r="S303">
        <f>_xlfn.XLOOKUP(TableauRecette[[#This Row],[ID]],TableauProduit[ID],TableauProduit[Total (kg) N8],0,0,1)*TableauRecette[[#This Row],[fraction mélange]]</f>
        <v/>
      </c>
      <c r="T303">
        <f>_xlfn.XLOOKUP(TableauRecette[[#This Row],[ID]],TableauProduit[ID],TableauProduit[Total (kg) N9],0,0,1)*TableauRecette[[#This Row],[fraction mélange]]</f>
        <v/>
      </c>
    </row>
    <row r="304">
      <c r="A304" t="inlineStr">
        <is>
          <t>Sirop aux fleurs</t>
        </is>
      </c>
      <c r="B304">
        <f>TableauRecette[[#This Row],[Recette]]&amp;TableauRecette[[#This Row],[Conditionnement]]</f>
        <v/>
      </c>
      <c r="C304" t="inlineStr">
        <is>
          <t>Pelargonium (Géranium)</t>
        </is>
      </c>
      <c r="D304" t="n">
        <v>20</v>
      </c>
      <c r="E304" t="inlineStr">
        <is>
          <t>Sirop 500 ml</t>
        </is>
      </c>
      <c r="F30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4">
        <f>IFERROR(_xlfn.XLOOKUP(TableauRecette[[#This Row],[Ingredients]],TableauIngredients[Ingredients],TableauIngredients[Prix d''achat / kg],0)*TableauRecette[[#This Row],[fraction mélange]],0)</f>
        <v/>
      </c>
      <c r="H304">
        <f>IFERROR(SUMIFS(TableauRecette[Proportion],TableauRecette[Recette],TableauRecette[[#This Row],[Recette]],TableauRecette[Conditionnement],TableauRecette[[#This Row],[Conditionnement]]),0)</f>
        <v/>
      </c>
      <c r="I304">
        <f>IFERROR(TableauRecette[[#This Row],[Prix d''achat / kg]],0)</f>
        <v/>
      </c>
      <c r="L304">
        <f>_xlfn.XLOOKUP(TableauRecette[[#This Row],[ID]],TableauProduit[ID],TableauProduit[Total (kg) N1],0,0,1)*TableauRecette[[#This Row],[fraction mélange]]</f>
        <v/>
      </c>
      <c r="M304">
        <f>_xlfn.XLOOKUP(TableauRecette[[#This Row],[ID]],TableauProduit[ID],TableauProduit[Total (kg) N2],0,0,1)*TableauRecette[[#This Row],[fraction mélange]]</f>
        <v/>
      </c>
      <c r="N304">
        <f>_xlfn.XLOOKUP(TableauRecette[[#This Row],[ID]],TableauProduit[ID],TableauProduit[Total (kg) N3],0,0,1)*TableauRecette[[#This Row],[fraction mélange]]</f>
        <v/>
      </c>
      <c r="O304">
        <f>_xlfn.XLOOKUP(TableauRecette[[#This Row],[ID]],TableauProduit[ID],TableauProduit[Total (kg) N4],0,0,1)*TableauRecette[[#This Row],[fraction mélange]]</f>
        <v/>
      </c>
      <c r="P304">
        <f>_xlfn.XLOOKUP(TableauRecette[[#This Row],[ID]],TableauProduit[ID],TableauProduit[Total (kg) N5],0,0,1)*TableauRecette[[#This Row],[fraction mélange]]</f>
        <v/>
      </c>
      <c r="Q304">
        <f>_xlfn.XLOOKUP(TableauRecette[[#This Row],[ID]],TableauProduit[ID],TableauProduit[Total (kg) N6],0,0,1)*TableauRecette[[#This Row],[fraction mélange]]</f>
        <v/>
      </c>
      <c r="R304">
        <f>_xlfn.XLOOKUP(TableauRecette[[#This Row],[ID]],TableauProduit[ID],TableauProduit[Total (kg) N7],0,0,1)*TableauRecette[[#This Row],[fraction mélange]]</f>
        <v/>
      </c>
      <c r="S304">
        <f>_xlfn.XLOOKUP(TableauRecette[[#This Row],[ID]],TableauProduit[ID],TableauProduit[Total (kg) N8],0,0,1)*TableauRecette[[#This Row],[fraction mélange]]</f>
        <v/>
      </c>
      <c r="T304">
        <f>_xlfn.XLOOKUP(TableauRecette[[#This Row],[ID]],TableauProduit[ID],TableauProduit[Total (kg) N9],0,0,1)*TableauRecette[[#This Row],[fraction mélange]]</f>
        <v/>
      </c>
    </row>
    <row r="305">
      <c r="A305" t="inlineStr">
        <is>
          <t>Sirop de basilic</t>
        </is>
      </c>
      <c r="B305">
        <f>TableauRecette[[#This Row],[Recette]]&amp;TableauRecette[[#This Row],[Conditionnement]]</f>
        <v/>
      </c>
      <c r="C305" t="inlineStr">
        <is>
          <t>Sucre Blanc</t>
        </is>
      </c>
      <c r="D305" t="n">
        <v>616</v>
      </c>
      <c r="E305" t="inlineStr">
        <is>
          <t>Sirop 500 ml</t>
        </is>
      </c>
      <c r="F30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5">
        <f>IFERROR(_xlfn.XLOOKUP(TableauRecette[[#This Row],[Ingredients]],TableauIngredients[Ingredients],TableauIngredients[Prix d''achat / kg],0)*TableauRecette[[#This Row],[fraction mélange]],0)</f>
        <v/>
      </c>
      <c r="H305">
        <f>IFERROR(SUMIFS(TableauRecette[Proportion],TableauRecette[Recette],TableauRecette[[#This Row],[Recette]],TableauRecette[Conditionnement],TableauRecette[[#This Row],[Conditionnement]]),0)</f>
        <v/>
      </c>
      <c r="I305">
        <f>IFERROR(TableauRecette[[#This Row],[Prix d''achat / kg]],0)</f>
        <v/>
      </c>
      <c r="L305">
        <f>_xlfn.XLOOKUP(TableauRecette[[#This Row],[ID]],TableauProduit[ID],TableauProduit[Total (kg) N1],0,0,1)*TableauRecette[[#This Row],[fraction mélange]]</f>
        <v/>
      </c>
      <c r="M305">
        <f>_xlfn.XLOOKUP(TableauRecette[[#This Row],[ID]],TableauProduit[ID],TableauProduit[Total (kg) N2],0,0,1)*TableauRecette[[#This Row],[fraction mélange]]</f>
        <v/>
      </c>
      <c r="N305">
        <f>_xlfn.XLOOKUP(TableauRecette[[#This Row],[ID]],TableauProduit[ID],TableauProduit[Total (kg) N3],0,0,1)*TableauRecette[[#This Row],[fraction mélange]]</f>
        <v/>
      </c>
      <c r="O305">
        <f>_xlfn.XLOOKUP(TableauRecette[[#This Row],[ID]],TableauProduit[ID],TableauProduit[Total (kg) N4],0,0,1)*TableauRecette[[#This Row],[fraction mélange]]</f>
        <v/>
      </c>
      <c r="P305">
        <f>_xlfn.XLOOKUP(TableauRecette[[#This Row],[ID]],TableauProduit[ID],TableauProduit[Total (kg) N5],0,0,1)*TableauRecette[[#This Row],[fraction mélange]]</f>
        <v/>
      </c>
      <c r="Q305">
        <f>_xlfn.XLOOKUP(TableauRecette[[#This Row],[ID]],TableauProduit[ID],TableauProduit[Total (kg) N6],0,0,1)*TableauRecette[[#This Row],[fraction mélange]]</f>
        <v/>
      </c>
      <c r="R305">
        <f>_xlfn.XLOOKUP(TableauRecette[[#This Row],[ID]],TableauProduit[ID],TableauProduit[Total (kg) N7],0,0,1)*TableauRecette[[#This Row],[fraction mélange]]</f>
        <v/>
      </c>
      <c r="S305">
        <f>_xlfn.XLOOKUP(TableauRecette[[#This Row],[ID]],TableauProduit[ID],TableauProduit[Total (kg) N8],0,0,1)*TableauRecette[[#This Row],[fraction mélange]]</f>
        <v/>
      </c>
      <c r="T305">
        <f>_xlfn.XLOOKUP(TableauRecette[[#This Row],[ID]],TableauProduit[ID],TableauProduit[Total (kg) N9],0,0,1)*TableauRecette[[#This Row],[fraction mélange]]</f>
        <v/>
      </c>
    </row>
    <row r="306">
      <c r="A306" t="inlineStr">
        <is>
          <t>Sirop de basilic</t>
        </is>
      </c>
      <c r="B306">
        <f>TableauRecette[[#This Row],[Recette]]&amp;TableauRecette[[#This Row],[Conditionnement]]</f>
        <v/>
      </c>
      <c r="C306" t="inlineStr">
        <is>
          <t>Basilic Thaï</t>
        </is>
      </c>
      <c r="D306" t="n">
        <v>100</v>
      </c>
      <c r="E306" t="inlineStr">
        <is>
          <t>Sirop 500 ml</t>
        </is>
      </c>
      <c r="F30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6">
        <f>IFERROR(_xlfn.XLOOKUP(TableauRecette[[#This Row],[Ingredients]],TableauIngredients[Ingredients],TableauIngredients[Prix d''achat / kg],0)*TableauRecette[[#This Row],[fraction mélange]],0)</f>
        <v/>
      </c>
      <c r="H306">
        <f>IFERROR(SUMIFS(TableauRecette[Proportion],TableauRecette[Recette],TableauRecette[[#This Row],[Recette]],TableauRecette[Conditionnement],TableauRecette[[#This Row],[Conditionnement]]),0)</f>
        <v/>
      </c>
      <c r="I306">
        <f>IFERROR(TableauRecette[[#This Row],[Prix d''achat / kg]],0)</f>
        <v/>
      </c>
      <c r="L306">
        <f>_xlfn.XLOOKUP(TableauRecette[[#This Row],[ID]],TableauProduit[ID],TableauProduit[Total (kg) N1],0,0,1)*TableauRecette[[#This Row],[fraction mélange]]</f>
        <v/>
      </c>
      <c r="M306">
        <f>_xlfn.XLOOKUP(TableauRecette[[#This Row],[ID]],TableauProduit[ID],TableauProduit[Total (kg) N2],0,0,1)*TableauRecette[[#This Row],[fraction mélange]]</f>
        <v/>
      </c>
      <c r="N306">
        <f>_xlfn.XLOOKUP(TableauRecette[[#This Row],[ID]],TableauProduit[ID],TableauProduit[Total (kg) N3],0,0,1)*TableauRecette[[#This Row],[fraction mélange]]</f>
        <v/>
      </c>
      <c r="O306">
        <f>_xlfn.XLOOKUP(TableauRecette[[#This Row],[ID]],TableauProduit[ID],TableauProduit[Total (kg) N4],0,0,1)*TableauRecette[[#This Row],[fraction mélange]]</f>
        <v/>
      </c>
      <c r="P306">
        <f>_xlfn.XLOOKUP(TableauRecette[[#This Row],[ID]],TableauProduit[ID],TableauProduit[Total (kg) N5],0,0,1)*TableauRecette[[#This Row],[fraction mélange]]</f>
        <v/>
      </c>
      <c r="Q306">
        <f>_xlfn.XLOOKUP(TableauRecette[[#This Row],[ID]],TableauProduit[ID],TableauProduit[Total (kg) N6],0,0,1)*TableauRecette[[#This Row],[fraction mélange]]</f>
        <v/>
      </c>
      <c r="R306">
        <f>_xlfn.XLOOKUP(TableauRecette[[#This Row],[ID]],TableauProduit[ID],TableauProduit[Total (kg) N7],0,0,1)*TableauRecette[[#This Row],[fraction mélange]]</f>
        <v/>
      </c>
      <c r="S306">
        <f>_xlfn.XLOOKUP(TableauRecette[[#This Row],[ID]],TableauProduit[ID],TableauProduit[Total (kg) N8],0,0,1)*TableauRecette[[#This Row],[fraction mélange]]</f>
        <v/>
      </c>
      <c r="T306">
        <f>_xlfn.XLOOKUP(TableauRecette[[#This Row],[ID]],TableauProduit[ID],TableauProduit[Total (kg) N9],0,0,1)*TableauRecette[[#This Row],[fraction mélange]]</f>
        <v/>
      </c>
    </row>
    <row r="307">
      <c r="A307" t="inlineStr">
        <is>
          <t>Sirop de basilic</t>
        </is>
      </c>
      <c r="B307">
        <f>TableauRecette[[#This Row],[Recette]]&amp;TableauRecette[[#This Row],[Conditionnement]]</f>
        <v/>
      </c>
      <c r="C307" t="inlineStr">
        <is>
          <t>Eau</t>
        </is>
      </c>
      <c r="D307" t="n">
        <v>1000</v>
      </c>
      <c r="E307" t="inlineStr">
        <is>
          <t>Sirop 500 ml</t>
        </is>
      </c>
      <c r="F30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7">
        <f>IFERROR(_xlfn.XLOOKUP(TableauRecette[[#This Row],[Ingredients]],TableauIngredients[Ingredients],TableauIngredients[Prix d''achat / kg],0)*TableauRecette[[#This Row],[fraction mélange]],0)</f>
        <v/>
      </c>
      <c r="H307">
        <f>IFERROR(SUMIFS(TableauRecette[Proportion],TableauRecette[Recette],TableauRecette[[#This Row],[Recette]],TableauRecette[Conditionnement],TableauRecette[[#This Row],[Conditionnement]]),0)</f>
        <v/>
      </c>
      <c r="I307">
        <f>IFERROR(TableauRecette[[#This Row],[Prix d''achat / kg]],0)</f>
        <v/>
      </c>
      <c r="L307">
        <f>_xlfn.XLOOKUP(TableauRecette[[#This Row],[ID]],TableauProduit[ID],TableauProduit[Total (kg) N1],0,0,1)*TableauRecette[[#This Row],[fraction mélange]]</f>
        <v/>
      </c>
      <c r="M307">
        <f>_xlfn.XLOOKUP(TableauRecette[[#This Row],[ID]],TableauProduit[ID],TableauProduit[Total (kg) N2],0,0,1)*TableauRecette[[#This Row],[fraction mélange]]</f>
        <v/>
      </c>
      <c r="N307">
        <f>_xlfn.XLOOKUP(TableauRecette[[#This Row],[ID]],TableauProduit[ID],TableauProduit[Total (kg) N3],0,0,1)*TableauRecette[[#This Row],[fraction mélange]]</f>
        <v/>
      </c>
      <c r="O307">
        <f>_xlfn.XLOOKUP(TableauRecette[[#This Row],[ID]],TableauProduit[ID],TableauProduit[Total (kg) N4],0,0,1)*TableauRecette[[#This Row],[fraction mélange]]</f>
        <v/>
      </c>
      <c r="P307">
        <f>_xlfn.XLOOKUP(TableauRecette[[#This Row],[ID]],TableauProduit[ID],TableauProduit[Total (kg) N5],0,0,1)*TableauRecette[[#This Row],[fraction mélange]]</f>
        <v/>
      </c>
      <c r="Q307">
        <f>_xlfn.XLOOKUP(TableauRecette[[#This Row],[ID]],TableauProduit[ID],TableauProduit[Total (kg) N6],0,0,1)*TableauRecette[[#This Row],[fraction mélange]]</f>
        <v/>
      </c>
      <c r="R307">
        <f>_xlfn.XLOOKUP(TableauRecette[[#This Row],[ID]],TableauProduit[ID],TableauProduit[Total (kg) N7],0,0,1)*TableauRecette[[#This Row],[fraction mélange]]</f>
        <v/>
      </c>
      <c r="S307">
        <f>_xlfn.XLOOKUP(TableauRecette[[#This Row],[ID]],TableauProduit[ID],TableauProduit[Total (kg) N8],0,0,1)*TableauRecette[[#This Row],[fraction mélange]]</f>
        <v/>
      </c>
      <c r="T307">
        <f>_xlfn.XLOOKUP(TableauRecette[[#This Row],[ID]],TableauProduit[ID],TableauProduit[Total (kg) N9],0,0,1)*TableauRecette[[#This Row],[fraction mélange]]</f>
        <v/>
      </c>
    </row>
    <row r="308">
      <c r="A308" t="inlineStr">
        <is>
          <t>Sirop de basilic</t>
        </is>
      </c>
      <c r="B308">
        <f>TableauRecette[[#This Row],[Recette]]&amp;TableauRecette[[#This Row],[Conditionnement]]</f>
        <v/>
      </c>
      <c r="C308" t="inlineStr">
        <is>
          <t>Citron Jaune</t>
        </is>
      </c>
      <c r="D308" t="n">
        <v>20</v>
      </c>
      <c r="E308" t="inlineStr">
        <is>
          <t>Sirop 500 ml</t>
        </is>
      </c>
      <c r="F30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8">
        <f>IFERROR(_xlfn.XLOOKUP(TableauRecette[[#This Row],[Ingredients]],TableauIngredients[Ingredients],TableauIngredients[Prix d''achat / kg],0)*TableauRecette[[#This Row],[fraction mélange]],0)</f>
        <v/>
      </c>
      <c r="H308">
        <f>IFERROR(SUMIFS(TableauRecette[Proportion],TableauRecette[Recette],TableauRecette[[#This Row],[Recette]],TableauRecette[Conditionnement],TableauRecette[[#This Row],[Conditionnement]]),0)</f>
        <v/>
      </c>
      <c r="I308">
        <f>IFERROR(TableauRecette[[#This Row],[Prix d''achat / kg]],0)</f>
        <v/>
      </c>
      <c r="L308">
        <f>_xlfn.XLOOKUP(TableauRecette[[#This Row],[ID]],TableauProduit[ID],TableauProduit[Total (kg) N1],0,0,1)*TableauRecette[[#This Row],[fraction mélange]]</f>
        <v/>
      </c>
      <c r="M308">
        <f>_xlfn.XLOOKUP(TableauRecette[[#This Row],[ID]],TableauProduit[ID],TableauProduit[Total (kg) N2],0,0,1)*TableauRecette[[#This Row],[fraction mélange]]</f>
        <v/>
      </c>
      <c r="N308">
        <f>_xlfn.XLOOKUP(TableauRecette[[#This Row],[ID]],TableauProduit[ID],TableauProduit[Total (kg) N3],0,0,1)*TableauRecette[[#This Row],[fraction mélange]]</f>
        <v/>
      </c>
      <c r="O308">
        <f>_xlfn.XLOOKUP(TableauRecette[[#This Row],[ID]],TableauProduit[ID],TableauProduit[Total (kg) N4],0,0,1)*TableauRecette[[#This Row],[fraction mélange]]</f>
        <v/>
      </c>
      <c r="P308">
        <f>_xlfn.XLOOKUP(TableauRecette[[#This Row],[ID]],TableauProduit[ID],TableauProduit[Total (kg) N5],0,0,1)*TableauRecette[[#This Row],[fraction mélange]]</f>
        <v/>
      </c>
      <c r="Q308">
        <f>_xlfn.XLOOKUP(TableauRecette[[#This Row],[ID]],TableauProduit[ID],TableauProduit[Total (kg) N6],0,0,1)*TableauRecette[[#This Row],[fraction mélange]]</f>
        <v/>
      </c>
      <c r="R308">
        <f>_xlfn.XLOOKUP(TableauRecette[[#This Row],[ID]],TableauProduit[ID],TableauProduit[Total (kg) N7],0,0,1)*TableauRecette[[#This Row],[fraction mélange]]</f>
        <v/>
      </c>
      <c r="S308">
        <f>_xlfn.XLOOKUP(TableauRecette[[#This Row],[ID]],TableauProduit[ID],TableauProduit[Total (kg) N8],0,0,1)*TableauRecette[[#This Row],[fraction mélange]]</f>
        <v/>
      </c>
      <c r="T308">
        <f>_xlfn.XLOOKUP(TableauRecette[[#This Row],[ID]],TableauProduit[ID],TableauProduit[Total (kg) N9],0,0,1)*TableauRecette[[#This Row],[fraction mélange]]</f>
        <v/>
      </c>
    </row>
    <row r="309">
      <c r="A309" t="inlineStr">
        <is>
          <t>Sirop de menthe classique</t>
        </is>
      </c>
      <c r="B309">
        <f>TableauRecette[[#This Row],[Recette]]&amp;TableauRecette[[#This Row],[Conditionnement]]</f>
        <v/>
      </c>
      <c r="C309" t="inlineStr">
        <is>
          <t>Citron Vert</t>
        </is>
      </c>
      <c r="D309" t="n">
        <v>10</v>
      </c>
      <c r="E309" t="inlineStr">
        <is>
          <t>Sirop 500 ml</t>
        </is>
      </c>
      <c r="F3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9">
        <f>IFERROR(_xlfn.XLOOKUP(TableauRecette[[#This Row],[Ingredients]],TableauIngredients[Ingredients],TableauIngredients[Prix d''achat / kg],0)*TableauRecette[[#This Row],[fraction mélange]],0)</f>
        <v/>
      </c>
      <c r="H309">
        <f>IFERROR(SUMIFS(TableauRecette[Proportion],TableauRecette[Recette],TableauRecette[[#This Row],[Recette]],TableauRecette[Conditionnement],TableauRecette[[#This Row],[Conditionnement]]),0)</f>
        <v/>
      </c>
      <c r="I309">
        <f>IFERROR(TableauRecette[[#This Row],[Prix d''achat / kg]],0)</f>
        <v/>
      </c>
      <c r="L309">
        <f>_xlfn.XLOOKUP(TableauRecette[[#This Row],[ID]],TableauProduit[ID],TableauProduit[Total (kg) N1],0,0,1)*TableauRecette[[#This Row],[fraction mélange]]</f>
        <v/>
      </c>
      <c r="M309">
        <f>_xlfn.XLOOKUP(TableauRecette[[#This Row],[ID]],TableauProduit[ID],TableauProduit[Total (kg) N2],0,0,1)*TableauRecette[[#This Row],[fraction mélange]]</f>
        <v/>
      </c>
      <c r="N309">
        <f>_xlfn.XLOOKUP(TableauRecette[[#This Row],[ID]],TableauProduit[ID],TableauProduit[Total (kg) N3],0,0,1)*TableauRecette[[#This Row],[fraction mélange]]</f>
        <v/>
      </c>
      <c r="O309">
        <f>_xlfn.XLOOKUP(TableauRecette[[#This Row],[ID]],TableauProduit[ID],TableauProduit[Total (kg) N4],0,0,1)*TableauRecette[[#This Row],[fraction mélange]]</f>
        <v/>
      </c>
      <c r="P309">
        <f>_xlfn.XLOOKUP(TableauRecette[[#This Row],[ID]],TableauProduit[ID],TableauProduit[Total (kg) N5],0,0,1)*TableauRecette[[#This Row],[fraction mélange]]</f>
        <v/>
      </c>
      <c r="Q309">
        <f>_xlfn.XLOOKUP(TableauRecette[[#This Row],[ID]],TableauProduit[ID],TableauProduit[Total (kg) N6],0,0,1)*TableauRecette[[#This Row],[fraction mélange]]</f>
        <v/>
      </c>
      <c r="R309">
        <f>_xlfn.XLOOKUP(TableauRecette[[#This Row],[ID]],TableauProduit[ID],TableauProduit[Total (kg) N7],0,0,1)*TableauRecette[[#This Row],[fraction mélange]]</f>
        <v/>
      </c>
      <c r="S309">
        <f>_xlfn.XLOOKUP(TableauRecette[[#This Row],[ID]],TableauProduit[ID],TableauProduit[Total (kg) N8],0,0,1)*TableauRecette[[#This Row],[fraction mélange]]</f>
        <v/>
      </c>
      <c r="T309">
        <f>_xlfn.XLOOKUP(TableauRecette[[#This Row],[ID]],TableauProduit[ID],TableauProduit[Total (kg) N9],0,0,1)*TableauRecette[[#This Row],[fraction mélange]]</f>
        <v/>
      </c>
    </row>
    <row r="310">
      <c r="A310" t="inlineStr">
        <is>
          <t>Sirop de menthe classique</t>
        </is>
      </c>
      <c r="B310">
        <f>TableauRecette[[#This Row],[Recette]]&amp;TableauRecette[[#This Row],[Conditionnement]]</f>
        <v/>
      </c>
      <c r="C310" t="inlineStr">
        <is>
          <t>Sucre Blanc</t>
        </is>
      </c>
      <c r="D310" t="n">
        <v>610.5</v>
      </c>
      <c r="E310" t="inlineStr">
        <is>
          <t>Sirop 500 ml</t>
        </is>
      </c>
      <c r="F31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0">
        <f>IFERROR(_xlfn.XLOOKUP(TableauRecette[[#This Row],[Ingredients]],TableauIngredients[Ingredients],TableauIngredients[Prix d''achat / kg],0)*TableauRecette[[#This Row],[fraction mélange]],0)</f>
        <v/>
      </c>
      <c r="H310">
        <f>IFERROR(SUMIFS(TableauRecette[Proportion],TableauRecette[Recette],TableauRecette[[#This Row],[Recette]],TableauRecette[Conditionnement],TableauRecette[[#This Row],[Conditionnement]]),0)</f>
        <v/>
      </c>
      <c r="I310">
        <f>IFERROR(TableauRecette[[#This Row],[Prix d''achat / kg]],0)</f>
        <v/>
      </c>
      <c r="L310">
        <f>_xlfn.XLOOKUP(TableauRecette[[#This Row],[ID]],TableauProduit[ID],TableauProduit[Total (kg) N1],0,0,1)*TableauRecette[[#This Row],[fraction mélange]]</f>
        <v/>
      </c>
      <c r="M310">
        <f>_xlfn.XLOOKUP(TableauRecette[[#This Row],[ID]],TableauProduit[ID],TableauProduit[Total (kg) N2],0,0,1)*TableauRecette[[#This Row],[fraction mélange]]</f>
        <v/>
      </c>
      <c r="N310">
        <f>_xlfn.XLOOKUP(TableauRecette[[#This Row],[ID]],TableauProduit[ID],TableauProduit[Total (kg) N3],0,0,1)*TableauRecette[[#This Row],[fraction mélange]]</f>
        <v/>
      </c>
      <c r="O310">
        <f>_xlfn.XLOOKUP(TableauRecette[[#This Row],[ID]],TableauProduit[ID],TableauProduit[Total (kg) N4],0,0,1)*TableauRecette[[#This Row],[fraction mélange]]</f>
        <v/>
      </c>
      <c r="P310">
        <f>_xlfn.XLOOKUP(TableauRecette[[#This Row],[ID]],TableauProduit[ID],TableauProduit[Total (kg) N5],0,0,1)*TableauRecette[[#This Row],[fraction mélange]]</f>
        <v/>
      </c>
      <c r="Q310">
        <f>_xlfn.XLOOKUP(TableauRecette[[#This Row],[ID]],TableauProduit[ID],TableauProduit[Total (kg) N6],0,0,1)*TableauRecette[[#This Row],[fraction mélange]]</f>
        <v/>
      </c>
      <c r="R310">
        <f>_xlfn.XLOOKUP(TableauRecette[[#This Row],[ID]],TableauProduit[ID],TableauProduit[Total (kg) N7],0,0,1)*TableauRecette[[#This Row],[fraction mélange]]</f>
        <v/>
      </c>
      <c r="S310">
        <f>_xlfn.XLOOKUP(TableauRecette[[#This Row],[ID]],TableauProduit[ID],TableauProduit[Total (kg) N8],0,0,1)*TableauRecette[[#This Row],[fraction mélange]]</f>
        <v/>
      </c>
      <c r="T310">
        <f>_xlfn.XLOOKUP(TableauRecette[[#This Row],[ID]],TableauProduit[ID],TableauProduit[Total (kg) N9],0,0,1)*TableauRecette[[#This Row],[fraction mélange]]</f>
        <v/>
      </c>
    </row>
    <row r="311">
      <c r="A311" t="inlineStr">
        <is>
          <t>Sirop de menthe classique</t>
        </is>
      </c>
      <c r="B311">
        <f>TableauRecette[[#This Row],[Recette]]&amp;TableauRecette[[#This Row],[Conditionnement]]</f>
        <v/>
      </c>
      <c r="C311" t="inlineStr">
        <is>
          <t>Menthe Verte</t>
        </is>
      </c>
      <c r="D311" t="n">
        <v>100</v>
      </c>
      <c r="E311" t="inlineStr">
        <is>
          <t>Sirop 500 ml</t>
        </is>
      </c>
      <c r="F3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1">
        <f>IFERROR(_xlfn.XLOOKUP(TableauRecette[[#This Row],[Ingredients]],TableauIngredients[Ingredients],TableauIngredients[Prix d''achat / kg],0)*TableauRecette[[#This Row],[fraction mélange]],0)</f>
        <v/>
      </c>
      <c r="H311">
        <f>IFERROR(SUMIFS(TableauRecette[Proportion],TableauRecette[Recette],TableauRecette[[#This Row],[Recette]],TableauRecette[Conditionnement],TableauRecette[[#This Row],[Conditionnement]]),0)</f>
        <v/>
      </c>
      <c r="I311">
        <f>IFERROR(TableauRecette[[#This Row],[Prix d''achat / kg]],0)</f>
        <v/>
      </c>
      <c r="L311">
        <f>_xlfn.XLOOKUP(TableauRecette[[#This Row],[ID]],TableauProduit[ID],TableauProduit[Total (kg) N1],0,0,1)*TableauRecette[[#This Row],[fraction mélange]]</f>
        <v/>
      </c>
      <c r="M311">
        <f>_xlfn.XLOOKUP(TableauRecette[[#This Row],[ID]],TableauProduit[ID],TableauProduit[Total (kg) N2],0,0,1)*TableauRecette[[#This Row],[fraction mélange]]</f>
        <v/>
      </c>
      <c r="N311">
        <f>_xlfn.XLOOKUP(TableauRecette[[#This Row],[ID]],TableauProduit[ID],TableauProduit[Total (kg) N3],0,0,1)*TableauRecette[[#This Row],[fraction mélange]]</f>
        <v/>
      </c>
      <c r="O311">
        <f>_xlfn.XLOOKUP(TableauRecette[[#This Row],[ID]],TableauProduit[ID],TableauProduit[Total (kg) N4],0,0,1)*TableauRecette[[#This Row],[fraction mélange]]</f>
        <v/>
      </c>
      <c r="P311">
        <f>_xlfn.XLOOKUP(TableauRecette[[#This Row],[ID]],TableauProduit[ID],TableauProduit[Total (kg) N5],0,0,1)*TableauRecette[[#This Row],[fraction mélange]]</f>
        <v/>
      </c>
      <c r="Q311">
        <f>_xlfn.XLOOKUP(TableauRecette[[#This Row],[ID]],TableauProduit[ID],TableauProduit[Total (kg) N6],0,0,1)*TableauRecette[[#This Row],[fraction mélange]]</f>
        <v/>
      </c>
      <c r="R311">
        <f>_xlfn.XLOOKUP(TableauRecette[[#This Row],[ID]],TableauProduit[ID],TableauProduit[Total (kg) N7],0,0,1)*TableauRecette[[#This Row],[fraction mélange]]</f>
        <v/>
      </c>
      <c r="S311">
        <f>_xlfn.XLOOKUP(TableauRecette[[#This Row],[ID]],TableauProduit[ID],TableauProduit[Total (kg) N8],0,0,1)*TableauRecette[[#This Row],[fraction mélange]]</f>
        <v/>
      </c>
      <c r="T311">
        <f>_xlfn.XLOOKUP(TableauRecette[[#This Row],[ID]],TableauProduit[ID],TableauProduit[Total (kg) N9],0,0,1)*TableauRecette[[#This Row],[fraction mélange]]</f>
        <v/>
      </c>
    </row>
    <row r="312">
      <c r="A312" t="inlineStr">
        <is>
          <t>Sirop de menthe classique</t>
        </is>
      </c>
      <c r="B312">
        <f>TableauRecette[[#This Row],[Recette]]&amp;TableauRecette[[#This Row],[Conditionnement]]</f>
        <v/>
      </c>
      <c r="C312" t="inlineStr">
        <is>
          <t>Eau</t>
        </is>
      </c>
      <c r="D312" t="n">
        <v>1000</v>
      </c>
      <c r="E312" t="inlineStr">
        <is>
          <t>Sirop 500 ml</t>
        </is>
      </c>
      <c r="F3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2">
        <f>IFERROR(_xlfn.XLOOKUP(TableauRecette[[#This Row],[Ingredients]],TableauIngredients[Ingredients],TableauIngredients[Prix d''achat / kg],0)*TableauRecette[[#This Row],[fraction mélange]],0)</f>
        <v/>
      </c>
      <c r="H312">
        <f>IFERROR(SUMIFS(TableauRecette[Proportion],TableauRecette[Recette],TableauRecette[[#This Row],[Recette]],TableauRecette[Conditionnement],TableauRecette[[#This Row],[Conditionnement]]),0)</f>
        <v/>
      </c>
      <c r="I312">
        <f>IFERROR(TableauRecette[[#This Row],[Prix d''achat / kg]],0)</f>
        <v/>
      </c>
      <c r="L312">
        <f>_xlfn.XLOOKUP(TableauRecette[[#This Row],[ID]],TableauProduit[ID],TableauProduit[Total (kg) N1],0,0,1)*TableauRecette[[#This Row],[fraction mélange]]</f>
        <v/>
      </c>
      <c r="M312">
        <f>_xlfn.XLOOKUP(TableauRecette[[#This Row],[ID]],TableauProduit[ID],TableauProduit[Total (kg) N2],0,0,1)*TableauRecette[[#This Row],[fraction mélange]]</f>
        <v/>
      </c>
      <c r="N312">
        <f>_xlfn.XLOOKUP(TableauRecette[[#This Row],[ID]],TableauProduit[ID],TableauProduit[Total (kg) N3],0,0,1)*TableauRecette[[#This Row],[fraction mélange]]</f>
        <v/>
      </c>
      <c r="O312">
        <f>_xlfn.XLOOKUP(TableauRecette[[#This Row],[ID]],TableauProduit[ID],TableauProduit[Total (kg) N4],0,0,1)*TableauRecette[[#This Row],[fraction mélange]]</f>
        <v/>
      </c>
      <c r="P312">
        <f>_xlfn.XLOOKUP(TableauRecette[[#This Row],[ID]],TableauProduit[ID],TableauProduit[Total (kg) N5],0,0,1)*TableauRecette[[#This Row],[fraction mélange]]</f>
        <v/>
      </c>
      <c r="Q312">
        <f>_xlfn.XLOOKUP(TableauRecette[[#This Row],[ID]],TableauProduit[ID],TableauProduit[Total (kg) N6],0,0,1)*TableauRecette[[#This Row],[fraction mélange]]</f>
        <v/>
      </c>
      <c r="R312">
        <f>_xlfn.XLOOKUP(TableauRecette[[#This Row],[ID]],TableauProduit[ID],TableauProduit[Total (kg) N7],0,0,1)*TableauRecette[[#This Row],[fraction mélange]]</f>
        <v/>
      </c>
      <c r="S312">
        <f>_xlfn.XLOOKUP(TableauRecette[[#This Row],[ID]],TableauProduit[ID],TableauProduit[Total (kg) N8],0,0,1)*TableauRecette[[#This Row],[fraction mélange]]</f>
        <v/>
      </c>
      <c r="T312">
        <f>_xlfn.XLOOKUP(TableauRecette[[#This Row],[ID]],TableauProduit[ID],TableauProduit[Total (kg) N9],0,0,1)*TableauRecette[[#This Row],[fraction mélange]]</f>
        <v/>
      </c>
    </row>
    <row r="313">
      <c r="A313" t="inlineStr">
        <is>
          <t>Sirop de thym</t>
        </is>
      </c>
      <c r="B313">
        <f>TableauRecette[[#This Row],[Recette]]&amp;TableauRecette[[#This Row],[Conditionnement]]</f>
        <v/>
      </c>
      <c r="C313" t="inlineStr">
        <is>
          <t>Sucre Blanc</t>
        </is>
      </c>
      <c r="D313" t="n">
        <v>610.5</v>
      </c>
      <c r="E313" t="inlineStr">
        <is>
          <t>Sirop 500 ml</t>
        </is>
      </c>
      <c r="F31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3">
        <f>IFERROR(_xlfn.XLOOKUP(TableauRecette[[#This Row],[Ingredients]],TableauIngredients[Ingredients],TableauIngredients[Prix d''achat / kg],0)*TableauRecette[[#This Row],[fraction mélange]],0)</f>
        <v/>
      </c>
      <c r="H313">
        <f>IFERROR(SUMIFS(TableauRecette[Proportion],TableauRecette[Recette],TableauRecette[[#This Row],[Recette]],TableauRecette[Conditionnement],TableauRecette[[#This Row],[Conditionnement]]),0)</f>
        <v/>
      </c>
      <c r="I313">
        <f>IFERROR(TableauRecette[[#This Row],[Prix d''achat / kg]],0)</f>
        <v/>
      </c>
      <c r="L313">
        <f>_xlfn.XLOOKUP(TableauRecette[[#This Row],[ID]],TableauProduit[ID],TableauProduit[Total (kg) N1],0,0,1)*TableauRecette[[#This Row],[fraction mélange]]</f>
        <v/>
      </c>
      <c r="M313">
        <f>_xlfn.XLOOKUP(TableauRecette[[#This Row],[ID]],TableauProduit[ID],TableauProduit[Total (kg) N2],0,0,1)*TableauRecette[[#This Row],[fraction mélange]]</f>
        <v/>
      </c>
      <c r="N313">
        <f>_xlfn.XLOOKUP(TableauRecette[[#This Row],[ID]],TableauProduit[ID],TableauProduit[Total (kg) N3],0,0,1)*TableauRecette[[#This Row],[fraction mélange]]</f>
        <v/>
      </c>
      <c r="O313">
        <f>_xlfn.XLOOKUP(TableauRecette[[#This Row],[ID]],TableauProduit[ID],TableauProduit[Total (kg) N4],0,0,1)*TableauRecette[[#This Row],[fraction mélange]]</f>
        <v/>
      </c>
      <c r="P313">
        <f>_xlfn.XLOOKUP(TableauRecette[[#This Row],[ID]],TableauProduit[ID],TableauProduit[Total (kg) N5],0,0,1)*TableauRecette[[#This Row],[fraction mélange]]</f>
        <v/>
      </c>
      <c r="Q313">
        <f>_xlfn.XLOOKUP(TableauRecette[[#This Row],[ID]],TableauProduit[ID],TableauProduit[Total (kg) N6],0,0,1)*TableauRecette[[#This Row],[fraction mélange]]</f>
        <v/>
      </c>
      <c r="R313">
        <f>_xlfn.XLOOKUP(TableauRecette[[#This Row],[ID]],TableauProduit[ID],TableauProduit[Total (kg) N7],0,0,1)*TableauRecette[[#This Row],[fraction mélange]]</f>
        <v/>
      </c>
      <c r="S313">
        <f>_xlfn.XLOOKUP(TableauRecette[[#This Row],[ID]],TableauProduit[ID],TableauProduit[Total (kg) N8],0,0,1)*TableauRecette[[#This Row],[fraction mélange]]</f>
        <v/>
      </c>
      <c r="T313">
        <f>_xlfn.XLOOKUP(TableauRecette[[#This Row],[ID]],TableauProduit[ID],TableauProduit[Total (kg) N9],0,0,1)*TableauRecette[[#This Row],[fraction mélange]]</f>
        <v/>
      </c>
    </row>
    <row r="314">
      <c r="A314" t="inlineStr">
        <is>
          <t>Sirop de thym</t>
        </is>
      </c>
      <c r="B314">
        <f>TableauRecette[[#This Row],[Recette]]&amp;TableauRecette[[#This Row],[Conditionnement]]</f>
        <v/>
      </c>
      <c r="C314" t="inlineStr">
        <is>
          <t>Thym</t>
        </is>
      </c>
      <c r="D314" t="n">
        <v>100</v>
      </c>
      <c r="E314" t="inlineStr">
        <is>
          <t>Sirop 500 ml</t>
        </is>
      </c>
      <c r="F31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4">
        <f>IFERROR(_xlfn.XLOOKUP(TableauRecette[[#This Row],[Ingredients]],TableauIngredients[Ingredients],TableauIngredients[Prix d''achat / kg],0)*TableauRecette[[#This Row],[fraction mélange]],0)</f>
        <v/>
      </c>
      <c r="H314">
        <f>IFERROR(SUMIFS(TableauRecette[Proportion],TableauRecette[Recette],TableauRecette[[#This Row],[Recette]],TableauRecette[Conditionnement],TableauRecette[[#This Row],[Conditionnement]]),0)</f>
        <v/>
      </c>
      <c r="I314">
        <f>IFERROR(TableauRecette[[#This Row],[Prix d''achat / kg]],0)</f>
        <v/>
      </c>
      <c r="L314">
        <f>_xlfn.XLOOKUP(TableauRecette[[#This Row],[ID]],TableauProduit[ID],TableauProduit[Total (kg) N1],0,0,1)*TableauRecette[[#This Row],[fraction mélange]]</f>
        <v/>
      </c>
      <c r="M314">
        <f>_xlfn.XLOOKUP(TableauRecette[[#This Row],[ID]],TableauProduit[ID],TableauProduit[Total (kg) N2],0,0,1)*TableauRecette[[#This Row],[fraction mélange]]</f>
        <v/>
      </c>
      <c r="N314">
        <f>_xlfn.XLOOKUP(TableauRecette[[#This Row],[ID]],TableauProduit[ID],TableauProduit[Total (kg) N3],0,0,1)*TableauRecette[[#This Row],[fraction mélange]]</f>
        <v/>
      </c>
      <c r="O314">
        <f>_xlfn.XLOOKUP(TableauRecette[[#This Row],[ID]],TableauProduit[ID],TableauProduit[Total (kg) N4],0,0,1)*TableauRecette[[#This Row],[fraction mélange]]</f>
        <v/>
      </c>
      <c r="P314">
        <f>_xlfn.XLOOKUP(TableauRecette[[#This Row],[ID]],TableauProduit[ID],TableauProduit[Total (kg) N5],0,0,1)*TableauRecette[[#This Row],[fraction mélange]]</f>
        <v/>
      </c>
      <c r="Q314">
        <f>_xlfn.XLOOKUP(TableauRecette[[#This Row],[ID]],TableauProduit[ID],TableauProduit[Total (kg) N6],0,0,1)*TableauRecette[[#This Row],[fraction mélange]]</f>
        <v/>
      </c>
      <c r="R314">
        <f>_xlfn.XLOOKUP(TableauRecette[[#This Row],[ID]],TableauProduit[ID],TableauProduit[Total (kg) N7],0,0,1)*TableauRecette[[#This Row],[fraction mélange]]</f>
        <v/>
      </c>
      <c r="S314">
        <f>_xlfn.XLOOKUP(TableauRecette[[#This Row],[ID]],TableauProduit[ID],TableauProduit[Total (kg) N8],0,0,1)*TableauRecette[[#This Row],[fraction mélange]]</f>
        <v/>
      </c>
      <c r="T314">
        <f>_xlfn.XLOOKUP(TableauRecette[[#This Row],[ID]],TableauProduit[ID],TableauProduit[Total (kg) N9],0,0,1)*TableauRecette[[#This Row],[fraction mélange]]</f>
        <v/>
      </c>
    </row>
    <row r="315">
      <c r="A315" t="inlineStr">
        <is>
          <t>Sirop de thym</t>
        </is>
      </c>
      <c r="B315">
        <f>TableauRecette[[#This Row],[Recette]]&amp;TableauRecette[[#This Row],[Conditionnement]]</f>
        <v/>
      </c>
      <c r="C315" t="inlineStr">
        <is>
          <t>Citron Vert</t>
        </is>
      </c>
      <c r="D315" t="n">
        <v>10</v>
      </c>
      <c r="E315" t="inlineStr">
        <is>
          <t>Sirop 500 ml</t>
        </is>
      </c>
      <c r="F31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5">
        <f>IFERROR(_xlfn.XLOOKUP(TableauRecette[[#This Row],[Ingredients]],TableauIngredients[Ingredients],TableauIngredients[Prix d''achat / kg],0)*TableauRecette[[#This Row],[fraction mélange]],0)</f>
        <v/>
      </c>
      <c r="H315">
        <f>IFERROR(SUMIFS(TableauRecette[Proportion],TableauRecette[Recette],TableauRecette[[#This Row],[Recette]],TableauRecette[Conditionnement],TableauRecette[[#This Row],[Conditionnement]]),0)</f>
        <v/>
      </c>
      <c r="I315">
        <f>IFERROR(TableauRecette[[#This Row],[Prix d''achat / kg]],0)</f>
        <v/>
      </c>
      <c r="L315">
        <f>_xlfn.XLOOKUP(TableauRecette[[#This Row],[ID]],TableauProduit[ID],TableauProduit[Total (kg) N1],0,0,1)*TableauRecette[[#This Row],[fraction mélange]]</f>
        <v/>
      </c>
      <c r="M315">
        <f>_xlfn.XLOOKUP(TableauRecette[[#This Row],[ID]],TableauProduit[ID],TableauProduit[Total (kg) N2],0,0,1)*TableauRecette[[#This Row],[fraction mélange]]</f>
        <v/>
      </c>
      <c r="N315">
        <f>_xlfn.XLOOKUP(TableauRecette[[#This Row],[ID]],TableauProduit[ID],TableauProduit[Total (kg) N3],0,0,1)*TableauRecette[[#This Row],[fraction mélange]]</f>
        <v/>
      </c>
      <c r="O315">
        <f>_xlfn.XLOOKUP(TableauRecette[[#This Row],[ID]],TableauProduit[ID],TableauProduit[Total (kg) N4],0,0,1)*TableauRecette[[#This Row],[fraction mélange]]</f>
        <v/>
      </c>
      <c r="P315">
        <f>_xlfn.XLOOKUP(TableauRecette[[#This Row],[ID]],TableauProduit[ID],TableauProduit[Total (kg) N5],0,0,1)*TableauRecette[[#This Row],[fraction mélange]]</f>
        <v/>
      </c>
      <c r="Q315">
        <f>_xlfn.XLOOKUP(TableauRecette[[#This Row],[ID]],TableauProduit[ID],TableauProduit[Total (kg) N6],0,0,1)*TableauRecette[[#This Row],[fraction mélange]]</f>
        <v/>
      </c>
      <c r="R315">
        <f>_xlfn.XLOOKUP(TableauRecette[[#This Row],[ID]],TableauProduit[ID],TableauProduit[Total (kg) N7],0,0,1)*TableauRecette[[#This Row],[fraction mélange]]</f>
        <v/>
      </c>
      <c r="S315">
        <f>_xlfn.XLOOKUP(TableauRecette[[#This Row],[ID]],TableauProduit[ID],TableauProduit[Total (kg) N8],0,0,1)*TableauRecette[[#This Row],[fraction mélange]]</f>
        <v/>
      </c>
      <c r="T315">
        <f>_xlfn.XLOOKUP(TableauRecette[[#This Row],[ID]],TableauProduit[ID],TableauProduit[Total (kg) N9],0,0,1)*TableauRecette[[#This Row],[fraction mélange]]</f>
        <v/>
      </c>
    </row>
    <row r="316">
      <c r="A316" t="inlineStr">
        <is>
          <t>Sirop de thym</t>
        </is>
      </c>
      <c r="B316">
        <f>TableauRecette[[#This Row],[Recette]]&amp;TableauRecette[[#This Row],[Conditionnement]]</f>
        <v/>
      </c>
      <c r="C316" t="inlineStr">
        <is>
          <t>Eau</t>
        </is>
      </c>
      <c r="D316" t="n">
        <v>1000</v>
      </c>
      <c r="E316" t="inlineStr">
        <is>
          <t>Sirop 500 ml</t>
        </is>
      </c>
      <c r="F31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6">
        <f>IFERROR(_xlfn.XLOOKUP(TableauRecette[[#This Row],[Ingredients]],TableauIngredients[Ingredients],TableauIngredients[Prix d''achat / kg],0)*TableauRecette[[#This Row],[fraction mélange]],0)</f>
        <v/>
      </c>
      <c r="H316">
        <f>IFERROR(SUMIFS(TableauRecette[Proportion],TableauRecette[Recette],TableauRecette[[#This Row],[Recette]],TableauRecette[Conditionnement],TableauRecette[[#This Row],[Conditionnement]]),0)</f>
        <v/>
      </c>
      <c r="I316">
        <f>IFERROR(TableauRecette[[#This Row],[Prix d''achat / kg]],0)</f>
        <v/>
      </c>
      <c r="L316">
        <f>_xlfn.XLOOKUP(TableauRecette[[#This Row],[ID]],TableauProduit[ID],TableauProduit[Total (kg) N1],0,0,1)*TableauRecette[[#This Row],[fraction mélange]]</f>
        <v/>
      </c>
      <c r="M316">
        <f>_xlfn.XLOOKUP(TableauRecette[[#This Row],[ID]],TableauProduit[ID],TableauProduit[Total (kg) N2],0,0,1)*TableauRecette[[#This Row],[fraction mélange]]</f>
        <v/>
      </c>
      <c r="N316">
        <f>_xlfn.XLOOKUP(TableauRecette[[#This Row],[ID]],TableauProduit[ID],TableauProduit[Total (kg) N3],0,0,1)*TableauRecette[[#This Row],[fraction mélange]]</f>
        <v/>
      </c>
      <c r="O316">
        <f>_xlfn.XLOOKUP(TableauRecette[[#This Row],[ID]],TableauProduit[ID],TableauProduit[Total (kg) N4],0,0,1)*TableauRecette[[#This Row],[fraction mélange]]</f>
        <v/>
      </c>
      <c r="P316">
        <f>_xlfn.XLOOKUP(TableauRecette[[#This Row],[ID]],TableauProduit[ID],TableauProduit[Total (kg) N5],0,0,1)*TableauRecette[[#This Row],[fraction mélange]]</f>
        <v/>
      </c>
      <c r="Q316">
        <f>_xlfn.XLOOKUP(TableauRecette[[#This Row],[ID]],TableauProduit[ID],TableauProduit[Total (kg) N6],0,0,1)*TableauRecette[[#This Row],[fraction mélange]]</f>
        <v/>
      </c>
      <c r="R316">
        <f>_xlfn.XLOOKUP(TableauRecette[[#This Row],[ID]],TableauProduit[ID],TableauProduit[Total (kg) N7],0,0,1)*TableauRecette[[#This Row],[fraction mélange]]</f>
        <v/>
      </c>
      <c r="S316">
        <f>_xlfn.XLOOKUP(TableauRecette[[#This Row],[ID]],TableauProduit[ID],TableauProduit[Total (kg) N8],0,0,1)*TableauRecette[[#This Row],[fraction mélange]]</f>
        <v/>
      </c>
      <c r="T316">
        <f>_xlfn.XLOOKUP(TableauRecette[[#This Row],[ID]],TableauProduit[ID],TableauProduit[Total (kg) N9],0,0,1)*TableauRecette[[#This Row],[fraction mélange]]</f>
        <v/>
      </c>
    </row>
    <row r="317">
      <c r="A317" t="inlineStr">
        <is>
          <t>Sriracha</t>
        </is>
      </c>
      <c r="B317">
        <f>TableauRecette[[#This Row],[Recette]]&amp;TableauRecette[[#This Row],[Conditionnement]]</f>
        <v/>
      </c>
      <c r="C317" t="inlineStr">
        <is>
          <t>Piments Rouge</t>
        </is>
      </c>
      <c r="D317" t="n">
        <v>9</v>
      </c>
      <c r="E317" t="inlineStr">
        <is>
          <t>Piment liquide 250ml</t>
        </is>
      </c>
      <c r="F3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7">
        <f>IFERROR(_xlfn.XLOOKUP(TableauRecette[[#This Row],[Ingredients]],TableauIngredients[Ingredients],TableauIngredients[Prix d''achat / kg],0)*TableauRecette[[#This Row],[fraction mélange]],0)</f>
        <v/>
      </c>
      <c r="H317">
        <f>IFERROR(SUMIFS(TableauRecette[Proportion],TableauRecette[Recette],TableauRecette[[#This Row],[Recette]],TableauRecette[Conditionnement],TableauRecette[[#This Row],[Conditionnement]]),0)</f>
        <v/>
      </c>
      <c r="I317">
        <f>IFERROR(TableauRecette[[#This Row],[Prix d''achat / kg]],0)</f>
        <v/>
      </c>
      <c r="L317">
        <f>_xlfn.XLOOKUP(TableauRecette[[#This Row],[ID]],TableauProduit[ID],TableauProduit[Total (kg) N1],0,0,1)*TableauRecette[[#This Row],[fraction mélange]]</f>
        <v/>
      </c>
      <c r="M317">
        <f>_xlfn.XLOOKUP(TableauRecette[[#This Row],[ID]],TableauProduit[ID],TableauProduit[Total (kg) N2],0,0,1)*TableauRecette[[#This Row],[fraction mélange]]</f>
        <v/>
      </c>
      <c r="N317">
        <f>_xlfn.XLOOKUP(TableauRecette[[#This Row],[ID]],TableauProduit[ID],TableauProduit[Total (kg) N3],0,0,1)*TableauRecette[[#This Row],[fraction mélange]]</f>
        <v/>
      </c>
      <c r="O317">
        <f>_xlfn.XLOOKUP(TableauRecette[[#This Row],[ID]],TableauProduit[ID],TableauProduit[Total (kg) N4],0,0,1)*TableauRecette[[#This Row],[fraction mélange]]</f>
        <v/>
      </c>
      <c r="P317">
        <f>_xlfn.XLOOKUP(TableauRecette[[#This Row],[ID]],TableauProduit[ID],TableauProduit[Total (kg) N5],0,0,1)*TableauRecette[[#This Row],[fraction mélange]]</f>
        <v/>
      </c>
      <c r="Q317">
        <f>_xlfn.XLOOKUP(TableauRecette[[#This Row],[ID]],TableauProduit[ID],TableauProduit[Total (kg) N6],0,0,1)*TableauRecette[[#This Row],[fraction mélange]]</f>
        <v/>
      </c>
      <c r="R317">
        <f>_xlfn.XLOOKUP(TableauRecette[[#This Row],[ID]],TableauProduit[ID],TableauProduit[Total (kg) N7],0,0,1)*TableauRecette[[#This Row],[fraction mélange]]</f>
        <v/>
      </c>
      <c r="S317">
        <f>_xlfn.XLOOKUP(TableauRecette[[#This Row],[ID]],TableauProduit[ID],TableauProduit[Total (kg) N8],0,0,1)*TableauRecette[[#This Row],[fraction mélange]]</f>
        <v/>
      </c>
      <c r="T317">
        <f>_xlfn.XLOOKUP(TableauRecette[[#This Row],[ID]],TableauProduit[ID],TableauProduit[Total (kg) N9],0,0,1)*TableauRecette[[#This Row],[fraction mélange]]</f>
        <v/>
      </c>
    </row>
    <row r="318">
      <c r="A318" t="inlineStr">
        <is>
          <t>Sriracha</t>
        </is>
      </c>
      <c r="B318">
        <f>TableauRecette[[#This Row],[Recette]]&amp;TableauRecette[[#This Row],[Conditionnement]]</f>
        <v/>
      </c>
      <c r="C318" t="inlineStr">
        <is>
          <t>Piment Ancho</t>
        </is>
      </c>
      <c r="D318" t="n">
        <v>3</v>
      </c>
      <c r="E318" t="inlineStr">
        <is>
          <t>Piment liquide 250ml</t>
        </is>
      </c>
      <c r="F31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8">
        <f>IFERROR(_xlfn.XLOOKUP(TableauRecette[[#This Row],[Ingredients]],TableauIngredients[Ingredients],TableauIngredients[Prix d''achat / kg],0)*TableauRecette[[#This Row],[fraction mélange]],0)</f>
        <v/>
      </c>
      <c r="H318">
        <f>IFERROR(SUMIFS(TableauRecette[Proportion],TableauRecette[Recette],TableauRecette[[#This Row],[Recette]],TableauRecette[Conditionnement],TableauRecette[[#This Row],[Conditionnement]]),0)</f>
        <v/>
      </c>
      <c r="I318">
        <f>IFERROR(TableauRecette[[#This Row],[Prix d''achat / kg]],0)</f>
        <v/>
      </c>
      <c r="L318">
        <f>_xlfn.XLOOKUP(TableauRecette[[#This Row],[ID]],TableauProduit[ID],TableauProduit[Total (kg) N1],0,0,1)*TableauRecette[[#This Row],[fraction mélange]]</f>
        <v/>
      </c>
      <c r="M318">
        <f>_xlfn.XLOOKUP(TableauRecette[[#This Row],[ID]],TableauProduit[ID],TableauProduit[Total (kg) N2],0,0,1)*TableauRecette[[#This Row],[fraction mélange]]</f>
        <v/>
      </c>
      <c r="N318">
        <f>_xlfn.XLOOKUP(TableauRecette[[#This Row],[ID]],TableauProduit[ID],TableauProduit[Total (kg) N3],0,0,1)*TableauRecette[[#This Row],[fraction mélange]]</f>
        <v/>
      </c>
      <c r="O318">
        <f>_xlfn.XLOOKUP(TableauRecette[[#This Row],[ID]],TableauProduit[ID],TableauProduit[Total (kg) N4],0,0,1)*TableauRecette[[#This Row],[fraction mélange]]</f>
        <v/>
      </c>
      <c r="P318">
        <f>_xlfn.XLOOKUP(TableauRecette[[#This Row],[ID]],TableauProduit[ID],TableauProduit[Total (kg) N5],0,0,1)*TableauRecette[[#This Row],[fraction mélange]]</f>
        <v/>
      </c>
      <c r="Q318">
        <f>_xlfn.XLOOKUP(TableauRecette[[#This Row],[ID]],TableauProduit[ID],TableauProduit[Total (kg) N6],0,0,1)*TableauRecette[[#This Row],[fraction mélange]]</f>
        <v/>
      </c>
      <c r="R318">
        <f>_xlfn.XLOOKUP(TableauRecette[[#This Row],[ID]],TableauProduit[ID],TableauProduit[Total (kg) N7],0,0,1)*TableauRecette[[#This Row],[fraction mélange]]</f>
        <v/>
      </c>
      <c r="S318">
        <f>_xlfn.XLOOKUP(TableauRecette[[#This Row],[ID]],TableauProduit[ID],TableauProduit[Total (kg) N8],0,0,1)*TableauRecette[[#This Row],[fraction mélange]]</f>
        <v/>
      </c>
      <c r="T318">
        <f>_xlfn.XLOOKUP(TableauRecette[[#This Row],[ID]],TableauProduit[ID],TableauProduit[Total (kg) N9],0,0,1)*TableauRecette[[#This Row],[fraction mélange]]</f>
        <v/>
      </c>
    </row>
    <row r="319">
      <c r="A319" t="inlineStr">
        <is>
          <t>Sriracha</t>
        </is>
      </c>
      <c r="B319">
        <f>TableauRecette[[#This Row],[Recette]]&amp;TableauRecette[[#This Row],[Conditionnement]]</f>
        <v/>
      </c>
      <c r="C319" t="inlineStr">
        <is>
          <t>Figue</t>
        </is>
      </c>
      <c r="D319" t="n">
        <v>8</v>
      </c>
      <c r="E319" t="inlineStr">
        <is>
          <t>Piment liquide 250ml</t>
        </is>
      </c>
      <c r="F3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9">
        <f>IFERROR(_xlfn.XLOOKUP(TableauRecette[[#This Row],[Ingredients]],TableauIngredients[Ingredients],TableauIngredients[Prix d''achat / kg],0)*TableauRecette[[#This Row],[fraction mélange]],0)</f>
        <v/>
      </c>
      <c r="H319">
        <f>IFERROR(SUMIFS(TableauRecette[Proportion],TableauRecette[Recette],TableauRecette[[#This Row],[Recette]],TableauRecette[Conditionnement],TableauRecette[[#This Row],[Conditionnement]]),0)</f>
        <v/>
      </c>
      <c r="I319">
        <f>IFERROR(TableauRecette[[#This Row],[Prix d''achat / kg]],0)</f>
        <v/>
      </c>
      <c r="L319">
        <f>_xlfn.XLOOKUP(TableauRecette[[#This Row],[ID]],TableauProduit[ID],TableauProduit[Total (kg) N1],0,0,1)*TableauRecette[[#This Row],[fraction mélange]]</f>
        <v/>
      </c>
      <c r="M319">
        <f>_xlfn.XLOOKUP(TableauRecette[[#This Row],[ID]],TableauProduit[ID],TableauProduit[Total (kg) N2],0,0,1)*TableauRecette[[#This Row],[fraction mélange]]</f>
        <v/>
      </c>
      <c r="N319">
        <f>_xlfn.XLOOKUP(TableauRecette[[#This Row],[ID]],TableauProduit[ID],TableauProduit[Total (kg) N3],0,0,1)*TableauRecette[[#This Row],[fraction mélange]]</f>
        <v/>
      </c>
      <c r="O319">
        <f>_xlfn.XLOOKUP(TableauRecette[[#This Row],[ID]],TableauProduit[ID],TableauProduit[Total (kg) N4],0,0,1)*TableauRecette[[#This Row],[fraction mélange]]</f>
        <v/>
      </c>
      <c r="P319">
        <f>_xlfn.XLOOKUP(TableauRecette[[#This Row],[ID]],TableauProduit[ID],TableauProduit[Total (kg) N5],0,0,1)*TableauRecette[[#This Row],[fraction mélange]]</f>
        <v/>
      </c>
      <c r="Q319">
        <f>_xlfn.XLOOKUP(TableauRecette[[#This Row],[ID]],TableauProduit[ID],TableauProduit[Total (kg) N6],0,0,1)*TableauRecette[[#This Row],[fraction mélange]]</f>
        <v/>
      </c>
      <c r="R319">
        <f>_xlfn.XLOOKUP(TableauRecette[[#This Row],[ID]],TableauProduit[ID],TableauProduit[Total (kg) N7],0,0,1)*TableauRecette[[#This Row],[fraction mélange]]</f>
        <v/>
      </c>
      <c r="S319">
        <f>_xlfn.XLOOKUP(TableauRecette[[#This Row],[ID]],TableauProduit[ID],TableauProduit[Total (kg) N8],0,0,1)*TableauRecette[[#This Row],[fraction mélange]]</f>
        <v/>
      </c>
      <c r="T319">
        <f>_xlfn.XLOOKUP(TableauRecette[[#This Row],[ID]],TableauProduit[ID],TableauProduit[Total (kg) N9],0,0,1)*TableauRecette[[#This Row],[fraction mélange]]</f>
        <v/>
      </c>
    </row>
    <row r="320">
      <c r="A320" t="inlineStr">
        <is>
          <t>Sriracha</t>
        </is>
      </c>
      <c r="B320">
        <f>TableauRecette[[#This Row],[Recette]]&amp;TableauRecette[[#This Row],[Conditionnement]]</f>
        <v/>
      </c>
      <c r="C320" t="inlineStr">
        <is>
          <t>Concentré De Tomate</t>
        </is>
      </c>
      <c r="D320" t="n">
        <v>7</v>
      </c>
      <c r="E320" t="inlineStr">
        <is>
          <t>Piment liquide 250ml</t>
        </is>
      </c>
      <c r="F32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0">
        <f>IFERROR(_xlfn.XLOOKUP(TableauRecette[[#This Row],[Ingredients]],TableauIngredients[Ingredients],TableauIngredients[Prix d''achat / kg],0)*TableauRecette[[#This Row],[fraction mélange]],0)</f>
        <v/>
      </c>
      <c r="H320">
        <f>IFERROR(SUMIFS(TableauRecette[Proportion],TableauRecette[Recette],TableauRecette[[#This Row],[Recette]],TableauRecette[Conditionnement],TableauRecette[[#This Row],[Conditionnement]]),0)</f>
        <v/>
      </c>
      <c r="I320">
        <f>IFERROR(TableauRecette[[#This Row],[Prix d''achat / kg]],0)</f>
        <v/>
      </c>
      <c r="L320">
        <f>_xlfn.XLOOKUP(TableauRecette[[#This Row],[ID]],TableauProduit[ID],TableauProduit[Total (kg) N1],0,0,1)*TableauRecette[[#This Row],[fraction mélange]]</f>
        <v/>
      </c>
      <c r="M320">
        <f>_xlfn.XLOOKUP(TableauRecette[[#This Row],[ID]],TableauProduit[ID],TableauProduit[Total (kg) N2],0,0,1)*TableauRecette[[#This Row],[fraction mélange]]</f>
        <v/>
      </c>
      <c r="N320">
        <f>_xlfn.XLOOKUP(TableauRecette[[#This Row],[ID]],TableauProduit[ID],TableauProduit[Total (kg) N3],0,0,1)*TableauRecette[[#This Row],[fraction mélange]]</f>
        <v/>
      </c>
      <c r="O320">
        <f>_xlfn.XLOOKUP(TableauRecette[[#This Row],[ID]],TableauProduit[ID],TableauProduit[Total (kg) N4],0,0,1)*TableauRecette[[#This Row],[fraction mélange]]</f>
        <v/>
      </c>
      <c r="P320">
        <f>_xlfn.XLOOKUP(TableauRecette[[#This Row],[ID]],TableauProduit[ID],TableauProduit[Total (kg) N5],0,0,1)*TableauRecette[[#This Row],[fraction mélange]]</f>
        <v/>
      </c>
      <c r="Q320">
        <f>_xlfn.XLOOKUP(TableauRecette[[#This Row],[ID]],TableauProduit[ID],TableauProduit[Total (kg) N6],0,0,1)*TableauRecette[[#This Row],[fraction mélange]]</f>
        <v/>
      </c>
      <c r="R320">
        <f>_xlfn.XLOOKUP(TableauRecette[[#This Row],[ID]],TableauProduit[ID],TableauProduit[Total (kg) N7],0,0,1)*TableauRecette[[#This Row],[fraction mélange]]</f>
        <v/>
      </c>
      <c r="S320">
        <f>_xlfn.XLOOKUP(TableauRecette[[#This Row],[ID]],TableauProduit[ID],TableauProduit[Total (kg) N8],0,0,1)*TableauRecette[[#This Row],[fraction mélange]]</f>
        <v/>
      </c>
      <c r="T320">
        <f>_xlfn.XLOOKUP(TableauRecette[[#This Row],[ID]],TableauProduit[ID],TableauProduit[Total (kg) N9],0,0,1)*TableauRecette[[#This Row],[fraction mélange]]</f>
        <v/>
      </c>
    </row>
    <row r="321">
      <c r="A321" t="inlineStr">
        <is>
          <t>Sriracha</t>
        </is>
      </c>
      <c r="B321">
        <f>TableauRecette[[#This Row],[Recette]]&amp;TableauRecette[[#This Row],[Conditionnement]]</f>
        <v/>
      </c>
      <c r="C321" t="inlineStr">
        <is>
          <t>Huile De Sesame Grillé</t>
        </is>
      </c>
      <c r="D321" t="n">
        <v>15</v>
      </c>
      <c r="E321" t="inlineStr">
        <is>
          <t>Piment liquide 250ml</t>
        </is>
      </c>
      <c r="F32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1">
        <f>IFERROR(_xlfn.XLOOKUP(TableauRecette[[#This Row],[Ingredients]],TableauIngredients[Ingredients],TableauIngredients[Prix d''achat / kg],0)*TableauRecette[[#This Row],[fraction mélange]],0)</f>
        <v/>
      </c>
      <c r="H321">
        <f>IFERROR(SUMIFS(TableauRecette[Proportion],TableauRecette[Recette],TableauRecette[[#This Row],[Recette]],TableauRecette[Conditionnement],TableauRecette[[#This Row],[Conditionnement]]),0)</f>
        <v/>
      </c>
      <c r="I321">
        <f>IFERROR(TableauRecette[[#This Row],[Prix d''achat / kg]],0)</f>
        <v/>
      </c>
      <c r="L321">
        <f>_xlfn.XLOOKUP(TableauRecette[[#This Row],[ID]],TableauProduit[ID],TableauProduit[Total (kg) N1],0,0,1)*TableauRecette[[#This Row],[fraction mélange]]</f>
        <v/>
      </c>
      <c r="M321">
        <f>_xlfn.XLOOKUP(TableauRecette[[#This Row],[ID]],TableauProduit[ID],TableauProduit[Total (kg) N2],0,0,1)*TableauRecette[[#This Row],[fraction mélange]]</f>
        <v/>
      </c>
      <c r="N321">
        <f>_xlfn.XLOOKUP(TableauRecette[[#This Row],[ID]],TableauProduit[ID],TableauProduit[Total (kg) N3],0,0,1)*TableauRecette[[#This Row],[fraction mélange]]</f>
        <v/>
      </c>
      <c r="O321">
        <f>_xlfn.XLOOKUP(TableauRecette[[#This Row],[ID]],TableauProduit[ID],TableauProduit[Total (kg) N4],0,0,1)*TableauRecette[[#This Row],[fraction mélange]]</f>
        <v/>
      </c>
      <c r="P321">
        <f>_xlfn.XLOOKUP(TableauRecette[[#This Row],[ID]],TableauProduit[ID],TableauProduit[Total (kg) N5],0,0,1)*TableauRecette[[#This Row],[fraction mélange]]</f>
        <v/>
      </c>
      <c r="Q321">
        <f>_xlfn.XLOOKUP(TableauRecette[[#This Row],[ID]],TableauProduit[ID],TableauProduit[Total (kg) N6],0,0,1)*TableauRecette[[#This Row],[fraction mélange]]</f>
        <v/>
      </c>
      <c r="R321">
        <f>_xlfn.XLOOKUP(TableauRecette[[#This Row],[ID]],TableauProduit[ID],TableauProduit[Total (kg) N7],0,0,1)*TableauRecette[[#This Row],[fraction mélange]]</f>
        <v/>
      </c>
      <c r="S321">
        <f>_xlfn.XLOOKUP(TableauRecette[[#This Row],[ID]],TableauProduit[ID],TableauProduit[Total (kg) N8],0,0,1)*TableauRecette[[#This Row],[fraction mélange]]</f>
        <v/>
      </c>
      <c r="T321">
        <f>_xlfn.XLOOKUP(TableauRecette[[#This Row],[ID]],TableauProduit[ID],TableauProduit[Total (kg) N9],0,0,1)*TableauRecette[[#This Row],[fraction mélange]]</f>
        <v/>
      </c>
    </row>
    <row r="322">
      <c r="A322" t="inlineStr">
        <is>
          <t>Sriracha</t>
        </is>
      </c>
      <c r="B322">
        <f>TableauRecette[[#This Row],[Recette]]&amp;TableauRecette[[#This Row],[Conditionnement]]</f>
        <v/>
      </c>
      <c r="C322" t="inlineStr">
        <is>
          <t>Huile D'Olive</t>
        </is>
      </c>
      <c r="D322" t="n">
        <v>10</v>
      </c>
      <c r="E322" t="inlineStr">
        <is>
          <t>Piment liquide 250ml</t>
        </is>
      </c>
      <c r="F3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2">
        <f>IFERROR(_xlfn.XLOOKUP(TableauRecette[[#This Row],[Ingredients]],TableauIngredients[Ingredients],TableauIngredients[Prix d''achat / kg],0)*TableauRecette[[#This Row],[fraction mélange]],0)</f>
        <v/>
      </c>
      <c r="H322">
        <f>IFERROR(SUMIFS(TableauRecette[Proportion],TableauRecette[Recette],TableauRecette[[#This Row],[Recette]],TableauRecette[Conditionnement],TableauRecette[[#This Row],[Conditionnement]]),0)</f>
        <v/>
      </c>
      <c r="I322">
        <f>IFERROR(TableauRecette[[#This Row],[Prix d''achat / kg]],0)</f>
        <v/>
      </c>
      <c r="L322">
        <f>_xlfn.XLOOKUP(TableauRecette[[#This Row],[ID]],TableauProduit[ID],TableauProduit[Total (kg) N1],0,0,1)*TableauRecette[[#This Row],[fraction mélange]]</f>
        <v/>
      </c>
      <c r="M322">
        <f>_xlfn.XLOOKUP(TableauRecette[[#This Row],[ID]],TableauProduit[ID],TableauProduit[Total (kg) N2],0,0,1)*TableauRecette[[#This Row],[fraction mélange]]</f>
        <v/>
      </c>
      <c r="N322">
        <f>_xlfn.XLOOKUP(TableauRecette[[#This Row],[ID]],TableauProduit[ID],TableauProduit[Total (kg) N3],0,0,1)*TableauRecette[[#This Row],[fraction mélange]]</f>
        <v/>
      </c>
      <c r="O322">
        <f>_xlfn.XLOOKUP(TableauRecette[[#This Row],[ID]],TableauProduit[ID],TableauProduit[Total (kg) N4],0,0,1)*TableauRecette[[#This Row],[fraction mélange]]</f>
        <v/>
      </c>
      <c r="P322">
        <f>_xlfn.XLOOKUP(TableauRecette[[#This Row],[ID]],TableauProduit[ID],TableauProduit[Total (kg) N5],0,0,1)*TableauRecette[[#This Row],[fraction mélange]]</f>
        <v/>
      </c>
      <c r="Q322">
        <f>_xlfn.XLOOKUP(TableauRecette[[#This Row],[ID]],TableauProduit[ID],TableauProduit[Total (kg) N6],0,0,1)*TableauRecette[[#This Row],[fraction mélange]]</f>
        <v/>
      </c>
      <c r="R322">
        <f>_xlfn.XLOOKUP(TableauRecette[[#This Row],[ID]],TableauProduit[ID],TableauProduit[Total (kg) N7],0,0,1)*TableauRecette[[#This Row],[fraction mélange]]</f>
        <v/>
      </c>
      <c r="S322">
        <f>_xlfn.XLOOKUP(TableauRecette[[#This Row],[ID]],TableauProduit[ID],TableauProduit[Total (kg) N8],0,0,1)*TableauRecette[[#This Row],[fraction mélange]]</f>
        <v/>
      </c>
      <c r="T322">
        <f>_xlfn.XLOOKUP(TableauRecette[[#This Row],[ID]],TableauProduit[ID],TableauProduit[Total (kg) N9],0,0,1)*TableauRecette[[#This Row],[fraction mélange]]</f>
        <v/>
      </c>
    </row>
    <row r="323">
      <c r="A323" t="inlineStr">
        <is>
          <t>Sriracha</t>
        </is>
      </c>
      <c r="B323">
        <f>TableauRecette[[#This Row],[Recette]]&amp;TableauRecette[[#This Row],[Conditionnement]]</f>
        <v/>
      </c>
      <c r="C323" t="inlineStr">
        <is>
          <t>Vinaigre De Cidre</t>
        </is>
      </c>
      <c r="D323" t="n">
        <v>15</v>
      </c>
      <c r="E323" t="inlineStr">
        <is>
          <t>Piment liquide 250ml</t>
        </is>
      </c>
      <c r="F3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3">
        <f>IFERROR(_xlfn.XLOOKUP(TableauRecette[[#This Row],[Ingredients]],TableauIngredients[Ingredients],TableauIngredients[Prix d''achat / kg],0)*TableauRecette[[#This Row],[fraction mélange]],0)</f>
        <v/>
      </c>
      <c r="H323">
        <f>IFERROR(SUMIFS(TableauRecette[Proportion],TableauRecette[Recette],TableauRecette[[#This Row],[Recette]],TableauRecette[Conditionnement],TableauRecette[[#This Row],[Conditionnement]]),0)</f>
        <v/>
      </c>
      <c r="I323">
        <f>IFERROR(TableauRecette[[#This Row],[Prix d''achat / kg]],0)</f>
        <v/>
      </c>
      <c r="L323">
        <f>_xlfn.XLOOKUP(TableauRecette[[#This Row],[ID]],TableauProduit[ID],TableauProduit[Total (kg) N1],0,0,1)*TableauRecette[[#This Row],[fraction mélange]]</f>
        <v/>
      </c>
      <c r="M323">
        <f>_xlfn.XLOOKUP(TableauRecette[[#This Row],[ID]],TableauProduit[ID],TableauProduit[Total (kg) N2],0,0,1)*TableauRecette[[#This Row],[fraction mélange]]</f>
        <v/>
      </c>
      <c r="N323">
        <f>_xlfn.XLOOKUP(TableauRecette[[#This Row],[ID]],TableauProduit[ID],TableauProduit[Total (kg) N3],0,0,1)*TableauRecette[[#This Row],[fraction mélange]]</f>
        <v/>
      </c>
      <c r="O323">
        <f>_xlfn.XLOOKUP(TableauRecette[[#This Row],[ID]],TableauProduit[ID],TableauProduit[Total (kg) N4],0,0,1)*TableauRecette[[#This Row],[fraction mélange]]</f>
        <v/>
      </c>
      <c r="P323">
        <f>_xlfn.XLOOKUP(TableauRecette[[#This Row],[ID]],TableauProduit[ID],TableauProduit[Total (kg) N5],0,0,1)*TableauRecette[[#This Row],[fraction mélange]]</f>
        <v/>
      </c>
      <c r="Q323">
        <f>_xlfn.XLOOKUP(TableauRecette[[#This Row],[ID]],TableauProduit[ID],TableauProduit[Total (kg) N6],0,0,1)*TableauRecette[[#This Row],[fraction mélange]]</f>
        <v/>
      </c>
      <c r="R323">
        <f>_xlfn.XLOOKUP(TableauRecette[[#This Row],[ID]],TableauProduit[ID],TableauProduit[Total (kg) N7],0,0,1)*TableauRecette[[#This Row],[fraction mélange]]</f>
        <v/>
      </c>
      <c r="S323">
        <f>_xlfn.XLOOKUP(TableauRecette[[#This Row],[ID]],TableauProduit[ID],TableauProduit[Total (kg) N8],0,0,1)*TableauRecette[[#This Row],[fraction mélange]]</f>
        <v/>
      </c>
      <c r="T323">
        <f>_xlfn.XLOOKUP(TableauRecette[[#This Row],[ID]],TableauProduit[ID],TableauProduit[Total (kg) N9],0,0,1)*TableauRecette[[#This Row],[fraction mélange]]</f>
        <v/>
      </c>
    </row>
    <row r="324">
      <c r="A324" t="inlineStr">
        <is>
          <t>Sriracha</t>
        </is>
      </c>
      <c r="B324">
        <f>TableauRecette[[#This Row],[Recette]]&amp;TableauRecette[[#This Row],[Conditionnement]]</f>
        <v/>
      </c>
      <c r="C324" t="inlineStr">
        <is>
          <t>Sauce Soja</t>
        </is>
      </c>
      <c r="D324" t="n">
        <v>5</v>
      </c>
      <c r="E324" t="inlineStr">
        <is>
          <t>Piment liquide 250ml</t>
        </is>
      </c>
      <c r="F3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4">
        <f>IFERROR(_xlfn.XLOOKUP(TableauRecette[[#This Row],[Ingredients]],TableauIngredients[Ingredients],TableauIngredients[Prix d''achat / kg],0)*TableauRecette[[#This Row],[fraction mélange]],0)</f>
        <v/>
      </c>
      <c r="H324">
        <f>IFERROR(SUMIFS(TableauRecette[Proportion],TableauRecette[Recette],TableauRecette[[#This Row],[Recette]],TableauRecette[Conditionnement],TableauRecette[[#This Row],[Conditionnement]]),0)</f>
        <v/>
      </c>
      <c r="I324">
        <f>IFERROR(TableauRecette[[#This Row],[Prix d''achat / kg]],0)</f>
        <v/>
      </c>
      <c r="L324">
        <f>_xlfn.XLOOKUP(TableauRecette[[#This Row],[ID]],TableauProduit[ID],TableauProduit[Total (kg) N1],0,0,1)*TableauRecette[[#This Row],[fraction mélange]]</f>
        <v/>
      </c>
      <c r="M324">
        <f>_xlfn.XLOOKUP(TableauRecette[[#This Row],[ID]],TableauProduit[ID],TableauProduit[Total (kg) N2],0,0,1)*TableauRecette[[#This Row],[fraction mélange]]</f>
        <v/>
      </c>
      <c r="N324">
        <f>_xlfn.XLOOKUP(TableauRecette[[#This Row],[ID]],TableauProduit[ID],TableauProduit[Total (kg) N3],0,0,1)*TableauRecette[[#This Row],[fraction mélange]]</f>
        <v/>
      </c>
      <c r="O324">
        <f>_xlfn.XLOOKUP(TableauRecette[[#This Row],[ID]],TableauProduit[ID],TableauProduit[Total (kg) N4],0,0,1)*TableauRecette[[#This Row],[fraction mélange]]</f>
        <v/>
      </c>
      <c r="P324">
        <f>_xlfn.XLOOKUP(TableauRecette[[#This Row],[ID]],TableauProduit[ID],TableauProduit[Total (kg) N5],0,0,1)*TableauRecette[[#This Row],[fraction mélange]]</f>
        <v/>
      </c>
      <c r="Q324">
        <f>_xlfn.XLOOKUP(TableauRecette[[#This Row],[ID]],TableauProduit[ID],TableauProduit[Total (kg) N6],0,0,1)*TableauRecette[[#This Row],[fraction mélange]]</f>
        <v/>
      </c>
      <c r="R324">
        <f>_xlfn.XLOOKUP(TableauRecette[[#This Row],[ID]],TableauProduit[ID],TableauProduit[Total (kg) N7],0,0,1)*TableauRecette[[#This Row],[fraction mélange]]</f>
        <v/>
      </c>
      <c r="S324">
        <f>_xlfn.XLOOKUP(TableauRecette[[#This Row],[ID]],TableauProduit[ID],TableauProduit[Total (kg) N8],0,0,1)*TableauRecette[[#This Row],[fraction mélange]]</f>
        <v/>
      </c>
      <c r="T324">
        <f>_xlfn.XLOOKUP(TableauRecette[[#This Row],[ID]],TableauProduit[ID],TableauProduit[Total (kg) N9],0,0,1)*TableauRecette[[#This Row],[fraction mélange]]</f>
        <v/>
      </c>
    </row>
    <row r="325">
      <c r="A325" t="inlineStr">
        <is>
          <t>Sriracha</t>
        </is>
      </c>
      <c r="B325">
        <f>TableauRecette[[#This Row],[Recette]]&amp;TableauRecette[[#This Row],[Conditionnement]]</f>
        <v/>
      </c>
      <c r="C325" t="inlineStr">
        <is>
          <t>Miel</t>
        </is>
      </c>
      <c r="D325" t="n">
        <v>7</v>
      </c>
      <c r="E325" t="inlineStr">
        <is>
          <t>Piment liquide 250ml</t>
        </is>
      </c>
      <c r="F32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5">
        <f>IFERROR(_xlfn.XLOOKUP(TableauRecette[[#This Row],[Ingredients]],TableauIngredients[Ingredients],TableauIngredients[Prix d''achat / kg],0)*TableauRecette[[#This Row],[fraction mélange]],0)</f>
        <v/>
      </c>
      <c r="H325">
        <f>IFERROR(SUMIFS(TableauRecette[Proportion],TableauRecette[Recette],TableauRecette[[#This Row],[Recette]],TableauRecette[Conditionnement],TableauRecette[[#This Row],[Conditionnement]]),0)</f>
        <v/>
      </c>
      <c r="I325">
        <f>IFERROR(TableauRecette[[#This Row],[Prix d''achat / kg]],0)</f>
        <v/>
      </c>
      <c r="L325">
        <f>_xlfn.XLOOKUP(TableauRecette[[#This Row],[ID]],TableauProduit[ID],TableauProduit[Total (kg) N1],0,0,1)*TableauRecette[[#This Row],[fraction mélange]]</f>
        <v/>
      </c>
      <c r="M325">
        <f>_xlfn.XLOOKUP(TableauRecette[[#This Row],[ID]],TableauProduit[ID],TableauProduit[Total (kg) N2],0,0,1)*TableauRecette[[#This Row],[fraction mélange]]</f>
        <v/>
      </c>
      <c r="N325">
        <f>_xlfn.XLOOKUP(TableauRecette[[#This Row],[ID]],TableauProduit[ID],TableauProduit[Total (kg) N3],0,0,1)*TableauRecette[[#This Row],[fraction mélange]]</f>
        <v/>
      </c>
      <c r="O325">
        <f>_xlfn.XLOOKUP(TableauRecette[[#This Row],[ID]],TableauProduit[ID],TableauProduit[Total (kg) N4],0,0,1)*TableauRecette[[#This Row],[fraction mélange]]</f>
        <v/>
      </c>
      <c r="P325">
        <f>_xlfn.XLOOKUP(TableauRecette[[#This Row],[ID]],TableauProduit[ID],TableauProduit[Total (kg) N5],0,0,1)*TableauRecette[[#This Row],[fraction mélange]]</f>
        <v/>
      </c>
      <c r="Q325">
        <f>_xlfn.XLOOKUP(TableauRecette[[#This Row],[ID]],TableauProduit[ID],TableauProduit[Total (kg) N6],0,0,1)*TableauRecette[[#This Row],[fraction mélange]]</f>
        <v/>
      </c>
      <c r="R325">
        <f>_xlfn.XLOOKUP(TableauRecette[[#This Row],[ID]],TableauProduit[ID],TableauProduit[Total (kg) N7],0,0,1)*TableauRecette[[#This Row],[fraction mélange]]</f>
        <v/>
      </c>
      <c r="S325">
        <f>_xlfn.XLOOKUP(TableauRecette[[#This Row],[ID]],TableauProduit[ID],TableauProduit[Total (kg) N8],0,0,1)*TableauRecette[[#This Row],[fraction mélange]]</f>
        <v/>
      </c>
      <c r="T325">
        <f>_xlfn.XLOOKUP(TableauRecette[[#This Row],[ID]],TableauProduit[ID],TableauProduit[Total (kg) N9],0,0,1)*TableauRecette[[#This Row],[fraction mélange]]</f>
        <v/>
      </c>
    </row>
    <row r="326">
      <c r="A326" t="inlineStr">
        <is>
          <t>Steak de Montréal</t>
        </is>
      </c>
      <c r="B326">
        <f>TableauRecette[[#This Row],[Recette]]&amp;TableauRecette[[#This Row],[Conditionnement]]</f>
        <v/>
      </c>
      <c r="C326" t="inlineStr">
        <is>
          <t>Paprika</t>
        </is>
      </c>
      <c r="D326" t="n">
        <v>1</v>
      </c>
      <c r="E326" t="inlineStr">
        <is>
          <t>Epice 100ml</t>
        </is>
      </c>
      <c r="F32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6">
        <f>IFERROR(_xlfn.XLOOKUP(TableauRecette[[#This Row],[Ingredients]],TableauIngredients[Ingredients],TableauIngredients[Prix d''achat / kg],0)*TableauRecette[[#This Row],[fraction mélange]],0)</f>
        <v/>
      </c>
      <c r="H326">
        <f>IFERROR(SUMIFS(TableauRecette[Proportion],TableauRecette[Recette],TableauRecette[[#This Row],[Recette]],TableauRecette[Conditionnement],TableauRecette[[#This Row],[Conditionnement]]),0)</f>
        <v/>
      </c>
      <c r="I326">
        <f>IFERROR(TableauRecette[[#This Row],[Prix d''achat / kg]],0)</f>
        <v/>
      </c>
      <c r="L326">
        <f>_xlfn.XLOOKUP(TableauRecette[[#This Row],[ID]],TableauProduit[ID],TableauProduit[Total (kg) N1],0,0,1)*TableauRecette[[#This Row],[fraction mélange]]</f>
        <v/>
      </c>
      <c r="M326">
        <f>_xlfn.XLOOKUP(TableauRecette[[#This Row],[ID]],TableauProduit[ID],TableauProduit[Total (kg) N2],0,0,1)*TableauRecette[[#This Row],[fraction mélange]]</f>
        <v/>
      </c>
      <c r="N326">
        <f>_xlfn.XLOOKUP(TableauRecette[[#This Row],[ID]],TableauProduit[ID],TableauProduit[Total (kg) N3],0,0,1)*TableauRecette[[#This Row],[fraction mélange]]</f>
        <v/>
      </c>
      <c r="O326">
        <f>_xlfn.XLOOKUP(TableauRecette[[#This Row],[ID]],TableauProduit[ID],TableauProduit[Total (kg) N4],0,0,1)*TableauRecette[[#This Row],[fraction mélange]]</f>
        <v/>
      </c>
      <c r="P326">
        <f>_xlfn.XLOOKUP(TableauRecette[[#This Row],[ID]],TableauProduit[ID],TableauProduit[Total (kg) N5],0,0,1)*TableauRecette[[#This Row],[fraction mélange]]</f>
        <v/>
      </c>
      <c r="Q326">
        <f>_xlfn.XLOOKUP(TableauRecette[[#This Row],[ID]],TableauProduit[ID],TableauProduit[Total (kg) N6],0,0,1)*TableauRecette[[#This Row],[fraction mélange]]</f>
        <v/>
      </c>
      <c r="R326">
        <f>_xlfn.XLOOKUP(TableauRecette[[#This Row],[ID]],TableauProduit[ID],TableauProduit[Total (kg) N7],0,0,1)*TableauRecette[[#This Row],[fraction mélange]]</f>
        <v/>
      </c>
      <c r="S326">
        <f>_xlfn.XLOOKUP(TableauRecette[[#This Row],[ID]],TableauProduit[ID],TableauProduit[Total (kg) N8],0,0,1)*TableauRecette[[#This Row],[fraction mélange]]</f>
        <v/>
      </c>
      <c r="T326">
        <f>_xlfn.XLOOKUP(TableauRecette[[#This Row],[ID]],TableauProduit[ID],TableauProduit[Total (kg) N9],0,0,1)*TableauRecette[[#This Row],[fraction mélange]]</f>
        <v/>
      </c>
    </row>
    <row r="327">
      <c r="A327" t="inlineStr">
        <is>
          <t>Steak de Montréal</t>
        </is>
      </c>
      <c r="B327">
        <f>TableauRecette[[#This Row],[Recette]]&amp;TableauRecette[[#This Row],[Conditionnement]]</f>
        <v/>
      </c>
      <c r="C327" t="inlineStr">
        <is>
          <t>Poivre Noir</t>
        </is>
      </c>
      <c r="D327" t="n">
        <v>4</v>
      </c>
      <c r="E327" t="inlineStr">
        <is>
          <t>Epice 100ml</t>
        </is>
      </c>
      <c r="F3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7">
        <f>IFERROR(_xlfn.XLOOKUP(TableauRecette[[#This Row],[Ingredients]],TableauIngredients[Ingredients],TableauIngredients[Prix d''achat / kg],0)*TableauRecette[[#This Row],[fraction mélange]],0)</f>
        <v/>
      </c>
      <c r="H327">
        <f>IFERROR(SUMIFS(TableauRecette[Proportion],TableauRecette[Recette],TableauRecette[[#This Row],[Recette]],TableauRecette[Conditionnement],TableauRecette[[#This Row],[Conditionnement]]),0)</f>
        <v/>
      </c>
      <c r="I327">
        <f>IFERROR(TableauRecette[[#This Row],[Prix d''achat / kg]],0)</f>
        <v/>
      </c>
      <c r="L327">
        <f>_xlfn.XLOOKUP(TableauRecette[[#This Row],[ID]],TableauProduit[ID],TableauProduit[Total (kg) N1],0,0,1)*TableauRecette[[#This Row],[fraction mélange]]</f>
        <v/>
      </c>
      <c r="M327">
        <f>_xlfn.XLOOKUP(TableauRecette[[#This Row],[ID]],TableauProduit[ID],TableauProduit[Total (kg) N2],0,0,1)*TableauRecette[[#This Row],[fraction mélange]]</f>
        <v/>
      </c>
      <c r="N327">
        <f>_xlfn.XLOOKUP(TableauRecette[[#This Row],[ID]],TableauProduit[ID],TableauProduit[Total (kg) N3],0,0,1)*TableauRecette[[#This Row],[fraction mélange]]</f>
        <v/>
      </c>
      <c r="O327">
        <f>_xlfn.XLOOKUP(TableauRecette[[#This Row],[ID]],TableauProduit[ID],TableauProduit[Total (kg) N4],0,0,1)*TableauRecette[[#This Row],[fraction mélange]]</f>
        <v/>
      </c>
      <c r="P327">
        <f>_xlfn.XLOOKUP(TableauRecette[[#This Row],[ID]],TableauProduit[ID],TableauProduit[Total (kg) N5],0,0,1)*TableauRecette[[#This Row],[fraction mélange]]</f>
        <v/>
      </c>
      <c r="Q327">
        <f>_xlfn.XLOOKUP(TableauRecette[[#This Row],[ID]],TableauProduit[ID],TableauProduit[Total (kg) N6],0,0,1)*TableauRecette[[#This Row],[fraction mélange]]</f>
        <v/>
      </c>
      <c r="R327">
        <f>_xlfn.XLOOKUP(TableauRecette[[#This Row],[ID]],TableauProduit[ID],TableauProduit[Total (kg) N7],0,0,1)*TableauRecette[[#This Row],[fraction mélange]]</f>
        <v/>
      </c>
      <c r="S327">
        <f>_xlfn.XLOOKUP(TableauRecette[[#This Row],[ID]],TableauProduit[ID],TableauProduit[Total (kg) N8],0,0,1)*TableauRecette[[#This Row],[fraction mélange]]</f>
        <v/>
      </c>
      <c r="T327">
        <f>_xlfn.XLOOKUP(TableauRecette[[#This Row],[ID]],TableauProduit[ID],TableauProduit[Total (kg) N9],0,0,1)*TableauRecette[[#This Row],[fraction mélange]]</f>
        <v/>
      </c>
    </row>
    <row r="328">
      <c r="A328" t="inlineStr">
        <is>
          <t>Steak de Montréal</t>
        </is>
      </c>
      <c r="B328">
        <f>TableauRecette[[#This Row],[Recette]]&amp;TableauRecette[[#This Row],[Conditionnement]]</f>
        <v/>
      </c>
      <c r="C328" t="inlineStr">
        <is>
          <t>Oignon Séché</t>
        </is>
      </c>
      <c r="D328" t="n">
        <v>2</v>
      </c>
      <c r="E328" t="inlineStr">
        <is>
          <t>Epice 100ml</t>
        </is>
      </c>
      <c r="F32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8">
        <f>IFERROR(_xlfn.XLOOKUP(TableauRecette[[#This Row],[Ingredients]],TableauIngredients[Ingredients],TableauIngredients[Prix d''achat / kg],0)*TableauRecette[[#This Row],[fraction mélange]],0)</f>
        <v/>
      </c>
      <c r="H328">
        <f>IFERROR(SUMIFS(TableauRecette[Proportion],TableauRecette[Recette],TableauRecette[[#This Row],[Recette]],TableauRecette[Conditionnement],TableauRecette[[#This Row],[Conditionnement]]),0)</f>
        <v/>
      </c>
      <c r="I328">
        <f>IFERROR(TableauRecette[[#This Row],[Prix d''achat / kg]],0)</f>
        <v/>
      </c>
      <c r="L328">
        <f>_xlfn.XLOOKUP(TableauRecette[[#This Row],[ID]],TableauProduit[ID],TableauProduit[Total (kg) N1],0,0,1)*TableauRecette[[#This Row],[fraction mélange]]</f>
        <v/>
      </c>
      <c r="M328">
        <f>_xlfn.XLOOKUP(TableauRecette[[#This Row],[ID]],TableauProduit[ID],TableauProduit[Total (kg) N2],0,0,1)*TableauRecette[[#This Row],[fraction mélange]]</f>
        <v/>
      </c>
      <c r="N328">
        <f>_xlfn.XLOOKUP(TableauRecette[[#This Row],[ID]],TableauProduit[ID],TableauProduit[Total (kg) N3],0,0,1)*TableauRecette[[#This Row],[fraction mélange]]</f>
        <v/>
      </c>
      <c r="O328">
        <f>_xlfn.XLOOKUP(TableauRecette[[#This Row],[ID]],TableauProduit[ID],TableauProduit[Total (kg) N4],0,0,1)*TableauRecette[[#This Row],[fraction mélange]]</f>
        <v/>
      </c>
      <c r="P328">
        <f>_xlfn.XLOOKUP(TableauRecette[[#This Row],[ID]],TableauProduit[ID],TableauProduit[Total (kg) N5],0,0,1)*TableauRecette[[#This Row],[fraction mélange]]</f>
        <v/>
      </c>
      <c r="Q328">
        <f>_xlfn.XLOOKUP(TableauRecette[[#This Row],[ID]],TableauProduit[ID],TableauProduit[Total (kg) N6],0,0,1)*TableauRecette[[#This Row],[fraction mélange]]</f>
        <v/>
      </c>
      <c r="R328">
        <f>_xlfn.XLOOKUP(TableauRecette[[#This Row],[ID]],TableauProduit[ID],TableauProduit[Total (kg) N7],0,0,1)*TableauRecette[[#This Row],[fraction mélange]]</f>
        <v/>
      </c>
      <c r="S328">
        <f>_xlfn.XLOOKUP(TableauRecette[[#This Row],[ID]],TableauProduit[ID],TableauProduit[Total (kg) N8],0,0,1)*TableauRecette[[#This Row],[fraction mélange]]</f>
        <v/>
      </c>
      <c r="T328">
        <f>_xlfn.XLOOKUP(TableauRecette[[#This Row],[ID]],TableauProduit[ID],TableauProduit[Total (kg) N9],0,0,1)*TableauRecette[[#This Row],[fraction mélange]]</f>
        <v/>
      </c>
    </row>
    <row r="329">
      <c r="A329" t="inlineStr">
        <is>
          <t>Steak de Montréal</t>
        </is>
      </c>
      <c r="B329">
        <f>TableauRecette[[#This Row],[Recette]]&amp;TableauRecette[[#This Row],[Conditionnement]]</f>
        <v/>
      </c>
      <c r="C329" t="inlineStr">
        <is>
          <t>Aneth SEC</t>
        </is>
      </c>
      <c r="D329" t="n">
        <v>2</v>
      </c>
      <c r="E329" t="inlineStr">
        <is>
          <t>Epice 100ml</t>
        </is>
      </c>
      <c r="F3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9">
        <f>IFERROR(_xlfn.XLOOKUP(TableauRecette[[#This Row],[Ingredients]],TableauIngredients[Ingredients],TableauIngredients[Prix d''achat / kg],0)*TableauRecette[[#This Row],[fraction mélange]],0)</f>
        <v/>
      </c>
      <c r="H329">
        <f>IFERROR(SUMIFS(TableauRecette[Proportion],TableauRecette[Recette],TableauRecette[[#This Row],[Recette]],TableauRecette[Conditionnement],TableauRecette[[#This Row],[Conditionnement]]),0)</f>
        <v/>
      </c>
      <c r="I329">
        <f>IFERROR(TableauRecette[[#This Row],[Prix d''achat / kg]],0)</f>
        <v/>
      </c>
      <c r="K329" t="inlineStr">
        <is>
          <t>SEC</t>
        </is>
      </c>
      <c r="L329">
        <f>_xlfn.XLOOKUP(TableauRecette[[#This Row],[ID]],TableauProduit[ID],TableauProduit[Total (kg) N1],0,0,1)*TableauRecette[[#This Row],[fraction mélange]]</f>
        <v/>
      </c>
      <c r="M329">
        <f>_xlfn.XLOOKUP(TableauRecette[[#This Row],[ID]],TableauProduit[ID],TableauProduit[Total (kg) N2],0,0,1)*TableauRecette[[#This Row],[fraction mélange]]</f>
        <v/>
      </c>
      <c r="N329">
        <f>_xlfn.XLOOKUP(TableauRecette[[#This Row],[ID]],TableauProduit[ID],TableauProduit[Total (kg) N3],0,0,1)*TableauRecette[[#This Row],[fraction mélange]]</f>
        <v/>
      </c>
      <c r="O329">
        <f>_xlfn.XLOOKUP(TableauRecette[[#This Row],[ID]],TableauProduit[ID],TableauProduit[Total (kg) N4],0,0,1)*TableauRecette[[#This Row],[fraction mélange]]</f>
        <v/>
      </c>
      <c r="P329">
        <f>_xlfn.XLOOKUP(TableauRecette[[#This Row],[ID]],TableauProduit[ID],TableauProduit[Total (kg) N5],0,0,1)*TableauRecette[[#This Row],[fraction mélange]]</f>
        <v/>
      </c>
      <c r="Q329">
        <f>_xlfn.XLOOKUP(TableauRecette[[#This Row],[ID]],TableauProduit[ID],TableauProduit[Total (kg) N6],0,0,1)*TableauRecette[[#This Row],[fraction mélange]]</f>
        <v/>
      </c>
      <c r="R329">
        <f>_xlfn.XLOOKUP(TableauRecette[[#This Row],[ID]],TableauProduit[ID],TableauProduit[Total (kg) N7],0,0,1)*TableauRecette[[#This Row],[fraction mélange]]</f>
        <v/>
      </c>
      <c r="S329">
        <f>_xlfn.XLOOKUP(TableauRecette[[#This Row],[ID]],TableauProduit[ID],TableauProduit[Total (kg) N8],0,0,1)*TableauRecette[[#This Row],[fraction mélange]]</f>
        <v/>
      </c>
      <c r="T329">
        <f>_xlfn.XLOOKUP(TableauRecette[[#This Row],[ID]],TableauProduit[ID],TableauProduit[Total (kg) N9],0,0,1)*TableauRecette[[#This Row],[fraction mélange]]</f>
        <v/>
      </c>
    </row>
    <row r="330">
      <c r="A330" t="inlineStr">
        <is>
          <t>Steak de Montréal</t>
        </is>
      </c>
      <c r="B330">
        <f>TableauRecette[[#This Row],[Recette]]&amp;TableauRecette[[#This Row],[Conditionnement]]</f>
        <v/>
      </c>
      <c r="C330" t="inlineStr">
        <is>
          <t>Coriandre Graine</t>
        </is>
      </c>
      <c r="D330" t="n">
        <v>2</v>
      </c>
      <c r="E330" t="inlineStr">
        <is>
          <t>Epice 100ml</t>
        </is>
      </c>
      <c r="F33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0">
        <f>IFERROR(_xlfn.XLOOKUP(TableauRecette[[#This Row],[Ingredients]],TableauIngredients[Ingredients],TableauIngredients[Prix d''achat / kg],0)*TableauRecette[[#This Row],[fraction mélange]],0)</f>
        <v/>
      </c>
      <c r="H330">
        <f>IFERROR(SUMIFS(TableauRecette[Proportion],TableauRecette[Recette],TableauRecette[[#This Row],[Recette]],TableauRecette[Conditionnement],TableauRecette[[#This Row],[Conditionnement]]),0)</f>
        <v/>
      </c>
      <c r="I330">
        <f>IFERROR(TableauRecette[[#This Row],[Prix d''achat / kg]],0)</f>
        <v/>
      </c>
      <c r="L330">
        <f>_xlfn.XLOOKUP(TableauRecette[[#This Row],[ID]],TableauProduit[ID],TableauProduit[Total (kg) N1],0,0,1)*TableauRecette[[#This Row],[fraction mélange]]</f>
        <v/>
      </c>
      <c r="M330">
        <f>_xlfn.XLOOKUP(TableauRecette[[#This Row],[ID]],TableauProduit[ID],TableauProduit[Total (kg) N2],0,0,1)*TableauRecette[[#This Row],[fraction mélange]]</f>
        <v/>
      </c>
      <c r="N330">
        <f>_xlfn.XLOOKUP(TableauRecette[[#This Row],[ID]],TableauProduit[ID],TableauProduit[Total (kg) N3],0,0,1)*TableauRecette[[#This Row],[fraction mélange]]</f>
        <v/>
      </c>
      <c r="O330">
        <f>_xlfn.XLOOKUP(TableauRecette[[#This Row],[ID]],TableauProduit[ID],TableauProduit[Total (kg) N4],0,0,1)*TableauRecette[[#This Row],[fraction mélange]]</f>
        <v/>
      </c>
      <c r="P330">
        <f>_xlfn.XLOOKUP(TableauRecette[[#This Row],[ID]],TableauProduit[ID],TableauProduit[Total (kg) N5],0,0,1)*TableauRecette[[#This Row],[fraction mélange]]</f>
        <v/>
      </c>
      <c r="Q330">
        <f>_xlfn.XLOOKUP(TableauRecette[[#This Row],[ID]],TableauProduit[ID],TableauProduit[Total (kg) N6],0,0,1)*TableauRecette[[#This Row],[fraction mélange]]</f>
        <v/>
      </c>
      <c r="R330">
        <f>_xlfn.XLOOKUP(TableauRecette[[#This Row],[ID]],TableauProduit[ID],TableauProduit[Total (kg) N7],0,0,1)*TableauRecette[[#This Row],[fraction mélange]]</f>
        <v/>
      </c>
      <c r="S330">
        <f>_xlfn.XLOOKUP(TableauRecette[[#This Row],[ID]],TableauProduit[ID],TableauProduit[Total (kg) N8],0,0,1)*TableauRecette[[#This Row],[fraction mélange]]</f>
        <v/>
      </c>
      <c r="T330">
        <f>_xlfn.XLOOKUP(TableauRecette[[#This Row],[ID]],TableauProduit[ID],TableauProduit[Total (kg) N9],0,0,1)*TableauRecette[[#This Row],[fraction mélange]]</f>
        <v/>
      </c>
    </row>
    <row r="331">
      <c r="A331" t="inlineStr">
        <is>
          <t>Steak de Montréal</t>
        </is>
      </c>
      <c r="B331">
        <f>TableauRecette[[#This Row],[Recette]]&amp;TableauRecette[[#This Row],[Conditionnement]]</f>
        <v/>
      </c>
      <c r="C331" t="inlineStr">
        <is>
          <t>Romarin</t>
        </is>
      </c>
      <c r="D331" t="n">
        <v>1</v>
      </c>
      <c r="E331" t="inlineStr">
        <is>
          <t>Epice 100ml</t>
        </is>
      </c>
      <c r="F3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1">
        <f>IFERROR(_xlfn.XLOOKUP(TableauRecette[[#This Row],[Ingredients]],TableauIngredients[Ingredients],TableauIngredients[Prix d''achat / kg],0)*TableauRecette[[#This Row],[fraction mélange]],0)</f>
        <v/>
      </c>
      <c r="H331">
        <f>IFERROR(SUMIFS(TableauRecette[Proportion],TableauRecette[Recette],TableauRecette[[#This Row],[Recette]],TableauRecette[Conditionnement],TableauRecette[[#This Row],[Conditionnement]]),0)</f>
        <v/>
      </c>
      <c r="I331">
        <f>IFERROR(TableauRecette[[#This Row],[Prix d''achat / kg]],0)</f>
        <v/>
      </c>
      <c r="L331">
        <f>_xlfn.XLOOKUP(TableauRecette[[#This Row],[ID]],TableauProduit[ID],TableauProduit[Total (kg) N1],0,0,1)*TableauRecette[[#This Row],[fraction mélange]]</f>
        <v/>
      </c>
      <c r="M331">
        <f>_xlfn.XLOOKUP(TableauRecette[[#This Row],[ID]],TableauProduit[ID],TableauProduit[Total (kg) N2],0,0,1)*TableauRecette[[#This Row],[fraction mélange]]</f>
        <v/>
      </c>
      <c r="N331">
        <f>_xlfn.XLOOKUP(TableauRecette[[#This Row],[ID]],TableauProduit[ID],TableauProduit[Total (kg) N3],0,0,1)*TableauRecette[[#This Row],[fraction mélange]]</f>
        <v/>
      </c>
      <c r="O331">
        <f>_xlfn.XLOOKUP(TableauRecette[[#This Row],[ID]],TableauProduit[ID],TableauProduit[Total (kg) N4],0,0,1)*TableauRecette[[#This Row],[fraction mélange]]</f>
        <v/>
      </c>
      <c r="P331">
        <f>_xlfn.XLOOKUP(TableauRecette[[#This Row],[ID]],TableauProduit[ID],TableauProduit[Total (kg) N5],0,0,1)*TableauRecette[[#This Row],[fraction mélange]]</f>
        <v/>
      </c>
      <c r="Q331">
        <f>_xlfn.XLOOKUP(TableauRecette[[#This Row],[ID]],TableauProduit[ID],TableauProduit[Total (kg) N6],0,0,1)*TableauRecette[[#This Row],[fraction mélange]]</f>
        <v/>
      </c>
      <c r="R331">
        <f>_xlfn.XLOOKUP(TableauRecette[[#This Row],[ID]],TableauProduit[ID],TableauProduit[Total (kg) N7],0,0,1)*TableauRecette[[#This Row],[fraction mélange]]</f>
        <v/>
      </c>
      <c r="S331">
        <f>_xlfn.XLOOKUP(TableauRecette[[#This Row],[ID]],TableauProduit[ID],TableauProduit[Total (kg) N8],0,0,1)*TableauRecette[[#This Row],[fraction mélange]]</f>
        <v/>
      </c>
      <c r="T331">
        <f>_xlfn.XLOOKUP(TableauRecette[[#This Row],[ID]],TableauProduit[ID],TableauProduit[Total (kg) N9],0,0,1)*TableauRecette[[#This Row],[fraction mélange]]</f>
        <v/>
      </c>
    </row>
    <row r="332">
      <c r="A332" t="inlineStr">
        <is>
          <t>Steak de Montréal</t>
        </is>
      </c>
      <c r="B332">
        <f>TableauRecette[[#This Row],[Recette]]&amp;TableauRecette[[#This Row],[Conditionnement]]</f>
        <v/>
      </c>
      <c r="C332" t="inlineStr">
        <is>
          <t>Graine De Moutarde</t>
        </is>
      </c>
      <c r="D332" t="n">
        <v>1</v>
      </c>
      <c r="E332" t="inlineStr">
        <is>
          <t>Epice 100ml</t>
        </is>
      </c>
      <c r="F33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2">
        <f>IFERROR(_xlfn.XLOOKUP(TableauRecette[[#This Row],[Ingredients]],TableauIngredients[Ingredients],TableauIngredients[Prix d''achat / kg],0)*TableauRecette[[#This Row],[fraction mélange]],0)</f>
        <v/>
      </c>
      <c r="H332">
        <f>IFERROR(SUMIFS(TableauRecette[Proportion],TableauRecette[Recette],TableauRecette[[#This Row],[Recette]],TableauRecette[Conditionnement],TableauRecette[[#This Row],[Conditionnement]]),0)</f>
        <v/>
      </c>
      <c r="I332">
        <f>IFERROR(TableauRecette[[#This Row],[Prix d''achat / kg]],0)</f>
        <v/>
      </c>
      <c r="L332">
        <f>_xlfn.XLOOKUP(TableauRecette[[#This Row],[ID]],TableauProduit[ID],TableauProduit[Total (kg) N1],0,0,1)*TableauRecette[[#This Row],[fraction mélange]]</f>
        <v/>
      </c>
      <c r="M332">
        <f>_xlfn.XLOOKUP(TableauRecette[[#This Row],[ID]],TableauProduit[ID],TableauProduit[Total (kg) N2],0,0,1)*TableauRecette[[#This Row],[fraction mélange]]</f>
        <v/>
      </c>
      <c r="N332">
        <f>_xlfn.XLOOKUP(TableauRecette[[#This Row],[ID]],TableauProduit[ID],TableauProduit[Total (kg) N3],0,0,1)*TableauRecette[[#This Row],[fraction mélange]]</f>
        <v/>
      </c>
      <c r="O332">
        <f>_xlfn.XLOOKUP(TableauRecette[[#This Row],[ID]],TableauProduit[ID],TableauProduit[Total (kg) N4],0,0,1)*TableauRecette[[#This Row],[fraction mélange]]</f>
        <v/>
      </c>
      <c r="P332">
        <f>_xlfn.XLOOKUP(TableauRecette[[#This Row],[ID]],TableauProduit[ID],TableauProduit[Total (kg) N5],0,0,1)*TableauRecette[[#This Row],[fraction mélange]]</f>
        <v/>
      </c>
      <c r="Q332">
        <f>_xlfn.XLOOKUP(TableauRecette[[#This Row],[ID]],TableauProduit[ID],TableauProduit[Total (kg) N6],0,0,1)*TableauRecette[[#This Row],[fraction mélange]]</f>
        <v/>
      </c>
      <c r="R332">
        <f>_xlfn.XLOOKUP(TableauRecette[[#This Row],[ID]],TableauProduit[ID],TableauProduit[Total (kg) N7],0,0,1)*TableauRecette[[#This Row],[fraction mélange]]</f>
        <v/>
      </c>
      <c r="S332">
        <f>_xlfn.XLOOKUP(TableauRecette[[#This Row],[ID]],TableauProduit[ID],TableauProduit[Total (kg) N8],0,0,1)*TableauRecette[[#This Row],[fraction mélange]]</f>
        <v/>
      </c>
      <c r="T332">
        <f>_xlfn.XLOOKUP(TableauRecette[[#This Row],[ID]],TableauProduit[ID],TableauProduit[Total (kg) N9],0,0,1)*TableauRecette[[#This Row],[fraction mélange]]</f>
        <v/>
      </c>
    </row>
    <row r="333">
      <c r="A333" t="inlineStr">
        <is>
          <t>Steak de Montréal</t>
        </is>
      </c>
      <c r="B333">
        <f>TableauRecette[[#This Row],[Recette]]&amp;TableauRecette[[#This Row],[Conditionnement]]</f>
        <v/>
      </c>
      <c r="C333" t="inlineStr">
        <is>
          <t>Graine De Cumin</t>
        </is>
      </c>
      <c r="D333" t="n">
        <v>1</v>
      </c>
      <c r="E333" t="inlineStr">
        <is>
          <t>Epice 100ml</t>
        </is>
      </c>
      <c r="F3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3">
        <f>IFERROR(_xlfn.XLOOKUP(TableauRecette[[#This Row],[Ingredients]],TableauIngredients[Ingredients],TableauIngredients[Prix d''achat / kg],0)*TableauRecette[[#This Row],[fraction mélange]],0)</f>
        <v/>
      </c>
      <c r="H333">
        <f>IFERROR(SUMIFS(TableauRecette[Proportion],TableauRecette[Recette],TableauRecette[[#This Row],[Recette]],TableauRecette[Conditionnement],TableauRecette[[#This Row],[Conditionnement]]),0)</f>
        <v/>
      </c>
      <c r="I333">
        <f>IFERROR(TableauRecette[[#This Row],[Prix d''achat / kg]],0)</f>
        <v/>
      </c>
      <c r="L333">
        <f>_xlfn.XLOOKUP(TableauRecette[[#This Row],[ID]],TableauProduit[ID],TableauProduit[Total (kg) N1],0,0,1)*TableauRecette[[#This Row],[fraction mélange]]</f>
        <v/>
      </c>
      <c r="M333">
        <f>_xlfn.XLOOKUP(TableauRecette[[#This Row],[ID]],TableauProduit[ID],TableauProduit[Total (kg) N2],0,0,1)*TableauRecette[[#This Row],[fraction mélange]]</f>
        <v/>
      </c>
      <c r="N333">
        <f>_xlfn.XLOOKUP(TableauRecette[[#This Row],[ID]],TableauProduit[ID],TableauProduit[Total (kg) N3],0,0,1)*TableauRecette[[#This Row],[fraction mélange]]</f>
        <v/>
      </c>
      <c r="O333">
        <f>_xlfn.XLOOKUP(TableauRecette[[#This Row],[ID]],TableauProduit[ID],TableauProduit[Total (kg) N4],0,0,1)*TableauRecette[[#This Row],[fraction mélange]]</f>
        <v/>
      </c>
      <c r="P333">
        <f>_xlfn.XLOOKUP(TableauRecette[[#This Row],[ID]],TableauProduit[ID],TableauProduit[Total (kg) N5],0,0,1)*TableauRecette[[#This Row],[fraction mélange]]</f>
        <v/>
      </c>
      <c r="Q333">
        <f>_xlfn.XLOOKUP(TableauRecette[[#This Row],[ID]],TableauProduit[ID],TableauProduit[Total (kg) N6],0,0,1)*TableauRecette[[#This Row],[fraction mélange]]</f>
        <v/>
      </c>
      <c r="R333">
        <f>_xlfn.XLOOKUP(TableauRecette[[#This Row],[ID]],TableauProduit[ID],TableauProduit[Total (kg) N7],0,0,1)*TableauRecette[[#This Row],[fraction mélange]]</f>
        <v/>
      </c>
      <c r="S333">
        <f>_xlfn.XLOOKUP(TableauRecette[[#This Row],[ID]],TableauProduit[ID],TableauProduit[Total (kg) N8],0,0,1)*TableauRecette[[#This Row],[fraction mélange]]</f>
        <v/>
      </c>
      <c r="T333">
        <f>_xlfn.XLOOKUP(TableauRecette[[#This Row],[ID]],TableauProduit[ID],TableauProduit[Total (kg) N9],0,0,1)*TableauRecette[[#This Row],[fraction mélange]]</f>
        <v/>
      </c>
    </row>
    <row r="334">
      <c r="A334" t="inlineStr">
        <is>
          <t>Steak de Montréal</t>
        </is>
      </c>
      <c r="B334">
        <f>TableauRecette[[#This Row],[Recette]]&amp;TableauRecette[[#This Row],[Conditionnement]]</f>
        <v/>
      </c>
      <c r="C334" t="inlineStr">
        <is>
          <t>Origan</t>
        </is>
      </c>
      <c r="D334" t="n">
        <v>1</v>
      </c>
      <c r="E334" t="inlineStr">
        <is>
          <t>Epice 100ml</t>
        </is>
      </c>
      <c r="F33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4">
        <f>IFERROR(_xlfn.XLOOKUP(TableauRecette[[#This Row],[Ingredients]],TableauIngredients[Ingredients],TableauIngredients[Prix d''achat / kg],0)*TableauRecette[[#This Row],[fraction mélange]],0)</f>
        <v/>
      </c>
      <c r="H334">
        <f>IFERROR(SUMIFS(TableauRecette[Proportion],TableauRecette[Recette],TableauRecette[[#This Row],[Recette]],TableauRecette[Conditionnement],TableauRecette[[#This Row],[Conditionnement]]),0)</f>
        <v/>
      </c>
      <c r="I334">
        <f>IFERROR(TableauRecette[[#This Row],[Prix d''achat / kg]],0)</f>
        <v/>
      </c>
      <c r="L334">
        <f>_xlfn.XLOOKUP(TableauRecette[[#This Row],[ID]],TableauProduit[ID],TableauProduit[Total (kg) N1],0,0,1)*TableauRecette[[#This Row],[fraction mélange]]</f>
        <v/>
      </c>
      <c r="M334">
        <f>_xlfn.XLOOKUP(TableauRecette[[#This Row],[ID]],TableauProduit[ID],TableauProduit[Total (kg) N2],0,0,1)*TableauRecette[[#This Row],[fraction mélange]]</f>
        <v/>
      </c>
      <c r="N334">
        <f>_xlfn.XLOOKUP(TableauRecette[[#This Row],[ID]],TableauProduit[ID],TableauProduit[Total (kg) N3],0,0,1)*TableauRecette[[#This Row],[fraction mélange]]</f>
        <v/>
      </c>
      <c r="O334">
        <f>_xlfn.XLOOKUP(TableauRecette[[#This Row],[ID]],TableauProduit[ID],TableauProduit[Total (kg) N4],0,0,1)*TableauRecette[[#This Row],[fraction mélange]]</f>
        <v/>
      </c>
      <c r="P334">
        <f>_xlfn.XLOOKUP(TableauRecette[[#This Row],[ID]],TableauProduit[ID],TableauProduit[Total (kg) N5],0,0,1)*TableauRecette[[#This Row],[fraction mélange]]</f>
        <v/>
      </c>
      <c r="Q334">
        <f>_xlfn.XLOOKUP(TableauRecette[[#This Row],[ID]],TableauProduit[ID],TableauProduit[Total (kg) N6],0,0,1)*TableauRecette[[#This Row],[fraction mélange]]</f>
        <v/>
      </c>
      <c r="R334">
        <f>_xlfn.XLOOKUP(TableauRecette[[#This Row],[ID]],TableauProduit[ID],TableauProduit[Total (kg) N7],0,0,1)*TableauRecette[[#This Row],[fraction mélange]]</f>
        <v/>
      </c>
      <c r="S334">
        <f>_xlfn.XLOOKUP(TableauRecette[[#This Row],[ID]],TableauProduit[ID],TableauProduit[Total (kg) N8],0,0,1)*TableauRecette[[#This Row],[fraction mélange]]</f>
        <v/>
      </c>
      <c r="T334">
        <f>_xlfn.XLOOKUP(TableauRecette[[#This Row],[ID]],TableauProduit[ID],TableauProduit[Total (kg) N9],0,0,1)*TableauRecette[[#This Row],[fraction mélange]]</f>
        <v/>
      </c>
    </row>
    <row r="335">
      <c r="A335" t="inlineStr">
        <is>
          <t>Steak de Montréal</t>
        </is>
      </c>
      <c r="B335">
        <f>TableauRecette[[#This Row],[Recette]]&amp;TableauRecette[[#This Row],[Conditionnement]]</f>
        <v/>
      </c>
      <c r="C335" t="inlineStr">
        <is>
          <t>Basilic SEC</t>
        </is>
      </c>
      <c r="D335" t="n">
        <v>1</v>
      </c>
      <c r="E335" t="inlineStr">
        <is>
          <t>Epice 100ml</t>
        </is>
      </c>
      <c r="F33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5">
        <f>IFERROR(_xlfn.XLOOKUP(TableauRecette[[#This Row],[Ingredients]],TableauIngredients[Ingredients],TableauIngredients[Prix d''achat / kg],0)*TableauRecette[[#This Row],[fraction mélange]],0)</f>
        <v/>
      </c>
      <c r="H335">
        <f>IFERROR(SUMIFS(TableauRecette[Proportion],TableauRecette[Recette],TableauRecette[[#This Row],[Recette]],TableauRecette[Conditionnement],TableauRecette[[#This Row],[Conditionnement]]),0)</f>
        <v/>
      </c>
      <c r="I335">
        <f>IFERROR(TableauRecette[[#This Row],[Prix d''achat / kg]],0)</f>
        <v/>
      </c>
      <c r="K335" t="inlineStr">
        <is>
          <t>SEC</t>
        </is>
      </c>
      <c r="L335">
        <f>_xlfn.XLOOKUP(TableauRecette[[#This Row],[ID]],TableauProduit[ID],TableauProduit[Total (kg) N1],0,0,1)*TableauRecette[[#This Row],[fraction mélange]]</f>
        <v/>
      </c>
      <c r="M335">
        <f>_xlfn.XLOOKUP(TableauRecette[[#This Row],[ID]],TableauProduit[ID],TableauProduit[Total (kg) N2],0,0,1)*TableauRecette[[#This Row],[fraction mélange]]</f>
        <v/>
      </c>
      <c r="N335">
        <f>_xlfn.XLOOKUP(TableauRecette[[#This Row],[ID]],TableauProduit[ID],TableauProduit[Total (kg) N3],0,0,1)*TableauRecette[[#This Row],[fraction mélange]]</f>
        <v/>
      </c>
      <c r="O335">
        <f>_xlfn.XLOOKUP(TableauRecette[[#This Row],[ID]],TableauProduit[ID],TableauProduit[Total (kg) N4],0,0,1)*TableauRecette[[#This Row],[fraction mélange]]</f>
        <v/>
      </c>
      <c r="P335">
        <f>_xlfn.XLOOKUP(TableauRecette[[#This Row],[ID]],TableauProduit[ID],TableauProduit[Total (kg) N5],0,0,1)*TableauRecette[[#This Row],[fraction mélange]]</f>
        <v/>
      </c>
      <c r="Q335">
        <f>_xlfn.XLOOKUP(TableauRecette[[#This Row],[ID]],TableauProduit[ID],TableauProduit[Total (kg) N6],0,0,1)*TableauRecette[[#This Row],[fraction mélange]]</f>
        <v/>
      </c>
      <c r="R335">
        <f>_xlfn.XLOOKUP(TableauRecette[[#This Row],[ID]],TableauProduit[ID],TableauProduit[Total (kg) N7],0,0,1)*TableauRecette[[#This Row],[fraction mélange]]</f>
        <v/>
      </c>
      <c r="S335">
        <f>_xlfn.XLOOKUP(TableauRecette[[#This Row],[ID]],TableauProduit[ID],TableauProduit[Total (kg) N8],0,0,1)*TableauRecette[[#This Row],[fraction mélange]]</f>
        <v/>
      </c>
      <c r="T335">
        <f>_xlfn.XLOOKUP(TableauRecette[[#This Row],[ID]],TableauProduit[ID],TableauProduit[Total (kg) N9],0,0,1)*TableauRecette[[#This Row],[fraction mélange]]</f>
        <v/>
      </c>
    </row>
    <row r="336">
      <c r="A336" t="inlineStr">
        <is>
          <t>Steak de Montréal</t>
        </is>
      </c>
      <c r="B336">
        <f>TableauRecette[[#This Row],[Recette]]&amp;TableauRecette[[#This Row],[Conditionnement]]</f>
        <v/>
      </c>
      <c r="C336" t="inlineStr">
        <is>
          <t>Marjolaine</t>
        </is>
      </c>
      <c r="D336" t="n">
        <v>1</v>
      </c>
      <c r="E336" t="inlineStr">
        <is>
          <t>Epice 100ml</t>
        </is>
      </c>
      <c r="F33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6">
        <f>IFERROR(_xlfn.XLOOKUP(TableauRecette[[#This Row],[Ingredients]],TableauIngredients[Ingredients],TableauIngredients[Prix d''achat / kg],0)*TableauRecette[[#This Row],[fraction mélange]],0)</f>
        <v/>
      </c>
      <c r="H336">
        <f>IFERROR(SUMIFS(TableauRecette[Proportion],TableauRecette[Recette],TableauRecette[[#This Row],[Recette]],TableauRecette[Conditionnement],TableauRecette[[#This Row],[Conditionnement]]),0)</f>
        <v/>
      </c>
      <c r="I336">
        <f>IFERROR(TableauRecette[[#This Row],[Prix d''achat / kg]],0)</f>
        <v/>
      </c>
      <c r="L336">
        <f>_xlfn.XLOOKUP(TableauRecette[[#This Row],[ID]],TableauProduit[ID],TableauProduit[Total (kg) N1],0,0,1)*TableauRecette[[#This Row],[fraction mélange]]</f>
        <v/>
      </c>
      <c r="M336">
        <f>_xlfn.XLOOKUP(TableauRecette[[#This Row],[ID]],TableauProduit[ID],TableauProduit[Total (kg) N2],0,0,1)*TableauRecette[[#This Row],[fraction mélange]]</f>
        <v/>
      </c>
      <c r="N336">
        <f>_xlfn.XLOOKUP(TableauRecette[[#This Row],[ID]],TableauProduit[ID],TableauProduit[Total (kg) N3],0,0,1)*TableauRecette[[#This Row],[fraction mélange]]</f>
        <v/>
      </c>
      <c r="O336">
        <f>_xlfn.XLOOKUP(TableauRecette[[#This Row],[ID]],TableauProduit[ID],TableauProduit[Total (kg) N4],0,0,1)*TableauRecette[[#This Row],[fraction mélange]]</f>
        <v/>
      </c>
      <c r="P336">
        <f>_xlfn.XLOOKUP(TableauRecette[[#This Row],[ID]],TableauProduit[ID],TableauProduit[Total (kg) N5],0,0,1)*TableauRecette[[#This Row],[fraction mélange]]</f>
        <v/>
      </c>
      <c r="Q336">
        <f>_xlfn.XLOOKUP(TableauRecette[[#This Row],[ID]],TableauProduit[ID],TableauProduit[Total (kg) N6],0,0,1)*TableauRecette[[#This Row],[fraction mélange]]</f>
        <v/>
      </c>
      <c r="R336">
        <f>_xlfn.XLOOKUP(TableauRecette[[#This Row],[ID]],TableauProduit[ID],TableauProduit[Total (kg) N7],0,0,1)*TableauRecette[[#This Row],[fraction mélange]]</f>
        <v/>
      </c>
      <c r="S336">
        <f>_xlfn.XLOOKUP(TableauRecette[[#This Row],[ID]],TableauProduit[ID],TableauProduit[Total (kg) N8],0,0,1)*TableauRecette[[#This Row],[fraction mélange]]</f>
        <v/>
      </c>
      <c r="T336">
        <f>_xlfn.XLOOKUP(TableauRecette[[#This Row],[ID]],TableauProduit[ID],TableauProduit[Total (kg) N9],0,0,1)*TableauRecette[[#This Row],[fraction mélange]]</f>
        <v/>
      </c>
    </row>
    <row r="337">
      <c r="A337" t="inlineStr">
        <is>
          <t>Steak de Montréal</t>
        </is>
      </c>
      <c r="B337">
        <f>TableauRecette[[#This Row],[Recette]]&amp;TableauRecette[[#This Row],[Conditionnement]]</f>
        <v/>
      </c>
      <c r="C337" t="inlineStr">
        <is>
          <t>Thym</t>
        </is>
      </c>
      <c r="D337" t="n">
        <v>1</v>
      </c>
      <c r="E337" t="inlineStr">
        <is>
          <t>Epice 100ml</t>
        </is>
      </c>
      <c r="F33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7">
        <f>IFERROR(_xlfn.XLOOKUP(TableauRecette[[#This Row],[Ingredients]],TableauIngredients[Ingredients],TableauIngredients[Prix d''achat / kg],0)*TableauRecette[[#This Row],[fraction mélange]],0)</f>
        <v/>
      </c>
      <c r="H337">
        <f>IFERROR(SUMIFS(TableauRecette[Proportion],TableauRecette[Recette],TableauRecette[[#This Row],[Recette]],TableauRecette[Conditionnement],TableauRecette[[#This Row],[Conditionnement]]),0)</f>
        <v/>
      </c>
      <c r="I337">
        <f>IFERROR(TableauRecette[[#This Row],[Prix d''achat / kg]],0)</f>
        <v/>
      </c>
      <c r="L337">
        <f>_xlfn.XLOOKUP(TableauRecette[[#This Row],[ID]],TableauProduit[ID],TableauProduit[Total (kg) N1],0,0,1)*TableauRecette[[#This Row],[fraction mélange]]</f>
        <v/>
      </c>
      <c r="M337">
        <f>_xlfn.XLOOKUP(TableauRecette[[#This Row],[ID]],TableauProduit[ID],TableauProduit[Total (kg) N2],0,0,1)*TableauRecette[[#This Row],[fraction mélange]]</f>
        <v/>
      </c>
      <c r="N337">
        <f>_xlfn.XLOOKUP(TableauRecette[[#This Row],[ID]],TableauProduit[ID],TableauProduit[Total (kg) N3],0,0,1)*TableauRecette[[#This Row],[fraction mélange]]</f>
        <v/>
      </c>
      <c r="O337">
        <f>_xlfn.XLOOKUP(TableauRecette[[#This Row],[ID]],TableauProduit[ID],TableauProduit[Total (kg) N4],0,0,1)*TableauRecette[[#This Row],[fraction mélange]]</f>
        <v/>
      </c>
      <c r="P337">
        <f>_xlfn.XLOOKUP(TableauRecette[[#This Row],[ID]],TableauProduit[ID],TableauProduit[Total (kg) N5],0,0,1)*TableauRecette[[#This Row],[fraction mélange]]</f>
        <v/>
      </c>
      <c r="Q337">
        <f>_xlfn.XLOOKUP(TableauRecette[[#This Row],[ID]],TableauProduit[ID],TableauProduit[Total (kg) N6],0,0,1)*TableauRecette[[#This Row],[fraction mélange]]</f>
        <v/>
      </c>
      <c r="R337">
        <f>_xlfn.XLOOKUP(TableauRecette[[#This Row],[ID]],TableauProduit[ID],TableauProduit[Total (kg) N7],0,0,1)*TableauRecette[[#This Row],[fraction mélange]]</f>
        <v/>
      </c>
      <c r="S337">
        <f>_xlfn.XLOOKUP(TableauRecette[[#This Row],[ID]],TableauProduit[ID],TableauProduit[Total (kg) N8],0,0,1)*TableauRecette[[#This Row],[fraction mélange]]</f>
        <v/>
      </c>
      <c r="T337">
        <f>_xlfn.XLOOKUP(TableauRecette[[#This Row],[ID]],TableauProduit[ID],TableauProduit[Total (kg) N9],0,0,1)*TableauRecette[[#This Row],[fraction mélange]]</f>
        <v/>
      </c>
    </row>
    <row r="338">
      <c r="A338" t="inlineStr">
        <is>
          <t>Steak de Montréal</t>
        </is>
      </c>
      <c r="B338">
        <f>TableauRecette[[#This Row],[Recette]]&amp;TableauRecette[[#This Row],[Conditionnement]]</f>
        <v/>
      </c>
      <c r="C338" t="inlineStr">
        <is>
          <t>Piment De Cayenne Jaune SEC</t>
        </is>
      </c>
      <c r="D338">
        <f>1/3</f>
        <v/>
      </c>
      <c r="E338" t="inlineStr">
        <is>
          <t>Epice 100ml</t>
        </is>
      </c>
      <c r="F33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8">
        <f>IFERROR(_xlfn.XLOOKUP(TableauRecette[[#This Row],[Ingredients]],TableauIngredients[Ingredients],TableauIngredients[Prix d''achat / kg],0)*TableauRecette[[#This Row],[fraction mélange]],0)</f>
        <v/>
      </c>
      <c r="H338">
        <f>IFERROR(SUMIFS(TableauRecette[Proportion],TableauRecette[Recette],TableauRecette[[#This Row],[Recette]],TableauRecette[Conditionnement],TableauRecette[[#This Row],[Conditionnement]]),0)</f>
        <v/>
      </c>
      <c r="I338">
        <f>IFERROR(TableauRecette[[#This Row],[Prix d''achat / kg]],0)</f>
        <v/>
      </c>
      <c r="K338" t="inlineStr">
        <is>
          <t>SEC</t>
        </is>
      </c>
      <c r="L338">
        <f>_xlfn.XLOOKUP(TableauRecette[[#This Row],[ID]],TableauProduit[ID],TableauProduit[Total (kg) N1],0,0,1)*TableauRecette[[#This Row],[fraction mélange]]</f>
        <v/>
      </c>
      <c r="M338">
        <f>_xlfn.XLOOKUP(TableauRecette[[#This Row],[ID]],TableauProduit[ID],TableauProduit[Total (kg) N2],0,0,1)*TableauRecette[[#This Row],[fraction mélange]]</f>
        <v/>
      </c>
      <c r="N338">
        <f>_xlfn.XLOOKUP(TableauRecette[[#This Row],[ID]],TableauProduit[ID],TableauProduit[Total (kg) N3],0,0,1)*TableauRecette[[#This Row],[fraction mélange]]</f>
        <v/>
      </c>
      <c r="O338">
        <f>_xlfn.XLOOKUP(TableauRecette[[#This Row],[ID]],TableauProduit[ID],TableauProduit[Total (kg) N4],0,0,1)*TableauRecette[[#This Row],[fraction mélange]]</f>
        <v/>
      </c>
      <c r="P338">
        <f>_xlfn.XLOOKUP(TableauRecette[[#This Row],[ID]],TableauProduit[ID],TableauProduit[Total (kg) N5],0,0,1)*TableauRecette[[#This Row],[fraction mélange]]</f>
        <v/>
      </c>
      <c r="Q338">
        <f>_xlfn.XLOOKUP(TableauRecette[[#This Row],[ID]],TableauProduit[ID],TableauProduit[Total (kg) N6],0,0,1)*TableauRecette[[#This Row],[fraction mélange]]</f>
        <v/>
      </c>
      <c r="R338">
        <f>_xlfn.XLOOKUP(TableauRecette[[#This Row],[ID]],TableauProduit[ID],TableauProduit[Total (kg) N7],0,0,1)*TableauRecette[[#This Row],[fraction mélange]]</f>
        <v/>
      </c>
      <c r="S338">
        <f>_xlfn.XLOOKUP(TableauRecette[[#This Row],[ID]],TableauProduit[ID],TableauProduit[Total (kg) N8],0,0,1)*TableauRecette[[#This Row],[fraction mélange]]</f>
        <v/>
      </c>
      <c r="T338">
        <f>_xlfn.XLOOKUP(TableauRecette[[#This Row],[ID]],TableauProduit[ID],TableauProduit[Total (kg) N9],0,0,1)*TableauRecette[[#This Row],[fraction mélange]]</f>
        <v/>
      </c>
    </row>
    <row r="339">
      <c r="A339" t="inlineStr">
        <is>
          <t>Steak de Montréal</t>
        </is>
      </c>
      <c r="B339">
        <f>TableauRecette[[#This Row],[Recette]]&amp;TableauRecette[[#This Row],[Conditionnement]]</f>
        <v/>
      </c>
      <c r="C339" t="inlineStr">
        <is>
          <t>Ail Sec</t>
        </is>
      </c>
      <c r="D339" t="n">
        <v>2</v>
      </c>
      <c r="E339" t="inlineStr">
        <is>
          <t>Epice 100ml</t>
        </is>
      </c>
      <c r="F33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9">
        <f>IFERROR(_xlfn.XLOOKUP(TableauRecette[[#This Row],[Ingredients]],TableauIngredients[Ingredients],TableauIngredients[Prix d''achat / kg],0)*TableauRecette[[#This Row],[fraction mélange]],0)</f>
        <v/>
      </c>
      <c r="H339">
        <f>IFERROR(SUMIFS(TableauRecette[Proportion],TableauRecette[Recette],TableauRecette[[#This Row],[Recette]],TableauRecette[Conditionnement],TableauRecette[[#This Row],[Conditionnement]]),0)</f>
        <v/>
      </c>
      <c r="I339">
        <f>IFERROR(TableauRecette[[#This Row],[Prix d''achat / kg]],0)</f>
        <v/>
      </c>
      <c r="K339" t="inlineStr">
        <is>
          <t>SEC</t>
        </is>
      </c>
      <c r="L339">
        <f>_xlfn.XLOOKUP(TableauRecette[[#This Row],[ID]],TableauProduit[ID],TableauProduit[Total (kg) N1],0,0,1)*TableauRecette[[#This Row],[fraction mélange]]</f>
        <v/>
      </c>
      <c r="M339">
        <f>_xlfn.XLOOKUP(TableauRecette[[#This Row],[ID]],TableauProduit[ID],TableauProduit[Total (kg) N2],0,0,1)*TableauRecette[[#This Row],[fraction mélange]]</f>
        <v/>
      </c>
      <c r="N339">
        <f>_xlfn.XLOOKUP(TableauRecette[[#This Row],[ID]],TableauProduit[ID],TableauProduit[Total (kg) N3],0,0,1)*TableauRecette[[#This Row],[fraction mélange]]</f>
        <v/>
      </c>
      <c r="O339">
        <f>_xlfn.XLOOKUP(TableauRecette[[#This Row],[ID]],TableauProduit[ID],TableauProduit[Total (kg) N4],0,0,1)*TableauRecette[[#This Row],[fraction mélange]]</f>
        <v/>
      </c>
      <c r="P339">
        <f>_xlfn.XLOOKUP(TableauRecette[[#This Row],[ID]],TableauProduit[ID],TableauProduit[Total (kg) N5],0,0,1)*TableauRecette[[#This Row],[fraction mélange]]</f>
        <v/>
      </c>
      <c r="Q339">
        <f>_xlfn.XLOOKUP(TableauRecette[[#This Row],[ID]],TableauProduit[ID],TableauProduit[Total (kg) N6],0,0,1)*TableauRecette[[#This Row],[fraction mélange]]</f>
        <v/>
      </c>
      <c r="R339">
        <f>_xlfn.XLOOKUP(TableauRecette[[#This Row],[ID]],TableauProduit[ID],TableauProduit[Total (kg) N7],0,0,1)*TableauRecette[[#This Row],[fraction mélange]]</f>
        <v/>
      </c>
      <c r="S339">
        <f>_xlfn.XLOOKUP(TableauRecette[[#This Row],[ID]],TableauProduit[ID],TableauProduit[Total (kg) N8],0,0,1)*TableauRecette[[#This Row],[fraction mélange]]</f>
        <v/>
      </c>
      <c r="T339">
        <f>_xlfn.XLOOKUP(TableauRecette[[#This Row],[ID]],TableauProduit[ID],TableauProduit[Total (kg) N9],0,0,1)*TableauRecette[[#This Row],[fraction mélange]]</f>
        <v/>
      </c>
    </row>
    <row r="340">
      <c r="A340" t="inlineStr">
        <is>
          <t>Sucre à l'hibiscus</t>
        </is>
      </c>
      <c r="B340">
        <f>TableauRecette[[#This Row],[Recette]]&amp;TableauRecette[[#This Row],[Conditionnement]]</f>
        <v/>
      </c>
      <c r="C340" t="inlineStr">
        <is>
          <t>Hibiscus</t>
        </is>
      </c>
      <c r="D340" t="n">
        <v>94</v>
      </c>
      <c r="E340" t="inlineStr">
        <is>
          <t>Epice 200ml</t>
        </is>
      </c>
      <c r="F34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0">
        <f>IFERROR(_xlfn.XLOOKUP(TableauRecette[[#This Row],[Ingredients]],TableauIngredients[Ingredients],TableauIngredients[Prix d''achat / kg],0)*TableauRecette[[#This Row],[fraction mélange]],0)</f>
        <v/>
      </c>
      <c r="H340">
        <f>IFERROR(SUMIFS(TableauRecette[Proportion],TableauRecette[Recette],TableauRecette[[#This Row],[Recette]],TableauRecette[Conditionnement],TableauRecette[[#This Row],[Conditionnement]]),0)</f>
        <v/>
      </c>
      <c r="I340">
        <f>IFERROR(TableauRecette[[#This Row],[Prix d''achat / kg]],0)</f>
        <v/>
      </c>
      <c r="L340">
        <f>_xlfn.XLOOKUP(TableauRecette[[#This Row],[ID]],TableauProduit[ID],TableauProduit[Total (kg) N1],0,0,1)*TableauRecette[[#This Row],[fraction mélange]]</f>
        <v/>
      </c>
      <c r="M340">
        <f>_xlfn.XLOOKUP(TableauRecette[[#This Row],[ID]],TableauProduit[ID],TableauProduit[Total (kg) N2],0,0,1)*TableauRecette[[#This Row],[fraction mélange]]</f>
        <v/>
      </c>
      <c r="N340">
        <f>_xlfn.XLOOKUP(TableauRecette[[#This Row],[ID]],TableauProduit[ID],TableauProduit[Total (kg) N3],0,0,1)*TableauRecette[[#This Row],[fraction mélange]]</f>
        <v/>
      </c>
      <c r="O340">
        <f>_xlfn.XLOOKUP(TableauRecette[[#This Row],[ID]],TableauProduit[ID],TableauProduit[Total (kg) N4],0,0,1)*TableauRecette[[#This Row],[fraction mélange]]</f>
        <v/>
      </c>
      <c r="P340">
        <f>_xlfn.XLOOKUP(TableauRecette[[#This Row],[ID]],TableauProduit[ID],TableauProduit[Total (kg) N5],0,0,1)*TableauRecette[[#This Row],[fraction mélange]]</f>
        <v/>
      </c>
      <c r="Q340">
        <f>_xlfn.XLOOKUP(TableauRecette[[#This Row],[ID]],TableauProduit[ID],TableauProduit[Total (kg) N6],0,0,1)*TableauRecette[[#This Row],[fraction mélange]]</f>
        <v/>
      </c>
      <c r="R340">
        <f>_xlfn.XLOOKUP(TableauRecette[[#This Row],[ID]],TableauProduit[ID],TableauProduit[Total (kg) N7],0,0,1)*TableauRecette[[#This Row],[fraction mélange]]</f>
        <v/>
      </c>
      <c r="S340">
        <f>_xlfn.XLOOKUP(TableauRecette[[#This Row],[ID]],TableauProduit[ID],TableauProduit[Total (kg) N8],0,0,1)*TableauRecette[[#This Row],[fraction mélange]]</f>
        <v/>
      </c>
      <c r="T340">
        <f>_xlfn.XLOOKUP(TableauRecette[[#This Row],[ID]],TableauProduit[ID],TableauProduit[Total (kg) N9],0,0,1)*TableauRecette[[#This Row],[fraction mélange]]</f>
        <v/>
      </c>
    </row>
    <row r="341">
      <c r="A341" t="inlineStr">
        <is>
          <t>Sucre à l'hibiscus</t>
        </is>
      </c>
      <c r="B341">
        <f>TableauRecette[[#This Row],[Recette]]&amp;TableauRecette[[#This Row],[Conditionnement]]</f>
        <v/>
      </c>
      <c r="C341" t="inlineStr">
        <is>
          <t>Sucre Blanc</t>
        </is>
      </c>
      <c r="D341" t="n">
        <v>6</v>
      </c>
      <c r="E341" t="inlineStr">
        <is>
          <t>Epice 200ml</t>
        </is>
      </c>
      <c r="F34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1">
        <f>IFERROR(_xlfn.XLOOKUP(TableauRecette[[#This Row],[Ingredients]],TableauIngredients[Ingredients],TableauIngredients[Prix d''achat / kg],0)*TableauRecette[[#This Row],[fraction mélange]],0)</f>
        <v/>
      </c>
      <c r="H341">
        <f>IFERROR(SUMIFS(TableauRecette[Proportion],TableauRecette[Recette],TableauRecette[[#This Row],[Recette]],TableauRecette[Conditionnement],TableauRecette[[#This Row],[Conditionnement]]),0)</f>
        <v/>
      </c>
      <c r="I341">
        <f>IFERROR(TableauRecette[[#This Row],[Prix d''achat / kg]],0)</f>
        <v/>
      </c>
      <c r="L341">
        <f>_xlfn.XLOOKUP(TableauRecette[[#This Row],[ID]],TableauProduit[ID],TableauProduit[Total (kg) N1],0,0,1)*TableauRecette[[#This Row],[fraction mélange]]</f>
        <v/>
      </c>
      <c r="M341">
        <f>_xlfn.XLOOKUP(TableauRecette[[#This Row],[ID]],TableauProduit[ID],TableauProduit[Total (kg) N2],0,0,1)*TableauRecette[[#This Row],[fraction mélange]]</f>
        <v/>
      </c>
      <c r="N341">
        <f>_xlfn.XLOOKUP(TableauRecette[[#This Row],[ID]],TableauProduit[ID],TableauProduit[Total (kg) N3],0,0,1)*TableauRecette[[#This Row],[fraction mélange]]</f>
        <v/>
      </c>
      <c r="O341">
        <f>_xlfn.XLOOKUP(TableauRecette[[#This Row],[ID]],TableauProduit[ID],TableauProduit[Total (kg) N4],0,0,1)*TableauRecette[[#This Row],[fraction mélange]]</f>
        <v/>
      </c>
      <c r="P341">
        <f>_xlfn.XLOOKUP(TableauRecette[[#This Row],[ID]],TableauProduit[ID],TableauProduit[Total (kg) N5],0,0,1)*TableauRecette[[#This Row],[fraction mélange]]</f>
        <v/>
      </c>
      <c r="Q341">
        <f>_xlfn.XLOOKUP(TableauRecette[[#This Row],[ID]],TableauProduit[ID],TableauProduit[Total (kg) N6],0,0,1)*TableauRecette[[#This Row],[fraction mélange]]</f>
        <v/>
      </c>
      <c r="R341">
        <f>_xlfn.XLOOKUP(TableauRecette[[#This Row],[ID]],TableauProduit[ID],TableauProduit[Total (kg) N7],0,0,1)*TableauRecette[[#This Row],[fraction mélange]]</f>
        <v/>
      </c>
      <c r="S341">
        <f>_xlfn.XLOOKUP(TableauRecette[[#This Row],[ID]],TableauProduit[ID],TableauProduit[Total (kg) N8],0,0,1)*TableauRecette[[#This Row],[fraction mélange]]</f>
        <v/>
      </c>
      <c r="T341">
        <f>_xlfn.XLOOKUP(TableauRecette[[#This Row],[ID]],TableauProduit[ID],TableauProduit[Total (kg) N9],0,0,1)*TableauRecette[[#This Row],[fraction mélange]]</f>
        <v/>
      </c>
    </row>
    <row r="342">
      <c r="A342" t="inlineStr">
        <is>
          <t>Sucre aux fleurs</t>
        </is>
      </c>
      <c r="B342">
        <f>TableauRecette[[#This Row],[Recette]]&amp;TableauRecette[[#This Row],[Conditionnement]]</f>
        <v/>
      </c>
      <c r="C342" t="inlineStr">
        <is>
          <t>Sucre Blanc</t>
        </is>
      </c>
      <c r="D342" t="n">
        <v>220</v>
      </c>
      <c r="E342" t="inlineStr">
        <is>
          <t>Epice 100ml</t>
        </is>
      </c>
      <c r="F34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2">
        <f>IFERROR(_xlfn.XLOOKUP(TableauRecette[[#This Row],[Ingredients]],TableauIngredients[Ingredients],TableauIngredients[Prix d''achat / kg],0)*TableauRecette[[#This Row],[fraction mélange]],0)</f>
        <v/>
      </c>
      <c r="H342">
        <f>IFERROR(SUMIFS(TableauRecette[Proportion],TableauRecette[Recette],TableauRecette[[#This Row],[Recette]],TableauRecette[Conditionnement],TableauRecette[[#This Row],[Conditionnement]]),0)</f>
        <v/>
      </c>
      <c r="I342">
        <f>IFERROR(TableauRecette[[#This Row],[Prix d''achat / kg]],0)</f>
        <v/>
      </c>
      <c r="L342">
        <f>_xlfn.XLOOKUP(TableauRecette[[#This Row],[ID]],TableauProduit[ID],TableauProduit[Total (kg) N1],0,0,1)*TableauRecette[[#This Row],[fraction mélange]]</f>
        <v/>
      </c>
      <c r="M342">
        <f>_xlfn.XLOOKUP(TableauRecette[[#This Row],[ID]],TableauProduit[ID],TableauProduit[Total (kg) N2],0,0,1)*TableauRecette[[#This Row],[fraction mélange]]</f>
        <v/>
      </c>
      <c r="N342">
        <f>_xlfn.XLOOKUP(TableauRecette[[#This Row],[ID]],TableauProduit[ID],TableauProduit[Total (kg) N3],0,0,1)*TableauRecette[[#This Row],[fraction mélange]]</f>
        <v/>
      </c>
      <c r="O342">
        <f>_xlfn.XLOOKUP(TableauRecette[[#This Row],[ID]],TableauProduit[ID],TableauProduit[Total (kg) N4],0,0,1)*TableauRecette[[#This Row],[fraction mélange]]</f>
        <v/>
      </c>
      <c r="P342">
        <f>_xlfn.XLOOKUP(TableauRecette[[#This Row],[ID]],TableauProduit[ID],TableauProduit[Total (kg) N5],0,0,1)*TableauRecette[[#This Row],[fraction mélange]]</f>
        <v/>
      </c>
      <c r="Q342">
        <f>_xlfn.XLOOKUP(TableauRecette[[#This Row],[ID]],TableauProduit[ID],TableauProduit[Total (kg) N6],0,0,1)*TableauRecette[[#This Row],[fraction mélange]]</f>
        <v/>
      </c>
      <c r="R342">
        <f>_xlfn.XLOOKUP(TableauRecette[[#This Row],[ID]],TableauProduit[ID],TableauProduit[Total (kg) N7],0,0,1)*TableauRecette[[#This Row],[fraction mélange]]</f>
        <v/>
      </c>
      <c r="S342">
        <f>_xlfn.XLOOKUP(TableauRecette[[#This Row],[ID]],TableauProduit[ID],TableauProduit[Total (kg) N8],0,0,1)*TableauRecette[[#This Row],[fraction mélange]]</f>
        <v/>
      </c>
      <c r="T342">
        <f>_xlfn.XLOOKUP(TableauRecette[[#This Row],[ID]],TableauProduit[ID],TableauProduit[Total (kg) N9],0,0,1)*TableauRecette[[#This Row],[fraction mélange]]</f>
        <v/>
      </c>
    </row>
    <row r="343">
      <c r="A343" t="inlineStr">
        <is>
          <t>Sucre aux fleurs</t>
        </is>
      </c>
      <c r="B343">
        <f>TableauRecette[[#This Row],[Recette]]&amp;TableauRecette[[#This Row],[Conditionnement]]</f>
        <v/>
      </c>
      <c r="C343" t="inlineStr">
        <is>
          <t>Monarde SEC</t>
        </is>
      </c>
      <c r="D343" t="n">
        <v>1</v>
      </c>
      <c r="E343" t="inlineStr">
        <is>
          <t>Epice 100ml</t>
        </is>
      </c>
      <c r="F34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3">
        <f>IFERROR(_xlfn.XLOOKUP(TableauRecette[[#This Row],[Ingredients]],TableauIngredients[Ingredients],TableauIngredients[Prix d''achat / kg],0)*TableauRecette[[#This Row],[fraction mélange]],0)</f>
        <v/>
      </c>
      <c r="H343">
        <f>IFERROR(SUMIFS(TableauRecette[Proportion],TableauRecette[Recette],TableauRecette[[#This Row],[Recette]],TableauRecette[Conditionnement],TableauRecette[[#This Row],[Conditionnement]]),0)</f>
        <v/>
      </c>
      <c r="I343">
        <f>IFERROR(TableauRecette[[#This Row],[Prix d''achat / kg]],0)</f>
        <v/>
      </c>
      <c r="K343" t="inlineStr">
        <is>
          <t>SEC</t>
        </is>
      </c>
      <c r="L343">
        <f>_xlfn.XLOOKUP(TableauRecette[[#This Row],[ID]],TableauProduit[ID],TableauProduit[Total (kg) N1],0,0,1)*TableauRecette[[#This Row],[fraction mélange]]</f>
        <v/>
      </c>
      <c r="M343">
        <f>_xlfn.XLOOKUP(TableauRecette[[#This Row],[ID]],TableauProduit[ID],TableauProduit[Total (kg) N2],0,0,1)*TableauRecette[[#This Row],[fraction mélange]]</f>
        <v/>
      </c>
      <c r="N343">
        <f>_xlfn.XLOOKUP(TableauRecette[[#This Row],[ID]],TableauProduit[ID],TableauProduit[Total (kg) N3],0,0,1)*TableauRecette[[#This Row],[fraction mélange]]</f>
        <v/>
      </c>
      <c r="O343">
        <f>_xlfn.XLOOKUP(TableauRecette[[#This Row],[ID]],TableauProduit[ID],TableauProduit[Total (kg) N4],0,0,1)*TableauRecette[[#This Row],[fraction mélange]]</f>
        <v/>
      </c>
      <c r="P343">
        <f>_xlfn.XLOOKUP(TableauRecette[[#This Row],[ID]],TableauProduit[ID],TableauProduit[Total (kg) N5],0,0,1)*TableauRecette[[#This Row],[fraction mélange]]</f>
        <v/>
      </c>
      <c r="Q343">
        <f>_xlfn.XLOOKUP(TableauRecette[[#This Row],[ID]],TableauProduit[ID],TableauProduit[Total (kg) N6],0,0,1)*TableauRecette[[#This Row],[fraction mélange]]</f>
        <v/>
      </c>
      <c r="R343">
        <f>_xlfn.XLOOKUP(TableauRecette[[#This Row],[ID]],TableauProduit[ID],TableauProduit[Total (kg) N7],0,0,1)*TableauRecette[[#This Row],[fraction mélange]]</f>
        <v/>
      </c>
      <c r="S343">
        <f>_xlfn.XLOOKUP(TableauRecette[[#This Row],[ID]],TableauProduit[ID],TableauProduit[Total (kg) N8],0,0,1)*TableauRecette[[#This Row],[fraction mélange]]</f>
        <v/>
      </c>
      <c r="T343">
        <f>_xlfn.XLOOKUP(TableauRecette[[#This Row],[ID]],TableauProduit[ID],TableauProduit[Total (kg) N9],0,0,1)*TableauRecette[[#This Row],[fraction mélange]]</f>
        <v/>
      </c>
    </row>
    <row r="344">
      <c r="A344" t="inlineStr">
        <is>
          <t>Sucre aux fleurs</t>
        </is>
      </c>
      <c r="B344">
        <f>TableauRecette[[#This Row],[Recette]]&amp;TableauRecette[[#This Row],[Conditionnement]]</f>
        <v/>
      </c>
      <c r="C344" t="inlineStr">
        <is>
          <t>Mauve SEC</t>
        </is>
      </c>
      <c r="D344" t="n">
        <v>1</v>
      </c>
      <c r="E344" t="inlineStr">
        <is>
          <t>Epice 100ml</t>
        </is>
      </c>
      <c r="F34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4">
        <f>IFERROR(_xlfn.XLOOKUP(TableauRecette[[#This Row],[Ingredients]],TableauIngredients[Ingredients],TableauIngredients[Prix d''achat / kg],0)*TableauRecette[[#This Row],[fraction mélange]],0)</f>
        <v/>
      </c>
      <c r="H344">
        <f>IFERROR(SUMIFS(TableauRecette[Proportion],TableauRecette[Recette],TableauRecette[[#This Row],[Recette]],TableauRecette[Conditionnement],TableauRecette[[#This Row],[Conditionnement]]),0)</f>
        <v/>
      </c>
      <c r="I344">
        <f>IFERROR(TableauRecette[[#This Row],[Prix d''achat / kg]],0)</f>
        <v/>
      </c>
      <c r="K344" t="inlineStr">
        <is>
          <t>SEC</t>
        </is>
      </c>
      <c r="L344">
        <f>_xlfn.XLOOKUP(TableauRecette[[#This Row],[ID]],TableauProduit[ID],TableauProduit[Total (kg) N1],0,0,1)*TableauRecette[[#This Row],[fraction mélange]]</f>
        <v/>
      </c>
      <c r="M344">
        <f>_xlfn.XLOOKUP(TableauRecette[[#This Row],[ID]],TableauProduit[ID],TableauProduit[Total (kg) N2],0,0,1)*TableauRecette[[#This Row],[fraction mélange]]</f>
        <v/>
      </c>
      <c r="N344">
        <f>_xlfn.XLOOKUP(TableauRecette[[#This Row],[ID]],TableauProduit[ID],TableauProduit[Total (kg) N3],0,0,1)*TableauRecette[[#This Row],[fraction mélange]]</f>
        <v/>
      </c>
      <c r="O344">
        <f>_xlfn.XLOOKUP(TableauRecette[[#This Row],[ID]],TableauProduit[ID],TableauProduit[Total (kg) N4],0,0,1)*TableauRecette[[#This Row],[fraction mélange]]</f>
        <v/>
      </c>
      <c r="P344">
        <f>_xlfn.XLOOKUP(TableauRecette[[#This Row],[ID]],TableauProduit[ID],TableauProduit[Total (kg) N5],0,0,1)*TableauRecette[[#This Row],[fraction mélange]]</f>
        <v/>
      </c>
      <c r="Q344">
        <f>_xlfn.XLOOKUP(TableauRecette[[#This Row],[ID]],TableauProduit[ID],TableauProduit[Total (kg) N6],0,0,1)*TableauRecette[[#This Row],[fraction mélange]]</f>
        <v/>
      </c>
      <c r="R344">
        <f>_xlfn.XLOOKUP(TableauRecette[[#This Row],[ID]],TableauProduit[ID],TableauProduit[Total (kg) N7],0,0,1)*TableauRecette[[#This Row],[fraction mélange]]</f>
        <v/>
      </c>
      <c r="S344">
        <f>_xlfn.XLOOKUP(TableauRecette[[#This Row],[ID]],TableauProduit[ID],TableauProduit[Total (kg) N8],0,0,1)*TableauRecette[[#This Row],[fraction mélange]]</f>
        <v/>
      </c>
      <c r="T344">
        <f>_xlfn.XLOOKUP(TableauRecette[[#This Row],[ID]],TableauProduit[ID],TableauProduit[Total (kg) N9],0,0,1)*TableauRecette[[#This Row],[fraction mélange]]</f>
        <v/>
      </c>
    </row>
    <row r="345">
      <c r="A345" t="inlineStr">
        <is>
          <t>Sucre aux fleurs</t>
        </is>
      </c>
      <c r="B345">
        <f>TableauRecette[[#This Row],[Recette]]&amp;TableauRecette[[#This Row],[Conditionnement]]</f>
        <v/>
      </c>
      <c r="C345" t="inlineStr">
        <is>
          <t>Sureau SEC</t>
        </is>
      </c>
      <c r="D345" t="n">
        <v>1</v>
      </c>
      <c r="E345" t="inlineStr">
        <is>
          <t>Epice 100ml</t>
        </is>
      </c>
      <c r="F34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5">
        <f>IFERROR(_xlfn.XLOOKUP(TableauRecette[[#This Row],[Ingredients]],TableauIngredients[Ingredients],TableauIngredients[Prix d''achat / kg],0)*TableauRecette[[#This Row],[fraction mélange]],0)</f>
        <v/>
      </c>
      <c r="H345">
        <f>IFERROR(SUMIFS(TableauRecette[Proportion],TableauRecette[Recette],TableauRecette[[#This Row],[Recette]],TableauRecette[Conditionnement],TableauRecette[[#This Row],[Conditionnement]]),0)</f>
        <v/>
      </c>
      <c r="I345">
        <f>IFERROR(TableauRecette[[#This Row],[Prix d''achat / kg]],0)</f>
        <v/>
      </c>
      <c r="K345" t="inlineStr">
        <is>
          <t>SEC</t>
        </is>
      </c>
      <c r="L345">
        <f>_xlfn.XLOOKUP(TableauRecette[[#This Row],[ID]],TableauProduit[ID],TableauProduit[Total (kg) N1],0,0,1)*TableauRecette[[#This Row],[fraction mélange]]</f>
        <v/>
      </c>
      <c r="M345">
        <f>_xlfn.XLOOKUP(TableauRecette[[#This Row],[ID]],TableauProduit[ID],TableauProduit[Total (kg) N2],0,0,1)*TableauRecette[[#This Row],[fraction mélange]]</f>
        <v/>
      </c>
      <c r="N345">
        <f>_xlfn.XLOOKUP(TableauRecette[[#This Row],[ID]],TableauProduit[ID],TableauProduit[Total (kg) N3],0,0,1)*TableauRecette[[#This Row],[fraction mélange]]</f>
        <v/>
      </c>
      <c r="O345">
        <f>_xlfn.XLOOKUP(TableauRecette[[#This Row],[ID]],TableauProduit[ID],TableauProduit[Total (kg) N4],0,0,1)*TableauRecette[[#This Row],[fraction mélange]]</f>
        <v/>
      </c>
      <c r="P345">
        <f>_xlfn.XLOOKUP(TableauRecette[[#This Row],[ID]],TableauProduit[ID],TableauProduit[Total (kg) N5],0,0,1)*TableauRecette[[#This Row],[fraction mélange]]</f>
        <v/>
      </c>
      <c r="Q345">
        <f>_xlfn.XLOOKUP(TableauRecette[[#This Row],[ID]],TableauProduit[ID],TableauProduit[Total (kg) N6],0,0,1)*TableauRecette[[#This Row],[fraction mélange]]</f>
        <v/>
      </c>
      <c r="R345">
        <f>_xlfn.XLOOKUP(TableauRecette[[#This Row],[ID]],TableauProduit[ID],TableauProduit[Total (kg) N7],0,0,1)*TableauRecette[[#This Row],[fraction mélange]]</f>
        <v/>
      </c>
      <c r="S345">
        <f>_xlfn.XLOOKUP(TableauRecette[[#This Row],[ID]],TableauProduit[ID],TableauProduit[Total (kg) N8],0,0,1)*TableauRecette[[#This Row],[fraction mélange]]</f>
        <v/>
      </c>
      <c r="T345">
        <f>_xlfn.XLOOKUP(TableauRecette[[#This Row],[ID]],TableauProduit[ID],TableauProduit[Total (kg) N9],0,0,1)*TableauRecette[[#This Row],[fraction mélange]]</f>
        <v/>
      </c>
    </row>
    <row r="346">
      <c r="A346" t="inlineStr">
        <is>
          <t>Sucre aux fleurs</t>
        </is>
      </c>
      <c r="B346">
        <f>TableauRecette[[#This Row],[Recette]]&amp;TableauRecette[[#This Row],[Conditionnement]]</f>
        <v/>
      </c>
      <c r="C346" t="inlineStr">
        <is>
          <t>Camomille Romaine SEC</t>
        </is>
      </c>
      <c r="D346" t="n">
        <v>1</v>
      </c>
      <c r="E346" t="inlineStr">
        <is>
          <t>Epice 100ml</t>
        </is>
      </c>
      <c r="F34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6">
        <f>IFERROR(_xlfn.XLOOKUP(TableauRecette[[#This Row],[Ingredients]],TableauIngredients[Ingredients],TableauIngredients[Prix d''achat / kg],0)*TableauRecette[[#This Row],[fraction mélange]],0)</f>
        <v/>
      </c>
      <c r="H346">
        <f>IFERROR(SUMIFS(TableauRecette[Proportion],TableauRecette[Recette],TableauRecette[[#This Row],[Recette]],TableauRecette[Conditionnement],TableauRecette[[#This Row],[Conditionnement]]),0)</f>
        <v/>
      </c>
      <c r="I346">
        <f>IFERROR(TableauRecette[[#This Row],[Prix d''achat / kg]],0)</f>
        <v/>
      </c>
      <c r="K346" t="inlineStr">
        <is>
          <t>SEC</t>
        </is>
      </c>
      <c r="L346">
        <f>_xlfn.XLOOKUP(TableauRecette[[#This Row],[ID]],TableauProduit[ID],TableauProduit[Total (kg) N1],0,0,1)*TableauRecette[[#This Row],[fraction mélange]]</f>
        <v/>
      </c>
      <c r="M346">
        <f>_xlfn.XLOOKUP(TableauRecette[[#This Row],[ID]],TableauProduit[ID],TableauProduit[Total (kg) N2],0,0,1)*TableauRecette[[#This Row],[fraction mélange]]</f>
        <v/>
      </c>
      <c r="N346">
        <f>_xlfn.XLOOKUP(TableauRecette[[#This Row],[ID]],TableauProduit[ID],TableauProduit[Total (kg) N3],0,0,1)*TableauRecette[[#This Row],[fraction mélange]]</f>
        <v/>
      </c>
      <c r="O346">
        <f>_xlfn.XLOOKUP(TableauRecette[[#This Row],[ID]],TableauProduit[ID],TableauProduit[Total (kg) N4],0,0,1)*TableauRecette[[#This Row],[fraction mélange]]</f>
        <v/>
      </c>
      <c r="P346">
        <f>_xlfn.XLOOKUP(TableauRecette[[#This Row],[ID]],TableauProduit[ID],TableauProduit[Total (kg) N5],0,0,1)*TableauRecette[[#This Row],[fraction mélange]]</f>
        <v/>
      </c>
      <c r="Q346">
        <f>_xlfn.XLOOKUP(TableauRecette[[#This Row],[ID]],TableauProduit[ID],TableauProduit[Total (kg) N6],0,0,1)*TableauRecette[[#This Row],[fraction mélange]]</f>
        <v/>
      </c>
      <c r="R346">
        <f>_xlfn.XLOOKUP(TableauRecette[[#This Row],[ID]],TableauProduit[ID],TableauProduit[Total (kg) N7],0,0,1)*TableauRecette[[#This Row],[fraction mélange]]</f>
        <v/>
      </c>
      <c r="S346">
        <f>_xlfn.XLOOKUP(TableauRecette[[#This Row],[ID]],TableauProduit[ID],TableauProduit[Total (kg) N8],0,0,1)*TableauRecette[[#This Row],[fraction mélange]]</f>
        <v/>
      </c>
      <c r="T346">
        <f>_xlfn.XLOOKUP(TableauRecette[[#This Row],[ID]],TableauProduit[ID],TableauProduit[Total (kg) N9],0,0,1)*TableauRecette[[#This Row],[fraction mélange]]</f>
        <v/>
      </c>
    </row>
    <row r="347">
      <c r="A347" t="inlineStr">
        <is>
          <t>Sucre aux fleurs</t>
        </is>
      </c>
      <c r="B347">
        <f>TableauRecette[[#This Row],[Recette]]&amp;TableauRecette[[#This Row],[Conditionnement]]</f>
        <v/>
      </c>
      <c r="C347" t="inlineStr">
        <is>
          <t>Bleuet SEC</t>
        </is>
      </c>
      <c r="D347" t="n">
        <v>1</v>
      </c>
      <c r="E347" t="inlineStr">
        <is>
          <t>Epice 100ml</t>
        </is>
      </c>
      <c r="F34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7">
        <f>IFERROR(_xlfn.XLOOKUP(TableauRecette[[#This Row],[Ingredients]],TableauIngredients[Ingredients],TableauIngredients[Prix d''achat / kg],0)*TableauRecette[[#This Row],[fraction mélange]],0)</f>
        <v/>
      </c>
      <c r="H347">
        <f>IFERROR(SUMIFS(TableauRecette[Proportion],TableauRecette[Recette],TableauRecette[[#This Row],[Recette]],TableauRecette[Conditionnement],TableauRecette[[#This Row],[Conditionnement]]),0)</f>
        <v/>
      </c>
      <c r="I347">
        <f>IFERROR(TableauRecette[[#This Row],[Prix d''achat / kg]],0)</f>
        <v/>
      </c>
      <c r="K347" t="inlineStr">
        <is>
          <t>SEC</t>
        </is>
      </c>
      <c r="L347">
        <f>_xlfn.XLOOKUP(TableauRecette[[#This Row],[ID]],TableauProduit[ID],TableauProduit[Total (kg) N1],0,0,1)*TableauRecette[[#This Row],[fraction mélange]]</f>
        <v/>
      </c>
      <c r="M347">
        <f>_xlfn.XLOOKUP(TableauRecette[[#This Row],[ID]],TableauProduit[ID],TableauProduit[Total (kg) N2],0,0,1)*TableauRecette[[#This Row],[fraction mélange]]</f>
        <v/>
      </c>
      <c r="N347">
        <f>_xlfn.XLOOKUP(TableauRecette[[#This Row],[ID]],TableauProduit[ID],TableauProduit[Total (kg) N3],0,0,1)*TableauRecette[[#This Row],[fraction mélange]]</f>
        <v/>
      </c>
      <c r="O347">
        <f>_xlfn.XLOOKUP(TableauRecette[[#This Row],[ID]],TableauProduit[ID],TableauProduit[Total (kg) N4],0,0,1)*TableauRecette[[#This Row],[fraction mélange]]</f>
        <v/>
      </c>
      <c r="P347">
        <f>_xlfn.XLOOKUP(TableauRecette[[#This Row],[ID]],TableauProduit[ID],TableauProduit[Total (kg) N5],0,0,1)*TableauRecette[[#This Row],[fraction mélange]]</f>
        <v/>
      </c>
      <c r="Q347">
        <f>_xlfn.XLOOKUP(TableauRecette[[#This Row],[ID]],TableauProduit[ID],TableauProduit[Total (kg) N6],0,0,1)*TableauRecette[[#This Row],[fraction mélange]]</f>
        <v/>
      </c>
      <c r="R347">
        <f>_xlfn.XLOOKUP(TableauRecette[[#This Row],[ID]],TableauProduit[ID],TableauProduit[Total (kg) N7],0,0,1)*TableauRecette[[#This Row],[fraction mélange]]</f>
        <v/>
      </c>
      <c r="S347">
        <f>_xlfn.XLOOKUP(TableauRecette[[#This Row],[ID]],TableauProduit[ID],TableauProduit[Total (kg) N8],0,0,1)*TableauRecette[[#This Row],[fraction mélange]]</f>
        <v/>
      </c>
      <c r="T347">
        <f>_xlfn.XLOOKUP(TableauRecette[[#This Row],[ID]],TableauProduit[ID],TableauProduit[Total (kg) N9],0,0,1)*TableauRecette[[#This Row],[fraction mélange]]</f>
        <v/>
      </c>
    </row>
    <row r="348">
      <c r="A348" t="inlineStr">
        <is>
          <t>Sucre aux fleurs</t>
        </is>
      </c>
      <c r="B348">
        <f>TableauRecette[[#This Row],[Recette]]&amp;TableauRecette[[#This Row],[Conditionnement]]</f>
        <v/>
      </c>
      <c r="C348" t="inlineStr">
        <is>
          <t>La Pensée SEC</t>
        </is>
      </c>
      <c r="D348" t="n">
        <v>1</v>
      </c>
      <c r="E348" t="inlineStr">
        <is>
          <t>Epice 100ml</t>
        </is>
      </c>
      <c r="F34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8">
        <f>IFERROR(_xlfn.XLOOKUP(TableauRecette[[#This Row],[Ingredients]],TableauIngredients[Ingredients],TableauIngredients[Prix d''achat / kg],0)*TableauRecette[[#This Row],[fraction mélange]],0)</f>
        <v/>
      </c>
      <c r="H348">
        <f>IFERROR(SUMIFS(TableauRecette[Proportion],TableauRecette[Recette],TableauRecette[[#This Row],[Recette]],TableauRecette[Conditionnement],TableauRecette[[#This Row],[Conditionnement]]),0)</f>
        <v/>
      </c>
      <c r="I348">
        <f>IFERROR(TableauRecette[[#This Row],[Prix d''achat / kg]],0)</f>
        <v/>
      </c>
      <c r="K348" t="inlineStr">
        <is>
          <t>SEC</t>
        </is>
      </c>
      <c r="L348">
        <f>_xlfn.XLOOKUP(TableauRecette[[#This Row],[ID]],TableauProduit[ID],TableauProduit[Total (kg) N1],0,0,1)*TableauRecette[[#This Row],[fraction mélange]]</f>
        <v/>
      </c>
      <c r="M348">
        <f>_xlfn.XLOOKUP(TableauRecette[[#This Row],[ID]],TableauProduit[ID],TableauProduit[Total (kg) N2],0,0,1)*TableauRecette[[#This Row],[fraction mélange]]</f>
        <v/>
      </c>
      <c r="N348">
        <f>_xlfn.XLOOKUP(TableauRecette[[#This Row],[ID]],TableauProduit[ID],TableauProduit[Total (kg) N3],0,0,1)*TableauRecette[[#This Row],[fraction mélange]]</f>
        <v/>
      </c>
      <c r="O348">
        <f>_xlfn.XLOOKUP(TableauRecette[[#This Row],[ID]],TableauProduit[ID],TableauProduit[Total (kg) N4],0,0,1)*TableauRecette[[#This Row],[fraction mélange]]</f>
        <v/>
      </c>
      <c r="P348">
        <f>_xlfn.XLOOKUP(TableauRecette[[#This Row],[ID]],TableauProduit[ID],TableauProduit[Total (kg) N5],0,0,1)*TableauRecette[[#This Row],[fraction mélange]]</f>
        <v/>
      </c>
      <c r="Q348">
        <f>_xlfn.XLOOKUP(TableauRecette[[#This Row],[ID]],TableauProduit[ID],TableauProduit[Total (kg) N6],0,0,1)*TableauRecette[[#This Row],[fraction mélange]]</f>
        <v/>
      </c>
      <c r="R348">
        <f>_xlfn.XLOOKUP(TableauRecette[[#This Row],[ID]],TableauProduit[ID],TableauProduit[Total (kg) N7],0,0,1)*TableauRecette[[#This Row],[fraction mélange]]</f>
        <v/>
      </c>
      <c r="S348">
        <f>_xlfn.XLOOKUP(TableauRecette[[#This Row],[ID]],TableauProduit[ID],TableauProduit[Total (kg) N8],0,0,1)*TableauRecette[[#This Row],[fraction mélange]]</f>
        <v/>
      </c>
      <c r="T348">
        <f>_xlfn.XLOOKUP(TableauRecette[[#This Row],[ID]],TableauProduit[ID],TableauProduit[Total (kg) N9],0,0,1)*TableauRecette[[#This Row],[fraction mélange]]</f>
        <v/>
      </c>
    </row>
    <row r="349">
      <c r="A349" t="inlineStr">
        <is>
          <t>Sucre aux fleurs</t>
        </is>
      </c>
      <c r="B349">
        <f>TableauRecette[[#This Row],[Recette]]&amp;TableauRecette[[#This Row],[Conditionnement]]</f>
        <v/>
      </c>
      <c r="C349" t="inlineStr">
        <is>
          <t>Fleur Helichrysum SEC</t>
        </is>
      </c>
      <c r="D349" t="n">
        <v>1</v>
      </c>
      <c r="E349" t="inlineStr">
        <is>
          <t>Epice 100ml</t>
        </is>
      </c>
      <c r="F34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9">
        <f>IFERROR(_xlfn.XLOOKUP(TableauRecette[[#This Row],[Ingredients]],TableauIngredients[Ingredients],TableauIngredients[Prix d''achat / kg],0)*TableauRecette[[#This Row],[fraction mélange]],0)</f>
        <v/>
      </c>
      <c r="H349">
        <f>IFERROR(SUMIFS(TableauRecette[Proportion],TableauRecette[Recette],TableauRecette[[#This Row],[Recette]],TableauRecette[Conditionnement],TableauRecette[[#This Row],[Conditionnement]]),0)</f>
        <v/>
      </c>
      <c r="I349">
        <f>IFERROR(TableauRecette[[#This Row],[Prix d''achat / kg]],0)</f>
        <v/>
      </c>
      <c r="K349" t="inlineStr">
        <is>
          <t>SEC</t>
        </is>
      </c>
      <c r="L349">
        <f>_xlfn.XLOOKUP(TableauRecette[[#This Row],[ID]],TableauProduit[ID],TableauProduit[Total (kg) N1],0,0,1)*TableauRecette[[#This Row],[fraction mélange]]</f>
        <v/>
      </c>
      <c r="M349">
        <f>_xlfn.XLOOKUP(TableauRecette[[#This Row],[ID]],TableauProduit[ID],TableauProduit[Total (kg) N2],0,0,1)*TableauRecette[[#This Row],[fraction mélange]]</f>
        <v/>
      </c>
      <c r="N349">
        <f>_xlfn.XLOOKUP(TableauRecette[[#This Row],[ID]],TableauProduit[ID],TableauProduit[Total (kg) N3],0,0,1)*TableauRecette[[#This Row],[fraction mélange]]</f>
        <v/>
      </c>
      <c r="O349">
        <f>_xlfn.XLOOKUP(TableauRecette[[#This Row],[ID]],TableauProduit[ID],TableauProduit[Total (kg) N4],0,0,1)*TableauRecette[[#This Row],[fraction mélange]]</f>
        <v/>
      </c>
      <c r="P349">
        <f>_xlfn.XLOOKUP(TableauRecette[[#This Row],[ID]],TableauProduit[ID],TableauProduit[Total (kg) N5],0,0,1)*TableauRecette[[#This Row],[fraction mélange]]</f>
        <v/>
      </c>
      <c r="Q349">
        <f>_xlfn.XLOOKUP(TableauRecette[[#This Row],[ID]],TableauProduit[ID],TableauProduit[Total (kg) N6],0,0,1)*TableauRecette[[#This Row],[fraction mélange]]</f>
        <v/>
      </c>
      <c r="R349">
        <f>_xlfn.XLOOKUP(TableauRecette[[#This Row],[ID]],TableauProduit[ID],TableauProduit[Total (kg) N7],0,0,1)*TableauRecette[[#This Row],[fraction mélange]]</f>
        <v/>
      </c>
      <c r="S349">
        <f>_xlfn.XLOOKUP(TableauRecette[[#This Row],[ID]],TableauProduit[ID],TableauProduit[Total (kg) N8],0,0,1)*TableauRecette[[#This Row],[fraction mélange]]</f>
        <v/>
      </c>
      <c r="T349">
        <f>_xlfn.XLOOKUP(TableauRecette[[#This Row],[ID]],TableauProduit[ID],TableauProduit[Total (kg) N9],0,0,1)*TableauRecette[[#This Row],[fraction mélange]]</f>
        <v/>
      </c>
    </row>
    <row r="350">
      <c r="A350" t="inlineStr">
        <is>
          <t>Sucre aux fleurs</t>
        </is>
      </c>
      <c r="B350">
        <f>TableauRecette[[#This Row],[Recette]]&amp;TableauRecette[[#This Row],[Conditionnement]]</f>
        <v/>
      </c>
      <c r="C350" t="inlineStr">
        <is>
          <t>Souci SEC (Calendula Officinalis)</t>
        </is>
      </c>
      <c r="D350" t="n">
        <v>1</v>
      </c>
      <c r="E350" t="inlineStr">
        <is>
          <t>Epice 100ml</t>
        </is>
      </c>
      <c r="F35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0">
        <f>IFERROR(_xlfn.XLOOKUP(TableauRecette[[#This Row],[Ingredients]],TableauIngredients[Ingredients],TableauIngredients[Prix d''achat / kg],0)*TableauRecette[[#This Row],[fraction mélange]],0)</f>
        <v/>
      </c>
      <c r="H350">
        <f>IFERROR(SUMIFS(TableauRecette[Proportion],TableauRecette[Recette],TableauRecette[[#This Row],[Recette]],TableauRecette[Conditionnement],TableauRecette[[#This Row],[Conditionnement]]),0)</f>
        <v/>
      </c>
      <c r="I350">
        <f>IFERROR(TableauRecette[[#This Row],[Prix d''achat / kg]],0)</f>
        <v/>
      </c>
      <c r="K350" t="inlineStr">
        <is>
          <t>SEC</t>
        </is>
      </c>
      <c r="L350">
        <f>_xlfn.XLOOKUP(TableauRecette[[#This Row],[ID]],TableauProduit[ID],TableauProduit[Total (kg) N1],0,0,1)*TableauRecette[[#This Row],[fraction mélange]]</f>
        <v/>
      </c>
      <c r="M350">
        <f>_xlfn.XLOOKUP(TableauRecette[[#This Row],[ID]],TableauProduit[ID],TableauProduit[Total (kg) N2],0,0,1)*TableauRecette[[#This Row],[fraction mélange]]</f>
        <v/>
      </c>
      <c r="N350">
        <f>_xlfn.XLOOKUP(TableauRecette[[#This Row],[ID]],TableauProduit[ID],TableauProduit[Total (kg) N3],0,0,1)*TableauRecette[[#This Row],[fraction mélange]]</f>
        <v/>
      </c>
      <c r="O350">
        <f>_xlfn.XLOOKUP(TableauRecette[[#This Row],[ID]],TableauProduit[ID],TableauProduit[Total (kg) N4],0,0,1)*TableauRecette[[#This Row],[fraction mélange]]</f>
        <v/>
      </c>
      <c r="P350">
        <f>_xlfn.XLOOKUP(TableauRecette[[#This Row],[ID]],TableauProduit[ID],TableauProduit[Total (kg) N5],0,0,1)*TableauRecette[[#This Row],[fraction mélange]]</f>
        <v/>
      </c>
      <c r="Q350">
        <f>_xlfn.XLOOKUP(TableauRecette[[#This Row],[ID]],TableauProduit[ID],TableauProduit[Total (kg) N6],0,0,1)*TableauRecette[[#This Row],[fraction mélange]]</f>
        <v/>
      </c>
      <c r="R350">
        <f>_xlfn.XLOOKUP(TableauRecette[[#This Row],[ID]],TableauProduit[ID],TableauProduit[Total (kg) N7],0,0,1)*TableauRecette[[#This Row],[fraction mélange]]</f>
        <v/>
      </c>
      <c r="S350">
        <f>_xlfn.XLOOKUP(TableauRecette[[#This Row],[ID]],TableauProduit[ID],TableauProduit[Total (kg) N8],0,0,1)*TableauRecette[[#This Row],[fraction mélange]]</f>
        <v/>
      </c>
      <c r="T350">
        <f>_xlfn.XLOOKUP(TableauRecette[[#This Row],[ID]],TableauProduit[ID],TableauProduit[Total (kg) N9],0,0,1)*TableauRecette[[#This Row],[fraction mélange]]</f>
        <v/>
      </c>
    </row>
    <row r="351">
      <c r="A351" t="inlineStr">
        <is>
          <t>Sucre aux fleurs</t>
        </is>
      </c>
      <c r="B351">
        <f>TableauRecette[[#This Row],[Recette]]&amp;TableauRecette[[#This Row],[Conditionnement]]</f>
        <v/>
      </c>
      <c r="C351" t="inlineStr">
        <is>
          <t>Rose SEC</t>
        </is>
      </c>
      <c r="D351" t="n">
        <v>1</v>
      </c>
      <c r="E351" t="inlineStr">
        <is>
          <t>Epice 100ml</t>
        </is>
      </c>
      <c r="F35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1">
        <f>IFERROR(_xlfn.XLOOKUP(TableauRecette[[#This Row],[Ingredients]],TableauIngredients[Ingredients],TableauIngredients[Prix d''achat / kg],0)*TableauRecette[[#This Row],[fraction mélange]],0)</f>
        <v/>
      </c>
      <c r="H351">
        <f>IFERROR(SUMIFS(TableauRecette[Proportion],TableauRecette[Recette],TableauRecette[[#This Row],[Recette]],TableauRecette[Conditionnement],TableauRecette[[#This Row],[Conditionnement]]),0)</f>
        <v/>
      </c>
      <c r="I351">
        <f>IFERROR(TableauRecette[[#This Row],[Prix d''achat / kg]],0)</f>
        <v/>
      </c>
      <c r="K351" t="inlineStr">
        <is>
          <t>SEC</t>
        </is>
      </c>
      <c r="L351">
        <f>_xlfn.XLOOKUP(TableauRecette[[#This Row],[ID]],TableauProduit[ID],TableauProduit[Total (kg) N1],0,0,1)*TableauRecette[[#This Row],[fraction mélange]]</f>
        <v/>
      </c>
      <c r="M351">
        <f>_xlfn.XLOOKUP(TableauRecette[[#This Row],[ID]],TableauProduit[ID],TableauProduit[Total (kg) N2],0,0,1)*TableauRecette[[#This Row],[fraction mélange]]</f>
        <v/>
      </c>
      <c r="N351">
        <f>_xlfn.XLOOKUP(TableauRecette[[#This Row],[ID]],TableauProduit[ID],TableauProduit[Total (kg) N3],0,0,1)*TableauRecette[[#This Row],[fraction mélange]]</f>
        <v/>
      </c>
      <c r="O351">
        <f>_xlfn.XLOOKUP(TableauRecette[[#This Row],[ID]],TableauProduit[ID],TableauProduit[Total (kg) N4],0,0,1)*TableauRecette[[#This Row],[fraction mélange]]</f>
        <v/>
      </c>
      <c r="P351">
        <f>_xlfn.XLOOKUP(TableauRecette[[#This Row],[ID]],TableauProduit[ID],TableauProduit[Total (kg) N5],0,0,1)*TableauRecette[[#This Row],[fraction mélange]]</f>
        <v/>
      </c>
      <c r="Q351">
        <f>_xlfn.XLOOKUP(TableauRecette[[#This Row],[ID]],TableauProduit[ID],TableauProduit[Total (kg) N6],0,0,1)*TableauRecette[[#This Row],[fraction mélange]]</f>
        <v/>
      </c>
      <c r="R351">
        <f>_xlfn.XLOOKUP(TableauRecette[[#This Row],[ID]],TableauProduit[ID],TableauProduit[Total (kg) N7],0,0,1)*TableauRecette[[#This Row],[fraction mélange]]</f>
        <v/>
      </c>
      <c r="S351">
        <f>_xlfn.XLOOKUP(TableauRecette[[#This Row],[ID]],TableauProduit[ID],TableauProduit[Total (kg) N8],0,0,1)*TableauRecette[[#This Row],[fraction mélange]]</f>
        <v/>
      </c>
      <c r="T351">
        <f>_xlfn.XLOOKUP(TableauRecette[[#This Row],[ID]],TableauProduit[ID],TableauProduit[Total (kg) N9],0,0,1)*TableauRecette[[#This Row],[fraction mélange]]</f>
        <v/>
      </c>
    </row>
    <row r="352">
      <c r="A352" t="inlineStr">
        <is>
          <t>Sucre aux fleurs</t>
        </is>
      </c>
      <c r="B352">
        <f>TableauRecette[[#This Row],[Recette]]&amp;TableauRecette[[#This Row],[Conditionnement]]</f>
        <v/>
      </c>
      <c r="C352" t="inlineStr">
        <is>
          <t>Pelargonium SEC (Géranium)</t>
        </is>
      </c>
      <c r="D352" t="n">
        <v>1</v>
      </c>
      <c r="E352" t="inlineStr">
        <is>
          <t>Epice 100ml</t>
        </is>
      </c>
      <c r="F35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2">
        <f>IFERROR(_xlfn.XLOOKUP(TableauRecette[[#This Row],[Ingredients]],TableauIngredients[Ingredients],TableauIngredients[Prix d''achat / kg],0)*TableauRecette[[#This Row],[fraction mélange]],0)</f>
        <v/>
      </c>
      <c r="H352">
        <f>IFERROR(SUMIFS(TableauRecette[Proportion],TableauRecette[Recette],TableauRecette[[#This Row],[Recette]],TableauRecette[Conditionnement],TableauRecette[[#This Row],[Conditionnement]]),0)</f>
        <v/>
      </c>
      <c r="I352">
        <f>IFERROR(TableauRecette[[#This Row],[Prix d''achat / kg]],0)</f>
        <v/>
      </c>
      <c r="K352" t="inlineStr">
        <is>
          <t>SEC</t>
        </is>
      </c>
      <c r="L352">
        <f>_xlfn.XLOOKUP(TableauRecette[[#This Row],[ID]],TableauProduit[ID],TableauProduit[Total (kg) N1],0,0,1)*TableauRecette[[#This Row],[fraction mélange]]</f>
        <v/>
      </c>
      <c r="M352">
        <f>_xlfn.XLOOKUP(TableauRecette[[#This Row],[ID]],TableauProduit[ID],TableauProduit[Total (kg) N2],0,0,1)*TableauRecette[[#This Row],[fraction mélange]]</f>
        <v/>
      </c>
      <c r="N352">
        <f>_xlfn.XLOOKUP(TableauRecette[[#This Row],[ID]],TableauProduit[ID],TableauProduit[Total (kg) N3],0,0,1)*TableauRecette[[#This Row],[fraction mélange]]</f>
        <v/>
      </c>
      <c r="O352">
        <f>_xlfn.XLOOKUP(TableauRecette[[#This Row],[ID]],TableauProduit[ID],TableauProduit[Total (kg) N4],0,0,1)*TableauRecette[[#This Row],[fraction mélange]]</f>
        <v/>
      </c>
      <c r="P352">
        <f>_xlfn.XLOOKUP(TableauRecette[[#This Row],[ID]],TableauProduit[ID],TableauProduit[Total (kg) N5],0,0,1)*TableauRecette[[#This Row],[fraction mélange]]</f>
        <v/>
      </c>
      <c r="Q352">
        <f>_xlfn.XLOOKUP(TableauRecette[[#This Row],[ID]],TableauProduit[ID],TableauProduit[Total (kg) N6],0,0,1)*TableauRecette[[#This Row],[fraction mélange]]</f>
        <v/>
      </c>
      <c r="R352">
        <f>_xlfn.XLOOKUP(TableauRecette[[#This Row],[ID]],TableauProduit[ID],TableauProduit[Total (kg) N7],0,0,1)*TableauRecette[[#This Row],[fraction mélange]]</f>
        <v/>
      </c>
      <c r="S352">
        <f>_xlfn.XLOOKUP(TableauRecette[[#This Row],[ID]],TableauProduit[ID],TableauProduit[Total (kg) N8],0,0,1)*TableauRecette[[#This Row],[fraction mélange]]</f>
        <v/>
      </c>
      <c r="T352">
        <f>_xlfn.XLOOKUP(TableauRecette[[#This Row],[ID]],TableauProduit[ID],TableauProduit[Total (kg) N9],0,0,1)*TableauRecette[[#This Row],[fraction mélange]]</f>
        <v/>
      </c>
    </row>
    <row r="353">
      <c r="A353" t="inlineStr">
        <is>
          <t>Sucre aux fleurs</t>
        </is>
      </c>
      <c r="B353">
        <f>TableauRecette[[#This Row],[Recette]]&amp;TableauRecette[[#This Row],[Conditionnement]]</f>
        <v/>
      </c>
      <c r="C353" t="inlineStr">
        <is>
          <t>Lavande SEC</t>
        </is>
      </c>
      <c r="D353" t="n">
        <v>1</v>
      </c>
      <c r="E353" t="inlineStr">
        <is>
          <t>Epice 100ml</t>
        </is>
      </c>
      <c r="F35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3">
        <f>IFERROR(_xlfn.XLOOKUP(TableauRecette[[#This Row],[Ingredients]],TableauIngredients[Ingredients],TableauIngredients[Prix d''achat / kg],0)*TableauRecette[[#This Row],[fraction mélange]],0)</f>
        <v/>
      </c>
      <c r="H353">
        <f>IFERROR(SUMIFS(TableauRecette[Proportion],TableauRecette[Recette],TableauRecette[[#This Row],[Recette]],TableauRecette[Conditionnement],TableauRecette[[#This Row],[Conditionnement]]),0)</f>
        <v/>
      </c>
      <c r="I353">
        <f>IFERROR(TableauRecette[[#This Row],[Prix d''achat / kg]],0)</f>
        <v/>
      </c>
      <c r="K353" t="inlineStr">
        <is>
          <t>SEC</t>
        </is>
      </c>
      <c r="L353">
        <f>_xlfn.XLOOKUP(TableauRecette[[#This Row],[ID]],TableauProduit[ID],TableauProduit[Total (kg) N1],0,0,1)*TableauRecette[[#This Row],[fraction mélange]]</f>
        <v/>
      </c>
      <c r="M353">
        <f>_xlfn.XLOOKUP(TableauRecette[[#This Row],[ID]],TableauProduit[ID],TableauProduit[Total (kg) N2],0,0,1)*TableauRecette[[#This Row],[fraction mélange]]</f>
        <v/>
      </c>
      <c r="N353">
        <f>_xlfn.XLOOKUP(TableauRecette[[#This Row],[ID]],TableauProduit[ID],TableauProduit[Total (kg) N3],0,0,1)*TableauRecette[[#This Row],[fraction mélange]]</f>
        <v/>
      </c>
      <c r="O353">
        <f>_xlfn.XLOOKUP(TableauRecette[[#This Row],[ID]],TableauProduit[ID],TableauProduit[Total (kg) N4],0,0,1)*TableauRecette[[#This Row],[fraction mélange]]</f>
        <v/>
      </c>
      <c r="P353">
        <f>_xlfn.XLOOKUP(TableauRecette[[#This Row],[ID]],TableauProduit[ID],TableauProduit[Total (kg) N5],0,0,1)*TableauRecette[[#This Row],[fraction mélange]]</f>
        <v/>
      </c>
      <c r="Q353">
        <f>_xlfn.XLOOKUP(TableauRecette[[#This Row],[ID]],TableauProduit[ID],TableauProduit[Total (kg) N6],0,0,1)*TableauRecette[[#This Row],[fraction mélange]]</f>
        <v/>
      </c>
      <c r="R353">
        <f>_xlfn.XLOOKUP(TableauRecette[[#This Row],[ID]],TableauProduit[ID],TableauProduit[Total (kg) N7],0,0,1)*TableauRecette[[#This Row],[fraction mélange]]</f>
        <v/>
      </c>
      <c r="S353">
        <f>_xlfn.XLOOKUP(TableauRecette[[#This Row],[ID]],TableauProduit[ID],TableauProduit[Total (kg) N8],0,0,1)*TableauRecette[[#This Row],[fraction mélange]]</f>
        <v/>
      </c>
      <c r="T353">
        <f>_xlfn.XLOOKUP(TableauRecette[[#This Row],[ID]],TableauProduit[ID],TableauProduit[Total (kg) N9],0,0,1)*TableauRecette[[#This Row],[fraction mélange]]</f>
        <v/>
      </c>
    </row>
    <row r="354">
      <c r="A354" t="inlineStr">
        <is>
          <t>Sucre aux fleurs</t>
        </is>
      </c>
      <c r="B354">
        <f>TableauRecette[[#This Row],[Recette]]&amp;TableauRecette[[#This Row],[Conditionnement]]</f>
        <v/>
      </c>
      <c r="C354" t="inlineStr">
        <is>
          <t>Oeillet D’Inde SEC</t>
        </is>
      </c>
      <c r="D354" t="n">
        <v>1</v>
      </c>
      <c r="E354" t="inlineStr">
        <is>
          <t>Epice 100ml</t>
        </is>
      </c>
      <c r="F35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4">
        <f>IFERROR(_xlfn.XLOOKUP(TableauRecette[[#This Row],[Ingredients]],TableauIngredients[Ingredients],TableauIngredients[Prix d''achat / kg],0)*TableauRecette[[#This Row],[fraction mélange]],0)</f>
        <v/>
      </c>
      <c r="H354">
        <f>IFERROR(SUMIFS(TableauRecette[Proportion],TableauRecette[Recette],TableauRecette[[#This Row],[Recette]],TableauRecette[Conditionnement],TableauRecette[[#This Row],[Conditionnement]]),0)</f>
        <v/>
      </c>
      <c r="I354">
        <f>IFERROR(TableauRecette[[#This Row],[Prix d''achat / kg]],0)</f>
        <v/>
      </c>
      <c r="K354" t="inlineStr">
        <is>
          <t>SEC</t>
        </is>
      </c>
      <c r="L354">
        <f>_xlfn.XLOOKUP(TableauRecette[[#This Row],[ID]],TableauProduit[ID],TableauProduit[Total (kg) N1],0,0,1)*TableauRecette[[#This Row],[fraction mélange]]</f>
        <v/>
      </c>
      <c r="M354">
        <f>_xlfn.XLOOKUP(TableauRecette[[#This Row],[ID]],TableauProduit[ID],TableauProduit[Total (kg) N2],0,0,1)*TableauRecette[[#This Row],[fraction mélange]]</f>
        <v/>
      </c>
      <c r="N354">
        <f>_xlfn.XLOOKUP(TableauRecette[[#This Row],[ID]],TableauProduit[ID],TableauProduit[Total (kg) N3],0,0,1)*TableauRecette[[#This Row],[fraction mélange]]</f>
        <v/>
      </c>
      <c r="O354">
        <f>_xlfn.XLOOKUP(TableauRecette[[#This Row],[ID]],TableauProduit[ID],TableauProduit[Total (kg) N4],0,0,1)*TableauRecette[[#This Row],[fraction mélange]]</f>
        <v/>
      </c>
      <c r="P354">
        <f>_xlfn.XLOOKUP(TableauRecette[[#This Row],[ID]],TableauProduit[ID],TableauProduit[Total (kg) N5],0,0,1)*TableauRecette[[#This Row],[fraction mélange]]</f>
        <v/>
      </c>
      <c r="Q354">
        <f>_xlfn.XLOOKUP(TableauRecette[[#This Row],[ID]],TableauProduit[ID],TableauProduit[Total (kg) N6],0,0,1)*TableauRecette[[#This Row],[fraction mélange]]</f>
        <v/>
      </c>
      <c r="R354">
        <f>_xlfn.XLOOKUP(TableauRecette[[#This Row],[ID]],TableauProduit[ID],TableauProduit[Total (kg) N7],0,0,1)*TableauRecette[[#This Row],[fraction mélange]]</f>
        <v/>
      </c>
      <c r="S354">
        <f>_xlfn.XLOOKUP(TableauRecette[[#This Row],[ID]],TableauProduit[ID],TableauProduit[Total (kg) N8],0,0,1)*TableauRecette[[#This Row],[fraction mélange]]</f>
        <v/>
      </c>
      <c r="T354">
        <f>_xlfn.XLOOKUP(TableauRecette[[#This Row],[ID]],TableauProduit[ID],TableauProduit[Total (kg) N9],0,0,1)*TableauRecette[[#This Row],[fraction mélange]]</f>
        <v/>
      </c>
    </row>
    <row r="355">
      <c r="A355" t="inlineStr">
        <is>
          <t>Sucre aux fleurs</t>
        </is>
      </c>
      <c r="B355">
        <f>TableauRecette[[#This Row],[Recette]]&amp;TableauRecette[[#This Row],[Conditionnement]]</f>
        <v/>
      </c>
      <c r="C355" t="inlineStr">
        <is>
          <t>L'Agastache SEC</t>
        </is>
      </c>
      <c r="D355" t="n">
        <v>1</v>
      </c>
      <c r="E355" t="inlineStr">
        <is>
          <t>Epice 100ml</t>
        </is>
      </c>
      <c r="F35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5">
        <f>IFERROR(_xlfn.XLOOKUP(TableauRecette[[#This Row],[Ingredients]],TableauIngredients[Ingredients],TableauIngredients[Prix d''achat / kg],0)*TableauRecette[[#This Row],[fraction mélange]],0)</f>
        <v/>
      </c>
      <c r="H355">
        <f>IFERROR(SUMIFS(TableauRecette[Proportion],TableauRecette[Recette],TableauRecette[[#This Row],[Recette]],TableauRecette[Conditionnement],TableauRecette[[#This Row],[Conditionnement]]),0)</f>
        <v/>
      </c>
      <c r="I355">
        <f>IFERROR(TableauRecette[[#This Row],[Prix d''achat / kg]],0)</f>
        <v/>
      </c>
      <c r="K355" t="inlineStr">
        <is>
          <t>SEC</t>
        </is>
      </c>
      <c r="L355">
        <f>_xlfn.XLOOKUP(TableauRecette[[#This Row],[ID]],TableauProduit[ID],TableauProduit[Total (kg) N1],0,0,1)*TableauRecette[[#This Row],[fraction mélange]]</f>
        <v/>
      </c>
      <c r="M355">
        <f>_xlfn.XLOOKUP(TableauRecette[[#This Row],[ID]],TableauProduit[ID],TableauProduit[Total (kg) N2],0,0,1)*TableauRecette[[#This Row],[fraction mélange]]</f>
        <v/>
      </c>
      <c r="N355">
        <f>_xlfn.XLOOKUP(TableauRecette[[#This Row],[ID]],TableauProduit[ID],TableauProduit[Total (kg) N3],0,0,1)*TableauRecette[[#This Row],[fraction mélange]]</f>
        <v/>
      </c>
      <c r="O355">
        <f>_xlfn.XLOOKUP(TableauRecette[[#This Row],[ID]],TableauProduit[ID],TableauProduit[Total (kg) N4],0,0,1)*TableauRecette[[#This Row],[fraction mélange]]</f>
        <v/>
      </c>
      <c r="P355">
        <f>_xlfn.XLOOKUP(TableauRecette[[#This Row],[ID]],TableauProduit[ID],TableauProduit[Total (kg) N5],0,0,1)*TableauRecette[[#This Row],[fraction mélange]]</f>
        <v/>
      </c>
      <c r="Q355">
        <f>_xlfn.XLOOKUP(TableauRecette[[#This Row],[ID]],TableauProduit[ID],TableauProduit[Total (kg) N6],0,0,1)*TableauRecette[[#This Row],[fraction mélange]]</f>
        <v/>
      </c>
      <c r="R355">
        <f>_xlfn.XLOOKUP(TableauRecette[[#This Row],[ID]],TableauProduit[ID],TableauProduit[Total (kg) N7],0,0,1)*TableauRecette[[#This Row],[fraction mélange]]</f>
        <v/>
      </c>
      <c r="S355">
        <f>_xlfn.XLOOKUP(TableauRecette[[#This Row],[ID]],TableauProduit[ID],TableauProduit[Total (kg) N8],0,0,1)*TableauRecette[[#This Row],[fraction mélange]]</f>
        <v/>
      </c>
      <c r="T355">
        <f>_xlfn.XLOOKUP(TableauRecette[[#This Row],[ID]],TableauProduit[ID],TableauProduit[Total (kg) N9],0,0,1)*TableauRecette[[#This Row],[fraction mélange]]</f>
        <v/>
      </c>
    </row>
    <row r="356">
      <c r="A356" t="inlineStr">
        <is>
          <t>Sucre de rose</t>
        </is>
      </c>
      <c r="B356">
        <f>TableauRecette[[#This Row],[Recette]]&amp;TableauRecette[[#This Row],[Conditionnement]]</f>
        <v/>
      </c>
      <c r="C356" t="inlineStr">
        <is>
          <t>Rose</t>
        </is>
      </c>
      <c r="D356" t="n">
        <v>6</v>
      </c>
      <c r="E356" t="inlineStr">
        <is>
          <t>Epice 100ml</t>
        </is>
      </c>
      <c r="F35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6">
        <f>IFERROR(_xlfn.XLOOKUP(TableauRecette[[#This Row],[Ingredients]],TableauIngredients[Ingredients],TableauIngredients[Prix d''achat / kg],0)*TableauRecette[[#This Row],[fraction mélange]],0)</f>
        <v/>
      </c>
      <c r="H356">
        <f>IFERROR(SUMIFS(TableauRecette[Proportion],TableauRecette[Recette],TableauRecette[[#This Row],[Recette]],TableauRecette[Conditionnement],TableauRecette[[#This Row],[Conditionnement]]),0)</f>
        <v/>
      </c>
      <c r="I356">
        <f>IFERROR(TableauRecette[[#This Row],[Prix d''achat / kg]],0)</f>
        <v/>
      </c>
      <c r="L356">
        <f>_xlfn.XLOOKUP(TableauRecette[[#This Row],[ID]],TableauProduit[ID],TableauProduit[Total (kg) N1],0,0,1)*TableauRecette[[#This Row],[fraction mélange]]</f>
        <v/>
      </c>
      <c r="M356">
        <f>_xlfn.XLOOKUP(TableauRecette[[#This Row],[ID]],TableauProduit[ID],TableauProduit[Total (kg) N2],0,0,1)*TableauRecette[[#This Row],[fraction mélange]]</f>
        <v/>
      </c>
      <c r="N356">
        <f>_xlfn.XLOOKUP(TableauRecette[[#This Row],[ID]],TableauProduit[ID],TableauProduit[Total (kg) N3],0,0,1)*TableauRecette[[#This Row],[fraction mélange]]</f>
        <v/>
      </c>
      <c r="O356">
        <f>_xlfn.XLOOKUP(TableauRecette[[#This Row],[ID]],TableauProduit[ID],TableauProduit[Total (kg) N4],0,0,1)*TableauRecette[[#This Row],[fraction mélange]]</f>
        <v/>
      </c>
      <c r="P356">
        <f>_xlfn.XLOOKUP(TableauRecette[[#This Row],[ID]],TableauProduit[ID],TableauProduit[Total (kg) N5],0,0,1)*TableauRecette[[#This Row],[fraction mélange]]</f>
        <v/>
      </c>
      <c r="Q356">
        <f>_xlfn.XLOOKUP(TableauRecette[[#This Row],[ID]],TableauProduit[ID],TableauProduit[Total (kg) N6],0,0,1)*TableauRecette[[#This Row],[fraction mélange]]</f>
        <v/>
      </c>
      <c r="R356">
        <f>_xlfn.XLOOKUP(TableauRecette[[#This Row],[ID]],TableauProduit[ID],TableauProduit[Total (kg) N7],0,0,1)*TableauRecette[[#This Row],[fraction mélange]]</f>
        <v/>
      </c>
      <c r="S356">
        <f>_xlfn.XLOOKUP(TableauRecette[[#This Row],[ID]],TableauProduit[ID],TableauProduit[Total (kg) N8],0,0,1)*TableauRecette[[#This Row],[fraction mélange]]</f>
        <v/>
      </c>
      <c r="T356">
        <f>_xlfn.XLOOKUP(TableauRecette[[#This Row],[ID]],TableauProduit[ID],TableauProduit[Total (kg) N9],0,0,1)*TableauRecette[[#This Row],[fraction mélange]]</f>
        <v/>
      </c>
    </row>
    <row r="357">
      <c r="A357" t="inlineStr">
        <is>
          <t>Sucre de rose</t>
        </is>
      </c>
      <c r="B357">
        <f>TableauRecette[[#This Row],[Recette]]&amp;TableauRecette[[#This Row],[Conditionnement]]</f>
        <v/>
      </c>
      <c r="C357" t="inlineStr">
        <is>
          <t>Sucre Blanc</t>
        </is>
      </c>
      <c r="D357" t="n">
        <v>94</v>
      </c>
      <c r="E357" t="inlineStr">
        <is>
          <t>Epice 100ml</t>
        </is>
      </c>
      <c r="F35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7">
        <f>IFERROR(_xlfn.XLOOKUP(TableauRecette[[#This Row],[Ingredients]],TableauIngredients[Ingredients],TableauIngredients[Prix d''achat / kg],0)*TableauRecette[[#This Row],[fraction mélange]],0)</f>
        <v/>
      </c>
      <c r="H357">
        <f>IFERROR(SUMIFS(TableauRecette[Proportion],TableauRecette[Recette],TableauRecette[[#This Row],[Recette]],TableauRecette[Conditionnement],TableauRecette[[#This Row],[Conditionnement]]),0)</f>
        <v/>
      </c>
      <c r="I357">
        <f>IFERROR(TableauRecette[[#This Row],[Prix d''achat / kg]],0)</f>
        <v/>
      </c>
      <c r="L357">
        <f>_xlfn.XLOOKUP(TableauRecette[[#This Row],[ID]],TableauProduit[ID],TableauProduit[Total (kg) N1],0,0,1)*TableauRecette[[#This Row],[fraction mélange]]</f>
        <v/>
      </c>
      <c r="M357">
        <f>_xlfn.XLOOKUP(TableauRecette[[#This Row],[ID]],TableauProduit[ID],TableauProduit[Total (kg) N2],0,0,1)*TableauRecette[[#This Row],[fraction mélange]]</f>
        <v/>
      </c>
      <c r="N357">
        <f>_xlfn.XLOOKUP(TableauRecette[[#This Row],[ID]],TableauProduit[ID],TableauProduit[Total (kg) N3],0,0,1)*TableauRecette[[#This Row],[fraction mélange]]</f>
        <v/>
      </c>
      <c r="O357">
        <f>_xlfn.XLOOKUP(TableauRecette[[#This Row],[ID]],TableauProduit[ID],TableauProduit[Total (kg) N4],0,0,1)*TableauRecette[[#This Row],[fraction mélange]]</f>
        <v/>
      </c>
      <c r="P357">
        <f>_xlfn.XLOOKUP(TableauRecette[[#This Row],[ID]],TableauProduit[ID],TableauProduit[Total (kg) N5],0,0,1)*TableauRecette[[#This Row],[fraction mélange]]</f>
        <v/>
      </c>
      <c r="Q357">
        <f>_xlfn.XLOOKUP(TableauRecette[[#This Row],[ID]],TableauProduit[ID],TableauProduit[Total (kg) N6],0,0,1)*TableauRecette[[#This Row],[fraction mélange]]</f>
        <v/>
      </c>
      <c r="R357">
        <f>_xlfn.XLOOKUP(TableauRecette[[#This Row],[ID]],TableauProduit[ID],TableauProduit[Total (kg) N7],0,0,1)*TableauRecette[[#This Row],[fraction mélange]]</f>
        <v/>
      </c>
      <c r="S357">
        <f>_xlfn.XLOOKUP(TableauRecette[[#This Row],[ID]],TableauProduit[ID],TableauProduit[Total (kg) N8],0,0,1)*TableauRecette[[#This Row],[fraction mélange]]</f>
        <v/>
      </c>
      <c r="T357">
        <f>_xlfn.XLOOKUP(TableauRecette[[#This Row],[ID]],TableauProduit[ID],TableauProduit[Total (kg) N9],0,0,1)*TableauRecette[[#This Row],[fraction mélange]]</f>
        <v/>
      </c>
    </row>
    <row r="358">
      <c r="A358" t="inlineStr">
        <is>
          <t>Suya ghanéen</t>
        </is>
      </c>
      <c r="B358">
        <f>TableauRecette[[#This Row],[Recette]]&amp;TableauRecette[[#This Row],[Conditionnement]]</f>
        <v/>
      </c>
      <c r="C358" t="inlineStr">
        <is>
          <t>Piment Doux Rouge En Poudre</t>
        </is>
      </c>
      <c r="D358" t="n">
        <v>5</v>
      </c>
      <c r="E358" t="inlineStr">
        <is>
          <t>Epice 100ml</t>
        </is>
      </c>
      <c r="F35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8">
        <f>IFERROR(_xlfn.XLOOKUP(TableauRecette[[#This Row],[Ingredients]],TableauIngredients[Ingredients],TableauIngredients[Prix d''achat / kg],0)*TableauRecette[[#This Row],[fraction mélange]],0)</f>
        <v/>
      </c>
      <c r="H358">
        <f>IFERROR(SUMIFS(TableauRecette[Proportion],TableauRecette[Recette],TableauRecette[[#This Row],[Recette]],TableauRecette[Conditionnement],TableauRecette[[#This Row],[Conditionnement]]),0)</f>
        <v/>
      </c>
      <c r="I358">
        <f>IFERROR(TableauRecette[[#This Row],[Prix d''achat / kg]],0)</f>
        <v/>
      </c>
      <c r="L358">
        <f>_xlfn.XLOOKUP(TableauRecette[[#This Row],[ID]],TableauProduit[ID],TableauProduit[Total (kg) N1],0,0,1)*TableauRecette[[#This Row],[fraction mélange]]</f>
        <v/>
      </c>
      <c r="M358">
        <f>_xlfn.XLOOKUP(TableauRecette[[#This Row],[ID]],TableauProduit[ID],TableauProduit[Total (kg) N2],0,0,1)*TableauRecette[[#This Row],[fraction mélange]]</f>
        <v/>
      </c>
      <c r="N358">
        <f>_xlfn.XLOOKUP(TableauRecette[[#This Row],[ID]],TableauProduit[ID],TableauProduit[Total (kg) N3],0,0,1)*TableauRecette[[#This Row],[fraction mélange]]</f>
        <v/>
      </c>
      <c r="O358">
        <f>_xlfn.XLOOKUP(TableauRecette[[#This Row],[ID]],TableauProduit[ID],TableauProduit[Total (kg) N4],0,0,1)*TableauRecette[[#This Row],[fraction mélange]]</f>
        <v/>
      </c>
      <c r="P358">
        <f>_xlfn.XLOOKUP(TableauRecette[[#This Row],[ID]],TableauProduit[ID],TableauProduit[Total (kg) N5],0,0,1)*TableauRecette[[#This Row],[fraction mélange]]</f>
        <v/>
      </c>
      <c r="Q358">
        <f>_xlfn.XLOOKUP(TableauRecette[[#This Row],[ID]],TableauProduit[ID],TableauProduit[Total (kg) N6],0,0,1)*TableauRecette[[#This Row],[fraction mélange]]</f>
        <v/>
      </c>
      <c r="R358">
        <f>_xlfn.XLOOKUP(TableauRecette[[#This Row],[ID]],TableauProduit[ID],TableauProduit[Total (kg) N7],0,0,1)*TableauRecette[[#This Row],[fraction mélange]]</f>
        <v/>
      </c>
      <c r="S358">
        <f>_xlfn.XLOOKUP(TableauRecette[[#This Row],[ID]],TableauProduit[ID],TableauProduit[Total (kg) N8],0,0,1)*TableauRecette[[#This Row],[fraction mélange]]</f>
        <v/>
      </c>
      <c r="T358">
        <f>_xlfn.XLOOKUP(TableauRecette[[#This Row],[ID]],TableauProduit[ID],TableauProduit[Total (kg) N9],0,0,1)*TableauRecette[[#This Row],[fraction mélange]]</f>
        <v/>
      </c>
    </row>
    <row r="359">
      <c r="A359" t="inlineStr">
        <is>
          <t>Suya ghanéen</t>
        </is>
      </c>
      <c r="B359">
        <f>TableauRecette[[#This Row],[Recette]]&amp;TableauRecette[[#This Row],[Conditionnement]]</f>
        <v/>
      </c>
      <c r="C359" t="inlineStr">
        <is>
          <t>Gingembre Sec</t>
        </is>
      </c>
      <c r="D359" t="n">
        <v>25</v>
      </c>
      <c r="E359" t="inlineStr">
        <is>
          <t>Epice 100ml</t>
        </is>
      </c>
      <c r="F35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9">
        <f>IFERROR(_xlfn.XLOOKUP(TableauRecette[[#This Row],[Ingredients]],TableauIngredients[Ingredients],TableauIngredients[Prix d''achat / kg],0)*TableauRecette[[#This Row],[fraction mélange]],0)</f>
        <v/>
      </c>
      <c r="H359">
        <f>IFERROR(SUMIFS(TableauRecette[Proportion],TableauRecette[Recette],TableauRecette[[#This Row],[Recette]],TableauRecette[Conditionnement],TableauRecette[[#This Row],[Conditionnement]]),0)</f>
        <v/>
      </c>
      <c r="I359">
        <f>IFERROR(TableauRecette[[#This Row],[Prix d''achat / kg]],0)</f>
        <v/>
      </c>
      <c r="K359" t="inlineStr">
        <is>
          <t>SEC</t>
        </is>
      </c>
      <c r="L359">
        <f>_xlfn.XLOOKUP(TableauRecette[[#This Row],[ID]],TableauProduit[ID],TableauProduit[Total (kg) N1],0,0,1)*TableauRecette[[#This Row],[fraction mélange]]</f>
        <v/>
      </c>
      <c r="M359">
        <f>_xlfn.XLOOKUP(TableauRecette[[#This Row],[ID]],TableauProduit[ID],TableauProduit[Total (kg) N2],0,0,1)*TableauRecette[[#This Row],[fraction mélange]]</f>
        <v/>
      </c>
      <c r="N359">
        <f>_xlfn.XLOOKUP(TableauRecette[[#This Row],[ID]],TableauProduit[ID],TableauProduit[Total (kg) N3],0,0,1)*TableauRecette[[#This Row],[fraction mélange]]</f>
        <v/>
      </c>
      <c r="O359">
        <f>_xlfn.XLOOKUP(TableauRecette[[#This Row],[ID]],TableauProduit[ID],TableauProduit[Total (kg) N4],0,0,1)*TableauRecette[[#This Row],[fraction mélange]]</f>
        <v/>
      </c>
      <c r="P359">
        <f>_xlfn.XLOOKUP(TableauRecette[[#This Row],[ID]],TableauProduit[ID],TableauProduit[Total (kg) N5],0,0,1)*TableauRecette[[#This Row],[fraction mélange]]</f>
        <v/>
      </c>
      <c r="Q359">
        <f>_xlfn.XLOOKUP(TableauRecette[[#This Row],[ID]],TableauProduit[ID],TableauProduit[Total (kg) N6],0,0,1)*TableauRecette[[#This Row],[fraction mélange]]</f>
        <v/>
      </c>
      <c r="R359">
        <f>_xlfn.XLOOKUP(TableauRecette[[#This Row],[ID]],TableauProduit[ID],TableauProduit[Total (kg) N7],0,0,1)*TableauRecette[[#This Row],[fraction mélange]]</f>
        <v/>
      </c>
      <c r="S359">
        <f>_xlfn.XLOOKUP(TableauRecette[[#This Row],[ID]],TableauProduit[ID],TableauProduit[Total (kg) N8],0,0,1)*TableauRecette[[#This Row],[fraction mélange]]</f>
        <v/>
      </c>
      <c r="T359">
        <f>_xlfn.XLOOKUP(TableauRecette[[#This Row],[ID]],TableauProduit[ID],TableauProduit[Total (kg) N9],0,0,1)*TableauRecette[[#This Row],[fraction mélange]]</f>
        <v/>
      </c>
    </row>
    <row r="360">
      <c r="A360" t="inlineStr">
        <is>
          <t>Suya ghanéen</t>
        </is>
      </c>
      <c r="B360">
        <f>TableauRecette[[#This Row],[Recette]]&amp;TableauRecette[[#This Row],[Conditionnement]]</f>
        <v/>
      </c>
      <c r="C360" t="inlineStr">
        <is>
          <t>Cacahuètes Grillées</t>
        </is>
      </c>
      <c r="D360" t="n">
        <v>30</v>
      </c>
      <c r="E360" t="inlineStr">
        <is>
          <t>Epice 100ml</t>
        </is>
      </c>
      <c r="F36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0">
        <f>IFERROR(_xlfn.XLOOKUP(TableauRecette[[#This Row],[Ingredients]],TableauIngredients[Ingredients],TableauIngredients[Prix d''achat / kg],0)*TableauRecette[[#This Row],[fraction mélange]],0)</f>
        <v/>
      </c>
      <c r="H360">
        <f>IFERROR(SUMIFS(TableauRecette[Proportion],TableauRecette[Recette],TableauRecette[[#This Row],[Recette]],TableauRecette[Conditionnement],TableauRecette[[#This Row],[Conditionnement]]),0)</f>
        <v/>
      </c>
      <c r="I360">
        <f>IFERROR(TableauRecette[[#This Row],[Prix d''achat / kg]],0)</f>
        <v/>
      </c>
      <c r="L360">
        <f>_xlfn.XLOOKUP(TableauRecette[[#This Row],[ID]],TableauProduit[ID],TableauProduit[Total (kg) N1],0,0,1)*TableauRecette[[#This Row],[fraction mélange]]</f>
        <v/>
      </c>
      <c r="M360">
        <f>_xlfn.XLOOKUP(TableauRecette[[#This Row],[ID]],TableauProduit[ID],TableauProduit[Total (kg) N2],0,0,1)*TableauRecette[[#This Row],[fraction mélange]]</f>
        <v/>
      </c>
      <c r="N360">
        <f>_xlfn.XLOOKUP(TableauRecette[[#This Row],[ID]],TableauProduit[ID],TableauProduit[Total (kg) N3],0,0,1)*TableauRecette[[#This Row],[fraction mélange]]</f>
        <v/>
      </c>
      <c r="O360">
        <f>_xlfn.XLOOKUP(TableauRecette[[#This Row],[ID]],TableauProduit[ID],TableauProduit[Total (kg) N4],0,0,1)*TableauRecette[[#This Row],[fraction mélange]]</f>
        <v/>
      </c>
      <c r="P360">
        <f>_xlfn.XLOOKUP(TableauRecette[[#This Row],[ID]],TableauProduit[ID],TableauProduit[Total (kg) N5],0,0,1)*TableauRecette[[#This Row],[fraction mélange]]</f>
        <v/>
      </c>
      <c r="Q360">
        <f>_xlfn.XLOOKUP(TableauRecette[[#This Row],[ID]],TableauProduit[ID],TableauProduit[Total (kg) N6],0,0,1)*TableauRecette[[#This Row],[fraction mélange]]</f>
        <v/>
      </c>
      <c r="R360">
        <f>_xlfn.XLOOKUP(TableauRecette[[#This Row],[ID]],TableauProduit[ID],TableauProduit[Total (kg) N7],0,0,1)*TableauRecette[[#This Row],[fraction mélange]]</f>
        <v/>
      </c>
      <c r="S360">
        <f>_xlfn.XLOOKUP(TableauRecette[[#This Row],[ID]],TableauProduit[ID],TableauProduit[Total (kg) N8],0,0,1)*TableauRecette[[#This Row],[fraction mélange]]</f>
        <v/>
      </c>
      <c r="T360">
        <f>_xlfn.XLOOKUP(TableauRecette[[#This Row],[ID]],TableauProduit[ID],TableauProduit[Total (kg) N9],0,0,1)*TableauRecette[[#This Row],[fraction mélange]]</f>
        <v/>
      </c>
    </row>
    <row r="361">
      <c r="A361" t="inlineStr">
        <is>
          <t>Suya ghanéen</t>
        </is>
      </c>
      <c r="B361">
        <f>TableauRecette[[#This Row],[Recette]]&amp;TableauRecette[[#This Row],[Conditionnement]]</f>
        <v/>
      </c>
      <c r="C361" t="inlineStr">
        <is>
          <t>Bouillon Poulet</t>
        </is>
      </c>
      <c r="D361" t="n">
        <v>10</v>
      </c>
      <c r="E361" t="inlineStr">
        <is>
          <t>Epice 100ml</t>
        </is>
      </c>
      <c r="F36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1">
        <f>IFERROR(_xlfn.XLOOKUP(TableauRecette[[#This Row],[Ingredients]],TableauIngredients[Ingredients],TableauIngredients[Prix d''achat / kg],0)*TableauRecette[[#This Row],[fraction mélange]],0)</f>
        <v/>
      </c>
      <c r="H361">
        <f>IFERROR(SUMIFS(TableauRecette[Proportion],TableauRecette[Recette],TableauRecette[[#This Row],[Recette]],TableauRecette[Conditionnement],TableauRecette[[#This Row],[Conditionnement]]),0)</f>
        <v/>
      </c>
      <c r="I361">
        <f>IFERROR(TableauRecette[[#This Row],[Prix d''achat / kg]],0)</f>
        <v/>
      </c>
      <c r="L361">
        <f>_xlfn.XLOOKUP(TableauRecette[[#This Row],[ID]],TableauProduit[ID],TableauProduit[Total (kg) N1],0,0,1)*TableauRecette[[#This Row],[fraction mélange]]</f>
        <v/>
      </c>
      <c r="M361">
        <f>_xlfn.XLOOKUP(TableauRecette[[#This Row],[ID]],TableauProduit[ID],TableauProduit[Total (kg) N2],0,0,1)*TableauRecette[[#This Row],[fraction mélange]]</f>
        <v/>
      </c>
      <c r="N361">
        <f>_xlfn.XLOOKUP(TableauRecette[[#This Row],[ID]],TableauProduit[ID],TableauProduit[Total (kg) N3],0,0,1)*TableauRecette[[#This Row],[fraction mélange]]</f>
        <v/>
      </c>
      <c r="O361">
        <f>_xlfn.XLOOKUP(TableauRecette[[#This Row],[ID]],TableauProduit[ID],TableauProduit[Total (kg) N4],0,0,1)*TableauRecette[[#This Row],[fraction mélange]]</f>
        <v/>
      </c>
      <c r="P361">
        <f>_xlfn.XLOOKUP(TableauRecette[[#This Row],[ID]],TableauProduit[ID],TableauProduit[Total (kg) N5],0,0,1)*TableauRecette[[#This Row],[fraction mélange]]</f>
        <v/>
      </c>
      <c r="Q361">
        <f>_xlfn.XLOOKUP(TableauRecette[[#This Row],[ID]],TableauProduit[ID],TableauProduit[Total (kg) N6],0,0,1)*TableauRecette[[#This Row],[fraction mélange]]</f>
        <v/>
      </c>
      <c r="R361">
        <f>_xlfn.XLOOKUP(TableauRecette[[#This Row],[ID]],TableauProduit[ID],TableauProduit[Total (kg) N7],0,0,1)*TableauRecette[[#This Row],[fraction mélange]]</f>
        <v/>
      </c>
      <c r="S361">
        <f>_xlfn.XLOOKUP(TableauRecette[[#This Row],[ID]],TableauProduit[ID],TableauProduit[Total (kg) N8],0,0,1)*TableauRecette[[#This Row],[fraction mélange]]</f>
        <v/>
      </c>
      <c r="T361">
        <f>_xlfn.XLOOKUP(TableauRecette[[#This Row],[ID]],TableauProduit[ID],TableauProduit[Total (kg) N9],0,0,1)*TableauRecette[[#This Row],[fraction mélange]]</f>
        <v/>
      </c>
    </row>
    <row r="362">
      <c r="A362" t="inlineStr">
        <is>
          <t>Suya ghanéen</t>
        </is>
      </c>
      <c r="B362">
        <f>TableauRecette[[#This Row],[Recette]]&amp;TableauRecette[[#This Row],[Conditionnement]]</f>
        <v/>
      </c>
      <c r="C362" t="inlineStr">
        <is>
          <t>Oignon Séché</t>
        </is>
      </c>
      <c r="D362" t="n">
        <v>7</v>
      </c>
      <c r="E362" t="inlineStr">
        <is>
          <t>Epice 100ml</t>
        </is>
      </c>
      <c r="F36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2">
        <f>IFERROR(_xlfn.XLOOKUP(TableauRecette[[#This Row],[Ingredients]],TableauIngredients[Ingredients],TableauIngredients[Prix d''achat / kg],0)*TableauRecette[[#This Row],[fraction mélange]],0)</f>
        <v/>
      </c>
      <c r="H362">
        <f>IFERROR(SUMIFS(TableauRecette[Proportion],TableauRecette[Recette],TableauRecette[[#This Row],[Recette]],TableauRecette[Conditionnement],TableauRecette[[#This Row],[Conditionnement]]),0)</f>
        <v/>
      </c>
      <c r="I362">
        <f>IFERROR(TableauRecette[[#This Row],[Prix d''achat / kg]],0)</f>
        <v/>
      </c>
      <c r="L362">
        <f>_xlfn.XLOOKUP(TableauRecette[[#This Row],[ID]],TableauProduit[ID],TableauProduit[Total (kg) N1],0,0,1)*TableauRecette[[#This Row],[fraction mélange]]</f>
        <v/>
      </c>
      <c r="M362">
        <f>_xlfn.XLOOKUP(TableauRecette[[#This Row],[ID]],TableauProduit[ID],TableauProduit[Total (kg) N2],0,0,1)*TableauRecette[[#This Row],[fraction mélange]]</f>
        <v/>
      </c>
      <c r="N362">
        <f>_xlfn.XLOOKUP(TableauRecette[[#This Row],[ID]],TableauProduit[ID],TableauProduit[Total (kg) N3],0,0,1)*TableauRecette[[#This Row],[fraction mélange]]</f>
        <v/>
      </c>
      <c r="O362">
        <f>_xlfn.XLOOKUP(TableauRecette[[#This Row],[ID]],TableauProduit[ID],TableauProduit[Total (kg) N4],0,0,1)*TableauRecette[[#This Row],[fraction mélange]]</f>
        <v/>
      </c>
      <c r="P362">
        <f>_xlfn.XLOOKUP(TableauRecette[[#This Row],[ID]],TableauProduit[ID],TableauProduit[Total (kg) N5],0,0,1)*TableauRecette[[#This Row],[fraction mélange]]</f>
        <v/>
      </c>
      <c r="Q362">
        <f>_xlfn.XLOOKUP(TableauRecette[[#This Row],[ID]],TableauProduit[ID],TableauProduit[Total (kg) N6],0,0,1)*TableauRecette[[#This Row],[fraction mélange]]</f>
        <v/>
      </c>
      <c r="R362">
        <f>_xlfn.XLOOKUP(TableauRecette[[#This Row],[ID]],TableauProduit[ID],TableauProduit[Total (kg) N7],0,0,1)*TableauRecette[[#This Row],[fraction mélange]]</f>
        <v/>
      </c>
      <c r="S362">
        <f>_xlfn.XLOOKUP(TableauRecette[[#This Row],[ID]],TableauProduit[ID],TableauProduit[Total (kg) N8],0,0,1)*TableauRecette[[#This Row],[fraction mélange]]</f>
        <v/>
      </c>
      <c r="T362">
        <f>_xlfn.XLOOKUP(TableauRecette[[#This Row],[ID]],TableauProduit[ID],TableauProduit[Total (kg) N9],0,0,1)*TableauRecette[[#This Row],[fraction mélange]]</f>
        <v/>
      </c>
    </row>
    <row r="363">
      <c r="A363" t="inlineStr">
        <is>
          <t>Suya ghanéen</t>
        </is>
      </c>
      <c r="B363">
        <f>TableauRecette[[#This Row],[Recette]]&amp;TableauRecette[[#This Row],[Conditionnement]]</f>
        <v/>
      </c>
      <c r="C363" t="inlineStr">
        <is>
          <t>Sel</t>
        </is>
      </c>
      <c r="D363" t="n">
        <v>5</v>
      </c>
      <c r="E363" t="inlineStr">
        <is>
          <t>Epice 100ml</t>
        </is>
      </c>
      <c r="F36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3">
        <f>IFERROR(_xlfn.XLOOKUP(TableauRecette[[#This Row],[Ingredients]],TableauIngredients[Ingredients],TableauIngredients[Prix d''achat / kg],0)*TableauRecette[[#This Row],[fraction mélange]],0)</f>
        <v/>
      </c>
      <c r="H363">
        <f>IFERROR(SUMIFS(TableauRecette[Proportion],TableauRecette[Recette],TableauRecette[[#This Row],[Recette]],TableauRecette[Conditionnement],TableauRecette[[#This Row],[Conditionnement]]),0)</f>
        <v/>
      </c>
      <c r="I363">
        <f>IFERROR(TableauRecette[[#This Row],[Prix d''achat / kg]],0)</f>
        <v/>
      </c>
      <c r="L363">
        <f>_xlfn.XLOOKUP(TableauRecette[[#This Row],[ID]],TableauProduit[ID],TableauProduit[Total (kg) N1],0,0,1)*TableauRecette[[#This Row],[fraction mélange]]</f>
        <v/>
      </c>
      <c r="M363">
        <f>_xlfn.XLOOKUP(TableauRecette[[#This Row],[ID]],TableauProduit[ID],TableauProduit[Total (kg) N2],0,0,1)*TableauRecette[[#This Row],[fraction mélange]]</f>
        <v/>
      </c>
      <c r="N363">
        <f>_xlfn.XLOOKUP(TableauRecette[[#This Row],[ID]],TableauProduit[ID],TableauProduit[Total (kg) N3],0,0,1)*TableauRecette[[#This Row],[fraction mélange]]</f>
        <v/>
      </c>
      <c r="O363">
        <f>_xlfn.XLOOKUP(TableauRecette[[#This Row],[ID]],TableauProduit[ID],TableauProduit[Total (kg) N4],0,0,1)*TableauRecette[[#This Row],[fraction mélange]]</f>
        <v/>
      </c>
      <c r="P363">
        <f>_xlfn.XLOOKUP(TableauRecette[[#This Row],[ID]],TableauProduit[ID],TableauProduit[Total (kg) N5],0,0,1)*TableauRecette[[#This Row],[fraction mélange]]</f>
        <v/>
      </c>
      <c r="Q363">
        <f>_xlfn.XLOOKUP(TableauRecette[[#This Row],[ID]],TableauProduit[ID],TableauProduit[Total (kg) N6],0,0,1)*TableauRecette[[#This Row],[fraction mélange]]</f>
        <v/>
      </c>
      <c r="R363">
        <f>_xlfn.XLOOKUP(TableauRecette[[#This Row],[ID]],TableauProduit[ID],TableauProduit[Total (kg) N7],0,0,1)*TableauRecette[[#This Row],[fraction mélange]]</f>
        <v/>
      </c>
      <c r="S363">
        <f>_xlfn.XLOOKUP(TableauRecette[[#This Row],[ID]],TableauProduit[ID],TableauProduit[Total (kg) N8],0,0,1)*TableauRecette[[#This Row],[fraction mélange]]</f>
        <v/>
      </c>
      <c r="T363">
        <f>_xlfn.XLOOKUP(TableauRecette[[#This Row],[ID]],TableauProduit[ID],TableauProduit[Total (kg) N9],0,0,1)*TableauRecette[[#This Row],[fraction mélange]]</f>
        <v/>
      </c>
    </row>
    <row r="364">
      <c r="A364" t="inlineStr">
        <is>
          <t>Suya ghanéen</t>
        </is>
      </c>
      <c r="B364">
        <f>TableauRecette[[#This Row],[Recette]]&amp;TableauRecette[[#This Row],[Conditionnement]]</f>
        <v/>
      </c>
      <c r="C364" t="inlineStr">
        <is>
          <t>Poivre Noir</t>
        </is>
      </c>
      <c r="D364" t="n">
        <v>3</v>
      </c>
      <c r="E364" t="inlineStr">
        <is>
          <t>Epice 100ml</t>
        </is>
      </c>
      <c r="F36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4">
        <f>IFERROR(_xlfn.XLOOKUP(TableauRecette[[#This Row],[Ingredients]],TableauIngredients[Ingredients],TableauIngredients[Prix d''achat / kg],0)*TableauRecette[[#This Row],[fraction mélange]],0)</f>
        <v/>
      </c>
      <c r="H364">
        <f>IFERROR(SUMIFS(TableauRecette[Proportion],TableauRecette[Recette],TableauRecette[[#This Row],[Recette]],TableauRecette[Conditionnement],TableauRecette[[#This Row],[Conditionnement]]),0)</f>
        <v/>
      </c>
      <c r="I364">
        <f>IFERROR(TableauRecette[[#This Row],[Prix d''achat / kg]],0)</f>
        <v/>
      </c>
      <c r="L364">
        <f>_xlfn.XLOOKUP(TableauRecette[[#This Row],[ID]],TableauProduit[ID],TableauProduit[Total (kg) N1],0,0,1)*TableauRecette[[#This Row],[fraction mélange]]</f>
        <v/>
      </c>
      <c r="M364">
        <f>_xlfn.XLOOKUP(TableauRecette[[#This Row],[ID]],TableauProduit[ID],TableauProduit[Total (kg) N2],0,0,1)*TableauRecette[[#This Row],[fraction mélange]]</f>
        <v/>
      </c>
      <c r="N364">
        <f>_xlfn.XLOOKUP(TableauRecette[[#This Row],[ID]],TableauProduit[ID],TableauProduit[Total (kg) N3],0,0,1)*TableauRecette[[#This Row],[fraction mélange]]</f>
        <v/>
      </c>
      <c r="O364">
        <f>_xlfn.XLOOKUP(TableauRecette[[#This Row],[ID]],TableauProduit[ID],TableauProduit[Total (kg) N4],0,0,1)*TableauRecette[[#This Row],[fraction mélange]]</f>
        <v/>
      </c>
      <c r="P364">
        <f>_xlfn.XLOOKUP(TableauRecette[[#This Row],[ID]],TableauProduit[ID],TableauProduit[Total (kg) N5],0,0,1)*TableauRecette[[#This Row],[fraction mélange]]</f>
        <v/>
      </c>
      <c r="Q364">
        <f>_xlfn.XLOOKUP(TableauRecette[[#This Row],[ID]],TableauProduit[ID],TableauProduit[Total (kg) N6],0,0,1)*TableauRecette[[#This Row],[fraction mélange]]</f>
        <v/>
      </c>
      <c r="R364">
        <f>_xlfn.XLOOKUP(TableauRecette[[#This Row],[ID]],TableauProduit[ID],TableauProduit[Total (kg) N7],0,0,1)*TableauRecette[[#This Row],[fraction mélange]]</f>
        <v/>
      </c>
      <c r="S364">
        <f>_xlfn.XLOOKUP(TableauRecette[[#This Row],[ID]],TableauProduit[ID],TableauProduit[Total (kg) N8],0,0,1)*TableauRecette[[#This Row],[fraction mélange]]</f>
        <v/>
      </c>
      <c r="T364">
        <f>_xlfn.XLOOKUP(TableauRecette[[#This Row],[ID]],TableauProduit[ID],TableauProduit[Total (kg) N9],0,0,1)*TableauRecette[[#This Row],[fraction mélange]]</f>
        <v/>
      </c>
    </row>
    <row r="365">
      <c r="A365" t="inlineStr">
        <is>
          <t>Suya ghanéen</t>
        </is>
      </c>
      <c r="B365">
        <f>TableauRecette[[#This Row],[Recette]]&amp;TableauRecette[[#This Row],[Conditionnement]]</f>
        <v/>
      </c>
      <c r="C365" t="inlineStr">
        <is>
          <t>Piment De Cayenne Jaune</t>
        </is>
      </c>
      <c r="D365" t="n">
        <v>4</v>
      </c>
      <c r="E365" t="inlineStr">
        <is>
          <t>Epice 100ml</t>
        </is>
      </c>
      <c r="F36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5">
        <f>IFERROR(_xlfn.XLOOKUP(TableauRecette[[#This Row],[Ingredients]],TableauIngredients[Ingredients],TableauIngredients[Prix d''achat / kg],0)*TableauRecette[[#This Row],[fraction mélange]],0)</f>
        <v/>
      </c>
      <c r="H365">
        <f>IFERROR(SUMIFS(TableauRecette[Proportion],TableauRecette[Recette],TableauRecette[[#This Row],[Recette]],TableauRecette[Conditionnement],TableauRecette[[#This Row],[Conditionnement]]),0)</f>
        <v/>
      </c>
      <c r="I365">
        <f>IFERROR(TableauRecette[[#This Row],[Prix d''achat / kg]],0)</f>
        <v/>
      </c>
      <c r="L365">
        <f>_xlfn.XLOOKUP(TableauRecette[[#This Row],[ID]],TableauProduit[ID],TableauProduit[Total (kg) N1],0,0,1)*TableauRecette[[#This Row],[fraction mélange]]</f>
        <v/>
      </c>
      <c r="M365">
        <f>_xlfn.XLOOKUP(TableauRecette[[#This Row],[ID]],TableauProduit[ID],TableauProduit[Total (kg) N2],0,0,1)*TableauRecette[[#This Row],[fraction mélange]]</f>
        <v/>
      </c>
      <c r="N365">
        <f>_xlfn.XLOOKUP(TableauRecette[[#This Row],[ID]],TableauProduit[ID],TableauProduit[Total (kg) N3],0,0,1)*TableauRecette[[#This Row],[fraction mélange]]</f>
        <v/>
      </c>
      <c r="O365">
        <f>_xlfn.XLOOKUP(TableauRecette[[#This Row],[ID]],TableauProduit[ID],TableauProduit[Total (kg) N4],0,0,1)*TableauRecette[[#This Row],[fraction mélange]]</f>
        <v/>
      </c>
      <c r="P365">
        <f>_xlfn.XLOOKUP(TableauRecette[[#This Row],[ID]],TableauProduit[ID],TableauProduit[Total (kg) N5],0,0,1)*TableauRecette[[#This Row],[fraction mélange]]</f>
        <v/>
      </c>
      <c r="Q365">
        <f>_xlfn.XLOOKUP(TableauRecette[[#This Row],[ID]],TableauProduit[ID],TableauProduit[Total (kg) N6],0,0,1)*TableauRecette[[#This Row],[fraction mélange]]</f>
        <v/>
      </c>
      <c r="R365">
        <f>_xlfn.XLOOKUP(TableauRecette[[#This Row],[ID]],TableauProduit[ID],TableauProduit[Total (kg) N7],0,0,1)*TableauRecette[[#This Row],[fraction mélange]]</f>
        <v/>
      </c>
      <c r="S365">
        <f>_xlfn.XLOOKUP(TableauRecette[[#This Row],[ID]],TableauProduit[ID],TableauProduit[Total (kg) N8],0,0,1)*TableauRecette[[#This Row],[fraction mélange]]</f>
        <v/>
      </c>
      <c r="T365">
        <f>_xlfn.XLOOKUP(TableauRecette[[#This Row],[ID]],TableauProduit[ID],TableauProduit[Total (kg) N9],0,0,1)*TableauRecette[[#This Row],[fraction mélange]]</f>
        <v/>
      </c>
    </row>
    <row r="366">
      <c r="A366" t="inlineStr">
        <is>
          <t>Suya ghanéen</t>
        </is>
      </c>
      <c r="B366">
        <f>TableauRecette[[#This Row],[Recette]]&amp;TableauRecette[[#This Row],[Conditionnement]]</f>
        <v/>
      </c>
      <c r="C366" t="inlineStr">
        <is>
          <t>Ail Sec</t>
        </is>
      </c>
      <c r="D366" t="n">
        <v>10</v>
      </c>
      <c r="E366" t="inlineStr">
        <is>
          <t>Epice 100ml</t>
        </is>
      </c>
      <c r="F36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6">
        <f>IFERROR(_xlfn.XLOOKUP(TableauRecette[[#This Row],[Ingredients]],TableauIngredients[Ingredients],TableauIngredients[Prix d''achat / kg],0)*TableauRecette[[#This Row],[fraction mélange]],0)</f>
        <v/>
      </c>
      <c r="H366">
        <f>IFERROR(SUMIFS(TableauRecette[Proportion],TableauRecette[Recette],TableauRecette[[#This Row],[Recette]],TableauRecette[Conditionnement],TableauRecette[[#This Row],[Conditionnement]]),0)</f>
        <v/>
      </c>
      <c r="I366">
        <f>IFERROR(TableauRecette[[#This Row],[Prix d''achat / kg]],0)</f>
        <v/>
      </c>
      <c r="K366" t="inlineStr">
        <is>
          <t>SEC</t>
        </is>
      </c>
      <c r="L366">
        <f>_xlfn.XLOOKUP(TableauRecette[[#This Row],[ID]],TableauProduit[ID],TableauProduit[Total (kg) N1],0,0,1)*TableauRecette[[#This Row],[fraction mélange]]</f>
        <v/>
      </c>
      <c r="M366">
        <f>_xlfn.XLOOKUP(TableauRecette[[#This Row],[ID]],TableauProduit[ID],TableauProduit[Total (kg) N2],0,0,1)*TableauRecette[[#This Row],[fraction mélange]]</f>
        <v/>
      </c>
      <c r="N366">
        <f>_xlfn.XLOOKUP(TableauRecette[[#This Row],[ID]],TableauProduit[ID],TableauProduit[Total (kg) N3],0,0,1)*TableauRecette[[#This Row],[fraction mélange]]</f>
        <v/>
      </c>
      <c r="O366">
        <f>_xlfn.XLOOKUP(TableauRecette[[#This Row],[ID]],TableauProduit[ID],TableauProduit[Total (kg) N4],0,0,1)*TableauRecette[[#This Row],[fraction mélange]]</f>
        <v/>
      </c>
      <c r="P366">
        <f>_xlfn.XLOOKUP(TableauRecette[[#This Row],[ID]],TableauProduit[ID],TableauProduit[Total (kg) N5],0,0,1)*TableauRecette[[#This Row],[fraction mélange]]</f>
        <v/>
      </c>
      <c r="Q366">
        <f>_xlfn.XLOOKUP(TableauRecette[[#This Row],[ID]],TableauProduit[ID],TableauProduit[Total (kg) N6],0,0,1)*TableauRecette[[#This Row],[fraction mélange]]</f>
        <v/>
      </c>
      <c r="R366">
        <f>_xlfn.XLOOKUP(TableauRecette[[#This Row],[ID]],TableauProduit[ID],TableauProduit[Total (kg) N7],0,0,1)*TableauRecette[[#This Row],[fraction mélange]]</f>
        <v/>
      </c>
      <c r="S366">
        <f>_xlfn.XLOOKUP(TableauRecette[[#This Row],[ID]],TableauProduit[ID],TableauProduit[Total (kg) N8],0,0,1)*TableauRecette[[#This Row],[fraction mélange]]</f>
        <v/>
      </c>
      <c r="T366">
        <f>_xlfn.XLOOKUP(TableauRecette[[#This Row],[ID]],TableauProduit[ID],TableauProduit[Total (kg) N9],0,0,1)*TableauRecette[[#This Row],[fraction mélange]]</f>
        <v/>
      </c>
    </row>
    <row r="367">
      <c r="A367" t="inlineStr">
        <is>
          <t>Tabasco cayenne jaune</t>
        </is>
      </c>
      <c r="B367">
        <f>TableauRecette[[#This Row],[Recette]]&amp;TableauRecette[[#This Row],[Conditionnement]]</f>
        <v/>
      </c>
      <c r="C367" t="inlineStr">
        <is>
          <t>Ail</t>
        </is>
      </c>
      <c r="D367" t="n">
        <v>6</v>
      </c>
      <c r="E367" t="inlineStr">
        <is>
          <t>Piment liquide 100ml</t>
        </is>
      </c>
      <c r="F36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7">
        <f>IFERROR(_xlfn.XLOOKUP(TableauRecette[[#This Row],[Ingredients]],TableauIngredients[Ingredients],TableauIngredients[Prix d''achat / kg],0)*TableauRecette[[#This Row],[fraction mélange]],0)</f>
        <v/>
      </c>
      <c r="H367">
        <f>IFERROR(SUMIFS(TableauRecette[Proportion],TableauRecette[Recette],TableauRecette[[#This Row],[Recette]],TableauRecette[Conditionnement],TableauRecette[[#This Row],[Conditionnement]]),0)</f>
        <v/>
      </c>
      <c r="I367">
        <f>IFERROR(TableauRecette[[#This Row],[Prix d''achat / kg]],0)</f>
        <v/>
      </c>
      <c r="L367">
        <f>_xlfn.XLOOKUP(TableauRecette[[#This Row],[ID]],TableauProduit[ID],TableauProduit[Total (kg) N1],0,0,1)*TableauRecette[[#This Row],[fraction mélange]]</f>
        <v/>
      </c>
      <c r="M367">
        <f>_xlfn.XLOOKUP(TableauRecette[[#This Row],[ID]],TableauProduit[ID],TableauProduit[Total (kg) N2],0,0,1)*TableauRecette[[#This Row],[fraction mélange]]</f>
        <v/>
      </c>
      <c r="N367">
        <f>_xlfn.XLOOKUP(TableauRecette[[#This Row],[ID]],TableauProduit[ID],TableauProduit[Total (kg) N3],0,0,1)*TableauRecette[[#This Row],[fraction mélange]]</f>
        <v/>
      </c>
      <c r="O367">
        <f>_xlfn.XLOOKUP(TableauRecette[[#This Row],[ID]],TableauProduit[ID],TableauProduit[Total (kg) N4],0,0,1)*TableauRecette[[#This Row],[fraction mélange]]</f>
        <v/>
      </c>
      <c r="P367">
        <f>_xlfn.XLOOKUP(TableauRecette[[#This Row],[ID]],TableauProduit[ID],TableauProduit[Total (kg) N5],0,0,1)*TableauRecette[[#This Row],[fraction mélange]]</f>
        <v/>
      </c>
      <c r="Q367">
        <f>_xlfn.XLOOKUP(TableauRecette[[#This Row],[ID]],TableauProduit[ID],TableauProduit[Total (kg) N6],0,0,1)*TableauRecette[[#This Row],[fraction mélange]]</f>
        <v/>
      </c>
      <c r="R367">
        <f>_xlfn.XLOOKUP(TableauRecette[[#This Row],[ID]],TableauProduit[ID],TableauProduit[Total (kg) N7],0,0,1)*TableauRecette[[#This Row],[fraction mélange]]</f>
        <v/>
      </c>
      <c r="S367">
        <f>_xlfn.XLOOKUP(TableauRecette[[#This Row],[ID]],TableauProduit[ID],TableauProduit[Total (kg) N8],0,0,1)*TableauRecette[[#This Row],[fraction mélange]]</f>
        <v/>
      </c>
      <c r="T367">
        <f>_xlfn.XLOOKUP(TableauRecette[[#This Row],[ID]],TableauProduit[ID],TableauProduit[Total (kg) N9],0,0,1)*TableauRecette[[#This Row],[fraction mélange]]</f>
        <v/>
      </c>
    </row>
    <row r="368">
      <c r="A368" t="inlineStr">
        <is>
          <t>Tabasco cayenne jaune</t>
        </is>
      </c>
      <c r="B368">
        <f>TableauRecette[[#This Row],[Recette]]&amp;TableauRecette[[#This Row],[Conditionnement]]</f>
        <v/>
      </c>
      <c r="C368" t="inlineStr">
        <is>
          <t>Piment De Cayenne Jaune</t>
        </is>
      </c>
      <c r="D368" t="n">
        <v>100</v>
      </c>
      <c r="E368" t="inlineStr">
        <is>
          <t>Piment liquide 100ml</t>
        </is>
      </c>
      <c r="F36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8">
        <f>IFERROR(_xlfn.XLOOKUP(TableauRecette[[#This Row],[Ingredients]],TableauIngredients[Ingredients],TableauIngredients[Prix d''achat / kg],0)*TableauRecette[[#This Row],[fraction mélange]],0)</f>
        <v/>
      </c>
      <c r="H368">
        <f>IFERROR(SUMIFS(TableauRecette[Proportion],TableauRecette[Recette],TableauRecette[[#This Row],[Recette]],TableauRecette[Conditionnement],TableauRecette[[#This Row],[Conditionnement]]),0)</f>
        <v/>
      </c>
      <c r="I368">
        <f>IFERROR(TableauRecette[[#This Row],[Prix d''achat / kg]],0)</f>
        <v/>
      </c>
      <c r="L368">
        <f>_xlfn.XLOOKUP(TableauRecette[[#This Row],[ID]],TableauProduit[ID],TableauProduit[Total (kg) N1],0,0,1)*TableauRecette[[#This Row],[fraction mélange]]</f>
        <v/>
      </c>
      <c r="M368">
        <f>_xlfn.XLOOKUP(TableauRecette[[#This Row],[ID]],TableauProduit[ID],TableauProduit[Total (kg) N2],0,0,1)*TableauRecette[[#This Row],[fraction mélange]]</f>
        <v/>
      </c>
      <c r="N368">
        <f>_xlfn.XLOOKUP(TableauRecette[[#This Row],[ID]],TableauProduit[ID],TableauProduit[Total (kg) N3],0,0,1)*TableauRecette[[#This Row],[fraction mélange]]</f>
        <v/>
      </c>
      <c r="O368">
        <f>_xlfn.XLOOKUP(TableauRecette[[#This Row],[ID]],TableauProduit[ID],TableauProduit[Total (kg) N4],0,0,1)*TableauRecette[[#This Row],[fraction mélange]]</f>
        <v/>
      </c>
      <c r="P368">
        <f>_xlfn.XLOOKUP(TableauRecette[[#This Row],[ID]],TableauProduit[ID],TableauProduit[Total (kg) N5],0,0,1)*TableauRecette[[#This Row],[fraction mélange]]</f>
        <v/>
      </c>
      <c r="Q368">
        <f>_xlfn.XLOOKUP(TableauRecette[[#This Row],[ID]],TableauProduit[ID],TableauProduit[Total (kg) N6],0,0,1)*TableauRecette[[#This Row],[fraction mélange]]</f>
        <v/>
      </c>
      <c r="R368">
        <f>_xlfn.XLOOKUP(TableauRecette[[#This Row],[ID]],TableauProduit[ID],TableauProduit[Total (kg) N7],0,0,1)*TableauRecette[[#This Row],[fraction mélange]]</f>
        <v/>
      </c>
      <c r="S368">
        <f>_xlfn.XLOOKUP(TableauRecette[[#This Row],[ID]],TableauProduit[ID],TableauProduit[Total (kg) N8],0,0,1)*TableauRecette[[#This Row],[fraction mélange]]</f>
        <v/>
      </c>
      <c r="T368">
        <f>_xlfn.XLOOKUP(TableauRecette[[#This Row],[ID]],TableauProduit[ID],TableauProduit[Total (kg) N9],0,0,1)*TableauRecette[[#This Row],[fraction mélange]]</f>
        <v/>
      </c>
    </row>
    <row r="369">
      <c r="A369" t="inlineStr">
        <is>
          <t>Tabasco cayenne jaune</t>
        </is>
      </c>
      <c r="B369">
        <f>TableauRecette[[#This Row],[Recette]]&amp;TableauRecette[[#This Row],[Conditionnement]]</f>
        <v/>
      </c>
      <c r="C369" t="inlineStr">
        <is>
          <t>Sel</t>
        </is>
      </c>
      <c r="D369" t="n">
        <v>10</v>
      </c>
      <c r="E369" t="inlineStr">
        <is>
          <t>Piment liquide 100ml</t>
        </is>
      </c>
      <c r="F36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9">
        <f>IFERROR(_xlfn.XLOOKUP(TableauRecette[[#This Row],[Ingredients]],TableauIngredients[Ingredients],TableauIngredients[Prix d''achat / kg],0)*TableauRecette[[#This Row],[fraction mélange]],0)</f>
        <v/>
      </c>
      <c r="H369">
        <f>IFERROR(SUMIFS(TableauRecette[Proportion],TableauRecette[Recette],TableauRecette[[#This Row],[Recette]],TableauRecette[Conditionnement],TableauRecette[[#This Row],[Conditionnement]]),0)</f>
        <v/>
      </c>
      <c r="I369">
        <f>IFERROR(TableauRecette[[#This Row],[Prix d''achat / kg]],0)</f>
        <v/>
      </c>
      <c r="L369">
        <f>_xlfn.XLOOKUP(TableauRecette[[#This Row],[ID]],TableauProduit[ID],TableauProduit[Total (kg) N1],0,0,1)*TableauRecette[[#This Row],[fraction mélange]]</f>
        <v/>
      </c>
      <c r="M369">
        <f>_xlfn.XLOOKUP(TableauRecette[[#This Row],[ID]],TableauProduit[ID],TableauProduit[Total (kg) N2],0,0,1)*TableauRecette[[#This Row],[fraction mélange]]</f>
        <v/>
      </c>
      <c r="N369">
        <f>_xlfn.XLOOKUP(TableauRecette[[#This Row],[ID]],TableauProduit[ID],TableauProduit[Total (kg) N3],0,0,1)*TableauRecette[[#This Row],[fraction mélange]]</f>
        <v/>
      </c>
      <c r="O369">
        <f>_xlfn.XLOOKUP(TableauRecette[[#This Row],[ID]],TableauProduit[ID],TableauProduit[Total (kg) N4],0,0,1)*TableauRecette[[#This Row],[fraction mélange]]</f>
        <v/>
      </c>
      <c r="P369">
        <f>_xlfn.XLOOKUP(TableauRecette[[#This Row],[ID]],TableauProduit[ID],TableauProduit[Total (kg) N5],0,0,1)*TableauRecette[[#This Row],[fraction mélange]]</f>
        <v/>
      </c>
      <c r="Q369">
        <f>_xlfn.XLOOKUP(TableauRecette[[#This Row],[ID]],TableauProduit[ID],TableauProduit[Total (kg) N6],0,0,1)*TableauRecette[[#This Row],[fraction mélange]]</f>
        <v/>
      </c>
      <c r="R369">
        <f>_xlfn.XLOOKUP(TableauRecette[[#This Row],[ID]],TableauProduit[ID],TableauProduit[Total (kg) N7],0,0,1)*TableauRecette[[#This Row],[fraction mélange]]</f>
        <v/>
      </c>
      <c r="S369">
        <f>_xlfn.XLOOKUP(TableauRecette[[#This Row],[ID]],TableauProduit[ID],TableauProduit[Total (kg) N8],0,0,1)*TableauRecette[[#This Row],[fraction mélange]]</f>
        <v/>
      </c>
      <c r="T369">
        <f>_xlfn.XLOOKUP(TableauRecette[[#This Row],[ID]],TableauProduit[ID],TableauProduit[Total (kg) N9],0,0,1)*TableauRecette[[#This Row],[fraction mélange]]</f>
        <v/>
      </c>
    </row>
    <row r="370">
      <c r="A370" t="inlineStr">
        <is>
          <t>Tabasco cayenne jaune</t>
        </is>
      </c>
      <c r="B370">
        <f>TableauRecette[[#This Row],[Recette]]&amp;TableauRecette[[#This Row],[Conditionnement]]</f>
        <v/>
      </c>
      <c r="C370" t="inlineStr">
        <is>
          <t>Vinaigre De Cidre</t>
        </is>
      </c>
      <c r="D370" t="n">
        <v>6</v>
      </c>
      <c r="E370" t="inlineStr">
        <is>
          <t>Piment liquide 100ml</t>
        </is>
      </c>
      <c r="F37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0">
        <f>IFERROR(_xlfn.XLOOKUP(TableauRecette[[#This Row],[Ingredients]],TableauIngredients[Ingredients],TableauIngredients[Prix d''achat / kg],0)*TableauRecette[[#This Row],[fraction mélange]],0)</f>
        <v/>
      </c>
      <c r="H370">
        <f>IFERROR(SUMIFS(TableauRecette[Proportion],TableauRecette[Recette],TableauRecette[[#This Row],[Recette]],TableauRecette[Conditionnement],TableauRecette[[#This Row],[Conditionnement]]),0)</f>
        <v/>
      </c>
      <c r="I370">
        <f>IFERROR(TableauRecette[[#This Row],[Prix d''achat / kg]],0)</f>
        <v/>
      </c>
      <c r="L370">
        <f>_xlfn.XLOOKUP(TableauRecette[[#This Row],[ID]],TableauProduit[ID],TableauProduit[Total (kg) N1],0,0,1)*TableauRecette[[#This Row],[fraction mélange]]</f>
        <v/>
      </c>
      <c r="M370">
        <f>_xlfn.XLOOKUP(TableauRecette[[#This Row],[ID]],TableauProduit[ID],TableauProduit[Total (kg) N2],0,0,1)*TableauRecette[[#This Row],[fraction mélange]]</f>
        <v/>
      </c>
      <c r="N370">
        <f>_xlfn.XLOOKUP(TableauRecette[[#This Row],[ID]],TableauProduit[ID],TableauProduit[Total (kg) N3],0,0,1)*TableauRecette[[#This Row],[fraction mélange]]</f>
        <v/>
      </c>
      <c r="O370">
        <f>_xlfn.XLOOKUP(TableauRecette[[#This Row],[ID]],TableauProduit[ID],TableauProduit[Total (kg) N4],0,0,1)*TableauRecette[[#This Row],[fraction mélange]]</f>
        <v/>
      </c>
      <c r="P370">
        <f>_xlfn.XLOOKUP(TableauRecette[[#This Row],[ID]],TableauProduit[ID],TableauProduit[Total (kg) N5],0,0,1)*TableauRecette[[#This Row],[fraction mélange]]</f>
        <v/>
      </c>
      <c r="Q370">
        <f>_xlfn.XLOOKUP(TableauRecette[[#This Row],[ID]],TableauProduit[ID],TableauProduit[Total (kg) N6],0,0,1)*TableauRecette[[#This Row],[fraction mélange]]</f>
        <v/>
      </c>
      <c r="R370">
        <f>_xlfn.XLOOKUP(TableauRecette[[#This Row],[ID]],TableauProduit[ID],TableauProduit[Total (kg) N7],0,0,1)*TableauRecette[[#This Row],[fraction mélange]]</f>
        <v/>
      </c>
      <c r="S370">
        <f>_xlfn.XLOOKUP(TableauRecette[[#This Row],[ID]],TableauProduit[ID],TableauProduit[Total (kg) N8],0,0,1)*TableauRecette[[#This Row],[fraction mélange]]</f>
        <v/>
      </c>
      <c r="T370">
        <f>_xlfn.XLOOKUP(TableauRecette[[#This Row],[ID]],TableauProduit[ID],TableauProduit[Total (kg) N9],0,0,1)*TableauRecette[[#This Row],[fraction mélange]]</f>
        <v/>
      </c>
    </row>
    <row r="371">
      <c r="A371" t="inlineStr">
        <is>
          <t>Tabasco cayenne jaune</t>
        </is>
      </c>
      <c r="B371">
        <f>TableauRecette[[#This Row],[Recette]]&amp;TableauRecette[[#This Row],[Conditionnement]]</f>
        <v/>
      </c>
      <c r="C371" t="inlineStr">
        <is>
          <t>Oignon</t>
        </is>
      </c>
      <c r="D371" t="n">
        <v>12</v>
      </c>
      <c r="E371" t="inlineStr">
        <is>
          <t>Piment liquide 100ml</t>
        </is>
      </c>
      <c r="F37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1">
        <f>IFERROR(_xlfn.XLOOKUP(TableauRecette[[#This Row],[Ingredients]],TableauIngredients[Ingredients],TableauIngredients[Prix d''achat / kg],0)*TableauRecette[[#This Row],[fraction mélange]],0)</f>
        <v/>
      </c>
      <c r="H371">
        <f>IFERROR(SUMIFS(TableauRecette[Proportion],TableauRecette[Recette],TableauRecette[[#This Row],[Recette]],TableauRecette[Conditionnement],TableauRecette[[#This Row],[Conditionnement]]),0)</f>
        <v/>
      </c>
      <c r="I371">
        <f>IFERROR(TableauRecette[[#This Row],[Prix d''achat / kg]],0)</f>
        <v/>
      </c>
      <c r="L371">
        <f>_xlfn.XLOOKUP(TableauRecette[[#This Row],[ID]],TableauProduit[ID],TableauProduit[Total (kg) N1],0,0,1)*TableauRecette[[#This Row],[fraction mélange]]</f>
        <v/>
      </c>
      <c r="M371">
        <f>_xlfn.XLOOKUP(TableauRecette[[#This Row],[ID]],TableauProduit[ID],TableauProduit[Total (kg) N2],0,0,1)*TableauRecette[[#This Row],[fraction mélange]]</f>
        <v/>
      </c>
      <c r="N371">
        <f>_xlfn.XLOOKUP(TableauRecette[[#This Row],[ID]],TableauProduit[ID],TableauProduit[Total (kg) N3],0,0,1)*TableauRecette[[#This Row],[fraction mélange]]</f>
        <v/>
      </c>
      <c r="O371">
        <f>_xlfn.XLOOKUP(TableauRecette[[#This Row],[ID]],TableauProduit[ID],TableauProduit[Total (kg) N4],0,0,1)*TableauRecette[[#This Row],[fraction mélange]]</f>
        <v/>
      </c>
      <c r="P371">
        <f>_xlfn.XLOOKUP(TableauRecette[[#This Row],[ID]],TableauProduit[ID],TableauProduit[Total (kg) N5],0,0,1)*TableauRecette[[#This Row],[fraction mélange]]</f>
        <v/>
      </c>
      <c r="Q371">
        <f>_xlfn.XLOOKUP(TableauRecette[[#This Row],[ID]],TableauProduit[ID],TableauProduit[Total (kg) N6],0,0,1)*TableauRecette[[#This Row],[fraction mélange]]</f>
        <v/>
      </c>
      <c r="R371">
        <f>_xlfn.XLOOKUP(TableauRecette[[#This Row],[ID]],TableauProduit[ID],TableauProduit[Total (kg) N7],0,0,1)*TableauRecette[[#This Row],[fraction mélange]]</f>
        <v/>
      </c>
      <c r="S371">
        <f>_xlfn.XLOOKUP(TableauRecette[[#This Row],[ID]],TableauProduit[ID],TableauProduit[Total (kg) N8],0,0,1)*TableauRecette[[#This Row],[fraction mélange]]</f>
        <v/>
      </c>
      <c r="T371">
        <f>_xlfn.XLOOKUP(TableauRecette[[#This Row],[ID]],TableauProduit[ID],TableauProduit[Total (kg) N9],0,0,1)*TableauRecette[[#This Row],[fraction mélange]]</f>
        <v/>
      </c>
    </row>
    <row r="372">
      <c r="A372" t="inlineStr">
        <is>
          <t>Tabasco jalapeno</t>
        </is>
      </c>
      <c r="B372">
        <f>TableauRecette[[#This Row],[Recette]]&amp;TableauRecette[[#This Row],[Conditionnement]]</f>
        <v/>
      </c>
      <c r="C372" t="inlineStr">
        <is>
          <t>Piment Jalapeno Vert</t>
        </is>
      </c>
      <c r="D372" t="n">
        <v>100</v>
      </c>
      <c r="E372" t="inlineStr">
        <is>
          <t>Piment liquide 100ml</t>
        </is>
      </c>
      <c r="F37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2">
        <f>IFERROR(_xlfn.XLOOKUP(TableauRecette[[#This Row],[Ingredients]],TableauIngredients[Ingredients],TableauIngredients[Prix d''achat / kg],0)*TableauRecette[[#This Row],[fraction mélange]],0)</f>
        <v/>
      </c>
      <c r="H372">
        <f>IFERROR(SUMIFS(TableauRecette[Proportion],TableauRecette[Recette],TableauRecette[[#This Row],[Recette]],TableauRecette[Conditionnement],TableauRecette[[#This Row],[Conditionnement]]),0)</f>
        <v/>
      </c>
      <c r="I372">
        <f>IFERROR(TableauRecette[[#This Row],[Prix d''achat / kg]],0)</f>
        <v/>
      </c>
      <c r="L372">
        <f>_xlfn.XLOOKUP(TableauRecette[[#This Row],[ID]],TableauProduit[ID],TableauProduit[Total (kg) N1],0,0,1)*TableauRecette[[#This Row],[fraction mélange]]</f>
        <v/>
      </c>
      <c r="M372">
        <f>_xlfn.XLOOKUP(TableauRecette[[#This Row],[ID]],TableauProduit[ID],TableauProduit[Total (kg) N2],0,0,1)*TableauRecette[[#This Row],[fraction mélange]]</f>
        <v/>
      </c>
      <c r="N372">
        <f>_xlfn.XLOOKUP(TableauRecette[[#This Row],[ID]],TableauProduit[ID],TableauProduit[Total (kg) N3],0,0,1)*TableauRecette[[#This Row],[fraction mélange]]</f>
        <v/>
      </c>
      <c r="O372">
        <f>_xlfn.XLOOKUP(TableauRecette[[#This Row],[ID]],TableauProduit[ID],TableauProduit[Total (kg) N4],0,0,1)*TableauRecette[[#This Row],[fraction mélange]]</f>
        <v/>
      </c>
      <c r="P372">
        <f>_xlfn.XLOOKUP(TableauRecette[[#This Row],[ID]],TableauProduit[ID],TableauProduit[Total (kg) N5],0,0,1)*TableauRecette[[#This Row],[fraction mélange]]</f>
        <v/>
      </c>
      <c r="Q372">
        <f>_xlfn.XLOOKUP(TableauRecette[[#This Row],[ID]],TableauProduit[ID],TableauProduit[Total (kg) N6],0,0,1)*TableauRecette[[#This Row],[fraction mélange]]</f>
        <v/>
      </c>
      <c r="R372">
        <f>_xlfn.XLOOKUP(TableauRecette[[#This Row],[ID]],TableauProduit[ID],TableauProduit[Total (kg) N7],0,0,1)*TableauRecette[[#This Row],[fraction mélange]]</f>
        <v/>
      </c>
      <c r="S372">
        <f>_xlfn.XLOOKUP(TableauRecette[[#This Row],[ID]],TableauProduit[ID],TableauProduit[Total (kg) N8],0,0,1)*TableauRecette[[#This Row],[fraction mélange]]</f>
        <v/>
      </c>
      <c r="T372">
        <f>_xlfn.XLOOKUP(TableauRecette[[#This Row],[ID]],TableauProduit[ID],TableauProduit[Total (kg) N9],0,0,1)*TableauRecette[[#This Row],[fraction mélange]]</f>
        <v/>
      </c>
    </row>
    <row r="373">
      <c r="A373" t="inlineStr">
        <is>
          <t>Tabasco jalapeno</t>
        </is>
      </c>
      <c r="B373">
        <f>TableauRecette[[#This Row],[Recette]]&amp;TableauRecette[[#This Row],[Conditionnement]]</f>
        <v/>
      </c>
      <c r="C373" t="inlineStr">
        <is>
          <t>Sel</t>
        </is>
      </c>
      <c r="D373" t="n">
        <v>10</v>
      </c>
      <c r="E373" t="inlineStr">
        <is>
          <t>Piment liquide 100ml</t>
        </is>
      </c>
      <c r="F37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3">
        <f>IFERROR(_xlfn.XLOOKUP(TableauRecette[[#This Row],[Ingredients]],TableauIngredients[Ingredients],TableauIngredients[Prix d''achat / kg],0)*TableauRecette[[#This Row],[fraction mélange]],0)</f>
        <v/>
      </c>
      <c r="H373">
        <f>IFERROR(SUMIFS(TableauRecette[Proportion],TableauRecette[Recette],TableauRecette[[#This Row],[Recette]],TableauRecette[Conditionnement],TableauRecette[[#This Row],[Conditionnement]]),0)</f>
        <v/>
      </c>
      <c r="I373">
        <f>IFERROR(TableauRecette[[#This Row],[Prix d''achat / kg]],0)</f>
        <v/>
      </c>
      <c r="L373">
        <f>_xlfn.XLOOKUP(TableauRecette[[#This Row],[ID]],TableauProduit[ID],TableauProduit[Total (kg) N1],0,0,1)*TableauRecette[[#This Row],[fraction mélange]]</f>
        <v/>
      </c>
      <c r="M373">
        <f>_xlfn.XLOOKUP(TableauRecette[[#This Row],[ID]],TableauProduit[ID],TableauProduit[Total (kg) N2],0,0,1)*TableauRecette[[#This Row],[fraction mélange]]</f>
        <v/>
      </c>
      <c r="N373">
        <f>_xlfn.XLOOKUP(TableauRecette[[#This Row],[ID]],TableauProduit[ID],TableauProduit[Total (kg) N3],0,0,1)*TableauRecette[[#This Row],[fraction mélange]]</f>
        <v/>
      </c>
      <c r="O373">
        <f>_xlfn.XLOOKUP(TableauRecette[[#This Row],[ID]],TableauProduit[ID],TableauProduit[Total (kg) N4],0,0,1)*TableauRecette[[#This Row],[fraction mélange]]</f>
        <v/>
      </c>
      <c r="P373">
        <f>_xlfn.XLOOKUP(TableauRecette[[#This Row],[ID]],TableauProduit[ID],TableauProduit[Total (kg) N5],0,0,1)*TableauRecette[[#This Row],[fraction mélange]]</f>
        <v/>
      </c>
      <c r="Q373">
        <f>_xlfn.XLOOKUP(TableauRecette[[#This Row],[ID]],TableauProduit[ID],TableauProduit[Total (kg) N6],0,0,1)*TableauRecette[[#This Row],[fraction mélange]]</f>
        <v/>
      </c>
      <c r="R373">
        <f>_xlfn.XLOOKUP(TableauRecette[[#This Row],[ID]],TableauProduit[ID],TableauProduit[Total (kg) N7],0,0,1)*TableauRecette[[#This Row],[fraction mélange]]</f>
        <v/>
      </c>
      <c r="S373">
        <f>_xlfn.XLOOKUP(TableauRecette[[#This Row],[ID]],TableauProduit[ID],TableauProduit[Total (kg) N8],0,0,1)*TableauRecette[[#This Row],[fraction mélange]]</f>
        <v/>
      </c>
      <c r="T373">
        <f>_xlfn.XLOOKUP(TableauRecette[[#This Row],[ID]],TableauProduit[ID],TableauProduit[Total (kg) N9],0,0,1)*TableauRecette[[#This Row],[fraction mélange]]</f>
        <v/>
      </c>
    </row>
    <row r="374">
      <c r="A374" t="inlineStr">
        <is>
          <t>Tabasco jalapeno</t>
        </is>
      </c>
      <c r="B374">
        <f>TableauRecette[[#This Row],[Recette]]&amp;TableauRecette[[#This Row],[Conditionnement]]</f>
        <v/>
      </c>
      <c r="C374" t="inlineStr">
        <is>
          <t>Vinaigre De Cidre</t>
        </is>
      </c>
      <c r="D374" t="n">
        <v>6</v>
      </c>
      <c r="E374" t="inlineStr">
        <is>
          <t>Piment liquide 100ml</t>
        </is>
      </c>
      <c r="F37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4">
        <f>IFERROR(_xlfn.XLOOKUP(TableauRecette[[#This Row],[Ingredients]],TableauIngredients[Ingredients],TableauIngredients[Prix d''achat / kg],0)*TableauRecette[[#This Row],[fraction mélange]],0)</f>
        <v/>
      </c>
      <c r="H374">
        <f>IFERROR(SUMIFS(TableauRecette[Proportion],TableauRecette[Recette],TableauRecette[[#This Row],[Recette]],TableauRecette[Conditionnement],TableauRecette[[#This Row],[Conditionnement]]),0)</f>
        <v/>
      </c>
      <c r="I374">
        <f>IFERROR(TableauRecette[[#This Row],[Prix d''achat / kg]],0)</f>
        <v/>
      </c>
      <c r="L374">
        <f>_xlfn.XLOOKUP(TableauRecette[[#This Row],[ID]],TableauProduit[ID],TableauProduit[Total (kg) N1],0,0,1)*TableauRecette[[#This Row],[fraction mélange]]</f>
        <v/>
      </c>
      <c r="M374">
        <f>_xlfn.XLOOKUP(TableauRecette[[#This Row],[ID]],TableauProduit[ID],TableauProduit[Total (kg) N2],0,0,1)*TableauRecette[[#This Row],[fraction mélange]]</f>
        <v/>
      </c>
      <c r="N374">
        <f>_xlfn.XLOOKUP(TableauRecette[[#This Row],[ID]],TableauProduit[ID],TableauProduit[Total (kg) N3],0,0,1)*TableauRecette[[#This Row],[fraction mélange]]</f>
        <v/>
      </c>
      <c r="O374">
        <f>_xlfn.XLOOKUP(TableauRecette[[#This Row],[ID]],TableauProduit[ID],TableauProduit[Total (kg) N4],0,0,1)*TableauRecette[[#This Row],[fraction mélange]]</f>
        <v/>
      </c>
      <c r="P374">
        <f>_xlfn.XLOOKUP(TableauRecette[[#This Row],[ID]],TableauProduit[ID],TableauProduit[Total (kg) N5],0,0,1)*TableauRecette[[#This Row],[fraction mélange]]</f>
        <v/>
      </c>
      <c r="Q374">
        <f>_xlfn.XLOOKUP(TableauRecette[[#This Row],[ID]],TableauProduit[ID],TableauProduit[Total (kg) N6],0,0,1)*TableauRecette[[#This Row],[fraction mélange]]</f>
        <v/>
      </c>
      <c r="R374">
        <f>_xlfn.XLOOKUP(TableauRecette[[#This Row],[ID]],TableauProduit[ID],TableauProduit[Total (kg) N7],0,0,1)*TableauRecette[[#This Row],[fraction mélange]]</f>
        <v/>
      </c>
      <c r="S374">
        <f>_xlfn.XLOOKUP(TableauRecette[[#This Row],[ID]],TableauProduit[ID],TableauProduit[Total (kg) N8],0,0,1)*TableauRecette[[#This Row],[fraction mélange]]</f>
        <v/>
      </c>
      <c r="T374">
        <f>_xlfn.XLOOKUP(TableauRecette[[#This Row],[ID]],TableauProduit[ID],TableauProduit[Total (kg) N9],0,0,1)*TableauRecette[[#This Row],[fraction mélange]]</f>
        <v/>
      </c>
    </row>
    <row r="375">
      <c r="A375" t="inlineStr">
        <is>
          <t>Tabasco jalapeno</t>
        </is>
      </c>
      <c r="B375">
        <f>TableauRecette[[#This Row],[Recette]]&amp;TableauRecette[[#This Row],[Conditionnement]]</f>
        <v/>
      </c>
      <c r="C375" t="inlineStr">
        <is>
          <t>Basilic Thaï</t>
        </is>
      </c>
      <c r="D375" t="n">
        <v>13</v>
      </c>
      <c r="E375" t="inlineStr">
        <is>
          <t>Piment liquide 100ml</t>
        </is>
      </c>
      <c r="F37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5">
        <f>IFERROR(_xlfn.XLOOKUP(TableauRecette[[#This Row],[Ingredients]],TableauIngredients[Ingredients],TableauIngredients[Prix d''achat / kg],0)*TableauRecette[[#This Row],[fraction mélange]],0)</f>
        <v/>
      </c>
      <c r="H375">
        <f>IFERROR(SUMIFS(TableauRecette[Proportion],TableauRecette[Recette],TableauRecette[[#This Row],[Recette]],TableauRecette[Conditionnement],TableauRecette[[#This Row],[Conditionnement]]),0)</f>
        <v/>
      </c>
      <c r="I375">
        <f>IFERROR(TableauRecette[[#This Row],[Prix d''achat / kg]],0)</f>
        <v/>
      </c>
      <c r="L375">
        <f>_xlfn.XLOOKUP(TableauRecette[[#This Row],[ID]],TableauProduit[ID],TableauProduit[Total (kg) N1],0,0,1)*TableauRecette[[#This Row],[fraction mélange]]</f>
        <v/>
      </c>
      <c r="M375">
        <f>_xlfn.XLOOKUP(TableauRecette[[#This Row],[ID]],TableauProduit[ID],TableauProduit[Total (kg) N2],0,0,1)*TableauRecette[[#This Row],[fraction mélange]]</f>
        <v/>
      </c>
      <c r="N375">
        <f>_xlfn.XLOOKUP(TableauRecette[[#This Row],[ID]],TableauProduit[ID],TableauProduit[Total (kg) N3],0,0,1)*TableauRecette[[#This Row],[fraction mélange]]</f>
        <v/>
      </c>
      <c r="O375">
        <f>_xlfn.XLOOKUP(TableauRecette[[#This Row],[ID]],TableauProduit[ID],TableauProduit[Total (kg) N4],0,0,1)*TableauRecette[[#This Row],[fraction mélange]]</f>
        <v/>
      </c>
      <c r="P375">
        <f>_xlfn.XLOOKUP(TableauRecette[[#This Row],[ID]],TableauProduit[ID],TableauProduit[Total (kg) N5],0,0,1)*TableauRecette[[#This Row],[fraction mélange]]</f>
        <v/>
      </c>
      <c r="Q375">
        <f>_xlfn.XLOOKUP(TableauRecette[[#This Row],[ID]],TableauProduit[ID],TableauProduit[Total (kg) N6],0,0,1)*TableauRecette[[#This Row],[fraction mélange]]</f>
        <v/>
      </c>
      <c r="R375">
        <f>_xlfn.XLOOKUP(TableauRecette[[#This Row],[ID]],TableauProduit[ID],TableauProduit[Total (kg) N7],0,0,1)*TableauRecette[[#This Row],[fraction mélange]]</f>
        <v/>
      </c>
      <c r="S375">
        <f>_xlfn.XLOOKUP(TableauRecette[[#This Row],[ID]],TableauProduit[ID],TableauProduit[Total (kg) N8],0,0,1)*TableauRecette[[#This Row],[fraction mélange]]</f>
        <v/>
      </c>
      <c r="T375">
        <f>_xlfn.XLOOKUP(TableauRecette[[#This Row],[ID]],TableauProduit[ID],TableauProduit[Total (kg) N9],0,0,1)*TableauRecette[[#This Row],[fraction mélange]]</f>
        <v/>
      </c>
    </row>
    <row r="376">
      <c r="A376" t="inlineStr">
        <is>
          <t>Tabasco jalapeno</t>
        </is>
      </c>
      <c r="B376">
        <f>TableauRecette[[#This Row],[Recette]]&amp;TableauRecette[[#This Row],[Conditionnement]]</f>
        <v/>
      </c>
      <c r="C376" t="inlineStr">
        <is>
          <t>Oignon</t>
        </is>
      </c>
      <c r="D376" t="n">
        <v>12</v>
      </c>
      <c r="E376" t="inlineStr">
        <is>
          <t>Piment liquide 100ml</t>
        </is>
      </c>
      <c r="F37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6">
        <f>IFERROR(_xlfn.XLOOKUP(TableauRecette[[#This Row],[Ingredients]],TableauIngredients[Ingredients],TableauIngredients[Prix d''achat / kg],0)*TableauRecette[[#This Row],[fraction mélange]],0)</f>
        <v/>
      </c>
      <c r="H376">
        <f>IFERROR(SUMIFS(TableauRecette[Proportion],TableauRecette[Recette],TableauRecette[[#This Row],[Recette]],TableauRecette[Conditionnement],TableauRecette[[#This Row],[Conditionnement]]),0)</f>
        <v/>
      </c>
      <c r="I376">
        <f>IFERROR(TableauRecette[[#This Row],[Prix d''achat / kg]],0)</f>
        <v/>
      </c>
      <c r="L376">
        <f>_xlfn.XLOOKUP(TableauRecette[[#This Row],[ID]],TableauProduit[ID],TableauProduit[Total (kg) N1],0,0,1)*TableauRecette[[#This Row],[fraction mélange]]</f>
        <v/>
      </c>
      <c r="M376">
        <f>_xlfn.XLOOKUP(TableauRecette[[#This Row],[ID]],TableauProduit[ID],TableauProduit[Total (kg) N2],0,0,1)*TableauRecette[[#This Row],[fraction mélange]]</f>
        <v/>
      </c>
      <c r="N376">
        <f>_xlfn.XLOOKUP(TableauRecette[[#This Row],[ID]],TableauProduit[ID],TableauProduit[Total (kg) N3],0,0,1)*TableauRecette[[#This Row],[fraction mélange]]</f>
        <v/>
      </c>
      <c r="O376">
        <f>_xlfn.XLOOKUP(TableauRecette[[#This Row],[ID]],TableauProduit[ID],TableauProduit[Total (kg) N4],0,0,1)*TableauRecette[[#This Row],[fraction mélange]]</f>
        <v/>
      </c>
      <c r="P376">
        <f>_xlfn.XLOOKUP(TableauRecette[[#This Row],[ID]],TableauProduit[ID],TableauProduit[Total (kg) N5],0,0,1)*TableauRecette[[#This Row],[fraction mélange]]</f>
        <v/>
      </c>
      <c r="Q376">
        <f>_xlfn.XLOOKUP(TableauRecette[[#This Row],[ID]],TableauProduit[ID],TableauProduit[Total (kg) N6],0,0,1)*TableauRecette[[#This Row],[fraction mélange]]</f>
        <v/>
      </c>
      <c r="R376">
        <f>_xlfn.XLOOKUP(TableauRecette[[#This Row],[ID]],TableauProduit[ID],TableauProduit[Total (kg) N7],0,0,1)*TableauRecette[[#This Row],[fraction mélange]]</f>
        <v/>
      </c>
      <c r="S376">
        <f>_xlfn.XLOOKUP(TableauRecette[[#This Row],[ID]],TableauProduit[ID],TableauProduit[Total (kg) N8],0,0,1)*TableauRecette[[#This Row],[fraction mélange]]</f>
        <v/>
      </c>
      <c r="T376">
        <f>_xlfn.XLOOKUP(TableauRecette[[#This Row],[ID]],TableauProduit[ID],TableauProduit[Total (kg) N9],0,0,1)*TableauRecette[[#This Row],[fraction mélange]]</f>
        <v/>
      </c>
    </row>
    <row r="377">
      <c r="A377" t="inlineStr">
        <is>
          <t>Tabasco jalapeno</t>
        </is>
      </c>
      <c r="B377">
        <f>TableauRecette[[#This Row],[Recette]]&amp;TableauRecette[[#This Row],[Conditionnement]]</f>
        <v/>
      </c>
      <c r="C377" t="inlineStr">
        <is>
          <t>Figue</t>
        </is>
      </c>
      <c r="D377" t="n">
        <v>0</v>
      </c>
      <c r="E377" t="inlineStr">
        <is>
          <t>Piment liquide 100ml</t>
        </is>
      </c>
      <c r="F37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7">
        <f>IFERROR(_xlfn.XLOOKUP(TableauRecette[[#This Row],[Ingredients]],TableauIngredients[Ingredients],TableauIngredients[Prix d''achat / kg],0)*TableauRecette[[#This Row],[fraction mélange]],0)</f>
        <v/>
      </c>
      <c r="H377">
        <f>IFERROR(SUMIFS(TableauRecette[Proportion],TableauRecette[Recette],TableauRecette[[#This Row],[Recette]],TableauRecette[Conditionnement],TableauRecette[[#This Row],[Conditionnement]]),0)</f>
        <v/>
      </c>
      <c r="I377">
        <f>IFERROR(TableauRecette[[#This Row],[Prix d''achat / kg]],0)</f>
        <v/>
      </c>
      <c r="L377">
        <f>_xlfn.XLOOKUP(TableauRecette[[#This Row],[ID]],TableauProduit[ID],TableauProduit[Total (kg) N1],0,0,1)*TableauRecette[[#This Row],[fraction mélange]]</f>
        <v/>
      </c>
      <c r="M377">
        <f>_xlfn.XLOOKUP(TableauRecette[[#This Row],[ID]],TableauProduit[ID],TableauProduit[Total (kg) N2],0,0,1)*TableauRecette[[#This Row],[fraction mélange]]</f>
        <v/>
      </c>
      <c r="N377">
        <f>_xlfn.XLOOKUP(TableauRecette[[#This Row],[ID]],TableauProduit[ID],TableauProduit[Total (kg) N3],0,0,1)*TableauRecette[[#This Row],[fraction mélange]]</f>
        <v/>
      </c>
      <c r="O377">
        <f>_xlfn.XLOOKUP(TableauRecette[[#This Row],[ID]],TableauProduit[ID],TableauProduit[Total (kg) N4],0,0,1)*TableauRecette[[#This Row],[fraction mélange]]</f>
        <v/>
      </c>
      <c r="P377">
        <f>_xlfn.XLOOKUP(TableauRecette[[#This Row],[ID]],TableauProduit[ID],TableauProduit[Total (kg) N5],0,0,1)*TableauRecette[[#This Row],[fraction mélange]]</f>
        <v/>
      </c>
      <c r="Q377">
        <f>_xlfn.XLOOKUP(TableauRecette[[#This Row],[ID]],TableauProduit[ID],TableauProduit[Total (kg) N6],0,0,1)*TableauRecette[[#This Row],[fraction mélange]]</f>
        <v/>
      </c>
      <c r="R377">
        <f>_xlfn.XLOOKUP(TableauRecette[[#This Row],[ID]],TableauProduit[ID],TableauProduit[Total (kg) N7],0,0,1)*TableauRecette[[#This Row],[fraction mélange]]</f>
        <v/>
      </c>
      <c r="S377">
        <f>_xlfn.XLOOKUP(TableauRecette[[#This Row],[ID]],TableauProduit[ID],TableauProduit[Total (kg) N8],0,0,1)*TableauRecette[[#This Row],[fraction mélange]]</f>
        <v/>
      </c>
      <c r="T377">
        <f>_xlfn.XLOOKUP(TableauRecette[[#This Row],[ID]],TableauProduit[ID],TableauProduit[Total (kg) N9],0,0,1)*TableauRecette[[#This Row],[fraction mélange]]</f>
        <v/>
      </c>
    </row>
    <row r="378">
      <c r="A378" t="inlineStr">
        <is>
          <t>Tabasco Rouge moyen</t>
        </is>
      </c>
      <c r="B378">
        <f>TableauRecette[[#This Row],[Recette]]&amp;TableauRecette[[#This Row],[Conditionnement]]</f>
        <v/>
      </c>
      <c r="C378" t="inlineStr">
        <is>
          <t>Ail</t>
        </is>
      </c>
      <c r="D378" t="n">
        <v>6</v>
      </c>
      <c r="E378" t="inlineStr">
        <is>
          <t>Piment liquide 100ml</t>
        </is>
      </c>
      <c r="F37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8">
        <f>IFERROR(_xlfn.XLOOKUP(TableauRecette[[#This Row],[Ingredients]],TableauIngredients[Ingredients],TableauIngredients[Prix d''achat / kg],0)*TableauRecette[[#This Row],[fraction mélange]],0)</f>
        <v/>
      </c>
      <c r="H378">
        <f>IFERROR(SUMIFS(TableauRecette[Proportion],TableauRecette[Recette],TableauRecette[[#This Row],[Recette]],TableauRecette[Conditionnement],TableauRecette[[#This Row],[Conditionnement]]),0)</f>
        <v/>
      </c>
      <c r="I378">
        <f>IFERROR(TableauRecette[[#This Row],[Prix d''achat / kg]],0)</f>
        <v/>
      </c>
      <c r="L378">
        <f>_xlfn.XLOOKUP(TableauRecette[[#This Row],[ID]],TableauProduit[ID],TableauProduit[Total (kg) N1],0,0,1)*TableauRecette[[#This Row],[fraction mélange]]</f>
        <v/>
      </c>
      <c r="M378">
        <f>_xlfn.XLOOKUP(TableauRecette[[#This Row],[ID]],TableauProduit[ID],TableauProduit[Total (kg) N2],0,0,1)*TableauRecette[[#This Row],[fraction mélange]]</f>
        <v/>
      </c>
      <c r="N378">
        <f>_xlfn.XLOOKUP(TableauRecette[[#This Row],[ID]],TableauProduit[ID],TableauProduit[Total (kg) N3],0,0,1)*TableauRecette[[#This Row],[fraction mélange]]</f>
        <v/>
      </c>
      <c r="O378">
        <f>_xlfn.XLOOKUP(TableauRecette[[#This Row],[ID]],TableauProduit[ID],TableauProduit[Total (kg) N4],0,0,1)*TableauRecette[[#This Row],[fraction mélange]]</f>
        <v/>
      </c>
      <c r="P378">
        <f>_xlfn.XLOOKUP(TableauRecette[[#This Row],[ID]],TableauProduit[ID],TableauProduit[Total (kg) N5],0,0,1)*TableauRecette[[#This Row],[fraction mélange]]</f>
        <v/>
      </c>
      <c r="Q378">
        <f>_xlfn.XLOOKUP(TableauRecette[[#This Row],[ID]],TableauProduit[ID],TableauProduit[Total (kg) N6],0,0,1)*TableauRecette[[#This Row],[fraction mélange]]</f>
        <v/>
      </c>
      <c r="R378">
        <f>_xlfn.XLOOKUP(TableauRecette[[#This Row],[ID]],TableauProduit[ID],TableauProduit[Total (kg) N7],0,0,1)*TableauRecette[[#This Row],[fraction mélange]]</f>
        <v/>
      </c>
      <c r="S378">
        <f>_xlfn.XLOOKUP(TableauRecette[[#This Row],[ID]],TableauProduit[ID],TableauProduit[Total (kg) N8],0,0,1)*TableauRecette[[#This Row],[fraction mélange]]</f>
        <v/>
      </c>
      <c r="T378">
        <f>_xlfn.XLOOKUP(TableauRecette[[#This Row],[ID]],TableauProduit[ID],TableauProduit[Total (kg) N9],0,0,1)*TableauRecette[[#This Row],[fraction mélange]]</f>
        <v/>
      </c>
    </row>
    <row r="379">
      <c r="A379" t="inlineStr">
        <is>
          <t>Tabasco Rouge moyen</t>
        </is>
      </c>
      <c r="B379">
        <f>TableauRecette[[#This Row],[Recette]]&amp;TableauRecette[[#This Row],[Conditionnement]]</f>
        <v/>
      </c>
      <c r="C379" t="inlineStr">
        <is>
          <t>Piments Rouge</t>
        </is>
      </c>
      <c r="D379" t="n">
        <v>100</v>
      </c>
      <c r="E379" t="inlineStr">
        <is>
          <t>Piment liquide 100ml</t>
        </is>
      </c>
      <c r="F3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9">
        <f>IFERROR(_xlfn.XLOOKUP(TableauRecette[[#This Row],[Ingredients]],TableauIngredients[Ingredients],TableauIngredients[Prix d''achat / kg],0)*TableauRecette[[#This Row],[fraction mélange]],0)</f>
        <v/>
      </c>
      <c r="H379">
        <f>IFERROR(SUMIFS(TableauRecette[Proportion],TableauRecette[Recette],TableauRecette[[#This Row],[Recette]],TableauRecette[Conditionnement],TableauRecette[[#This Row],[Conditionnement]]),0)</f>
        <v/>
      </c>
      <c r="I379">
        <f>IFERROR(TableauRecette[[#This Row],[Prix d''achat / kg]],0)</f>
        <v/>
      </c>
      <c r="L379">
        <f>_xlfn.XLOOKUP(TableauRecette[[#This Row],[ID]],TableauProduit[ID],TableauProduit[Total (kg) N1],0,0,1)*TableauRecette[[#This Row],[fraction mélange]]</f>
        <v/>
      </c>
      <c r="M379">
        <f>_xlfn.XLOOKUP(TableauRecette[[#This Row],[ID]],TableauProduit[ID],TableauProduit[Total (kg) N2],0,0,1)*TableauRecette[[#This Row],[fraction mélange]]</f>
        <v/>
      </c>
      <c r="N379">
        <f>_xlfn.XLOOKUP(TableauRecette[[#This Row],[ID]],TableauProduit[ID],TableauProduit[Total (kg) N3],0,0,1)*TableauRecette[[#This Row],[fraction mélange]]</f>
        <v/>
      </c>
      <c r="O379">
        <f>_xlfn.XLOOKUP(TableauRecette[[#This Row],[ID]],TableauProduit[ID],TableauProduit[Total (kg) N4],0,0,1)*TableauRecette[[#This Row],[fraction mélange]]</f>
        <v/>
      </c>
      <c r="P379">
        <f>_xlfn.XLOOKUP(TableauRecette[[#This Row],[ID]],TableauProduit[ID],TableauProduit[Total (kg) N5],0,0,1)*TableauRecette[[#This Row],[fraction mélange]]</f>
        <v/>
      </c>
      <c r="Q379">
        <f>_xlfn.XLOOKUP(TableauRecette[[#This Row],[ID]],TableauProduit[ID],TableauProduit[Total (kg) N6],0,0,1)*TableauRecette[[#This Row],[fraction mélange]]</f>
        <v/>
      </c>
      <c r="R379">
        <f>_xlfn.XLOOKUP(TableauRecette[[#This Row],[ID]],TableauProduit[ID],TableauProduit[Total (kg) N7],0,0,1)*TableauRecette[[#This Row],[fraction mélange]]</f>
        <v/>
      </c>
      <c r="S379">
        <f>_xlfn.XLOOKUP(TableauRecette[[#This Row],[ID]],TableauProduit[ID],TableauProduit[Total (kg) N8],0,0,1)*TableauRecette[[#This Row],[fraction mélange]]</f>
        <v/>
      </c>
      <c r="T379">
        <f>_xlfn.XLOOKUP(TableauRecette[[#This Row],[ID]],TableauProduit[ID],TableauProduit[Total (kg) N9],0,0,1)*TableauRecette[[#This Row],[fraction mélange]]</f>
        <v/>
      </c>
    </row>
    <row r="380">
      <c r="A380" t="inlineStr">
        <is>
          <t>Tabasco Rouge moyen</t>
        </is>
      </c>
      <c r="B380">
        <f>TableauRecette[[#This Row],[Recette]]&amp;TableauRecette[[#This Row],[Conditionnement]]</f>
        <v/>
      </c>
      <c r="C380" t="inlineStr">
        <is>
          <t>Oignon</t>
        </is>
      </c>
      <c r="D380" t="n">
        <v>10</v>
      </c>
      <c r="E380" t="inlineStr">
        <is>
          <t>Piment liquide 100ml</t>
        </is>
      </c>
      <c r="F38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0">
        <f>IFERROR(_xlfn.XLOOKUP(TableauRecette[[#This Row],[Ingredients]],TableauIngredients[Ingredients],TableauIngredients[Prix d''achat / kg],0)*TableauRecette[[#This Row],[fraction mélange]],0)</f>
        <v/>
      </c>
      <c r="H380">
        <f>IFERROR(SUMIFS(TableauRecette[Proportion],TableauRecette[Recette],TableauRecette[[#This Row],[Recette]],TableauRecette[Conditionnement],TableauRecette[[#This Row],[Conditionnement]]),0)</f>
        <v/>
      </c>
      <c r="I380">
        <f>IFERROR(TableauRecette[[#This Row],[Prix d''achat / kg]],0)</f>
        <v/>
      </c>
      <c r="L380">
        <f>_xlfn.XLOOKUP(TableauRecette[[#This Row],[ID]],TableauProduit[ID],TableauProduit[Total (kg) N1],0,0,1)*TableauRecette[[#This Row],[fraction mélange]]</f>
        <v/>
      </c>
      <c r="M380">
        <f>_xlfn.XLOOKUP(TableauRecette[[#This Row],[ID]],TableauProduit[ID],TableauProduit[Total (kg) N2],0,0,1)*TableauRecette[[#This Row],[fraction mélange]]</f>
        <v/>
      </c>
      <c r="N380">
        <f>_xlfn.XLOOKUP(TableauRecette[[#This Row],[ID]],TableauProduit[ID],TableauProduit[Total (kg) N3],0,0,1)*TableauRecette[[#This Row],[fraction mélange]]</f>
        <v/>
      </c>
      <c r="O380">
        <f>_xlfn.XLOOKUP(TableauRecette[[#This Row],[ID]],TableauProduit[ID],TableauProduit[Total (kg) N4],0,0,1)*TableauRecette[[#This Row],[fraction mélange]]</f>
        <v/>
      </c>
      <c r="P380">
        <f>_xlfn.XLOOKUP(TableauRecette[[#This Row],[ID]],TableauProduit[ID],TableauProduit[Total (kg) N5],0,0,1)*TableauRecette[[#This Row],[fraction mélange]]</f>
        <v/>
      </c>
      <c r="Q380">
        <f>_xlfn.XLOOKUP(TableauRecette[[#This Row],[ID]],TableauProduit[ID],TableauProduit[Total (kg) N6],0,0,1)*TableauRecette[[#This Row],[fraction mélange]]</f>
        <v/>
      </c>
      <c r="R380">
        <f>_xlfn.XLOOKUP(TableauRecette[[#This Row],[ID]],TableauProduit[ID],TableauProduit[Total (kg) N7],0,0,1)*TableauRecette[[#This Row],[fraction mélange]]</f>
        <v/>
      </c>
      <c r="S380">
        <f>_xlfn.XLOOKUP(TableauRecette[[#This Row],[ID]],TableauProduit[ID],TableauProduit[Total (kg) N8],0,0,1)*TableauRecette[[#This Row],[fraction mélange]]</f>
        <v/>
      </c>
      <c r="T380">
        <f>_xlfn.XLOOKUP(TableauRecette[[#This Row],[ID]],TableauProduit[ID],TableauProduit[Total (kg) N9],0,0,1)*TableauRecette[[#This Row],[fraction mélange]]</f>
        <v/>
      </c>
    </row>
    <row r="381">
      <c r="A381" t="inlineStr">
        <is>
          <t>Tabasco Rouge moyen</t>
        </is>
      </c>
      <c r="B381">
        <f>TableauRecette[[#This Row],[Recette]]&amp;TableauRecette[[#This Row],[Conditionnement]]</f>
        <v/>
      </c>
      <c r="C381" t="inlineStr">
        <is>
          <t>Sel</t>
        </is>
      </c>
      <c r="D381" t="n">
        <v>10</v>
      </c>
      <c r="E381" t="inlineStr">
        <is>
          <t>Piment liquide 100ml</t>
        </is>
      </c>
      <c r="F38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1">
        <f>IFERROR(_xlfn.XLOOKUP(TableauRecette[[#This Row],[Ingredients]],TableauIngredients[Ingredients],TableauIngredients[Prix d''achat / kg],0)*TableauRecette[[#This Row],[fraction mélange]],0)</f>
        <v/>
      </c>
      <c r="H381">
        <f>IFERROR(SUMIFS(TableauRecette[Proportion],TableauRecette[Recette],TableauRecette[[#This Row],[Recette]],TableauRecette[Conditionnement],TableauRecette[[#This Row],[Conditionnement]]),0)</f>
        <v/>
      </c>
      <c r="I381">
        <f>IFERROR(TableauRecette[[#This Row],[Prix d''achat / kg]],0)</f>
        <v/>
      </c>
      <c r="L381">
        <f>_xlfn.XLOOKUP(TableauRecette[[#This Row],[ID]],TableauProduit[ID],TableauProduit[Total (kg) N1],0,0,1)*TableauRecette[[#This Row],[fraction mélange]]</f>
        <v/>
      </c>
      <c r="M381">
        <f>_xlfn.XLOOKUP(TableauRecette[[#This Row],[ID]],TableauProduit[ID],TableauProduit[Total (kg) N2],0,0,1)*TableauRecette[[#This Row],[fraction mélange]]</f>
        <v/>
      </c>
      <c r="N381">
        <f>_xlfn.XLOOKUP(TableauRecette[[#This Row],[ID]],TableauProduit[ID],TableauProduit[Total (kg) N3],0,0,1)*TableauRecette[[#This Row],[fraction mélange]]</f>
        <v/>
      </c>
      <c r="O381">
        <f>_xlfn.XLOOKUP(TableauRecette[[#This Row],[ID]],TableauProduit[ID],TableauProduit[Total (kg) N4],0,0,1)*TableauRecette[[#This Row],[fraction mélange]]</f>
        <v/>
      </c>
      <c r="P381">
        <f>_xlfn.XLOOKUP(TableauRecette[[#This Row],[ID]],TableauProduit[ID],TableauProduit[Total (kg) N5],0,0,1)*TableauRecette[[#This Row],[fraction mélange]]</f>
        <v/>
      </c>
      <c r="Q381">
        <f>_xlfn.XLOOKUP(TableauRecette[[#This Row],[ID]],TableauProduit[ID],TableauProduit[Total (kg) N6],0,0,1)*TableauRecette[[#This Row],[fraction mélange]]</f>
        <v/>
      </c>
      <c r="R381">
        <f>_xlfn.XLOOKUP(TableauRecette[[#This Row],[ID]],TableauProduit[ID],TableauProduit[Total (kg) N7],0,0,1)*TableauRecette[[#This Row],[fraction mélange]]</f>
        <v/>
      </c>
      <c r="S381">
        <f>_xlfn.XLOOKUP(TableauRecette[[#This Row],[ID]],TableauProduit[ID],TableauProduit[Total (kg) N8],0,0,1)*TableauRecette[[#This Row],[fraction mélange]]</f>
        <v/>
      </c>
      <c r="T381">
        <f>_xlfn.XLOOKUP(TableauRecette[[#This Row],[ID]],TableauProduit[ID],TableauProduit[Total (kg) N9],0,0,1)*TableauRecette[[#This Row],[fraction mélange]]</f>
        <v/>
      </c>
    </row>
    <row r="382">
      <c r="A382" t="inlineStr">
        <is>
          <t>Tabasco Rouge moyen</t>
        </is>
      </c>
      <c r="B382">
        <f>TableauRecette[[#This Row],[Recette]]&amp;TableauRecette[[#This Row],[Conditionnement]]</f>
        <v/>
      </c>
      <c r="C382" t="inlineStr">
        <is>
          <t>Vinaigre De Cidre</t>
        </is>
      </c>
      <c r="D382" t="n">
        <v>6</v>
      </c>
      <c r="E382" t="inlineStr">
        <is>
          <t>Piment liquide 100ml</t>
        </is>
      </c>
      <c r="F38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2">
        <f>IFERROR(_xlfn.XLOOKUP(TableauRecette[[#This Row],[Ingredients]],TableauIngredients[Ingredients],TableauIngredients[Prix d''achat / kg],0)*TableauRecette[[#This Row],[fraction mélange]],0)</f>
        <v/>
      </c>
      <c r="H382">
        <f>IFERROR(SUMIFS(TableauRecette[Proportion],TableauRecette[Recette],TableauRecette[[#This Row],[Recette]],TableauRecette[Conditionnement],TableauRecette[[#This Row],[Conditionnement]]),0)</f>
        <v/>
      </c>
      <c r="I382">
        <f>IFERROR(TableauRecette[[#This Row],[Prix d''achat / kg]],0)</f>
        <v/>
      </c>
      <c r="L382">
        <f>_xlfn.XLOOKUP(TableauRecette[[#This Row],[ID]],TableauProduit[ID],TableauProduit[Total (kg) N1],0,0,1)*TableauRecette[[#This Row],[fraction mélange]]</f>
        <v/>
      </c>
      <c r="M382">
        <f>_xlfn.XLOOKUP(TableauRecette[[#This Row],[ID]],TableauProduit[ID],TableauProduit[Total (kg) N2],0,0,1)*TableauRecette[[#This Row],[fraction mélange]]</f>
        <v/>
      </c>
      <c r="N382">
        <f>_xlfn.XLOOKUP(TableauRecette[[#This Row],[ID]],TableauProduit[ID],TableauProduit[Total (kg) N3],0,0,1)*TableauRecette[[#This Row],[fraction mélange]]</f>
        <v/>
      </c>
      <c r="O382">
        <f>_xlfn.XLOOKUP(TableauRecette[[#This Row],[ID]],TableauProduit[ID],TableauProduit[Total (kg) N4],0,0,1)*TableauRecette[[#This Row],[fraction mélange]]</f>
        <v/>
      </c>
      <c r="P382">
        <f>_xlfn.XLOOKUP(TableauRecette[[#This Row],[ID]],TableauProduit[ID],TableauProduit[Total (kg) N5],0,0,1)*TableauRecette[[#This Row],[fraction mélange]]</f>
        <v/>
      </c>
      <c r="Q382">
        <f>_xlfn.XLOOKUP(TableauRecette[[#This Row],[ID]],TableauProduit[ID],TableauProduit[Total (kg) N6],0,0,1)*TableauRecette[[#This Row],[fraction mélange]]</f>
        <v/>
      </c>
      <c r="R382">
        <f>_xlfn.XLOOKUP(TableauRecette[[#This Row],[ID]],TableauProduit[ID],TableauProduit[Total (kg) N7],0,0,1)*TableauRecette[[#This Row],[fraction mélange]]</f>
        <v/>
      </c>
      <c r="S382">
        <f>_xlfn.XLOOKUP(TableauRecette[[#This Row],[ID]],TableauProduit[ID],TableauProduit[Total (kg) N8],0,0,1)*TableauRecette[[#This Row],[fraction mélange]]</f>
        <v/>
      </c>
      <c r="T382">
        <f>_xlfn.XLOOKUP(TableauRecette[[#This Row],[ID]],TableauProduit[ID],TableauProduit[Total (kg) N9],0,0,1)*TableauRecette[[#This Row],[fraction mélange]]</f>
        <v/>
      </c>
    </row>
    <row r="383">
      <c r="A383" t="inlineStr">
        <is>
          <t>Tabasco Rouge moyen</t>
        </is>
      </c>
      <c r="B383">
        <f>TableauRecette[[#This Row],[Recette]]&amp;TableauRecette[[#This Row],[Conditionnement]]</f>
        <v/>
      </c>
      <c r="C383" t="inlineStr">
        <is>
          <t>Figue</t>
        </is>
      </c>
      <c r="D383" t="n">
        <v>10</v>
      </c>
      <c r="E383" t="inlineStr">
        <is>
          <t>Piment liquide 100ml</t>
        </is>
      </c>
      <c r="F38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3">
        <f>IFERROR(_xlfn.XLOOKUP(TableauRecette[[#This Row],[Ingredients]],TableauIngredients[Ingredients],TableauIngredients[Prix d''achat / kg],0)*TableauRecette[[#This Row],[fraction mélange]],0)</f>
        <v/>
      </c>
      <c r="H383">
        <f>IFERROR(SUMIFS(TableauRecette[Proportion],TableauRecette[Recette],TableauRecette[[#This Row],[Recette]],TableauRecette[Conditionnement],TableauRecette[[#This Row],[Conditionnement]]),0)</f>
        <v/>
      </c>
      <c r="I383">
        <f>IFERROR(TableauRecette[[#This Row],[Prix d''achat / kg]],0)</f>
        <v/>
      </c>
      <c r="L383">
        <f>_xlfn.XLOOKUP(TableauRecette[[#This Row],[ID]],TableauProduit[ID],TableauProduit[Total (kg) N1],0,0,1)*TableauRecette[[#This Row],[fraction mélange]]</f>
        <v/>
      </c>
      <c r="M383">
        <f>_xlfn.XLOOKUP(TableauRecette[[#This Row],[ID]],TableauProduit[ID],TableauProduit[Total (kg) N2],0,0,1)*TableauRecette[[#This Row],[fraction mélange]]</f>
        <v/>
      </c>
      <c r="N383">
        <f>_xlfn.XLOOKUP(TableauRecette[[#This Row],[ID]],TableauProduit[ID],TableauProduit[Total (kg) N3],0,0,1)*TableauRecette[[#This Row],[fraction mélange]]</f>
        <v/>
      </c>
      <c r="O383">
        <f>_xlfn.XLOOKUP(TableauRecette[[#This Row],[ID]],TableauProduit[ID],TableauProduit[Total (kg) N4],0,0,1)*TableauRecette[[#This Row],[fraction mélange]]</f>
        <v/>
      </c>
      <c r="P383">
        <f>_xlfn.XLOOKUP(TableauRecette[[#This Row],[ID]],TableauProduit[ID],TableauProduit[Total (kg) N5],0,0,1)*TableauRecette[[#This Row],[fraction mélange]]</f>
        <v/>
      </c>
      <c r="Q383">
        <f>_xlfn.XLOOKUP(TableauRecette[[#This Row],[ID]],TableauProduit[ID],TableauProduit[Total (kg) N6],0,0,1)*TableauRecette[[#This Row],[fraction mélange]]</f>
        <v/>
      </c>
      <c r="R383">
        <f>_xlfn.XLOOKUP(TableauRecette[[#This Row],[ID]],TableauProduit[ID],TableauProduit[Total (kg) N7],0,0,1)*TableauRecette[[#This Row],[fraction mélange]]</f>
        <v/>
      </c>
      <c r="S383">
        <f>_xlfn.XLOOKUP(TableauRecette[[#This Row],[ID]],TableauProduit[ID],TableauProduit[Total (kg) N8],0,0,1)*TableauRecette[[#This Row],[fraction mélange]]</f>
        <v/>
      </c>
      <c r="T383">
        <f>_xlfn.XLOOKUP(TableauRecette[[#This Row],[ID]],TableauProduit[ID],TableauProduit[Total (kg) N9],0,0,1)*TableauRecette[[#This Row],[fraction mélange]]</f>
        <v/>
      </c>
    </row>
    <row r="384">
      <c r="A384" t="inlineStr">
        <is>
          <t>Tabasco violet fort</t>
        </is>
      </c>
      <c r="B384">
        <f>TableauRecette[[#This Row],[Recette]]&amp;TableauRecette[[#This Row],[Conditionnement]]</f>
        <v/>
      </c>
      <c r="C384" t="inlineStr">
        <is>
          <t>Ail</t>
        </is>
      </c>
      <c r="D384" t="n">
        <v>6</v>
      </c>
      <c r="E384" t="inlineStr">
        <is>
          <t>Piment liquide 100ml</t>
        </is>
      </c>
      <c r="F38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4">
        <f>IFERROR(_xlfn.XLOOKUP(TableauRecette[[#This Row],[Ingredients]],TableauIngredients[Ingredients],TableauIngredients[Prix d''achat / kg],0)*TableauRecette[[#This Row],[fraction mélange]],0)</f>
        <v/>
      </c>
      <c r="H384">
        <f>IFERROR(SUMIFS(TableauRecette[Proportion],TableauRecette[Recette],TableauRecette[[#This Row],[Recette]],TableauRecette[Conditionnement],TableauRecette[[#This Row],[Conditionnement]]),0)</f>
        <v/>
      </c>
      <c r="I384">
        <f>IFERROR(TableauRecette[[#This Row],[Prix d''achat / kg]],0)</f>
        <v/>
      </c>
      <c r="L384">
        <f>_xlfn.XLOOKUP(TableauRecette[[#This Row],[ID]],TableauProduit[ID],TableauProduit[Total (kg) N1],0,0,1)*TableauRecette[[#This Row],[fraction mélange]]</f>
        <v/>
      </c>
      <c r="M384">
        <f>_xlfn.XLOOKUP(TableauRecette[[#This Row],[ID]],TableauProduit[ID],TableauProduit[Total (kg) N2],0,0,1)*TableauRecette[[#This Row],[fraction mélange]]</f>
        <v/>
      </c>
      <c r="N384">
        <f>_xlfn.XLOOKUP(TableauRecette[[#This Row],[ID]],TableauProduit[ID],TableauProduit[Total (kg) N3],0,0,1)*TableauRecette[[#This Row],[fraction mélange]]</f>
        <v/>
      </c>
      <c r="O384">
        <f>_xlfn.XLOOKUP(TableauRecette[[#This Row],[ID]],TableauProduit[ID],TableauProduit[Total (kg) N4],0,0,1)*TableauRecette[[#This Row],[fraction mélange]]</f>
        <v/>
      </c>
      <c r="P384">
        <f>_xlfn.XLOOKUP(TableauRecette[[#This Row],[ID]],TableauProduit[ID],TableauProduit[Total (kg) N5],0,0,1)*TableauRecette[[#This Row],[fraction mélange]]</f>
        <v/>
      </c>
      <c r="Q384">
        <f>_xlfn.XLOOKUP(TableauRecette[[#This Row],[ID]],TableauProduit[ID],TableauProduit[Total (kg) N6],0,0,1)*TableauRecette[[#This Row],[fraction mélange]]</f>
        <v/>
      </c>
      <c r="R384">
        <f>_xlfn.XLOOKUP(TableauRecette[[#This Row],[ID]],TableauProduit[ID],TableauProduit[Total (kg) N7],0,0,1)*TableauRecette[[#This Row],[fraction mélange]]</f>
        <v/>
      </c>
      <c r="S384">
        <f>_xlfn.XLOOKUP(TableauRecette[[#This Row],[ID]],TableauProduit[ID],TableauProduit[Total (kg) N8],0,0,1)*TableauRecette[[#This Row],[fraction mélange]]</f>
        <v/>
      </c>
      <c r="T384">
        <f>_xlfn.XLOOKUP(TableauRecette[[#This Row],[ID]],TableauProduit[ID],TableauProduit[Total (kg) N9],0,0,1)*TableauRecette[[#This Row],[fraction mélange]]</f>
        <v/>
      </c>
    </row>
    <row r="385">
      <c r="A385" t="inlineStr">
        <is>
          <t>Tabasco violet fort</t>
        </is>
      </c>
      <c r="B385">
        <f>TableauRecette[[#This Row],[Recette]]&amp;TableauRecette[[#This Row],[Conditionnement]]</f>
        <v/>
      </c>
      <c r="C385" t="inlineStr">
        <is>
          <t>Piment Habanero Violet</t>
        </is>
      </c>
      <c r="D385" t="n">
        <v>90</v>
      </c>
      <c r="E385" t="inlineStr">
        <is>
          <t>Piment liquide 100ml</t>
        </is>
      </c>
      <c r="F3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5">
        <f>IFERROR(_xlfn.XLOOKUP(TableauRecette[[#This Row],[Ingredients]],TableauIngredients[Ingredients],TableauIngredients[Prix d''achat / kg],0)*TableauRecette[[#This Row],[fraction mélange]],0)</f>
        <v/>
      </c>
      <c r="H385">
        <f>IFERROR(SUMIFS(TableauRecette[Proportion],TableauRecette[Recette],TableauRecette[[#This Row],[Recette]],TableauRecette[Conditionnement],TableauRecette[[#This Row],[Conditionnement]]),0)</f>
        <v/>
      </c>
      <c r="I385">
        <f>IFERROR(TableauRecette[[#This Row],[Prix d''achat / kg]],0)</f>
        <v/>
      </c>
      <c r="L385">
        <f>_xlfn.XLOOKUP(TableauRecette[[#This Row],[ID]],TableauProduit[ID],TableauProduit[Total (kg) N1],0,0,1)*TableauRecette[[#This Row],[fraction mélange]]</f>
        <v/>
      </c>
      <c r="M385">
        <f>_xlfn.XLOOKUP(TableauRecette[[#This Row],[ID]],TableauProduit[ID],TableauProduit[Total (kg) N2],0,0,1)*TableauRecette[[#This Row],[fraction mélange]]</f>
        <v/>
      </c>
      <c r="N385">
        <f>_xlfn.XLOOKUP(TableauRecette[[#This Row],[ID]],TableauProduit[ID],TableauProduit[Total (kg) N3],0,0,1)*TableauRecette[[#This Row],[fraction mélange]]</f>
        <v/>
      </c>
      <c r="O385">
        <f>_xlfn.XLOOKUP(TableauRecette[[#This Row],[ID]],TableauProduit[ID],TableauProduit[Total (kg) N4],0,0,1)*TableauRecette[[#This Row],[fraction mélange]]</f>
        <v/>
      </c>
      <c r="P385">
        <f>_xlfn.XLOOKUP(TableauRecette[[#This Row],[ID]],TableauProduit[ID],TableauProduit[Total (kg) N5],0,0,1)*TableauRecette[[#This Row],[fraction mélange]]</f>
        <v/>
      </c>
      <c r="Q385">
        <f>_xlfn.XLOOKUP(TableauRecette[[#This Row],[ID]],TableauProduit[ID],TableauProduit[Total (kg) N6],0,0,1)*TableauRecette[[#This Row],[fraction mélange]]</f>
        <v/>
      </c>
      <c r="R385">
        <f>_xlfn.XLOOKUP(TableauRecette[[#This Row],[ID]],TableauProduit[ID],TableauProduit[Total (kg) N7],0,0,1)*TableauRecette[[#This Row],[fraction mélange]]</f>
        <v/>
      </c>
      <c r="S385">
        <f>_xlfn.XLOOKUP(TableauRecette[[#This Row],[ID]],TableauProduit[ID],TableauProduit[Total (kg) N8],0,0,1)*TableauRecette[[#This Row],[fraction mélange]]</f>
        <v/>
      </c>
      <c r="T385">
        <f>_xlfn.XLOOKUP(TableauRecette[[#This Row],[ID]],TableauProduit[ID],TableauProduit[Total (kg) N9],0,0,1)*TableauRecette[[#This Row],[fraction mélange]]</f>
        <v/>
      </c>
    </row>
    <row r="386">
      <c r="A386" t="inlineStr">
        <is>
          <t>Tabasco violet fort</t>
        </is>
      </c>
      <c r="B386">
        <f>TableauRecette[[#This Row],[Recette]]&amp;TableauRecette[[#This Row],[Conditionnement]]</f>
        <v/>
      </c>
      <c r="C386" t="inlineStr">
        <is>
          <t>Piment Violet Fort - Purple Delight</t>
        </is>
      </c>
      <c r="D386" t="n">
        <v>10</v>
      </c>
      <c r="E386" t="inlineStr">
        <is>
          <t>Piment liquide 100ml</t>
        </is>
      </c>
      <c r="F38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6">
        <f>IFERROR(_xlfn.XLOOKUP(TableauRecette[[#This Row],[Ingredients]],TableauIngredients[Ingredients],TableauIngredients[Prix d''achat / kg],0)*TableauRecette[[#This Row],[fraction mélange]],0)</f>
        <v/>
      </c>
      <c r="H386">
        <f>IFERROR(SUMIFS(TableauRecette[Proportion],TableauRecette[Recette],TableauRecette[[#This Row],[Recette]],TableauRecette[Conditionnement],TableauRecette[[#This Row],[Conditionnement]]),0)</f>
        <v/>
      </c>
      <c r="I386">
        <f>IFERROR(TableauRecette[[#This Row],[Prix d''achat / kg]],0)</f>
        <v/>
      </c>
      <c r="L386">
        <f>_xlfn.XLOOKUP(TableauRecette[[#This Row],[ID]],TableauProduit[ID],TableauProduit[Total (kg) N1],0,0,1)*TableauRecette[[#This Row],[fraction mélange]]</f>
        <v/>
      </c>
      <c r="M386">
        <f>_xlfn.XLOOKUP(TableauRecette[[#This Row],[ID]],TableauProduit[ID],TableauProduit[Total (kg) N2],0,0,1)*TableauRecette[[#This Row],[fraction mélange]]</f>
        <v/>
      </c>
      <c r="N386">
        <f>_xlfn.XLOOKUP(TableauRecette[[#This Row],[ID]],TableauProduit[ID],TableauProduit[Total (kg) N3],0,0,1)*TableauRecette[[#This Row],[fraction mélange]]</f>
        <v/>
      </c>
      <c r="O386">
        <f>_xlfn.XLOOKUP(TableauRecette[[#This Row],[ID]],TableauProduit[ID],TableauProduit[Total (kg) N4],0,0,1)*TableauRecette[[#This Row],[fraction mélange]]</f>
        <v/>
      </c>
      <c r="P386">
        <f>_xlfn.XLOOKUP(TableauRecette[[#This Row],[ID]],TableauProduit[ID],TableauProduit[Total (kg) N5],0,0,1)*TableauRecette[[#This Row],[fraction mélange]]</f>
        <v/>
      </c>
      <c r="Q386">
        <f>_xlfn.XLOOKUP(TableauRecette[[#This Row],[ID]],TableauProduit[ID],TableauProduit[Total (kg) N6],0,0,1)*TableauRecette[[#This Row],[fraction mélange]]</f>
        <v/>
      </c>
      <c r="R386">
        <f>_xlfn.XLOOKUP(TableauRecette[[#This Row],[ID]],TableauProduit[ID],TableauProduit[Total (kg) N7],0,0,1)*TableauRecette[[#This Row],[fraction mélange]]</f>
        <v/>
      </c>
      <c r="S386">
        <f>_xlfn.XLOOKUP(TableauRecette[[#This Row],[ID]],TableauProduit[ID],TableauProduit[Total (kg) N8],0,0,1)*TableauRecette[[#This Row],[fraction mélange]]</f>
        <v/>
      </c>
      <c r="T386">
        <f>_xlfn.XLOOKUP(TableauRecette[[#This Row],[ID]],TableauProduit[ID],TableauProduit[Total (kg) N9],0,0,1)*TableauRecette[[#This Row],[fraction mélange]]</f>
        <v/>
      </c>
    </row>
    <row r="387">
      <c r="A387" t="inlineStr">
        <is>
          <t>Tabasco violet fort</t>
        </is>
      </c>
      <c r="B387">
        <f>TableauRecette[[#This Row],[Recette]]&amp;TableauRecette[[#This Row],[Conditionnement]]</f>
        <v/>
      </c>
      <c r="C387" t="inlineStr">
        <is>
          <t>Oignon</t>
        </is>
      </c>
      <c r="D387" t="n">
        <v>10</v>
      </c>
      <c r="E387" t="inlineStr">
        <is>
          <t>Piment liquide 100ml</t>
        </is>
      </c>
      <c r="F38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7">
        <f>IFERROR(_xlfn.XLOOKUP(TableauRecette[[#This Row],[Ingredients]],TableauIngredients[Ingredients],TableauIngredients[Prix d''achat / kg],0)*TableauRecette[[#This Row],[fraction mélange]],0)</f>
        <v/>
      </c>
      <c r="H387">
        <f>IFERROR(SUMIFS(TableauRecette[Proportion],TableauRecette[Recette],TableauRecette[[#This Row],[Recette]],TableauRecette[Conditionnement],TableauRecette[[#This Row],[Conditionnement]]),0)</f>
        <v/>
      </c>
      <c r="I387">
        <f>IFERROR(TableauRecette[[#This Row],[Prix d''achat / kg]],0)</f>
        <v/>
      </c>
      <c r="L387">
        <f>_xlfn.XLOOKUP(TableauRecette[[#This Row],[ID]],TableauProduit[ID],TableauProduit[Total (kg) N1],0,0,1)*TableauRecette[[#This Row],[fraction mélange]]</f>
        <v/>
      </c>
      <c r="M387">
        <f>_xlfn.XLOOKUP(TableauRecette[[#This Row],[ID]],TableauProduit[ID],TableauProduit[Total (kg) N2],0,0,1)*TableauRecette[[#This Row],[fraction mélange]]</f>
        <v/>
      </c>
      <c r="N387">
        <f>_xlfn.XLOOKUP(TableauRecette[[#This Row],[ID]],TableauProduit[ID],TableauProduit[Total (kg) N3],0,0,1)*TableauRecette[[#This Row],[fraction mélange]]</f>
        <v/>
      </c>
      <c r="O387">
        <f>_xlfn.XLOOKUP(TableauRecette[[#This Row],[ID]],TableauProduit[ID],TableauProduit[Total (kg) N4],0,0,1)*TableauRecette[[#This Row],[fraction mélange]]</f>
        <v/>
      </c>
      <c r="P387">
        <f>_xlfn.XLOOKUP(TableauRecette[[#This Row],[ID]],TableauProduit[ID],TableauProduit[Total (kg) N5],0,0,1)*TableauRecette[[#This Row],[fraction mélange]]</f>
        <v/>
      </c>
      <c r="Q387">
        <f>_xlfn.XLOOKUP(TableauRecette[[#This Row],[ID]],TableauProduit[ID],TableauProduit[Total (kg) N6],0,0,1)*TableauRecette[[#This Row],[fraction mélange]]</f>
        <v/>
      </c>
      <c r="R387">
        <f>_xlfn.XLOOKUP(TableauRecette[[#This Row],[ID]],TableauProduit[ID],TableauProduit[Total (kg) N7],0,0,1)*TableauRecette[[#This Row],[fraction mélange]]</f>
        <v/>
      </c>
      <c r="S387">
        <f>_xlfn.XLOOKUP(TableauRecette[[#This Row],[ID]],TableauProduit[ID],TableauProduit[Total (kg) N8],0,0,1)*TableauRecette[[#This Row],[fraction mélange]]</f>
        <v/>
      </c>
      <c r="T387">
        <f>_xlfn.XLOOKUP(TableauRecette[[#This Row],[ID]],TableauProduit[ID],TableauProduit[Total (kg) N9],0,0,1)*TableauRecette[[#This Row],[fraction mélange]]</f>
        <v/>
      </c>
    </row>
    <row r="388">
      <c r="A388" t="inlineStr">
        <is>
          <t>Tabasco violet fort</t>
        </is>
      </c>
      <c r="B388">
        <f>TableauRecette[[#This Row],[Recette]]&amp;TableauRecette[[#This Row],[Conditionnement]]</f>
        <v/>
      </c>
      <c r="C388" t="inlineStr">
        <is>
          <t>Sel</t>
        </is>
      </c>
      <c r="D388" t="n">
        <v>10</v>
      </c>
      <c r="E388" t="inlineStr">
        <is>
          <t>Piment liquide 100ml</t>
        </is>
      </c>
      <c r="F38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8">
        <f>IFERROR(_xlfn.XLOOKUP(TableauRecette[[#This Row],[Ingredients]],TableauIngredients[Ingredients],TableauIngredients[Prix d''achat / kg],0)*TableauRecette[[#This Row],[fraction mélange]],0)</f>
        <v/>
      </c>
      <c r="H388">
        <f>IFERROR(SUMIFS(TableauRecette[Proportion],TableauRecette[Recette],TableauRecette[[#This Row],[Recette]],TableauRecette[Conditionnement],TableauRecette[[#This Row],[Conditionnement]]),0)</f>
        <v/>
      </c>
      <c r="I388">
        <f>IFERROR(TableauRecette[[#This Row],[Prix d''achat / kg]],0)</f>
        <v/>
      </c>
      <c r="L388">
        <f>_xlfn.XLOOKUP(TableauRecette[[#This Row],[ID]],TableauProduit[ID],TableauProduit[Total (kg) N1],0,0,1)*TableauRecette[[#This Row],[fraction mélange]]</f>
        <v/>
      </c>
      <c r="M388">
        <f>_xlfn.XLOOKUP(TableauRecette[[#This Row],[ID]],TableauProduit[ID],TableauProduit[Total (kg) N2],0,0,1)*TableauRecette[[#This Row],[fraction mélange]]</f>
        <v/>
      </c>
      <c r="N388">
        <f>_xlfn.XLOOKUP(TableauRecette[[#This Row],[ID]],TableauProduit[ID],TableauProduit[Total (kg) N3],0,0,1)*TableauRecette[[#This Row],[fraction mélange]]</f>
        <v/>
      </c>
      <c r="O388">
        <f>_xlfn.XLOOKUP(TableauRecette[[#This Row],[ID]],TableauProduit[ID],TableauProduit[Total (kg) N4],0,0,1)*TableauRecette[[#This Row],[fraction mélange]]</f>
        <v/>
      </c>
      <c r="P388">
        <f>_xlfn.XLOOKUP(TableauRecette[[#This Row],[ID]],TableauProduit[ID],TableauProduit[Total (kg) N5],0,0,1)*TableauRecette[[#This Row],[fraction mélange]]</f>
        <v/>
      </c>
      <c r="Q388">
        <f>_xlfn.XLOOKUP(TableauRecette[[#This Row],[ID]],TableauProduit[ID],TableauProduit[Total (kg) N6],0,0,1)*TableauRecette[[#This Row],[fraction mélange]]</f>
        <v/>
      </c>
      <c r="R388">
        <f>_xlfn.XLOOKUP(TableauRecette[[#This Row],[ID]],TableauProduit[ID],TableauProduit[Total (kg) N7],0,0,1)*TableauRecette[[#This Row],[fraction mélange]]</f>
        <v/>
      </c>
      <c r="S388">
        <f>_xlfn.XLOOKUP(TableauRecette[[#This Row],[ID]],TableauProduit[ID],TableauProduit[Total (kg) N8],0,0,1)*TableauRecette[[#This Row],[fraction mélange]]</f>
        <v/>
      </c>
      <c r="T388">
        <f>_xlfn.XLOOKUP(TableauRecette[[#This Row],[ID]],TableauProduit[ID],TableauProduit[Total (kg) N9],0,0,1)*TableauRecette[[#This Row],[fraction mélange]]</f>
        <v/>
      </c>
    </row>
    <row r="389">
      <c r="A389" t="inlineStr">
        <is>
          <t>Tabasco violet fort</t>
        </is>
      </c>
      <c r="B389">
        <f>TableauRecette[[#This Row],[Recette]]&amp;TableauRecette[[#This Row],[Conditionnement]]</f>
        <v/>
      </c>
      <c r="C389" t="inlineStr">
        <is>
          <t>Figue</t>
        </is>
      </c>
      <c r="D389" t="n">
        <v>10</v>
      </c>
      <c r="E389" t="inlineStr">
        <is>
          <t>Piment liquide 100ml</t>
        </is>
      </c>
      <c r="F3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9">
        <f>IFERROR(_xlfn.XLOOKUP(TableauRecette[[#This Row],[Ingredients]],TableauIngredients[Ingredients],TableauIngredients[Prix d''achat / kg],0)*TableauRecette[[#This Row],[fraction mélange]],0)</f>
        <v/>
      </c>
      <c r="H389">
        <f>IFERROR(SUMIFS(TableauRecette[Proportion],TableauRecette[Recette],TableauRecette[[#This Row],[Recette]],TableauRecette[Conditionnement],TableauRecette[[#This Row],[Conditionnement]]),0)</f>
        <v/>
      </c>
      <c r="I389">
        <f>IFERROR(TableauRecette[[#This Row],[Prix d''achat / kg]],0)</f>
        <v/>
      </c>
      <c r="L389">
        <f>_xlfn.XLOOKUP(TableauRecette[[#This Row],[ID]],TableauProduit[ID],TableauProduit[Total (kg) N1],0,0,1)*TableauRecette[[#This Row],[fraction mélange]]</f>
        <v/>
      </c>
      <c r="M389">
        <f>_xlfn.XLOOKUP(TableauRecette[[#This Row],[ID]],TableauProduit[ID],TableauProduit[Total (kg) N2],0,0,1)*TableauRecette[[#This Row],[fraction mélange]]</f>
        <v/>
      </c>
      <c r="N389">
        <f>_xlfn.XLOOKUP(TableauRecette[[#This Row],[ID]],TableauProduit[ID],TableauProduit[Total (kg) N3],0,0,1)*TableauRecette[[#This Row],[fraction mélange]]</f>
        <v/>
      </c>
      <c r="O389">
        <f>_xlfn.XLOOKUP(TableauRecette[[#This Row],[ID]],TableauProduit[ID],TableauProduit[Total (kg) N4],0,0,1)*TableauRecette[[#This Row],[fraction mélange]]</f>
        <v/>
      </c>
      <c r="P389">
        <f>_xlfn.XLOOKUP(TableauRecette[[#This Row],[ID]],TableauProduit[ID],TableauProduit[Total (kg) N5],0,0,1)*TableauRecette[[#This Row],[fraction mélange]]</f>
        <v/>
      </c>
      <c r="Q389">
        <f>_xlfn.XLOOKUP(TableauRecette[[#This Row],[ID]],TableauProduit[ID],TableauProduit[Total (kg) N6],0,0,1)*TableauRecette[[#This Row],[fraction mélange]]</f>
        <v/>
      </c>
      <c r="R389">
        <f>_xlfn.XLOOKUP(TableauRecette[[#This Row],[ID]],TableauProduit[ID],TableauProduit[Total (kg) N7],0,0,1)*TableauRecette[[#This Row],[fraction mélange]]</f>
        <v/>
      </c>
      <c r="S389">
        <f>_xlfn.XLOOKUP(TableauRecette[[#This Row],[ID]],TableauProduit[ID],TableauProduit[Total (kg) N8],0,0,1)*TableauRecette[[#This Row],[fraction mélange]]</f>
        <v/>
      </c>
      <c r="T389">
        <f>_xlfn.XLOOKUP(TableauRecette[[#This Row],[ID]],TableauProduit[ID],TableauProduit[Total (kg) N9],0,0,1)*TableauRecette[[#This Row],[fraction mélange]]</f>
        <v/>
      </c>
    </row>
    <row r="390">
      <c r="A390" t="inlineStr">
        <is>
          <t>Tabasco violet fort</t>
        </is>
      </c>
      <c r="B390">
        <f>TableauRecette[[#This Row],[Recette]]&amp;TableauRecette[[#This Row],[Conditionnement]]</f>
        <v/>
      </c>
      <c r="C390" t="inlineStr">
        <is>
          <t>Vinaigre De Cidre</t>
        </is>
      </c>
      <c r="D390" t="n">
        <v>6</v>
      </c>
      <c r="E390" t="inlineStr">
        <is>
          <t>Piment liquide 100ml</t>
        </is>
      </c>
      <c r="F3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0">
        <f>IFERROR(_xlfn.XLOOKUP(TableauRecette[[#This Row],[Ingredients]],TableauIngredients[Ingredients],TableauIngredients[Prix d''achat / kg],0)*TableauRecette[[#This Row],[fraction mélange]],0)</f>
        <v/>
      </c>
      <c r="H390">
        <f>IFERROR(SUMIFS(TableauRecette[Proportion],TableauRecette[Recette],TableauRecette[[#This Row],[Recette]],TableauRecette[Conditionnement],TableauRecette[[#This Row],[Conditionnement]]),0)</f>
        <v/>
      </c>
      <c r="I390">
        <f>IFERROR(TableauRecette[[#This Row],[Prix d''achat / kg]],0)</f>
        <v/>
      </c>
      <c r="L390">
        <f>_xlfn.XLOOKUP(TableauRecette[[#This Row],[ID]],TableauProduit[ID],TableauProduit[Total (kg) N1],0,0,1)*TableauRecette[[#This Row],[fraction mélange]]</f>
        <v/>
      </c>
      <c r="M390">
        <f>_xlfn.XLOOKUP(TableauRecette[[#This Row],[ID]],TableauProduit[ID],TableauProduit[Total (kg) N2],0,0,1)*TableauRecette[[#This Row],[fraction mélange]]</f>
        <v/>
      </c>
      <c r="N390">
        <f>_xlfn.XLOOKUP(TableauRecette[[#This Row],[ID]],TableauProduit[ID],TableauProduit[Total (kg) N3],0,0,1)*TableauRecette[[#This Row],[fraction mélange]]</f>
        <v/>
      </c>
      <c r="O390">
        <f>_xlfn.XLOOKUP(TableauRecette[[#This Row],[ID]],TableauProduit[ID],TableauProduit[Total (kg) N4],0,0,1)*TableauRecette[[#This Row],[fraction mélange]]</f>
        <v/>
      </c>
      <c r="P390">
        <f>_xlfn.XLOOKUP(TableauRecette[[#This Row],[ID]],TableauProduit[ID],TableauProduit[Total (kg) N5],0,0,1)*TableauRecette[[#This Row],[fraction mélange]]</f>
        <v/>
      </c>
      <c r="Q390">
        <f>_xlfn.XLOOKUP(TableauRecette[[#This Row],[ID]],TableauProduit[ID],TableauProduit[Total (kg) N6],0,0,1)*TableauRecette[[#This Row],[fraction mélange]]</f>
        <v/>
      </c>
      <c r="R390">
        <f>_xlfn.XLOOKUP(TableauRecette[[#This Row],[ID]],TableauProduit[ID],TableauProduit[Total (kg) N7],0,0,1)*TableauRecette[[#This Row],[fraction mélange]]</f>
        <v/>
      </c>
      <c r="S390">
        <f>_xlfn.XLOOKUP(TableauRecette[[#This Row],[ID]],TableauProduit[ID],TableauProduit[Total (kg) N8],0,0,1)*TableauRecette[[#This Row],[fraction mélange]]</f>
        <v/>
      </c>
      <c r="T390">
        <f>_xlfn.XLOOKUP(TableauRecette[[#This Row],[ID]],TableauProduit[ID],TableauProduit[Total (kg) N9],0,0,1)*TableauRecette[[#This Row],[fraction mélange]]</f>
        <v/>
      </c>
    </row>
    <row r="391">
      <c r="A391" t="inlineStr">
        <is>
          <t>Tabel ou Tabil tunisien</t>
        </is>
      </c>
      <c r="B391">
        <f>TableauRecette[[#This Row],[Recette]]&amp;TableauRecette[[#This Row],[Conditionnement]]</f>
        <v/>
      </c>
      <c r="C391" t="inlineStr">
        <is>
          <t>Coriandre Graine</t>
        </is>
      </c>
      <c r="D391" t="n">
        <v>20</v>
      </c>
      <c r="E391" t="inlineStr">
        <is>
          <t>Epice 100ml</t>
        </is>
      </c>
      <c r="F3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1">
        <f>IFERROR(_xlfn.XLOOKUP(TableauRecette[[#This Row],[Ingredients]],TableauIngredients[Ingredients],TableauIngredients[Prix d''achat / kg],0)*TableauRecette[[#This Row],[fraction mélange]],0)</f>
        <v/>
      </c>
      <c r="H391">
        <f>IFERROR(SUMIFS(TableauRecette[Proportion],TableauRecette[Recette],TableauRecette[[#This Row],[Recette]],TableauRecette[Conditionnement],TableauRecette[[#This Row],[Conditionnement]]),0)</f>
        <v/>
      </c>
      <c r="I391">
        <f>IFERROR(TableauRecette[[#This Row],[Prix d''achat / kg]],0)</f>
        <v/>
      </c>
      <c r="L391">
        <f>_xlfn.XLOOKUP(TableauRecette[[#This Row],[ID]],TableauProduit[ID],TableauProduit[Total (kg) N1],0,0,1)*TableauRecette[[#This Row],[fraction mélange]]</f>
        <v/>
      </c>
      <c r="M391">
        <f>_xlfn.XLOOKUP(TableauRecette[[#This Row],[ID]],TableauProduit[ID],TableauProduit[Total (kg) N2],0,0,1)*TableauRecette[[#This Row],[fraction mélange]]</f>
        <v/>
      </c>
      <c r="N391">
        <f>_xlfn.XLOOKUP(TableauRecette[[#This Row],[ID]],TableauProduit[ID],TableauProduit[Total (kg) N3],0,0,1)*TableauRecette[[#This Row],[fraction mélange]]</f>
        <v/>
      </c>
      <c r="O391">
        <f>_xlfn.XLOOKUP(TableauRecette[[#This Row],[ID]],TableauProduit[ID],TableauProduit[Total (kg) N4],0,0,1)*TableauRecette[[#This Row],[fraction mélange]]</f>
        <v/>
      </c>
      <c r="P391">
        <f>_xlfn.XLOOKUP(TableauRecette[[#This Row],[ID]],TableauProduit[ID],TableauProduit[Total (kg) N5],0,0,1)*TableauRecette[[#This Row],[fraction mélange]]</f>
        <v/>
      </c>
      <c r="Q391">
        <f>_xlfn.XLOOKUP(TableauRecette[[#This Row],[ID]],TableauProduit[ID],TableauProduit[Total (kg) N6],0,0,1)*TableauRecette[[#This Row],[fraction mélange]]</f>
        <v/>
      </c>
      <c r="R391">
        <f>_xlfn.XLOOKUP(TableauRecette[[#This Row],[ID]],TableauProduit[ID],TableauProduit[Total (kg) N7],0,0,1)*TableauRecette[[#This Row],[fraction mélange]]</f>
        <v/>
      </c>
      <c r="S391">
        <f>_xlfn.XLOOKUP(TableauRecette[[#This Row],[ID]],TableauProduit[ID],TableauProduit[Total (kg) N8],0,0,1)*TableauRecette[[#This Row],[fraction mélange]]</f>
        <v/>
      </c>
      <c r="T391">
        <f>_xlfn.XLOOKUP(TableauRecette[[#This Row],[ID]],TableauProduit[ID],TableauProduit[Total (kg) N9],0,0,1)*TableauRecette[[#This Row],[fraction mélange]]</f>
        <v/>
      </c>
    </row>
    <row r="392">
      <c r="A392" t="inlineStr">
        <is>
          <t>Tabel ou Tabil tunisien</t>
        </is>
      </c>
      <c r="B392">
        <f>TableauRecette[[#This Row],[Recette]]&amp;TableauRecette[[#This Row],[Conditionnement]]</f>
        <v/>
      </c>
      <c r="C392" t="inlineStr">
        <is>
          <t>Carvi Moule</t>
        </is>
      </c>
      <c r="D392" t="n">
        <v>5</v>
      </c>
      <c r="E392" t="inlineStr">
        <is>
          <t>Epice 100ml</t>
        </is>
      </c>
      <c r="F39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2">
        <f>IFERROR(_xlfn.XLOOKUP(TableauRecette[[#This Row],[Ingredients]],TableauIngredients[Ingredients],TableauIngredients[Prix d''achat / kg],0)*TableauRecette[[#This Row],[fraction mélange]],0)</f>
        <v/>
      </c>
      <c r="H392">
        <f>IFERROR(SUMIFS(TableauRecette[Proportion],TableauRecette[Recette],TableauRecette[[#This Row],[Recette]],TableauRecette[Conditionnement],TableauRecette[[#This Row],[Conditionnement]]),0)</f>
        <v/>
      </c>
      <c r="I392">
        <f>IFERROR(TableauRecette[[#This Row],[Prix d''achat / kg]],0)</f>
        <v/>
      </c>
      <c r="L392">
        <f>_xlfn.XLOOKUP(TableauRecette[[#This Row],[ID]],TableauProduit[ID],TableauProduit[Total (kg) N1],0,0,1)*TableauRecette[[#This Row],[fraction mélange]]</f>
        <v/>
      </c>
      <c r="M392">
        <f>_xlfn.XLOOKUP(TableauRecette[[#This Row],[ID]],TableauProduit[ID],TableauProduit[Total (kg) N2],0,0,1)*TableauRecette[[#This Row],[fraction mélange]]</f>
        <v/>
      </c>
      <c r="N392">
        <f>_xlfn.XLOOKUP(TableauRecette[[#This Row],[ID]],TableauProduit[ID],TableauProduit[Total (kg) N3],0,0,1)*TableauRecette[[#This Row],[fraction mélange]]</f>
        <v/>
      </c>
      <c r="O392">
        <f>_xlfn.XLOOKUP(TableauRecette[[#This Row],[ID]],TableauProduit[ID],TableauProduit[Total (kg) N4],0,0,1)*TableauRecette[[#This Row],[fraction mélange]]</f>
        <v/>
      </c>
      <c r="P392">
        <f>_xlfn.XLOOKUP(TableauRecette[[#This Row],[ID]],TableauProduit[ID],TableauProduit[Total (kg) N5],0,0,1)*TableauRecette[[#This Row],[fraction mélange]]</f>
        <v/>
      </c>
      <c r="Q392">
        <f>_xlfn.XLOOKUP(TableauRecette[[#This Row],[ID]],TableauProduit[ID],TableauProduit[Total (kg) N6],0,0,1)*TableauRecette[[#This Row],[fraction mélange]]</f>
        <v/>
      </c>
      <c r="R392">
        <f>_xlfn.XLOOKUP(TableauRecette[[#This Row],[ID]],TableauProduit[ID],TableauProduit[Total (kg) N7],0,0,1)*TableauRecette[[#This Row],[fraction mélange]]</f>
        <v/>
      </c>
      <c r="S392">
        <f>_xlfn.XLOOKUP(TableauRecette[[#This Row],[ID]],TableauProduit[ID],TableauProduit[Total (kg) N8],0,0,1)*TableauRecette[[#This Row],[fraction mélange]]</f>
        <v/>
      </c>
      <c r="T392">
        <f>_xlfn.XLOOKUP(TableauRecette[[#This Row],[ID]],TableauProduit[ID],TableauProduit[Total (kg) N9],0,0,1)*TableauRecette[[#This Row],[fraction mélange]]</f>
        <v/>
      </c>
    </row>
    <row r="393">
      <c r="A393" t="inlineStr">
        <is>
          <t>Tabel ou Tabil tunisien</t>
        </is>
      </c>
      <c r="B393">
        <f>TableauRecette[[#This Row],[Recette]]&amp;TableauRecette[[#This Row],[Conditionnement]]</f>
        <v/>
      </c>
      <c r="C393" t="inlineStr">
        <is>
          <t>Piment Œil D'Oiseau</t>
        </is>
      </c>
      <c r="D393" t="n">
        <v>1</v>
      </c>
      <c r="E393" t="inlineStr">
        <is>
          <t>Epice 100ml</t>
        </is>
      </c>
      <c r="F3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3">
        <f>IFERROR(_xlfn.XLOOKUP(TableauRecette[[#This Row],[Ingredients]],TableauIngredients[Ingredients],TableauIngredients[Prix d''achat / kg],0)*TableauRecette[[#This Row],[fraction mélange]],0)</f>
        <v/>
      </c>
      <c r="H393">
        <f>IFERROR(SUMIFS(TableauRecette[Proportion],TableauRecette[Recette],TableauRecette[[#This Row],[Recette]],TableauRecette[Conditionnement],TableauRecette[[#This Row],[Conditionnement]]),0)</f>
        <v/>
      </c>
      <c r="I393">
        <f>IFERROR(TableauRecette[[#This Row],[Prix d''achat / kg]],0)</f>
        <v/>
      </c>
      <c r="L393">
        <f>_xlfn.XLOOKUP(TableauRecette[[#This Row],[ID]],TableauProduit[ID],TableauProduit[Total (kg) N1],0,0,1)*TableauRecette[[#This Row],[fraction mélange]]</f>
        <v/>
      </c>
      <c r="M393">
        <f>_xlfn.XLOOKUP(TableauRecette[[#This Row],[ID]],TableauProduit[ID],TableauProduit[Total (kg) N2],0,0,1)*TableauRecette[[#This Row],[fraction mélange]]</f>
        <v/>
      </c>
      <c r="N393">
        <f>_xlfn.XLOOKUP(TableauRecette[[#This Row],[ID]],TableauProduit[ID],TableauProduit[Total (kg) N3],0,0,1)*TableauRecette[[#This Row],[fraction mélange]]</f>
        <v/>
      </c>
      <c r="O393">
        <f>_xlfn.XLOOKUP(TableauRecette[[#This Row],[ID]],TableauProduit[ID],TableauProduit[Total (kg) N4],0,0,1)*TableauRecette[[#This Row],[fraction mélange]]</f>
        <v/>
      </c>
      <c r="P393">
        <f>_xlfn.XLOOKUP(TableauRecette[[#This Row],[ID]],TableauProduit[ID],TableauProduit[Total (kg) N5],0,0,1)*TableauRecette[[#This Row],[fraction mélange]]</f>
        <v/>
      </c>
      <c r="Q393">
        <f>_xlfn.XLOOKUP(TableauRecette[[#This Row],[ID]],TableauProduit[ID],TableauProduit[Total (kg) N6],0,0,1)*TableauRecette[[#This Row],[fraction mélange]]</f>
        <v/>
      </c>
      <c r="R393">
        <f>_xlfn.XLOOKUP(TableauRecette[[#This Row],[ID]],TableauProduit[ID],TableauProduit[Total (kg) N7],0,0,1)*TableauRecette[[#This Row],[fraction mélange]]</f>
        <v/>
      </c>
      <c r="S393">
        <f>_xlfn.XLOOKUP(TableauRecette[[#This Row],[ID]],TableauProduit[ID],TableauProduit[Total (kg) N8],0,0,1)*TableauRecette[[#This Row],[fraction mélange]]</f>
        <v/>
      </c>
      <c r="T393">
        <f>_xlfn.XLOOKUP(TableauRecette[[#This Row],[ID]],TableauProduit[ID],TableauProduit[Total (kg) N9],0,0,1)*TableauRecette[[#This Row],[fraction mélange]]</f>
        <v/>
      </c>
    </row>
    <row r="394">
      <c r="A394" t="inlineStr">
        <is>
          <t>Tabel ou Tabil tunisien</t>
        </is>
      </c>
      <c r="B394">
        <f>TableauRecette[[#This Row],[Recette]]&amp;TableauRecette[[#This Row],[Conditionnement]]</f>
        <v/>
      </c>
      <c r="C394" t="inlineStr">
        <is>
          <t>Poivre Noir</t>
        </is>
      </c>
      <c r="D394" t="n">
        <v>0.5</v>
      </c>
      <c r="E394" t="inlineStr">
        <is>
          <t>Epice 100ml</t>
        </is>
      </c>
      <c r="F3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4">
        <f>IFERROR(_xlfn.XLOOKUP(TableauRecette[[#This Row],[Ingredients]],TableauIngredients[Ingredients],TableauIngredients[Prix d''achat / kg],0)*TableauRecette[[#This Row],[fraction mélange]],0)</f>
        <v/>
      </c>
      <c r="H394">
        <f>IFERROR(SUMIFS(TableauRecette[Proportion],TableauRecette[Recette],TableauRecette[[#This Row],[Recette]],TableauRecette[Conditionnement],TableauRecette[[#This Row],[Conditionnement]]),0)</f>
        <v/>
      </c>
      <c r="I394">
        <f>IFERROR(TableauRecette[[#This Row],[Prix d''achat / kg]],0)</f>
        <v/>
      </c>
      <c r="L394">
        <f>_xlfn.XLOOKUP(TableauRecette[[#This Row],[ID]],TableauProduit[ID],TableauProduit[Total (kg) N1],0,0,1)*TableauRecette[[#This Row],[fraction mélange]]</f>
        <v/>
      </c>
      <c r="M394">
        <f>_xlfn.XLOOKUP(TableauRecette[[#This Row],[ID]],TableauProduit[ID],TableauProduit[Total (kg) N2],0,0,1)*TableauRecette[[#This Row],[fraction mélange]]</f>
        <v/>
      </c>
      <c r="N394">
        <f>_xlfn.XLOOKUP(TableauRecette[[#This Row],[ID]],TableauProduit[ID],TableauProduit[Total (kg) N3],0,0,1)*TableauRecette[[#This Row],[fraction mélange]]</f>
        <v/>
      </c>
      <c r="O394">
        <f>_xlfn.XLOOKUP(TableauRecette[[#This Row],[ID]],TableauProduit[ID],TableauProduit[Total (kg) N4],0,0,1)*TableauRecette[[#This Row],[fraction mélange]]</f>
        <v/>
      </c>
      <c r="P394">
        <f>_xlfn.XLOOKUP(TableauRecette[[#This Row],[ID]],TableauProduit[ID],TableauProduit[Total (kg) N5],0,0,1)*TableauRecette[[#This Row],[fraction mélange]]</f>
        <v/>
      </c>
      <c r="Q394">
        <f>_xlfn.XLOOKUP(TableauRecette[[#This Row],[ID]],TableauProduit[ID],TableauProduit[Total (kg) N6],0,0,1)*TableauRecette[[#This Row],[fraction mélange]]</f>
        <v/>
      </c>
      <c r="R394">
        <f>_xlfn.XLOOKUP(TableauRecette[[#This Row],[ID]],TableauProduit[ID],TableauProduit[Total (kg) N7],0,0,1)*TableauRecette[[#This Row],[fraction mélange]]</f>
        <v/>
      </c>
      <c r="S394">
        <f>_xlfn.XLOOKUP(TableauRecette[[#This Row],[ID]],TableauProduit[ID],TableauProduit[Total (kg) N8],0,0,1)*TableauRecette[[#This Row],[fraction mélange]]</f>
        <v/>
      </c>
      <c r="T394">
        <f>_xlfn.XLOOKUP(TableauRecette[[#This Row],[ID]],TableauProduit[ID],TableauProduit[Total (kg) N9],0,0,1)*TableauRecette[[#This Row],[fraction mélange]]</f>
        <v/>
      </c>
    </row>
    <row r="395">
      <c r="A395" t="inlineStr">
        <is>
          <t>Tabel ou Tabil tunisien</t>
        </is>
      </c>
      <c r="B395">
        <f>TableauRecette[[#This Row],[Recette]]&amp;TableauRecette[[#This Row],[Conditionnement]]</f>
        <v/>
      </c>
      <c r="C395" t="inlineStr">
        <is>
          <t>Feuilles De Laurier</t>
        </is>
      </c>
      <c r="D395" t="n">
        <v>0.5</v>
      </c>
      <c r="E395" t="inlineStr">
        <is>
          <t>Epice 100ml</t>
        </is>
      </c>
      <c r="F39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5">
        <f>IFERROR(_xlfn.XLOOKUP(TableauRecette[[#This Row],[Ingredients]],TableauIngredients[Ingredients],TableauIngredients[Prix d''achat / kg],0)*TableauRecette[[#This Row],[fraction mélange]],0)</f>
        <v/>
      </c>
      <c r="H395">
        <f>IFERROR(SUMIFS(TableauRecette[Proportion],TableauRecette[Recette],TableauRecette[[#This Row],[Recette]],TableauRecette[Conditionnement],TableauRecette[[#This Row],[Conditionnement]]),0)</f>
        <v/>
      </c>
      <c r="I395">
        <f>IFERROR(TableauRecette[[#This Row],[Prix d''achat / kg]],0)</f>
        <v/>
      </c>
      <c r="L395">
        <f>_xlfn.XLOOKUP(TableauRecette[[#This Row],[ID]],TableauProduit[ID],TableauProduit[Total (kg) N1],0,0,1)*TableauRecette[[#This Row],[fraction mélange]]</f>
        <v/>
      </c>
      <c r="M395">
        <f>_xlfn.XLOOKUP(TableauRecette[[#This Row],[ID]],TableauProduit[ID],TableauProduit[Total (kg) N2],0,0,1)*TableauRecette[[#This Row],[fraction mélange]]</f>
        <v/>
      </c>
      <c r="N395">
        <f>_xlfn.XLOOKUP(TableauRecette[[#This Row],[ID]],TableauProduit[ID],TableauProduit[Total (kg) N3],0,0,1)*TableauRecette[[#This Row],[fraction mélange]]</f>
        <v/>
      </c>
      <c r="O395">
        <f>_xlfn.XLOOKUP(TableauRecette[[#This Row],[ID]],TableauProduit[ID],TableauProduit[Total (kg) N4],0,0,1)*TableauRecette[[#This Row],[fraction mélange]]</f>
        <v/>
      </c>
      <c r="P395">
        <f>_xlfn.XLOOKUP(TableauRecette[[#This Row],[ID]],TableauProduit[ID],TableauProduit[Total (kg) N5],0,0,1)*TableauRecette[[#This Row],[fraction mélange]]</f>
        <v/>
      </c>
      <c r="Q395">
        <f>_xlfn.XLOOKUP(TableauRecette[[#This Row],[ID]],TableauProduit[ID],TableauProduit[Total (kg) N6],0,0,1)*TableauRecette[[#This Row],[fraction mélange]]</f>
        <v/>
      </c>
      <c r="R395">
        <f>_xlfn.XLOOKUP(TableauRecette[[#This Row],[ID]],TableauProduit[ID],TableauProduit[Total (kg) N7],0,0,1)*TableauRecette[[#This Row],[fraction mélange]]</f>
        <v/>
      </c>
      <c r="S395">
        <f>_xlfn.XLOOKUP(TableauRecette[[#This Row],[ID]],TableauProduit[ID],TableauProduit[Total (kg) N8],0,0,1)*TableauRecette[[#This Row],[fraction mélange]]</f>
        <v/>
      </c>
      <c r="T395">
        <f>_xlfn.XLOOKUP(TableauRecette[[#This Row],[ID]],TableauProduit[ID],TableauProduit[Total (kg) N9],0,0,1)*TableauRecette[[#This Row],[fraction mélange]]</f>
        <v/>
      </c>
    </row>
    <row r="396">
      <c r="A396" t="inlineStr">
        <is>
          <t>Tabel ou Tabil tunisien</t>
        </is>
      </c>
      <c r="B396">
        <f>TableauRecette[[#This Row],[Recette]]&amp;TableauRecette[[#This Row],[Conditionnement]]</f>
        <v/>
      </c>
      <c r="C396" t="inlineStr">
        <is>
          <t>Pétale De Rose</t>
        </is>
      </c>
      <c r="D396" t="n">
        <v>0.5</v>
      </c>
      <c r="E396" t="inlineStr">
        <is>
          <t>Epice 100ml</t>
        </is>
      </c>
      <c r="F3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6">
        <f>IFERROR(_xlfn.XLOOKUP(TableauRecette[[#This Row],[Ingredients]],TableauIngredients[Ingredients],TableauIngredients[Prix d''achat / kg],0)*TableauRecette[[#This Row],[fraction mélange]],0)</f>
        <v/>
      </c>
      <c r="H396">
        <f>IFERROR(SUMIFS(TableauRecette[Proportion],TableauRecette[Recette],TableauRecette[[#This Row],[Recette]],TableauRecette[Conditionnement],TableauRecette[[#This Row],[Conditionnement]]),0)</f>
        <v/>
      </c>
      <c r="I396">
        <f>IFERROR(TableauRecette[[#This Row],[Prix d''achat / kg]],0)</f>
        <v/>
      </c>
      <c r="L396">
        <f>_xlfn.XLOOKUP(TableauRecette[[#This Row],[ID]],TableauProduit[ID],TableauProduit[Total (kg) N1],0,0,1)*TableauRecette[[#This Row],[fraction mélange]]</f>
        <v/>
      </c>
      <c r="M396">
        <f>_xlfn.XLOOKUP(TableauRecette[[#This Row],[ID]],TableauProduit[ID],TableauProduit[Total (kg) N2],0,0,1)*TableauRecette[[#This Row],[fraction mélange]]</f>
        <v/>
      </c>
      <c r="N396">
        <f>_xlfn.XLOOKUP(TableauRecette[[#This Row],[ID]],TableauProduit[ID],TableauProduit[Total (kg) N3],0,0,1)*TableauRecette[[#This Row],[fraction mélange]]</f>
        <v/>
      </c>
      <c r="O396">
        <f>_xlfn.XLOOKUP(TableauRecette[[#This Row],[ID]],TableauProduit[ID],TableauProduit[Total (kg) N4],0,0,1)*TableauRecette[[#This Row],[fraction mélange]]</f>
        <v/>
      </c>
      <c r="P396">
        <f>_xlfn.XLOOKUP(TableauRecette[[#This Row],[ID]],TableauProduit[ID],TableauProduit[Total (kg) N5],0,0,1)*TableauRecette[[#This Row],[fraction mélange]]</f>
        <v/>
      </c>
      <c r="Q396">
        <f>_xlfn.XLOOKUP(TableauRecette[[#This Row],[ID]],TableauProduit[ID],TableauProduit[Total (kg) N6],0,0,1)*TableauRecette[[#This Row],[fraction mélange]]</f>
        <v/>
      </c>
      <c r="R396">
        <f>_xlfn.XLOOKUP(TableauRecette[[#This Row],[ID]],TableauProduit[ID],TableauProduit[Total (kg) N7],0,0,1)*TableauRecette[[#This Row],[fraction mélange]]</f>
        <v/>
      </c>
      <c r="S396">
        <f>_xlfn.XLOOKUP(TableauRecette[[#This Row],[ID]],TableauProduit[ID],TableauProduit[Total (kg) N8],0,0,1)*TableauRecette[[#This Row],[fraction mélange]]</f>
        <v/>
      </c>
      <c r="T396">
        <f>_xlfn.XLOOKUP(TableauRecette[[#This Row],[ID]],TableauProduit[ID],TableauProduit[Total (kg) N9],0,0,1)*TableauRecette[[#This Row],[fraction mélange]]</f>
        <v/>
      </c>
    </row>
    <row r="397">
      <c r="A397" t="inlineStr">
        <is>
          <t>Tabel ou Tabil tunisien</t>
        </is>
      </c>
      <c r="B397">
        <f>TableauRecette[[#This Row],[Recette]]&amp;TableauRecette[[#This Row],[Conditionnement]]</f>
        <v/>
      </c>
      <c r="C397" t="inlineStr">
        <is>
          <t>Gingembre Sec</t>
        </is>
      </c>
      <c r="D397" t="n">
        <v>0.5</v>
      </c>
      <c r="E397" t="inlineStr">
        <is>
          <t>Epice 100ml</t>
        </is>
      </c>
      <c r="F39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7">
        <f>IFERROR(_xlfn.XLOOKUP(TableauRecette[[#This Row],[Ingredients]],TableauIngredients[Ingredients],TableauIngredients[Prix d''achat / kg],0)*TableauRecette[[#This Row],[fraction mélange]],0)</f>
        <v/>
      </c>
      <c r="H397">
        <f>IFERROR(SUMIFS(TableauRecette[Proportion],TableauRecette[Recette],TableauRecette[[#This Row],[Recette]],TableauRecette[Conditionnement],TableauRecette[[#This Row],[Conditionnement]]),0)</f>
        <v/>
      </c>
      <c r="I397">
        <f>IFERROR(TableauRecette[[#This Row],[Prix d''achat / kg]],0)</f>
        <v/>
      </c>
      <c r="K397" t="inlineStr">
        <is>
          <t>SEC</t>
        </is>
      </c>
      <c r="L397">
        <f>_xlfn.XLOOKUP(TableauRecette[[#This Row],[ID]],TableauProduit[ID],TableauProduit[Total (kg) N1],0,0,1)*TableauRecette[[#This Row],[fraction mélange]]</f>
        <v/>
      </c>
      <c r="M397">
        <f>_xlfn.XLOOKUP(TableauRecette[[#This Row],[ID]],TableauProduit[ID],TableauProduit[Total (kg) N2],0,0,1)*TableauRecette[[#This Row],[fraction mélange]]</f>
        <v/>
      </c>
      <c r="N397">
        <f>_xlfn.XLOOKUP(TableauRecette[[#This Row],[ID]],TableauProduit[ID],TableauProduit[Total (kg) N3],0,0,1)*TableauRecette[[#This Row],[fraction mélange]]</f>
        <v/>
      </c>
      <c r="O397">
        <f>_xlfn.XLOOKUP(TableauRecette[[#This Row],[ID]],TableauProduit[ID],TableauProduit[Total (kg) N4],0,0,1)*TableauRecette[[#This Row],[fraction mélange]]</f>
        <v/>
      </c>
      <c r="P397">
        <f>_xlfn.XLOOKUP(TableauRecette[[#This Row],[ID]],TableauProduit[ID],TableauProduit[Total (kg) N5],0,0,1)*TableauRecette[[#This Row],[fraction mélange]]</f>
        <v/>
      </c>
      <c r="Q397">
        <f>_xlfn.XLOOKUP(TableauRecette[[#This Row],[ID]],TableauProduit[ID],TableauProduit[Total (kg) N6],0,0,1)*TableauRecette[[#This Row],[fraction mélange]]</f>
        <v/>
      </c>
      <c r="R397">
        <f>_xlfn.XLOOKUP(TableauRecette[[#This Row],[ID]],TableauProduit[ID],TableauProduit[Total (kg) N7],0,0,1)*TableauRecette[[#This Row],[fraction mélange]]</f>
        <v/>
      </c>
      <c r="S397">
        <f>_xlfn.XLOOKUP(TableauRecette[[#This Row],[ID]],TableauProduit[ID],TableauProduit[Total (kg) N8],0,0,1)*TableauRecette[[#This Row],[fraction mélange]]</f>
        <v/>
      </c>
      <c r="T397">
        <f>_xlfn.XLOOKUP(TableauRecette[[#This Row],[ID]],TableauProduit[ID],TableauProduit[Total (kg) N9],0,0,1)*TableauRecette[[#This Row],[fraction mélange]]</f>
        <v/>
      </c>
    </row>
    <row r="398">
      <c r="A398" t="inlineStr">
        <is>
          <t>Tabel ou Tabil tunisien</t>
        </is>
      </c>
      <c r="B398">
        <f>TableauRecette[[#This Row],[Recette]]&amp;TableauRecette[[#This Row],[Conditionnement]]</f>
        <v/>
      </c>
      <c r="C398" t="inlineStr">
        <is>
          <t>Menthe Verte Séchée</t>
        </is>
      </c>
      <c r="D398" t="n">
        <v>0.5</v>
      </c>
      <c r="E398" t="inlineStr">
        <is>
          <t>Epice 100ml</t>
        </is>
      </c>
      <c r="F3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8">
        <f>IFERROR(_xlfn.XLOOKUP(TableauRecette[[#This Row],[Ingredients]],TableauIngredients[Ingredients],TableauIngredients[Prix d''achat / kg],0)*TableauRecette[[#This Row],[fraction mélange]],0)</f>
        <v/>
      </c>
      <c r="H398">
        <f>IFERROR(SUMIFS(TableauRecette[Proportion],TableauRecette[Recette],TableauRecette[[#This Row],[Recette]],TableauRecette[Conditionnement],TableauRecette[[#This Row],[Conditionnement]]),0)</f>
        <v/>
      </c>
      <c r="I398">
        <f>IFERROR(TableauRecette[[#This Row],[Prix d''achat / kg]],0)</f>
        <v/>
      </c>
      <c r="L398">
        <f>_xlfn.XLOOKUP(TableauRecette[[#This Row],[ID]],TableauProduit[ID],TableauProduit[Total (kg) N1],0,0,1)*TableauRecette[[#This Row],[fraction mélange]]</f>
        <v/>
      </c>
      <c r="M398">
        <f>_xlfn.XLOOKUP(TableauRecette[[#This Row],[ID]],TableauProduit[ID],TableauProduit[Total (kg) N2],0,0,1)*TableauRecette[[#This Row],[fraction mélange]]</f>
        <v/>
      </c>
      <c r="N398">
        <f>_xlfn.XLOOKUP(TableauRecette[[#This Row],[ID]],TableauProduit[ID],TableauProduit[Total (kg) N3],0,0,1)*TableauRecette[[#This Row],[fraction mélange]]</f>
        <v/>
      </c>
      <c r="O398">
        <f>_xlfn.XLOOKUP(TableauRecette[[#This Row],[ID]],TableauProduit[ID],TableauProduit[Total (kg) N4],0,0,1)*TableauRecette[[#This Row],[fraction mélange]]</f>
        <v/>
      </c>
      <c r="P398">
        <f>_xlfn.XLOOKUP(TableauRecette[[#This Row],[ID]],TableauProduit[ID],TableauProduit[Total (kg) N5],0,0,1)*TableauRecette[[#This Row],[fraction mélange]]</f>
        <v/>
      </c>
      <c r="Q398">
        <f>_xlfn.XLOOKUP(TableauRecette[[#This Row],[ID]],TableauProduit[ID],TableauProduit[Total (kg) N6],0,0,1)*TableauRecette[[#This Row],[fraction mélange]]</f>
        <v/>
      </c>
      <c r="R398">
        <f>_xlfn.XLOOKUP(TableauRecette[[#This Row],[ID]],TableauProduit[ID],TableauProduit[Total (kg) N7],0,0,1)*TableauRecette[[#This Row],[fraction mélange]]</f>
        <v/>
      </c>
      <c r="S398">
        <f>_xlfn.XLOOKUP(TableauRecette[[#This Row],[ID]],TableauProduit[ID],TableauProduit[Total (kg) N8],0,0,1)*TableauRecette[[#This Row],[fraction mélange]]</f>
        <v/>
      </c>
      <c r="T398">
        <f>_xlfn.XLOOKUP(TableauRecette[[#This Row],[ID]],TableauProduit[ID],TableauProduit[Total (kg) N9],0,0,1)*TableauRecette[[#This Row],[fraction mélange]]</f>
        <v/>
      </c>
    </row>
    <row r="399">
      <c r="A399" t="inlineStr">
        <is>
          <t>Tabel ou Tabil tunisien</t>
        </is>
      </c>
      <c r="B399">
        <f>TableauRecette[[#This Row],[Recette]]&amp;TableauRecette[[#This Row],[Conditionnement]]</f>
        <v/>
      </c>
      <c r="C399" t="inlineStr">
        <is>
          <t>Sel</t>
        </is>
      </c>
      <c r="D399" t="n">
        <v>2.5</v>
      </c>
      <c r="E399" t="inlineStr">
        <is>
          <t>Epice 100ml</t>
        </is>
      </c>
      <c r="F39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9">
        <f>IFERROR(_xlfn.XLOOKUP(TableauRecette[[#This Row],[Ingredients]],TableauIngredients[Ingredients],TableauIngredients[Prix d''achat / kg],0)*TableauRecette[[#This Row],[fraction mélange]],0)</f>
        <v/>
      </c>
      <c r="H399">
        <f>IFERROR(SUMIFS(TableauRecette[Proportion],TableauRecette[Recette],TableauRecette[[#This Row],[Recette]],TableauRecette[Conditionnement],TableauRecette[[#This Row],[Conditionnement]]),0)</f>
        <v/>
      </c>
      <c r="I399">
        <f>IFERROR(TableauRecette[[#This Row],[Prix d''achat / kg]],0)</f>
        <v/>
      </c>
      <c r="L399">
        <f>_xlfn.XLOOKUP(TableauRecette[[#This Row],[ID]],TableauProduit[ID],TableauProduit[Total (kg) N1],0,0,1)*TableauRecette[[#This Row],[fraction mélange]]</f>
        <v/>
      </c>
      <c r="M399">
        <f>_xlfn.XLOOKUP(TableauRecette[[#This Row],[ID]],TableauProduit[ID],TableauProduit[Total (kg) N2],0,0,1)*TableauRecette[[#This Row],[fraction mélange]]</f>
        <v/>
      </c>
      <c r="N399">
        <f>_xlfn.XLOOKUP(TableauRecette[[#This Row],[ID]],TableauProduit[ID],TableauProduit[Total (kg) N3],0,0,1)*TableauRecette[[#This Row],[fraction mélange]]</f>
        <v/>
      </c>
      <c r="O399">
        <f>_xlfn.XLOOKUP(TableauRecette[[#This Row],[ID]],TableauProduit[ID],TableauProduit[Total (kg) N4],0,0,1)*TableauRecette[[#This Row],[fraction mélange]]</f>
        <v/>
      </c>
      <c r="P399">
        <f>_xlfn.XLOOKUP(TableauRecette[[#This Row],[ID]],TableauProduit[ID],TableauProduit[Total (kg) N5],0,0,1)*TableauRecette[[#This Row],[fraction mélange]]</f>
        <v/>
      </c>
      <c r="Q399">
        <f>_xlfn.XLOOKUP(TableauRecette[[#This Row],[ID]],TableauProduit[ID],TableauProduit[Total (kg) N6],0,0,1)*TableauRecette[[#This Row],[fraction mélange]]</f>
        <v/>
      </c>
      <c r="R399">
        <f>_xlfn.XLOOKUP(TableauRecette[[#This Row],[ID]],TableauProduit[ID],TableauProduit[Total (kg) N7],0,0,1)*TableauRecette[[#This Row],[fraction mélange]]</f>
        <v/>
      </c>
      <c r="S399">
        <f>_xlfn.XLOOKUP(TableauRecette[[#This Row],[ID]],TableauProduit[ID],TableauProduit[Total (kg) N8],0,0,1)*TableauRecette[[#This Row],[fraction mélange]]</f>
        <v/>
      </c>
      <c r="T399">
        <f>_xlfn.XLOOKUP(TableauRecette[[#This Row],[ID]],TableauProduit[ID],TableauProduit[Total (kg) N9],0,0,1)*TableauRecette[[#This Row],[fraction mélange]]</f>
        <v/>
      </c>
    </row>
    <row r="400">
      <c r="A400" t="inlineStr">
        <is>
          <t>Tabel ou Tabil tunisien</t>
        </is>
      </c>
      <c r="B400">
        <f>TableauRecette[[#This Row],[Recette]]&amp;TableauRecette[[#This Row],[Conditionnement]]</f>
        <v/>
      </c>
      <c r="C400" t="inlineStr">
        <is>
          <t>Safran</t>
        </is>
      </c>
      <c r="D400" t="n">
        <v>0.1</v>
      </c>
      <c r="E400" t="inlineStr">
        <is>
          <t>Epice 100ml</t>
        </is>
      </c>
      <c r="F40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0">
        <f>IFERROR(_xlfn.XLOOKUP(TableauRecette[[#This Row],[Ingredients]],TableauIngredients[Ingredients],TableauIngredients[Prix d''achat / kg],0)*TableauRecette[[#This Row],[fraction mélange]],0)</f>
        <v/>
      </c>
      <c r="H400">
        <f>IFERROR(SUMIFS(TableauRecette[Proportion],TableauRecette[Recette],TableauRecette[[#This Row],[Recette]],TableauRecette[Conditionnement],TableauRecette[[#This Row],[Conditionnement]]),0)</f>
        <v/>
      </c>
      <c r="I400">
        <f>IFERROR(TableauRecette[[#This Row],[Prix d''achat / kg]],0)</f>
        <v/>
      </c>
      <c r="L400">
        <f>_xlfn.XLOOKUP(TableauRecette[[#This Row],[ID]],TableauProduit[ID],TableauProduit[Total (kg) N1],0,0,1)*TableauRecette[[#This Row],[fraction mélange]]</f>
        <v/>
      </c>
      <c r="M400">
        <f>_xlfn.XLOOKUP(TableauRecette[[#This Row],[ID]],TableauProduit[ID],TableauProduit[Total (kg) N2],0,0,1)*TableauRecette[[#This Row],[fraction mélange]]</f>
        <v/>
      </c>
      <c r="N400">
        <f>_xlfn.XLOOKUP(TableauRecette[[#This Row],[ID]],TableauProduit[ID],TableauProduit[Total (kg) N3],0,0,1)*TableauRecette[[#This Row],[fraction mélange]]</f>
        <v/>
      </c>
      <c r="O400">
        <f>_xlfn.XLOOKUP(TableauRecette[[#This Row],[ID]],TableauProduit[ID],TableauProduit[Total (kg) N4],0,0,1)*TableauRecette[[#This Row],[fraction mélange]]</f>
        <v/>
      </c>
      <c r="P400">
        <f>_xlfn.XLOOKUP(TableauRecette[[#This Row],[ID]],TableauProduit[ID],TableauProduit[Total (kg) N5],0,0,1)*TableauRecette[[#This Row],[fraction mélange]]</f>
        <v/>
      </c>
      <c r="Q400">
        <f>_xlfn.XLOOKUP(TableauRecette[[#This Row],[ID]],TableauProduit[ID],TableauProduit[Total (kg) N6],0,0,1)*TableauRecette[[#This Row],[fraction mélange]]</f>
        <v/>
      </c>
      <c r="R400">
        <f>_xlfn.XLOOKUP(TableauRecette[[#This Row],[ID]],TableauProduit[ID],TableauProduit[Total (kg) N7],0,0,1)*TableauRecette[[#This Row],[fraction mélange]]</f>
        <v/>
      </c>
      <c r="S400">
        <f>_xlfn.XLOOKUP(TableauRecette[[#This Row],[ID]],TableauProduit[ID],TableauProduit[Total (kg) N8],0,0,1)*TableauRecette[[#This Row],[fraction mélange]]</f>
        <v/>
      </c>
      <c r="T400">
        <f>_xlfn.XLOOKUP(TableauRecette[[#This Row],[ID]],TableauProduit[ID],TableauProduit[Total (kg) N9],0,0,1)*TableauRecette[[#This Row],[fraction mélange]]</f>
        <v/>
      </c>
    </row>
    <row r="401">
      <c r="A401" t="inlineStr">
        <is>
          <t>Tabel ou Tabil tunisien</t>
        </is>
      </c>
      <c r="B401">
        <f>TableauRecette[[#This Row],[Recette]]&amp;TableauRecette[[#This Row],[Conditionnement]]</f>
        <v/>
      </c>
      <c r="C401" t="inlineStr">
        <is>
          <t>Ail Sec</t>
        </is>
      </c>
      <c r="D401" t="n">
        <v>3</v>
      </c>
      <c r="E401" t="inlineStr">
        <is>
          <t>Epice 100ml</t>
        </is>
      </c>
      <c r="F40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1">
        <f>IFERROR(_xlfn.XLOOKUP(TableauRecette[[#This Row],[Ingredients]],TableauIngredients[Ingredients],TableauIngredients[Prix d''achat / kg],0)*TableauRecette[[#This Row],[fraction mélange]],0)</f>
        <v/>
      </c>
      <c r="H401">
        <f>IFERROR(SUMIFS(TableauRecette[Proportion],TableauRecette[Recette],TableauRecette[[#This Row],[Recette]],TableauRecette[Conditionnement],TableauRecette[[#This Row],[Conditionnement]]),0)</f>
        <v/>
      </c>
      <c r="I401">
        <f>IFERROR(TableauRecette[[#This Row],[Prix d''achat / kg]],0)</f>
        <v/>
      </c>
      <c r="K401" t="inlineStr">
        <is>
          <t>SEC</t>
        </is>
      </c>
      <c r="L401">
        <f>_xlfn.XLOOKUP(TableauRecette[[#This Row],[ID]],TableauProduit[ID],TableauProduit[Total (kg) N1],0,0,1)*TableauRecette[[#This Row],[fraction mélange]]</f>
        <v/>
      </c>
      <c r="M401">
        <f>_xlfn.XLOOKUP(TableauRecette[[#This Row],[ID]],TableauProduit[ID],TableauProduit[Total (kg) N2],0,0,1)*TableauRecette[[#This Row],[fraction mélange]]</f>
        <v/>
      </c>
      <c r="N401">
        <f>_xlfn.XLOOKUP(TableauRecette[[#This Row],[ID]],TableauProduit[ID],TableauProduit[Total (kg) N3],0,0,1)*TableauRecette[[#This Row],[fraction mélange]]</f>
        <v/>
      </c>
      <c r="O401">
        <f>_xlfn.XLOOKUP(TableauRecette[[#This Row],[ID]],TableauProduit[ID],TableauProduit[Total (kg) N4],0,0,1)*TableauRecette[[#This Row],[fraction mélange]]</f>
        <v/>
      </c>
      <c r="P401">
        <f>_xlfn.XLOOKUP(TableauRecette[[#This Row],[ID]],TableauProduit[ID],TableauProduit[Total (kg) N5],0,0,1)*TableauRecette[[#This Row],[fraction mélange]]</f>
        <v/>
      </c>
      <c r="Q401">
        <f>_xlfn.XLOOKUP(TableauRecette[[#This Row],[ID]],TableauProduit[ID],TableauProduit[Total (kg) N6],0,0,1)*TableauRecette[[#This Row],[fraction mélange]]</f>
        <v/>
      </c>
      <c r="R401">
        <f>_xlfn.XLOOKUP(TableauRecette[[#This Row],[ID]],TableauProduit[ID],TableauProduit[Total (kg) N7],0,0,1)*TableauRecette[[#This Row],[fraction mélange]]</f>
        <v/>
      </c>
      <c r="S401">
        <f>_xlfn.XLOOKUP(TableauRecette[[#This Row],[ID]],TableauProduit[ID],TableauProduit[Total (kg) N8],0,0,1)*TableauRecette[[#This Row],[fraction mélange]]</f>
        <v/>
      </c>
      <c r="T401">
        <f>_xlfn.XLOOKUP(TableauRecette[[#This Row],[ID]],TableauProduit[ID],TableauProduit[Total (kg) N9],0,0,1)*TableauRecette[[#This Row],[fraction mélange]]</f>
        <v/>
      </c>
    </row>
    <row r="402">
      <c r="A402" t="inlineStr">
        <is>
          <t>Taklia</t>
        </is>
      </c>
      <c r="B402">
        <f>TableauRecette[[#This Row],[Recette]]&amp;TableauRecette[[#This Row],[Conditionnement]]</f>
        <v/>
      </c>
      <c r="C402" t="inlineStr">
        <is>
          <t>Ail</t>
        </is>
      </c>
      <c r="D402" t="n">
        <v>21</v>
      </c>
      <c r="E402" t="inlineStr">
        <is>
          <t>Epice 100ml</t>
        </is>
      </c>
      <c r="F4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2">
        <f>IFERROR(_xlfn.XLOOKUP(TableauRecette[[#This Row],[Ingredients]],TableauIngredients[Ingredients],TableauIngredients[Prix d''achat / kg],0)*TableauRecette[[#This Row],[fraction mélange]],0)</f>
        <v/>
      </c>
      <c r="H402">
        <f>IFERROR(SUMIFS(TableauRecette[Proportion],TableauRecette[Recette],TableauRecette[[#This Row],[Recette]],TableauRecette[Conditionnement],TableauRecette[[#This Row],[Conditionnement]]),0)</f>
        <v/>
      </c>
      <c r="I402">
        <f>IFERROR(TableauRecette[[#This Row],[Prix d''achat / kg]],0)</f>
        <v/>
      </c>
      <c r="L402">
        <f>_xlfn.XLOOKUP(TableauRecette[[#This Row],[ID]],TableauProduit[ID],TableauProduit[Total (kg) N1],0,0,1)*TableauRecette[[#This Row],[fraction mélange]]</f>
        <v/>
      </c>
      <c r="M402">
        <f>_xlfn.XLOOKUP(TableauRecette[[#This Row],[ID]],TableauProduit[ID],TableauProduit[Total (kg) N2],0,0,1)*TableauRecette[[#This Row],[fraction mélange]]</f>
        <v/>
      </c>
      <c r="N402">
        <f>_xlfn.XLOOKUP(TableauRecette[[#This Row],[ID]],TableauProduit[ID],TableauProduit[Total (kg) N3],0,0,1)*TableauRecette[[#This Row],[fraction mélange]]</f>
        <v/>
      </c>
      <c r="O402">
        <f>_xlfn.XLOOKUP(TableauRecette[[#This Row],[ID]],TableauProduit[ID],TableauProduit[Total (kg) N4],0,0,1)*TableauRecette[[#This Row],[fraction mélange]]</f>
        <v/>
      </c>
      <c r="P402">
        <f>_xlfn.XLOOKUP(TableauRecette[[#This Row],[ID]],TableauProduit[ID],TableauProduit[Total (kg) N5],0,0,1)*TableauRecette[[#This Row],[fraction mélange]]</f>
        <v/>
      </c>
      <c r="Q402">
        <f>_xlfn.XLOOKUP(TableauRecette[[#This Row],[ID]],TableauProduit[ID],TableauProduit[Total (kg) N6],0,0,1)*TableauRecette[[#This Row],[fraction mélange]]</f>
        <v/>
      </c>
      <c r="R402">
        <f>_xlfn.XLOOKUP(TableauRecette[[#This Row],[ID]],TableauProduit[ID],TableauProduit[Total (kg) N7],0,0,1)*TableauRecette[[#This Row],[fraction mélange]]</f>
        <v/>
      </c>
      <c r="S402">
        <f>_xlfn.XLOOKUP(TableauRecette[[#This Row],[ID]],TableauProduit[ID],TableauProduit[Total (kg) N8],0,0,1)*TableauRecette[[#This Row],[fraction mélange]]</f>
        <v/>
      </c>
      <c r="T402">
        <f>_xlfn.XLOOKUP(TableauRecette[[#This Row],[ID]],TableauProduit[ID],TableauProduit[Total (kg) N9],0,0,1)*TableauRecette[[#This Row],[fraction mélange]]</f>
        <v/>
      </c>
    </row>
    <row r="403">
      <c r="A403" t="inlineStr">
        <is>
          <t>Taklia</t>
        </is>
      </c>
      <c r="B403">
        <f>TableauRecette[[#This Row],[Recette]]&amp;TableauRecette[[#This Row],[Conditionnement]]</f>
        <v/>
      </c>
      <c r="C403" t="inlineStr">
        <is>
          <t>Huile D'Olive</t>
        </is>
      </c>
      <c r="D403" t="n">
        <v>16</v>
      </c>
      <c r="E403" t="inlineStr">
        <is>
          <t>Epice 100ml</t>
        </is>
      </c>
      <c r="F40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3">
        <f>IFERROR(_xlfn.XLOOKUP(TableauRecette[[#This Row],[Ingredients]],TableauIngredients[Ingredients],TableauIngredients[Prix d''achat / kg],0)*TableauRecette[[#This Row],[fraction mélange]],0)</f>
        <v/>
      </c>
      <c r="H403">
        <f>IFERROR(SUMIFS(TableauRecette[Proportion],TableauRecette[Recette],TableauRecette[[#This Row],[Recette]],TableauRecette[Conditionnement],TableauRecette[[#This Row],[Conditionnement]]),0)</f>
        <v/>
      </c>
      <c r="I403">
        <f>IFERROR(TableauRecette[[#This Row],[Prix d''achat / kg]],0)</f>
        <v/>
      </c>
      <c r="L403">
        <f>_xlfn.XLOOKUP(TableauRecette[[#This Row],[ID]],TableauProduit[ID],TableauProduit[Total (kg) N1],0,0,1)*TableauRecette[[#This Row],[fraction mélange]]</f>
        <v/>
      </c>
      <c r="M403">
        <f>_xlfn.XLOOKUP(TableauRecette[[#This Row],[ID]],TableauProduit[ID],TableauProduit[Total (kg) N2],0,0,1)*TableauRecette[[#This Row],[fraction mélange]]</f>
        <v/>
      </c>
      <c r="N403">
        <f>_xlfn.XLOOKUP(TableauRecette[[#This Row],[ID]],TableauProduit[ID],TableauProduit[Total (kg) N3],0,0,1)*TableauRecette[[#This Row],[fraction mélange]]</f>
        <v/>
      </c>
      <c r="O403">
        <f>_xlfn.XLOOKUP(TableauRecette[[#This Row],[ID]],TableauProduit[ID],TableauProduit[Total (kg) N4],0,0,1)*TableauRecette[[#This Row],[fraction mélange]]</f>
        <v/>
      </c>
      <c r="P403">
        <f>_xlfn.XLOOKUP(TableauRecette[[#This Row],[ID]],TableauProduit[ID],TableauProduit[Total (kg) N5],0,0,1)*TableauRecette[[#This Row],[fraction mélange]]</f>
        <v/>
      </c>
      <c r="Q403">
        <f>_xlfn.XLOOKUP(TableauRecette[[#This Row],[ID]],TableauProduit[ID],TableauProduit[Total (kg) N6],0,0,1)*TableauRecette[[#This Row],[fraction mélange]]</f>
        <v/>
      </c>
      <c r="R403">
        <f>_xlfn.XLOOKUP(TableauRecette[[#This Row],[ID]],TableauProduit[ID],TableauProduit[Total (kg) N7],0,0,1)*TableauRecette[[#This Row],[fraction mélange]]</f>
        <v/>
      </c>
      <c r="S403">
        <f>_xlfn.XLOOKUP(TableauRecette[[#This Row],[ID]],TableauProduit[ID],TableauProduit[Total (kg) N8],0,0,1)*TableauRecette[[#This Row],[fraction mélange]]</f>
        <v/>
      </c>
      <c r="T403">
        <f>_xlfn.XLOOKUP(TableauRecette[[#This Row],[ID]],TableauProduit[ID],TableauProduit[Total (kg) N9],0,0,1)*TableauRecette[[#This Row],[fraction mélange]]</f>
        <v/>
      </c>
    </row>
    <row r="404">
      <c r="A404" t="inlineStr">
        <is>
          <t>Taklia</t>
        </is>
      </c>
      <c r="B404">
        <f>TableauRecette[[#This Row],[Recette]]&amp;TableauRecette[[#This Row],[Conditionnement]]</f>
        <v/>
      </c>
      <c r="C404" t="inlineStr">
        <is>
          <t>Coriandre Graine</t>
        </is>
      </c>
      <c r="D404" t="n">
        <v>2.4</v>
      </c>
      <c r="E404" t="inlineStr">
        <is>
          <t>Epice 100ml</t>
        </is>
      </c>
      <c r="F40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4">
        <f>IFERROR(_xlfn.XLOOKUP(TableauRecette[[#This Row],[Ingredients]],TableauIngredients[Ingredients],TableauIngredients[Prix d''achat / kg],0)*TableauRecette[[#This Row],[fraction mélange]],0)</f>
        <v/>
      </c>
      <c r="H404">
        <f>IFERROR(SUMIFS(TableauRecette[Proportion],TableauRecette[Recette],TableauRecette[[#This Row],[Recette]],TableauRecette[Conditionnement],TableauRecette[[#This Row],[Conditionnement]]),0)</f>
        <v/>
      </c>
      <c r="I404">
        <f>IFERROR(TableauRecette[[#This Row],[Prix d''achat / kg]],0)</f>
        <v/>
      </c>
      <c r="L404">
        <f>_xlfn.XLOOKUP(TableauRecette[[#This Row],[ID]],TableauProduit[ID],TableauProduit[Total (kg) N1],0,0,1)*TableauRecette[[#This Row],[fraction mélange]]</f>
        <v/>
      </c>
      <c r="M404">
        <f>_xlfn.XLOOKUP(TableauRecette[[#This Row],[ID]],TableauProduit[ID],TableauProduit[Total (kg) N2],0,0,1)*TableauRecette[[#This Row],[fraction mélange]]</f>
        <v/>
      </c>
      <c r="N404">
        <f>_xlfn.XLOOKUP(TableauRecette[[#This Row],[ID]],TableauProduit[ID],TableauProduit[Total (kg) N3],0,0,1)*TableauRecette[[#This Row],[fraction mélange]]</f>
        <v/>
      </c>
      <c r="O404">
        <f>_xlfn.XLOOKUP(TableauRecette[[#This Row],[ID]],TableauProduit[ID],TableauProduit[Total (kg) N4],0,0,1)*TableauRecette[[#This Row],[fraction mélange]]</f>
        <v/>
      </c>
      <c r="P404">
        <f>_xlfn.XLOOKUP(TableauRecette[[#This Row],[ID]],TableauProduit[ID],TableauProduit[Total (kg) N5],0,0,1)*TableauRecette[[#This Row],[fraction mélange]]</f>
        <v/>
      </c>
      <c r="Q404">
        <f>_xlfn.XLOOKUP(TableauRecette[[#This Row],[ID]],TableauProduit[ID],TableauProduit[Total (kg) N6],0,0,1)*TableauRecette[[#This Row],[fraction mélange]]</f>
        <v/>
      </c>
      <c r="R404">
        <f>_xlfn.XLOOKUP(TableauRecette[[#This Row],[ID]],TableauProduit[ID],TableauProduit[Total (kg) N7],0,0,1)*TableauRecette[[#This Row],[fraction mélange]]</f>
        <v/>
      </c>
      <c r="S404">
        <f>_xlfn.XLOOKUP(TableauRecette[[#This Row],[ID]],TableauProduit[ID],TableauProduit[Total (kg) N8],0,0,1)*TableauRecette[[#This Row],[fraction mélange]]</f>
        <v/>
      </c>
      <c r="T404">
        <f>_xlfn.XLOOKUP(TableauRecette[[#This Row],[ID]],TableauProduit[ID],TableauProduit[Total (kg) N9],0,0,1)*TableauRecette[[#This Row],[fraction mélange]]</f>
        <v/>
      </c>
    </row>
    <row r="405">
      <c r="A405" t="inlineStr">
        <is>
          <t>Taklia</t>
        </is>
      </c>
      <c r="B405">
        <f>TableauRecette[[#This Row],[Recette]]&amp;TableauRecette[[#This Row],[Conditionnement]]</f>
        <v/>
      </c>
      <c r="C405" t="inlineStr">
        <is>
          <t>Piment De Cayenne Rouge SEC</t>
        </is>
      </c>
      <c r="D405" t="n">
        <v>1</v>
      </c>
      <c r="E405" t="inlineStr">
        <is>
          <t>Epice 100ml</t>
        </is>
      </c>
      <c r="F40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5">
        <f>IFERROR(_xlfn.XLOOKUP(TableauRecette[[#This Row],[Ingredients]],TableauIngredients[Ingredients],TableauIngredients[Prix d''achat / kg],0)*TableauRecette[[#This Row],[fraction mélange]],0)</f>
        <v/>
      </c>
      <c r="H405">
        <f>IFERROR(SUMIFS(TableauRecette[Proportion],TableauRecette[Recette],TableauRecette[[#This Row],[Recette]],TableauRecette[Conditionnement],TableauRecette[[#This Row],[Conditionnement]]),0)</f>
        <v/>
      </c>
      <c r="I405">
        <f>IFERROR(TableauRecette[[#This Row],[Prix d''achat / kg]],0)</f>
        <v/>
      </c>
      <c r="K405" t="inlineStr">
        <is>
          <t>SEC</t>
        </is>
      </c>
      <c r="L405">
        <f>_xlfn.XLOOKUP(TableauRecette[[#This Row],[ID]],TableauProduit[ID],TableauProduit[Total (kg) N1],0,0,1)*TableauRecette[[#This Row],[fraction mélange]]</f>
        <v/>
      </c>
      <c r="M405">
        <f>_xlfn.XLOOKUP(TableauRecette[[#This Row],[ID]],TableauProduit[ID],TableauProduit[Total (kg) N2],0,0,1)*TableauRecette[[#This Row],[fraction mélange]]</f>
        <v/>
      </c>
      <c r="N405">
        <f>_xlfn.XLOOKUP(TableauRecette[[#This Row],[ID]],TableauProduit[ID],TableauProduit[Total (kg) N3],0,0,1)*TableauRecette[[#This Row],[fraction mélange]]</f>
        <v/>
      </c>
      <c r="O405">
        <f>_xlfn.XLOOKUP(TableauRecette[[#This Row],[ID]],TableauProduit[ID],TableauProduit[Total (kg) N4],0,0,1)*TableauRecette[[#This Row],[fraction mélange]]</f>
        <v/>
      </c>
      <c r="P405">
        <f>_xlfn.XLOOKUP(TableauRecette[[#This Row],[ID]],TableauProduit[ID],TableauProduit[Total (kg) N5],0,0,1)*TableauRecette[[#This Row],[fraction mélange]]</f>
        <v/>
      </c>
      <c r="Q405">
        <f>_xlfn.XLOOKUP(TableauRecette[[#This Row],[ID]],TableauProduit[ID],TableauProduit[Total (kg) N6],0,0,1)*TableauRecette[[#This Row],[fraction mélange]]</f>
        <v/>
      </c>
      <c r="R405">
        <f>_xlfn.XLOOKUP(TableauRecette[[#This Row],[ID]],TableauProduit[ID],TableauProduit[Total (kg) N7],0,0,1)*TableauRecette[[#This Row],[fraction mélange]]</f>
        <v/>
      </c>
      <c r="S405">
        <f>_xlfn.XLOOKUP(TableauRecette[[#This Row],[ID]],TableauProduit[ID],TableauProduit[Total (kg) N8],0,0,1)*TableauRecette[[#This Row],[fraction mélange]]</f>
        <v/>
      </c>
      <c r="T405">
        <f>_xlfn.XLOOKUP(TableauRecette[[#This Row],[ID]],TableauProduit[ID],TableauProduit[Total (kg) N9],0,0,1)*TableauRecette[[#This Row],[fraction mélange]]</f>
        <v/>
      </c>
    </row>
    <row r="406">
      <c r="A406" t="inlineStr">
        <is>
          <t>Taklia</t>
        </is>
      </c>
      <c r="B406">
        <f>TableauRecette[[#This Row],[Recette]]&amp;TableauRecette[[#This Row],[Conditionnement]]</f>
        <v/>
      </c>
      <c r="C406" t="inlineStr">
        <is>
          <t>Sel</t>
        </is>
      </c>
      <c r="D406" t="n">
        <v>3.75</v>
      </c>
      <c r="E406" t="inlineStr">
        <is>
          <t>Epice 100ml</t>
        </is>
      </c>
      <c r="F40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6">
        <f>IFERROR(_xlfn.XLOOKUP(TableauRecette[[#This Row],[Ingredients]],TableauIngredients[Ingredients],TableauIngredients[Prix d''achat / kg],0)*TableauRecette[[#This Row],[fraction mélange]],0)</f>
        <v/>
      </c>
      <c r="H406">
        <f>IFERROR(SUMIFS(TableauRecette[Proportion],TableauRecette[Recette],TableauRecette[[#This Row],[Recette]],TableauRecette[Conditionnement],TableauRecette[[#This Row],[Conditionnement]]),0)</f>
        <v/>
      </c>
      <c r="I406">
        <f>IFERROR(TableauRecette[[#This Row],[Prix d''achat / kg]],0)</f>
        <v/>
      </c>
      <c r="L406">
        <f>_xlfn.XLOOKUP(TableauRecette[[#This Row],[ID]],TableauProduit[ID],TableauProduit[Total (kg) N1],0,0,1)*TableauRecette[[#This Row],[fraction mélange]]</f>
        <v/>
      </c>
      <c r="M406">
        <f>_xlfn.XLOOKUP(TableauRecette[[#This Row],[ID]],TableauProduit[ID],TableauProduit[Total (kg) N2],0,0,1)*TableauRecette[[#This Row],[fraction mélange]]</f>
        <v/>
      </c>
      <c r="N406">
        <f>_xlfn.XLOOKUP(TableauRecette[[#This Row],[ID]],TableauProduit[ID],TableauProduit[Total (kg) N3],0,0,1)*TableauRecette[[#This Row],[fraction mélange]]</f>
        <v/>
      </c>
      <c r="O406">
        <f>_xlfn.XLOOKUP(TableauRecette[[#This Row],[ID]],TableauProduit[ID],TableauProduit[Total (kg) N4],0,0,1)*TableauRecette[[#This Row],[fraction mélange]]</f>
        <v/>
      </c>
      <c r="P406">
        <f>_xlfn.XLOOKUP(TableauRecette[[#This Row],[ID]],TableauProduit[ID],TableauProduit[Total (kg) N5],0,0,1)*TableauRecette[[#This Row],[fraction mélange]]</f>
        <v/>
      </c>
      <c r="Q406">
        <f>_xlfn.XLOOKUP(TableauRecette[[#This Row],[ID]],TableauProduit[ID],TableauProduit[Total (kg) N6],0,0,1)*TableauRecette[[#This Row],[fraction mélange]]</f>
        <v/>
      </c>
      <c r="R406">
        <f>_xlfn.XLOOKUP(TableauRecette[[#This Row],[ID]],TableauProduit[ID],TableauProduit[Total (kg) N7],0,0,1)*TableauRecette[[#This Row],[fraction mélange]]</f>
        <v/>
      </c>
      <c r="S406">
        <f>_xlfn.XLOOKUP(TableauRecette[[#This Row],[ID]],TableauProduit[ID],TableauProduit[Total (kg) N8],0,0,1)*TableauRecette[[#This Row],[fraction mélange]]</f>
        <v/>
      </c>
      <c r="T406">
        <f>_xlfn.XLOOKUP(TableauRecette[[#This Row],[ID]],TableauProduit[ID],TableauProduit[Total (kg) N9],0,0,1)*TableauRecette[[#This Row],[fraction mélange]]</f>
        <v/>
      </c>
    </row>
    <row r="407">
      <c r="A407" t="inlineStr">
        <is>
          <t>Timur ko chhop</t>
        </is>
      </c>
      <c r="B407">
        <f>TableauRecette[[#This Row],[Recette]]&amp;TableauRecette[[#This Row],[Conditionnement]]</f>
        <v/>
      </c>
      <c r="C407" t="inlineStr">
        <is>
          <t>Poivre De Timut</t>
        </is>
      </c>
      <c r="D407" t="n">
        <v>1</v>
      </c>
      <c r="E407" t="inlineStr">
        <is>
          <t>Epice 100ml</t>
        </is>
      </c>
      <c r="F40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7">
        <f>IFERROR(_xlfn.XLOOKUP(TableauRecette[[#This Row],[Ingredients]],TableauIngredients[Ingredients],TableauIngredients[Prix d''achat / kg],0)*TableauRecette[[#This Row],[fraction mélange]],0)</f>
        <v/>
      </c>
      <c r="H407">
        <f>IFERROR(SUMIFS(TableauRecette[Proportion],TableauRecette[Recette],TableauRecette[[#This Row],[Recette]],TableauRecette[Conditionnement],TableauRecette[[#This Row],[Conditionnement]]),0)</f>
        <v/>
      </c>
      <c r="I407">
        <f>IFERROR(TableauRecette[[#This Row],[Prix d''achat / kg]],0)</f>
        <v/>
      </c>
      <c r="L407">
        <f>_xlfn.XLOOKUP(TableauRecette[[#This Row],[ID]],TableauProduit[ID],TableauProduit[Total (kg) N1],0,0,1)*TableauRecette[[#This Row],[fraction mélange]]</f>
        <v/>
      </c>
      <c r="M407">
        <f>_xlfn.XLOOKUP(TableauRecette[[#This Row],[ID]],TableauProduit[ID],TableauProduit[Total (kg) N2],0,0,1)*TableauRecette[[#This Row],[fraction mélange]]</f>
        <v/>
      </c>
      <c r="N407">
        <f>_xlfn.XLOOKUP(TableauRecette[[#This Row],[ID]],TableauProduit[ID],TableauProduit[Total (kg) N3],0,0,1)*TableauRecette[[#This Row],[fraction mélange]]</f>
        <v/>
      </c>
      <c r="O407">
        <f>_xlfn.XLOOKUP(TableauRecette[[#This Row],[ID]],TableauProduit[ID],TableauProduit[Total (kg) N4],0,0,1)*TableauRecette[[#This Row],[fraction mélange]]</f>
        <v/>
      </c>
      <c r="P407">
        <f>_xlfn.XLOOKUP(TableauRecette[[#This Row],[ID]],TableauProduit[ID],TableauProduit[Total (kg) N5],0,0,1)*TableauRecette[[#This Row],[fraction mélange]]</f>
        <v/>
      </c>
      <c r="Q407">
        <f>_xlfn.XLOOKUP(TableauRecette[[#This Row],[ID]],TableauProduit[ID],TableauProduit[Total (kg) N6],0,0,1)*TableauRecette[[#This Row],[fraction mélange]]</f>
        <v/>
      </c>
      <c r="R407">
        <f>_xlfn.XLOOKUP(TableauRecette[[#This Row],[ID]],TableauProduit[ID],TableauProduit[Total (kg) N7],0,0,1)*TableauRecette[[#This Row],[fraction mélange]]</f>
        <v/>
      </c>
      <c r="S407">
        <f>_xlfn.XLOOKUP(TableauRecette[[#This Row],[ID]],TableauProduit[ID],TableauProduit[Total (kg) N8],0,0,1)*TableauRecette[[#This Row],[fraction mélange]]</f>
        <v/>
      </c>
      <c r="T407">
        <f>_xlfn.XLOOKUP(TableauRecette[[#This Row],[ID]],TableauProduit[ID],TableauProduit[Total (kg) N9],0,0,1)*TableauRecette[[#This Row],[fraction mélange]]</f>
        <v/>
      </c>
    </row>
    <row r="408">
      <c r="A408" t="inlineStr">
        <is>
          <t>Timur ko chhop</t>
        </is>
      </c>
      <c r="B408">
        <f>TableauRecette[[#This Row],[Recette]]&amp;TableauRecette[[#This Row],[Conditionnement]]</f>
        <v/>
      </c>
      <c r="C408" t="inlineStr">
        <is>
          <t>Poivre De Sichuan</t>
        </is>
      </c>
      <c r="D408" t="n">
        <v>1</v>
      </c>
      <c r="E408" t="inlineStr">
        <is>
          <t>Epice 100ml</t>
        </is>
      </c>
      <c r="F40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8">
        <f>IFERROR(_xlfn.XLOOKUP(TableauRecette[[#This Row],[Ingredients]],TableauIngredients[Ingredients],TableauIngredients[Prix d''achat / kg],0)*TableauRecette[[#This Row],[fraction mélange]],0)</f>
        <v/>
      </c>
      <c r="H408">
        <f>IFERROR(SUMIFS(TableauRecette[Proportion],TableauRecette[Recette],TableauRecette[[#This Row],[Recette]],TableauRecette[Conditionnement],TableauRecette[[#This Row],[Conditionnement]]),0)</f>
        <v/>
      </c>
      <c r="I408">
        <f>IFERROR(TableauRecette[[#This Row],[Prix d''achat / kg]],0)</f>
        <v/>
      </c>
      <c r="L408">
        <f>_xlfn.XLOOKUP(TableauRecette[[#This Row],[ID]],TableauProduit[ID],TableauProduit[Total (kg) N1],0,0,1)*TableauRecette[[#This Row],[fraction mélange]]</f>
        <v/>
      </c>
      <c r="M408">
        <f>_xlfn.XLOOKUP(TableauRecette[[#This Row],[ID]],TableauProduit[ID],TableauProduit[Total (kg) N2],0,0,1)*TableauRecette[[#This Row],[fraction mélange]]</f>
        <v/>
      </c>
      <c r="N408">
        <f>_xlfn.XLOOKUP(TableauRecette[[#This Row],[ID]],TableauProduit[ID],TableauProduit[Total (kg) N3],0,0,1)*TableauRecette[[#This Row],[fraction mélange]]</f>
        <v/>
      </c>
      <c r="O408">
        <f>_xlfn.XLOOKUP(TableauRecette[[#This Row],[ID]],TableauProduit[ID],TableauProduit[Total (kg) N4],0,0,1)*TableauRecette[[#This Row],[fraction mélange]]</f>
        <v/>
      </c>
      <c r="P408">
        <f>_xlfn.XLOOKUP(TableauRecette[[#This Row],[ID]],TableauProduit[ID],TableauProduit[Total (kg) N5],0,0,1)*TableauRecette[[#This Row],[fraction mélange]]</f>
        <v/>
      </c>
      <c r="Q408">
        <f>_xlfn.XLOOKUP(TableauRecette[[#This Row],[ID]],TableauProduit[ID],TableauProduit[Total (kg) N6],0,0,1)*TableauRecette[[#This Row],[fraction mélange]]</f>
        <v/>
      </c>
      <c r="R408">
        <f>_xlfn.XLOOKUP(TableauRecette[[#This Row],[ID]],TableauProduit[ID],TableauProduit[Total (kg) N7],0,0,1)*TableauRecette[[#This Row],[fraction mélange]]</f>
        <v/>
      </c>
      <c r="S408">
        <f>_xlfn.XLOOKUP(TableauRecette[[#This Row],[ID]],TableauProduit[ID],TableauProduit[Total (kg) N8],0,0,1)*TableauRecette[[#This Row],[fraction mélange]]</f>
        <v/>
      </c>
      <c r="T408">
        <f>_xlfn.XLOOKUP(TableauRecette[[#This Row],[ID]],TableauProduit[ID],TableauProduit[Total (kg) N9],0,0,1)*TableauRecette[[#This Row],[fraction mélange]]</f>
        <v/>
      </c>
    </row>
    <row r="409">
      <c r="A409" t="inlineStr">
        <is>
          <t>Timur ko chhop</t>
        </is>
      </c>
      <c r="B409">
        <f>TableauRecette[[#This Row],[Recette]]&amp;TableauRecette[[#This Row],[Conditionnement]]</f>
        <v/>
      </c>
      <c r="C409" t="inlineStr">
        <is>
          <t>Piments Rouge Séchés</t>
        </is>
      </c>
      <c r="D409" t="n">
        <v>4</v>
      </c>
      <c r="E409" t="inlineStr">
        <is>
          <t>Epice 100ml</t>
        </is>
      </c>
      <c r="F4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9">
        <f>IFERROR(_xlfn.XLOOKUP(TableauRecette[[#This Row],[Ingredients]],TableauIngredients[Ingredients],TableauIngredients[Prix d''achat / kg],0)*TableauRecette[[#This Row],[fraction mélange]],0)</f>
        <v/>
      </c>
      <c r="H409">
        <f>IFERROR(SUMIFS(TableauRecette[Proportion],TableauRecette[Recette],TableauRecette[[#This Row],[Recette]],TableauRecette[Conditionnement],TableauRecette[[#This Row],[Conditionnement]]),0)</f>
        <v/>
      </c>
      <c r="I409">
        <f>IFERROR(TableauRecette[[#This Row],[Prix d''achat / kg]],0)</f>
        <v/>
      </c>
      <c r="L409">
        <f>_xlfn.XLOOKUP(TableauRecette[[#This Row],[ID]],TableauProduit[ID],TableauProduit[Total (kg) N1],0,0,1)*TableauRecette[[#This Row],[fraction mélange]]</f>
        <v/>
      </c>
      <c r="M409">
        <f>_xlfn.XLOOKUP(TableauRecette[[#This Row],[ID]],TableauProduit[ID],TableauProduit[Total (kg) N2],0,0,1)*TableauRecette[[#This Row],[fraction mélange]]</f>
        <v/>
      </c>
      <c r="N409">
        <f>_xlfn.XLOOKUP(TableauRecette[[#This Row],[ID]],TableauProduit[ID],TableauProduit[Total (kg) N3],0,0,1)*TableauRecette[[#This Row],[fraction mélange]]</f>
        <v/>
      </c>
      <c r="O409">
        <f>_xlfn.XLOOKUP(TableauRecette[[#This Row],[ID]],TableauProduit[ID],TableauProduit[Total (kg) N4],0,0,1)*TableauRecette[[#This Row],[fraction mélange]]</f>
        <v/>
      </c>
      <c r="P409">
        <f>_xlfn.XLOOKUP(TableauRecette[[#This Row],[ID]],TableauProduit[ID],TableauProduit[Total (kg) N5],0,0,1)*TableauRecette[[#This Row],[fraction mélange]]</f>
        <v/>
      </c>
      <c r="Q409">
        <f>_xlfn.XLOOKUP(TableauRecette[[#This Row],[ID]],TableauProduit[ID],TableauProduit[Total (kg) N6],0,0,1)*TableauRecette[[#This Row],[fraction mélange]]</f>
        <v/>
      </c>
      <c r="R409">
        <f>_xlfn.XLOOKUP(TableauRecette[[#This Row],[ID]],TableauProduit[ID],TableauProduit[Total (kg) N7],0,0,1)*TableauRecette[[#This Row],[fraction mélange]]</f>
        <v/>
      </c>
      <c r="S409">
        <f>_xlfn.XLOOKUP(TableauRecette[[#This Row],[ID]],TableauProduit[ID],TableauProduit[Total (kg) N8],0,0,1)*TableauRecette[[#This Row],[fraction mélange]]</f>
        <v/>
      </c>
      <c r="T409">
        <f>_xlfn.XLOOKUP(TableauRecette[[#This Row],[ID]],TableauProduit[ID],TableauProduit[Total (kg) N9],0,0,1)*TableauRecette[[#This Row],[fraction mélange]]</f>
        <v/>
      </c>
    </row>
    <row r="410">
      <c r="A410" t="inlineStr">
        <is>
          <t>Timur ko chhop</t>
        </is>
      </c>
      <c r="B410">
        <f>TableauRecette[[#This Row],[Recette]]&amp;TableauRecette[[#This Row],[Conditionnement]]</f>
        <v/>
      </c>
      <c r="C410" t="inlineStr">
        <is>
          <t>Sel</t>
        </is>
      </c>
      <c r="D410" t="n">
        <v>2</v>
      </c>
      <c r="E410" t="inlineStr">
        <is>
          <t>Epice 100ml</t>
        </is>
      </c>
      <c r="F41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0">
        <f>IFERROR(_xlfn.XLOOKUP(TableauRecette[[#This Row],[Ingredients]],TableauIngredients[Ingredients],TableauIngredients[Prix d''achat / kg],0)*TableauRecette[[#This Row],[fraction mélange]],0)</f>
        <v/>
      </c>
      <c r="H410">
        <f>IFERROR(SUMIFS(TableauRecette[Proportion],TableauRecette[Recette],TableauRecette[[#This Row],[Recette]],TableauRecette[Conditionnement],TableauRecette[[#This Row],[Conditionnement]]),0)</f>
        <v/>
      </c>
      <c r="I410">
        <f>IFERROR(TableauRecette[[#This Row],[Prix d''achat / kg]],0)</f>
        <v/>
      </c>
      <c r="L410">
        <f>_xlfn.XLOOKUP(TableauRecette[[#This Row],[ID]],TableauProduit[ID],TableauProduit[Total (kg) N1],0,0,1)*TableauRecette[[#This Row],[fraction mélange]]</f>
        <v/>
      </c>
      <c r="M410">
        <f>_xlfn.XLOOKUP(TableauRecette[[#This Row],[ID]],TableauProduit[ID],TableauProduit[Total (kg) N2],0,0,1)*TableauRecette[[#This Row],[fraction mélange]]</f>
        <v/>
      </c>
      <c r="N410">
        <f>_xlfn.XLOOKUP(TableauRecette[[#This Row],[ID]],TableauProduit[ID],TableauProduit[Total (kg) N3],0,0,1)*TableauRecette[[#This Row],[fraction mélange]]</f>
        <v/>
      </c>
      <c r="O410">
        <f>_xlfn.XLOOKUP(TableauRecette[[#This Row],[ID]],TableauProduit[ID],TableauProduit[Total (kg) N4],0,0,1)*TableauRecette[[#This Row],[fraction mélange]]</f>
        <v/>
      </c>
      <c r="P410">
        <f>_xlfn.XLOOKUP(TableauRecette[[#This Row],[ID]],TableauProduit[ID],TableauProduit[Total (kg) N5],0,0,1)*TableauRecette[[#This Row],[fraction mélange]]</f>
        <v/>
      </c>
      <c r="Q410">
        <f>_xlfn.XLOOKUP(TableauRecette[[#This Row],[ID]],TableauProduit[ID],TableauProduit[Total (kg) N6],0,0,1)*TableauRecette[[#This Row],[fraction mélange]]</f>
        <v/>
      </c>
      <c r="R410">
        <f>_xlfn.XLOOKUP(TableauRecette[[#This Row],[ID]],TableauProduit[ID],TableauProduit[Total (kg) N7],0,0,1)*TableauRecette[[#This Row],[fraction mélange]]</f>
        <v/>
      </c>
      <c r="S410">
        <f>_xlfn.XLOOKUP(TableauRecette[[#This Row],[ID]],TableauProduit[ID],TableauProduit[Total (kg) N8],0,0,1)*TableauRecette[[#This Row],[fraction mélange]]</f>
        <v/>
      </c>
      <c r="T410">
        <f>_xlfn.XLOOKUP(TableauRecette[[#This Row],[ID]],TableauProduit[ID],TableauProduit[Total (kg) N9],0,0,1)*TableauRecette[[#This Row],[fraction mélange]]</f>
        <v/>
      </c>
    </row>
    <row r="411">
      <c r="A411" t="inlineStr">
        <is>
          <t>Vinaigre du soleil</t>
        </is>
      </c>
      <c r="B411">
        <f>TableauRecette[[#This Row],[Recette]]&amp;TableauRecette[[#This Row],[Conditionnement]]</f>
        <v/>
      </c>
      <c r="C411" t="inlineStr">
        <is>
          <t>Vinaigre De Cidre</t>
        </is>
      </c>
      <c r="D411" t="n">
        <v>97</v>
      </c>
      <c r="E411" t="inlineStr">
        <is>
          <t>Vinaigre 250 ml</t>
        </is>
      </c>
      <c r="F4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1">
        <f>IFERROR(_xlfn.XLOOKUP(TableauRecette[[#This Row],[Ingredients]],TableauIngredients[Ingredients],TableauIngredients[Prix d''achat / kg],0)*TableauRecette[[#This Row],[fraction mélange]],0)</f>
        <v/>
      </c>
      <c r="H411">
        <f>IFERROR(SUMIFS(TableauRecette[Proportion],TableauRecette[Recette],TableauRecette[[#This Row],[Recette]],TableauRecette[Conditionnement],TableauRecette[[#This Row],[Conditionnement]]),0)</f>
        <v/>
      </c>
      <c r="I411">
        <f>IFERROR(TableauRecette[[#This Row],[Prix d''achat / kg]],0)</f>
        <v/>
      </c>
      <c r="L411">
        <f>_xlfn.XLOOKUP(TableauRecette[[#This Row],[ID]],TableauProduit[ID],TableauProduit[Total (kg) N1],0,0,1)*TableauRecette[[#This Row],[fraction mélange]]</f>
        <v/>
      </c>
      <c r="M411">
        <f>_xlfn.XLOOKUP(TableauRecette[[#This Row],[ID]],TableauProduit[ID],TableauProduit[Total (kg) N2],0,0,1)*TableauRecette[[#This Row],[fraction mélange]]</f>
        <v/>
      </c>
      <c r="N411">
        <f>_xlfn.XLOOKUP(TableauRecette[[#This Row],[ID]],TableauProduit[ID],TableauProduit[Total (kg) N3],0,0,1)*TableauRecette[[#This Row],[fraction mélange]]</f>
        <v/>
      </c>
      <c r="O411">
        <f>_xlfn.XLOOKUP(TableauRecette[[#This Row],[ID]],TableauProduit[ID],TableauProduit[Total (kg) N4],0,0,1)*TableauRecette[[#This Row],[fraction mélange]]</f>
        <v/>
      </c>
      <c r="P411">
        <f>_xlfn.XLOOKUP(TableauRecette[[#This Row],[ID]],TableauProduit[ID],TableauProduit[Total (kg) N5],0,0,1)*TableauRecette[[#This Row],[fraction mélange]]</f>
        <v/>
      </c>
      <c r="Q411">
        <f>_xlfn.XLOOKUP(TableauRecette[[#This Row],[ID]],TableauProduit[ID],TableauProduit[Total (kg) N6],0,0,1)*TableauRecette[[#This Row],[fraction mélange]]</f>
        <v/>
      </c>
      <c r="R411">
        <f>_xlfn.XLOOKUP(TableauRecette[[#This Row],[ID]],TableauProduit[ID],TableauProduit[Total (kg) N7],0,0,1)*TableauRecette[[#This Row],[fraction mélange]]</f>
        <v/>
      </c>
      <c r="S411">
        <f>_xlfn.XLOOKUP(TableauRecette[[#This Row],[ID]],TableauProduit[ID],TableauProduit[Total (kg) N8],0,0,1)*TableauRecette[[#This Row],[fraction mélange]]</f>
        <v/>
      </c>
      <c r="T411">
        <f>_xlfn.XLOOKUP(TableauRecette[[#This Row],[ID]],TableauProduit[ID],TableauProduit[Total (kg) N9],0,0,1)*TableauRecette[[#This Row],[fraction mélange]]</f>
        <v/>
      </c>
    </row>
    <row r="412">
      <c r="A412" t="inlineStr">
        <is>
          <t>Vinaigre du soleil</t>
        </is>
      </c>
      <c r="B412">
        <f>TableauRecette[[#This Row],[Recette]]&amp;TableauRecette[[#This Row],[Conditionnement]]</f>
        <v/>
      </c>
      <c r="C412" t="inlineStr">
        <is>
          <t>Fleur Helichrysum SEC</t>
        </is>
      </c>
      <c r="D412" t="n">
        <v>2</v>
      </c>
      <c r="E412" t="inlineStr">
        <is>
          <t>Vinaigre 250 ml</t>
        </is>
      </c>
      <c r="F4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2">
        <f>IFERROR(_xlfn.XLOOKUP(TableauRecette[[#This Row],[Ingredients]],TableauIngredients[Ingredients],TableauIngredients[Prix d''achat / kg],0)*TableauRecette[[#This Row],[fraction mélange]],0)</f>
        <v/>
      </c>
      <c r="H412">
        <f>IFERROR(SUMIFS(TableauRecette[Proportion],TableauRecette[Recette],TableauRecette[[#This Row],[Recette]],TableauRecette[Conditionnement],TableauRecette[[#This Row],[Conditionnement]]),0)</f>
        <v/>
      </c>
      <c r="I412">
        <f>IFERROR(TableauRecette[[#This Row],[Prix d''achat / kg]],0)</f>
        <v/>
      </c>
      <c r="K412" t="inlineStr">
        <is>
          <t>SEC</t>
        </is>
      </c>
      <c r="L412">
        <f>_xlfn.XLOOKUP(TableauRecette[[#This Row],[ID]],TableauProduit[ID],TableauProduit[Total (kg) N1],0,0,1)*TableauRecette[[#This Row],[fraction mélange]]</f>
        <v/>
      </c>
      <c r="M412">
        <f>_xlfn.XLOOKUP(TableauRecette[[#This Row],[ID]],TableauProduit[ID],TableauProduit[Total (kg) N2],0,0,1)*TableauRecette[[#This Row],[fraction mélange]]</f>
        <v/>
      </c>
      <c r="N412">
        <f>_xlfn.XLOOKUP(TableauRecette[[#This Row],[ID]],TableauProduit[ID],TableauProduit[Total (kg) N3],0,0,1)*TableauRecette[[#This Row],[fraction mélange]]</f>
        <v/>
      </c>
      <c r="O412">
        <f>_xlfn.XLOOKUP(TableauRecette[[#This Row],[ID]],TableauProduit[ID],TableauProduit[Total (kg) N4],0,0,1)*TableauRecette[[#This Row],[fraction mélange]]</f>
        <v/>
      </c>
      <c r="P412">
        <f>_xlfn.XLOOKUP(TableauRecette[[#This Row],[ID]],TableauProduit[ID],TableauProduit[Total (kg) N5],0,0,1)*TableauRecette[[#This Row],[fraction mélange]]</f>
        <v/>
      </c>
      <c r="Q412">
        <f>_xlfn.XLOOKUP(TableauRecette[[#This Row],[ID]],TableauProduit[ID],TableauProduit[Total (kg) N6],0,0,1)*TableauRecette[[#This Row],[fraction mélange]]</f>
        <v/>
      </c>
      <c r="R412">
        <f>_xlfn.XLOOKUP(TableauRecette[[#This Row],[ID]],TableauProduit[ID],TableauProduit[Total (kg) N7],0,0,1)*TableauRecette[[#This Row],[fraction mélange]]</f>
        <v/>
      </c>
      <c r="S412">
        <f>_xlfn.XLOOKUP(TableauRecette[[#This Row],[ID]],TableauProduit[ID],TableauProduit[Total (kg) N8],0,0,1)*TableauRecette[[#This Row],[fraction mélange]]</f>
        <v/>
      </c>
      <c r="T412">
        <f>_xlfn.XLOOKUP(TableauRecette[[#This Row],[ID]],TableauProduit[ID],TableauProduit[Total (kg) N9],0,0,1)*TableauRecette[[#This Row],[fraction mélange]]</f>
        <v/>
      </c>
    </row>
    <row r="413">
      <c r="A413" t="inlineStr">
        <is>
          <t>Vinaigre du soleil</t>
        </is>
      </c>
      <c r="B413">
        <f>TableauRecette[[#This Row],[Recette]]&amp;TableauRecette[[#This Row],[Conditionnement]]</f>
        <v/>
      </c>
      <c r="C413" t="inlineStr">
        <is>
          <t>Origan</t>
        </is>
      </c>
      <c r="D413" t="n">
        <v>1</v>
      </c>
      <c r="E413" t="inlineStr">
        <is>
          <t>Vinaigre 250 ml</t>
        </is>
      </c>
      <c r="F41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3">
        <f>IFERROR(_xlfn.XLOOKUP(TableauRecette[[#This Row],[Ingredients]],TableauIngredients[Ingredients],TableauIngredients[Prix d''achat / kg],0)*TableauRecette[[#This Row],[fraction mélange]],0)</f>
        <v/>
      </c>
      <c r="H413">
        <f>IFERROR(SUMIFS(TableauRecette[Proportion],TableauRecette[Recette],TableauRecette[[#This Row],[Recette]],TableauRecette[Conditionnement],TableauRecette[[#This Row],[Conditionnement]]),0)</f>
        <v/>
      </c>
      <c r="I413">
        <f>IFERROR(TableauRecette[[#This Row],[Prix d''achat / kg]],0)</f>
        <v/>
      </c>
      <c r="L413">
        <f>_xlfn.XLOOKUP(TableauRecette[[#This Row],[ID]],TableauProduit[ID],TableauProduit[Total (kg) N1],0,0,1)*TableauRecette[[#This Row],[fraction mélange]]</f>
        <v/>
      </c>
      <c r="M413">
        <f>_xlfn.XLOOKUP(TableauRecette[[#This Row],[ID]],TableauProduit[ID],TableauProduit[Total (kg) N2],0,0,1)*TableauRecette[[#This Row],[fraction mélange]]</f>
        <v/>
      </c>
      <c r="N413">
        <f>_xlfn.XLOOKUP(TableauRecette[[#This Row],[ID]],TableauProduit[ID],TableauProduit[Total (kg) N3],0,0,1)*TableauRecette[[#This Row],[fraction mélange]]</f>
        <v/>
      </c>
      <c r="O413">
        <f>_xlfn.XLOOKUP(TableauRecette[[#This Row],[ID]],TableauProduit[ID],TableauProduit[Total (kg) N4],0,0,1)*TableauRecette[[#This Row],[fraction mélange]]</f>
        <v/>
      </c>
      <c r="P413">
        <f>_xlfn.XLOOKUP(TableauRecette[[#This Row],[ID]],TableauProduit[ID],TableauProduit[Total (kg) N5],0,0,1)*TableauRecette[[#This Row],[fraction mélange]]</f>
        <v/>
      </c>
      <c r="Q413">
        <f>_xlfn.XLOOKUP(TableauRecette[[#This Row],[ID]],TableauProduit[ID],TableauProduit[Total (kg) N6],0,0,1)*TableauRecette[[#This Row],[fraction mélange]]</f>
        <v/>
      </c>
      <c r="R413">
        <f>_xlfn.XLOOKUP(TableauRecette[[#This Row],[ID]],TableauProduit[ID],TableauProduit[Total (kg) N7],0,0,1)*TableauRecette[[#This Row],[fraction mélange]]</f>
        <v/>
      </c>
      <c r="S413">
        <f>_xlfn.XLOOKUP(TableauRecette[[#This Row],[ID]],TableauProduit[ID],TableauProduit[Total (kg) N8],0,0,1)*TableauRecette[[#This Row],[fraction mélange]]</f>
        <v/>
      </c>
      <c r="T413">
        <f>_xlfn.XLOOKUP(TableauRecette[[#This Row],[ID]],TableauProduit[ID],TableauProduit[Total (kg) N9],0,0,1)*TableauRecette[[#This Row],[fraction mélange]]</f>
        <v/>
      </c>
    </row>
    <row r="414">
      <c r="A414" t="inlineStr">
        <is>
          <t>Vinaigre du sureau</t>
        </is>
      </c>
      <c r="B414">
        <f>TableauRecette[[#This Row],[Recette]]&amp;TableauRecette[[#This Row],[Conditionnement]]</f>
        <v/>
      </c>
      <c r="C414" t="inlineStr">
        <is>
          <t>Vinaigre De Cidre</t>
        </is>
      </c>
      <c r="D414" t="n">
        <v>92</v>
      </c>
      <c r="E414" t="inlineStr">
        <is>
          <t>Vinaigre 250 ml</t>
        </is>
      </c>
      <c r="F41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4">
        <f>IFERROR(_xlfn.XLOOKUP(TableauRecette[[#This Row],[Ingredients]],TableauIngredients[Ingredients],TableauIngredients[Prix d''achat / kg],0)*TableauRecette[[#This Row],[fraction mélange]],0)</f>
        <v/>
      </c>
      <c r="H414">
        <f>IFERROR(SUMIFS(TableauRecette[Proportion],TableauRecette[Recette],TableauRecette[[#This Row],[Recette]],TableauRecette[Conditionnement],TableauRecette[[#This Row],[Conditionnement]]),0)</f>
        <v/>
      </c>
      <c r="I414">
        <f>IFERROR(TableauRecette[[#This Row],[Prix d''achat / kg]],0)</f>
        <v/>
      </c>
      <c r="L414">
        <f>_xlfn.XLOOKUP(TableauRecette[[#This Row],[ID]],TableauProduit[ID],TableauProduit[Total (kg) N1],0,0,1)*TableauRecette[[#This Row],[fraction mélange]]</f>
        <v/>
      </c>
      <c r="M414">
        <f>_xlfn.XLOOKUP(TableauRecette[[#This Row],[ID]],TableauProduit[ID],TableauProduit[Total (kg) N2],0,0,1)*TableauRecette[[#This Row],[fraction mélange]]</f>
        <v/>
      </c>
      <c r="N414">
        <f>_xlfn.XLOOKUP(TableauRecette[[#This Row],[ID]],TableauProduit[ID],TableauProduit[Total (kg) N3],0,0,1)*TableauRecette[[#This Row],[fraction mélange]]</f>
        <v/>
      </c>
      <c r="O414">
        <f>_xlfn.XLOOKUP(TableauRecette[[#This Row],[ID]],TableauProduit[ID],TableauProduit[Total (kg) N4],0,0,1)*TableauRecette[[#This Row],[fraction mélange]]</f>
        <v/>
      </c>
      <c r="P414">
        <f>_xlfn.XLOOKUP(TableauRecette[[#This Row],[ID]],TableauProduit[ID],TableauProduit[Total (kg) N5],0,0,1)*TableauRecette[[#This Row],[fraction mélange]]</f>
        <v/>
      </c>
      <c r="Q414">
        <f>_xlfn.XLOOKUP(TableauRecette[[#This Row],[ID]],TableauProduit[ID],TableauProduit[Total (kg) N6],0,0,1)*TableauRecette[[#This Row],[fraction mélange]]</f>
        <v/>
      </c>
      <c r="R414">
        <f>_xlfn.XLOOKUP(TableauRecette[[#This Row],[ID]],TableauProduit[ID],TableauProduit[Total (kg) N7],0,0,1)*TableauRecette[[#This Row],[fraction mélange]]</f>
        <v/>
      </c>
      <c r="S414">
        <f>_xlfn.XLOOKUP(TableauRecette[[#This Row],[ID]],TableauProduit[ID],TableauProduit[Total (kg) N8],0,0,1)*TableauRecette[[#This Row],[fraction mélange]]</f>
        <v/>
      </c>
      <c r="T414">
        <f>_xlfn.XLOOKUP(TableauRecette[[#This Row],[ID]],TableauProduit[ID],TableauProduit[Total (kg) N9],0,0,1)*TableauRecette[[#This Row],[fraction mélange]]</f>
        <v/>
      </c>
    </row>
    <row r="415">
      <c r="A415" t="inlineStr">
        <is>
          <t>Vinaigre du sureau</t>
        </is>
      </c>
      <c r="B415">
        <f>TableauRecette[[#This Row],[Recette]]&amp;TableauRecette[[#This Row],[Conditionnement]]</f>
        <v/>
      </c>
      <c r="C415" t="inlineStr">
        <is>
          <t>Sureau SEC</t>
        </is>
      </c>
      <c r="D415" t="n">
        <v>3</v>
      </c>
      <c r="E415" t="inlineStr">
        <is>
          <t>Vinaigre 250 ml</t>
        </is>
      </c>
      <c r="F41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5">
        <f>IFERROR(_xlfn.XLOOKUP(TableauRecette[[#This Row],[Ingredients]],TableauIngredients[Ingredients],TableauIngredients[Prix d''achat / kg],0)*TableauRecette[[#This Row],[fraction mélange]],0)</f>
        <v/>
      </c>
      <c r="H415">
        <f>IFERROR(SUMIFS(TableauRecette[Proportion],TableauRecette[Recette],TableauRecette[[#This Row],[Recette]],TableauRecette[Conditionnement],TableauRecette[[#This Row],[Conditionnement]]),0)</f>
        <v/>
      </c>
      <c r="I415">
        <f>IFERROR(TableauRecette[[#This Row],[Prix d''achat / kg]],0)</f>
        <v/>
      </c>
      <c r="K415" t="inlineStr">
        <is>
          <t>SEC</t>
        </is>
      </c>
      <c r="L415">
        <f>_xlfn.XLOOKUP(TableauRecette[[#This Row],[ID]],TableauProduit[ID],TableauProduit[Total (kg) N1],0,0,1)*TableauRecette[[#This Row],[fraction mélange]]</f>
        <v/>
      </c>
      <c r="M415">
        <f>_xlfn.XLOOKUP(TableauRecette[[#This Row],[ID]],TableauProduit[ID],TableauProduit[Total (kg) N2],0,0,1)*TableauRecette[[#This Row],[fraction mélange]]</f>
        <v/>
      </c>
      <c r="N415">
        <f>_xlfn.XLOOKUP(TableauRecette[[#This Row],[ID]],TableauProduit[ID],TableauProduit[Total (kg) N3],0,0,1)*TableauRecette[[#This Row],[fraction mélange]]</f>
        <v/>
      </c>
      <c r="O415">
        <f>_xlfn.XLOOKUP(TableauRecette[[#This Row],[ID]],TableauProduit[ID],TableauProduit[Total (kg) N4],0,0,1)*TableauRecette[[#This Row],[fraction mélange]]</f>
        <v/>
      </c>
      <c r="P415">
        <f>_xlfn.XLOOKUP(TableauRecette[[#This Row],[ID]],TableauProduit[ID],TableauProduit[Total (kg) N5],0,0,1)*TableauRecette[[#This Row],[fraction mélange]]</f>
        <v/>
      </c>
      <c r="Q415">
        <f>_xlfn.XLOOKUP(TableauRecette[[#This Row],[ID]],TableauProduit[ID],TableauProduit[Total (kg) N6],0,0,1)*TableauRecette[[#This Row],[fraction mélange]]</f>
        <v/>
      </c>
      <c r="R415">
        <f>_xlfn.XLOOKUP(TableauRecette[[#This Row],[ID]],TableauProduit[ID],TableauProduit[Total (kg) N7],0,0,1)*TableauRecette[[#This Row],[fraction mélange]]</f>
        <v/>
      </c>
      <c r="S415">
        <f>_xlfn.XLOOKUP(TableauRecette[[#This Row],[ID]],TableauProduit[ID],TableauProduit[Total (kg) N8],0,0,1)*TableauRecette[[#This Row],[fraction mélange]]</f>
        <v/>
      </c>
      <c r="T415">
        <f>_xlfn.XLOOKUP(TableauRecette[[#This Row],[ID]],TableauProduit[ID],TableauProduit[Total (kg) N9],0,0,1)*TableauRecette[[#This Row],[fraction mélange]]</f>
        <v/>
      </c>
    </row>
    <row r="416">
      <c r="A416" t="inlineStr">
        <is>
          <t>Vinaigre du sureau</t>
        </is>
      </c>
      <c r="B416">
        <f>TableauRecette[[#This Row],[Recette]]&amp;TableauRecette[[#This Row],[Conditionnement]]</f>
        <v/>
      </c>
      <c r="C416" t="inlineStr">
        <is>
          <t>Sucre Blanc</t>
        </is>
      </c>
      <c r="D416" t="n">
        <v>5</v>
      </c>
      <c r="E416" t="inlineStr">
        <is>
          <t>Vinaigre 250 ml</t>
        </is>
      </c>
      <c r="F41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6">
        <f>IFERROR(_xlfn.XLOOKUP(TableauRecette[[#This Row],[Ingredients]],TableauIngredients[Ingredients],TableauIngredients[Prix d''achat / kg],0)*TableauRecette[[#This Row],[fraction mélange]],0)</f>
        <v/>
      </c>
      <c r="H416">
        <f>IFERROR(SUMIFS(TableauRecette[Proportion],TableauRecette[Recette],TableauRecette[[#This Row],[Recette]],TableauRecette[Conditionnement],TableauRecette[[#This Row],[Conditionnement]]),0)</f>
        <v/>
      </c>
      <c r="I416">
        <f>IFERROR(TableauRecette[[#This Row],[Prix d''achat / kg]],0)</f>
        <v/>
      </c>
      <c r="L416">
        <f>_xlfn.XLOOKUP(TableauRecette[[#This Row],[ID]],TableauProduit[ID],TableauProduit[Total (kg) N1],0,0,1)*TableauRecette[[#This Row],[fraction mélange]]</f>
        <v/>
      </c>
      <c r="M416">
        <f>_xlfn.XLOOKUP(TableauRecette[[#This Row],[ID]],TableauProduit[ID],TableauProduit[Total (kg) N2],0,0,1)*TableauRecette[[#This Row],[fraction mélange]]</f>
        <v/>
      </c>
      <c r="N416">
        <f>_xlfn.XLOOKUP(TableauRecette[[#This Row],[ID]],TableauProduit[ID],TableauProduit[Total (kg) N3],0,0,1)*TableauRecette[[#This Row],[fraction mélange]]</f>
        <v/>
      </c>
      <c r="O416">
        <f>_xlfn.XLOOKUP(TableauRecette[[#This Row],[ID]],TableauProduit[ID],TableauProduit[Total (kg) N4],0,0,1)*TableauRecette[[#This Row],[fraction mélange]]</f>
        <v/>
      </c>
      <c r="P416">
        <f>_xlfn.XLOOKUP(TableauRecette[[#This Row],[ID]],TableauProduit[ID],TableauProduit[Total (kg) N5],0,0,1)*TableauRecette[[#This Row],[fraction mélange]]</f>
        <v/>
      </c>
      <c r="Q416">
        <f>_xlfn.XLOOKUP(TableauRecette[[#This Row],[ID]],TableauProduit[ID],TableauProduit[Total (kg) N6],0,0,1)*TableauRecette[[#This Row],[fraction mélange]]</f>
        <v/>
      </c>
      <c r="R416">
        <f>_xlfn.XLOOKUP(TableauRecette[[#This Row],[ID]],TableauProduit[ID],TableauProduit[Total (kg) N7],0,0,1)*TableauRecette[[#This Row],[fraction mélange]]</f>
        <v/>
      </c>
      <c r="S416">
        <f>_xlfn.XLOOKUP(TableauRecette[[#This Row],[ID]],TableauProduit[ID],TableauProduit[Total (kg) N8],0,0,1)*TableauRecette[[#This Row],[fraction mélange]]</f>
        <v/>
      </c>
      <c r="T416">
        <f>_xlfn.XLOOKUP(TableauRecette[[#This Row],[ID]],TableauProduit[ID],TableauProduit[Total (kg) N9],0,0,1)*TableauRecette[[#This Row],[fraction mélange]]</f>
        <v/>
      </c>
    </row>
    <row r="417">
      <c r="A417" t="inlineStr">
        <is>
          <t>Vindaloo masala</t>
        </is>
      </c>
      <c r="B417">
        <f>TableauRecette[[#This Row],[Recette]]&amp;TableauRecette[[#This Row],[Conditionnement]]</f>
        <v/>
      </c>
      <c r="C417" t="inlineStr">
        <is>
          <t>Cumin Moulu</t>
        </is>
      </c>
      <c r="D417" t="n">
        <v>5</v>
      </c>
      <c r="E417" t="inlineStr">
        <is>
          <t>Epice 100ml</t>
        </is>
      </c>
      <c r="F4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7">
        <f>IFERROR(_xlfn.XLOOKUP(TableauRecette[[#This Row],[Ingredients]],TableauIngredients[Ingredients],TableauIngredients[Prix d''achat / kg],0)*TableauRecette[[#This Row],[fraction mélange]],0)</f>
        <v/>
      </c>
      <c r="H417">
        <f>IFERROR(SUMIFS(TableauRecette[Proportion],TableauRecette[Recette],TableauRecette[[#This Row],[Recette]],TableauRecette[Conditionnement],TableauRecette[[#This Row],[Conditionnement]]),0)</f>
        <v/>
      </c>
      <c r="I417">
        <f>IFERROR(TableauRecette[[#This Row],[Prix d''achat / kg]],0)</f>
        <v/>
      </c>
      <c r="L417">
        <f>_xlfn.XLOOKUP(TableauRecette[[#This Row],[ID]],TableauProduit[ID],TableauProduit[Total (kg) N1],0,0,1)*TableauRecette[[#This Row],[fraction mélange]]</f>
        <v/>
      </c>
      <c r="M417">
        <f>_xlfn.XLOOKUP(TableauRecette[[#This Row],[ID]],TableauProduit[ID],TableauProduit[Total (kg) N2],0,0,1)*TableauRecette[[#This Row],[fraction mélange]]</f>
        <v/>
      </c>
      <c r="N417">
        <f>_xlfn.XLOOKUP(TableauRecette[[#This Row],[ID]],TableauProduit[ID],TableauProduit[Total (kg) N3],0,0,1)*TableauRecette[[#This Row],[fraction mélange]]</f>
        <v/>
      </c>
      <c r="O417">
        <f>_xlfn.XLOOKUP(TableauRecette[[#This Row],[ID]],TableauProduit[ID],TableauProduit[Total (kg) N4],0,0,1)*TableauRecette[[#This Row],[fraction mélange]]</f>
        <v/>
      </c>
      <c r="P417">
        <f>_xlfn.XLOOKUP(TableauRecette[[#This Row],[ID]],TableauProduit[ID],TableauProduit[Total (kg) N5],0,0,1)*TableauRecette[[#This Row],[fraction mélange]]</f>
        <v/>
      </c>
      <c r="Q417">
        <f>_xlfn.XLOOKUP(TableauRecette[[#This Row],[ID]],TableauProduit[ID],TableauProduit[Total (kg) N6],0,0,1)*TableauRecette[[#This Row],[fraction mélange]]</f>
        <v/>
      </c>
      <c r="R417">
        <f>_xlfn.XLOOKUP(TableauRecette[[#This Row],[ID]],TableauProduit[ID],TableauProduit[Total (kg) N7],0,0,1)*TableauRecette[[#This Row],[fraction mélange]]</f>
        <v/>
      </c>
      <c r="S417">
        <f>_xlfn.XLOOKUP(TableauRecette[[#This Row],[ID]],TableauProduit[ID],TableauProduit[Total (kg) N8],0,0,1)*TableauRecette[[#This Row],[fraction mélange]]</f>
        <v/>
      </c>
      <c r="T417">
        <f>_xlfn.XLOOKUP(TableauRecette[[#This Row],[ID]],TableauProduit[ID],TableauProduit[Total (kg) N9],0,0,1)*TableauRecette[[#This Row],[fraction mélange]]</f>
        <v/>
      </c>
    </row>
    <row r="418">
      <c r="A418" t="inlineStr">
        <is>
          <t>Vindaloo masala</t>
        </is>
      </c>
      <c r="B418">
        <f>TableauRecette[[#This Row],[Recette]]&amp;TableauRecette[[#This Row],[Conditionnement]]</f>
        <v/>
      </c>
      <c r="C418" t="inlineStr">
        <is>
          <t>Coriandre Feuille</t>
        </is>
      </c>
      <c r="D418" t="n">
        <v>4</v>
      </c>
      <c r="E418" t="inlineStr">
        <is>
          <t>Epice 100ml</t>
        </is>
      </c>
      <c r="F41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8">
        <f>IFERROR(_xlfn.XLOOKUP(TableauRecette[[#This Row],[Ingredients]],TableauIngredients[Ingredients],TableauIngredients[Prix d''achat / kg],0)*TableauRecette[[#This Row],[fraction mélange]],0)</f>
        <v/>
      </c>
      <c r="H418">
        <f>IFERROR(SUMIFS(TableauRecette[Proportion],TableauRecette[Recette],TableauRecette[[#This Row],[Recette]],TableauRecette[Conditionnement],TableauRecette[[#This Row],[Conditionnement]]),0)</f>
        <v/>
      </c>
      <c r="I418">
        <f>IFERROR(TableauRecette[[#This Row],[Prix d''achat / kg]],0)</f>
        <v/>
      </c>
      <c r="L418">
        <f>_xlfn.XLOOKUP(TableauRecette[[#This Row],[ID]],TableauProduit[ID],TableauProduit[Total (kg) N1],0,0,1)*TableauRecette[[#This Row],[fraction mélange]]</f>
        <v/>
      </c>
      <c r="M418">
        <f>_xlfn.XLOOKUP(TableauRecette[[#This Row],[ID]],TableauProduit[ID],TableauProduit[Total (kg) N2],0,0,1)*TableauRecette[[#This Row],[fraction mélange]]</f>
        <v/>
      </c>
      <c r="N418">
        <f>_xlfn.XLOOKUP(TableauRecette[[#This Row],[ID]],TableauProduit[ID],TableauProduit[Total (kg) N3],0,0,1)*TableauRecette[[#This Row],[fraction mélange]]</f>
        <v/>
      </c>
      <c r="O418">
        <f>_xlfn.XLOOKUP(TableauRecette[[#This Row],[ID]],TableauProduit[ID],TableauProduit[Total (kg) N4],0,0,1)*TableauRecette[[#This Row],[fraction mélange]]</f>
        <v/>
      </c>
      <c r="P418">
        <f>_xlfn.XLOOKUP(TableauRecette[[#This Row],[ID]],TableauProduit[ID],TableauProduit[Total (kg) N5],0,0,1)*TableauRecette[[#This Row],[fraction mélange]]</f>
        <v/>
      </c>
      <c r="Q418">
        <f>_xlfn.XLOOKUP(TableauRecette[[#This Row],[ID]],TableauProduit[ID],TableauProduit[Total (kg) N6],0,0,1)*TableauRecette[[#This Row],[fraction mélange]]</f>
        <v/>
      </c>
      <c r="R418">
        <f>_xlfn.XLOOKUP(TableauRecette[[#This Row],[ID]],TableauProduit[ID],TableauProduit[Total (kg) N7],0,0,1)*TableauRecette[[#This Row],[fraction mélange]]</f>
        <v/>
      </c>
      <c r="S418">
        <f>_xlfn.XLOOKUP(TableauRecette[[#This Row],[ID]],TableauProduit[ID],TableauProduit[Total (kg) N8],0,0,1)*TableauRecette[[#This Row],[fraction mélange]]</f>
        <v/>
      </c>
      <c r="T418">
        <f>_xlfn.XLOOKUP(TableauRecette[[#This Row],[ID]],TableauProduit[ID],TableauProduit[Total (kg) N9],0,0,1)*TableauRecette[[#This Row],[fraction mélange]]</f>
        <v/>
      </c>
    </row>
    <row r="419">
      <c r="A419" t="inlineStr">
        <is>
          <t>Vindaloo masala</t>
        </is>
      </c>
      <c r="B419">
        <f>TableauRecette[[#This Row],[Recette]]&amp;TableauRecette[[#This Row],[Conditionnement]]</f>
        <v/>
      </c>
      <c r="C419" t="inlineStr">
        <is>
          <t>Curcuma Moulu</t>
        </is>
      </c>
      <c r="D419" t="n">
        <v>1</v>
      </c>
      <c r="E419" t="inlineStr">
        <is>
          <t>Epice 100ml</t>
        </is>
      </c>
      <c r="F4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9">
        <f>IFERROR(_xlfn.XLOOKUP(TableauRecette[[#This Row],[Ingredients]],TableauIngredients[Ingredients],TableauIngredients[Prix d''achat / kg],0)*TableauRecette[[#This Row],[fraction mélange]],0)</f>
        <v/>
      </c>
      <c r="H419">
        <f>IFERROR(SUMIFS(TableauRecette[Proportion],TableauRecette[Recette],TableauRecette[[#This Row],[Recette]],TableauRecette[Conditionnement],TableauRecette[[#This Row],[Conditionnement]]),0)</f>
        <v/>
      </c>
      <c r="I419">
        <f>IFERROR(TableauRecette[[#This Row],[Prix d''achat / kg]],0)</f>
        <v/>
      </c>
      <c r="L419">
        <f>_xlfn.XLOOKUP(TableauRecette[[#This Row],[ID]],TableauProduit[ID],TableauProduit[Total (kg) N1],0,0,1)*TableauRecette[[#This Row],[fraction mélange]]</f>
        <v/>
      </c>
      <c r="M419">
        <f>_xlfn.XLOOKUP(TableauRecette[[#This Row],[ID]],TableauProduit[ID],TableauProduit[Total (kg) N2],0,0,1)*TableauRecette[[#This Row],[fraction mélange]]</f>
        <v/>
      </c>
      <c r="N419">
        <f>_xlfn.XLOOKUP(TableauRecette[[#This Row],[ID]],TableauProduit[ID],TableauProduit[Total (kg) N3],0,0,1)*TableauRecette[[#This Row],[fraction mélange]]</f>
        <v/>
      </c>
      <c r="O419">
        <f>_xlfn.XLOOKUP(TableauRecette[[#This Row],[ID]],TableauProduit[ID],TableauProduit[Total (kg) N4],0,0,1)*TableauRecette[[#This Row],[fraction mélange]]</f>
        <v/>
      </c>
      <c r="P419">
        <f>_xlfn.XLOOKUP(TableauRecette[[#This Row],[ID]],TableauProduit[ID],TableauProduit[Total (kg) N5],0,0,1)*TableauRecette[[#This Row],[fraction mélange]]</f>
        <v/>
      </c>
      <c r="Q419">
        <f>_xlfn.XLOOKUP(TableauRecette[[#This Row],[ID]],TableauProduit[ID],TableauProduit[Total (kg) N6],0,0,1)*TableauRecette[[#This Row],[fraction mélange]]</f>
        <v/>
      </c>
      <c r="R419">
        <f>_xlfn.XLOOKUP(TableauRecette[[#This Row],[ID]],TableauProduit[ID],TableauProduit[Total (kg) N7],0,0,1)*TableauRecette[[#This Row],[fraction mélange]]</f>
        <v/>
      </c>
      <c r="S419">
        <f>_xlfn.XLOOKUP(TableauRecette[[#This Row],[ID]],TableauProduit[ID],TableauProduit[Total (kg) N8],0,0,1)*TableauRecette[[#This Row],[fraction mélange]]</f>
        <v/>
      </c>
      <c r="T419">
        <f>_xlfn.XLOOKUP(TableauRecette[[#This Row],[ID]],TableauProduit[ID],TableauProduit[Total (kg) N9],0,0,1)*TableauRecette[[#This Row],[fraction mélange]]</f>
        <v/>
      </c>
    </row>
    <row r="420">
      <c r="A420" t="inlineStr">
        <is>
          <t>Vindaloo masala</t>
        </is>
      </c>
      <c r="B420">
        <f>TableauRecette[[#This Row],[Recette]]&amp;TableauRecette[[#This Row],[Conditionnement]]</f>
        <v/>
      </c>
      <c r="C420" t="inlineStr">
        <is>
          <t>Fenugrec</t>
        </is>
      </c>
      <c r="D420" t="n">
        <v>1</v>
      </c>
      <c r="E420" t="inlineStr">
        <is>
          <t>Epice 100ml</t>
        </is>
      </c>
      <c r="F42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0">
        <f>IFERROR(_xlfn.XLOOKUP(TableauRecette[[#This Row],[Ingredients]],TableauIngredients[Ingredients],TableauIngredients[Prix d''achat / kg],0)*TableauRecette[[#This Row],[fraction mélange]],0)</f>
        <v/>
      </c>
      <c r="H420">
        <f>IFERROR(SUMIFS(TableauRecette[Proportion],TableauRecette[Recette],TableauRecette[[#This Row],[Recette]],TableauRecette[Conditionnement],TableauRecette[[#This Row],[Conditionnement]]),0)</f>
        <v/>
      </c>
      <c r="I420">
        <f>IFERROR(TableauRecette[[#This Row],[Prix d''achat / kg]],0)</f>
        <v/>
      </c>
      <c r="L420">
        <f>_xlfn.XLOOKUP(TableauRecette[[#This Row],[ID]],TableauProduit[ID],TableauProduit[Total (kg) N1],0,0,1)*TableauRecette[[#This Row],[fraction mélange]]</f>
        <v/>
      </c>
      <c r="M420">
        <f>_xlfn.XLOOKUP(TableauRecette[[#This Row],[ID]],TableauProduit[ID],TableauProduit[Total (kg) N2],0,0,1)*TableauRecette[[#This Row],[fraction mélange]]</f>
        <v/>
      </c>
      <c r="N420">
        <f>_xlfn.XLOOKUP(TableauRecette[[#This Row],[ID]],TableauProduit[ID],TableauProduit[Total (kg) N3],0,0,1)*TableauRecette[[#This Row],[fraction mélange]]</f>
        <v/>
      </c>
      <c r="O420">
        <f>_xlfn.XLOOKUP(TableauRecette[[#This Row],[ID]],TableauProduit[ID],TableauProduit[Total (kg) N4],0,0,1)*TableauRecette[[#This Row],[fraction mélange]]</f>
        <v/>
      </c>
      <c r="P420">
        <f>_xlfn.XLOOKUP(TableauRecette[[#This Row],[ID]],TableauProduit[ID],TableauProduit[Total (kg) N5],0,0,1)*TableauRecette[[#This Row],[fraction mélange]]</f>
        <v/>
      </c>
      <c r="Q420">
        <f>_xlfn.XLOOKUP(TableauRecette[[#This Row],[ID]],TableauProduit[ID],TableauProduit[Total (kg) N6],0,0,1)*TableauRecette[[#This Row],[fraction mélange]]</f>
        <v/>
      </c>
      <c r="R420">
        <f>_xlfn.XLOOKUP(TableauRecette[[#This Row],[ID]],TableauProduit[ID],TableauProduit[Total (kg) N7],0,0,1)*TableauRecette[[#This Row],[fraction mélange]]</f>
        <v/>
      </c>
      <c r="S420">
        <f>_xlfn.XLOOKUP(TableauRecette[[#This Row],[ID]],TableauProduit[ID],TableauProduit[Total (kg) N8],0,0,1)*TableauRecette[[#This Row],[fraction mélange]]</f>
        <v/>
      </c>
      <c r="T420">
        <f>_xlfn.XLOOKUP(TableauRecette[[#This Row],[ID]],TableauProduit[ID],TableauProduit[Total (kg) N9],0,0,1)*TableauRecette[[#This Row],[fraction mélange]]</f>
        <v/>
      </c>
    </row>
    <row r="421">
      <c r="A421" t="inlineStr">
        <is>
          <t>Vindaloo masala</t>
        </is>
      </c>
      <c r="B421">
        <f>TableauRecette[[#This Row],[Recette]]&amp;TableauRecette[[#This Row],[Conditionnement]]</f>
        <v/>
      </c>
      <c r="C421" t="inlineStr">
        <is>
          <t>Gingembre Sec</t>
        </is>
      </c>
      <c r="D421" t="n">
        <v>1</v>
      </c>
      <c r="E421" t="inlineStr">
        <is>
          <t>Epice 100ml</t>
        </is>
      </c>
      <c r="F42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1">
        <f>IFERROR(_xlfn.XLOOKUP(TableauRecette[[#This Row],[Ingredients]],TableauIngredients[Ingredients],TableauIngredients[Prix d''achat / kg],0)*TableauRecette[[#This Row],[fraction mélange]],0)</f>
        <v/>
      </c>
      <c r="H421">
        <f>IFERROR(SUMIFS(TableauRecette[Proportion],TableauRecette[Recette],TableauRecette[[#This Row],[Recette]],TableauRecette[Conditionnement],TableauRecette[[#This Row],[Conditionnement]]),0)</f>
        <v/>
      </c>
      <c r="I421">
        <f>IFERROR(TableauRecette[[#This Row],[Prix d''achat / kg]],0)</f>
        <v/>
      </c>
      <c r="K421" t="inlineStr">
        <is>
          <t>SEC</t>
        </is>
      </c>
      <c r="L421">
        <f>_xlfn.XLOOKUP(TableauRecette[[#This Row],[ID]],TableauProduit[ID],TableauProduit[Total (kg) N1],0,0,1)*TableauRecette[[#This Row],[fraction mélange]]</f>
        <v/>
      </c>
      <c r="M421">
        <f>_xlfn.XLOOKUP(TableauRecette[[#This Row],[ID]],TableauProduit[ID],TableauProduit[Total (kg) N2],0,0,1)*TableauRecette[[#This Row],[fraction mélange]]</f>
        <v/>
      </c>
      <c r="N421">
        <f>_xlfn.XLOOKUP(TableauRecette[[#This Row],[ID]],TableauProduit[ID],TableauProduit[Total (kg) N3],0,0,1)*TableauRecette[[#This Row],[fraction mélange]]</f>
        <v/>
      </c>
      <c r="O421">
        <f>_xlfn.XLOOKUP(TableauRecette[[#This Row],[ID]],TableauProduit[ID],TableauProduit[Total (kg) N4],0,0,1)*TableauRecette[[#This Row],[fraction mélange]]</f>
        <v/>
      </c>
      <c r="P421">
        <f>_xlfn.XLOOKUP(TableauRecette[[#This Row],[ID]],TableauProduit[ID],TableauProduit[Total (kg) N5],0,0,1)*TableauRecette[[#This Row],[fraction mélange]]</f>
        <v/>
      </c>
      <c r="Q421">
        <f>_xlfn.XLOOKUP(TableauRecette[[#This Row],[ID]],TableauProduit[ID],TableauProduit[Total (kg) N6],0,0,1)*TableauRecette[[#This Row],[fraction mélange]]</f>
        <v/>
      </c>
      <c r="R421">
        <f>_xlfn.XLOOKUP(TableauRecette[[#This Row],[ID]],TableauProduit[ID],TableauProduit[Total (kg) N7],0,0,1)*TableauRecette[[#This Row],[fraction mélange]]</f>
        <v/>
      </c>
      <c r="S421">
        <f>_xlfn.XLOOKUP(TableauRecette[[#This Row],[ID]],TableauProduit[ID],TableauProduit[Total (kg) N8],0,0,1)*TableauRecette[[#This Row],[fraction mélange]]</f>
        <v/>
      </c>
      <c r="T421">
        <f>_xlfn.XLOOKUP(TableauRecette[[#This Row],[ID]],TableauProduit[ID],TableauProduit[Total (kg) N9],0,0,1)*TableauRecette[[#This Row],[fraction mélange]]</f>
        <v/>
      </c>
    </row>
    <row r="422">
      <c r="A422" t="inlineStr">
        <is>
          <t>Vindaloo masala</t>
        </is>
      </c>
      <c r="B422">
        <f>TableauRecette[[#This Row],[Recette]]&amp;TableauRecette[[#This Row],[Conditionnement]]</f>
        <v/>
      </c>
      <c r="C422" t="inlineStr">
        <is>
          <t>Cannelle Moulue</t>
        </is>
      </c>
      <c r="D422" t="n">
        <v>0.5</v>
      </c>
      <c r="E422" t="inlineStr">
        <is>
          <t>Epice 100ml</t>
        </is>
      </c>
      <c r="F4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2">
        <f>IFERROR(_xlfn.XLOOKUP(TableauRecette[[#This Row],[Ingredients]],TableauIngredients[Ingredients],TableauIngredients[Prix d''achat / kg],0)*TableauRecette[[#This Row],[fraction mélange]],0)</f>
        <v/>
      </c>
      <c r="H422">
        <f>IFERROR(SUMIFS(TableauRecette[Proportion],TableauRecette[Recette],TableauRecette[[#This Row],[Recette]],TableauRecette[Conditionnement],TableauRecette[[#This Row],[Conditionnement]]),0)</f>
        <v/>
      </c>
      <c r="I422">
        <f>IFERROR(TableauRecette[[#This Row],[Prix d''achat / kg]],0)</f>
        <v/>
      </c>
      <c r="L422">
        <f>_xlfn.XLOOKUP(TableauRecette[[#This Row],[ID]],TableauProduit[ID],TableauProduit[Total (kg) N1],0,0,1)*TableauRecette[[#This Row],[fraction mélange]]</f>
        <v/>
      </c>
      <c r="M422">
        <f>_xlfn.XLOOKUP(TableauRecette[[#This Row],[ID]],TableauProduit[ID],TableauProduit[Total (kg) N2],0,0,1)*TableauRecette[[#This Row],[fraction mélange]]</f>
        <v/>
      </c>
      <c r="N422">
        <f>_xlfn.XLOOKUP(TableauRecette[[#This Row],[ID]],TableauProduit[ID],TableauProduit[Total (kg) N3],0,0,1)*TableauRecette[[#This Row],[fraction mélange]]</f>
        <v/>
      </c>
      <c r="O422">
        <f>_xlfn.XLOOKUP(TableauRecette[[#This Row],[ID]],TableauProduit[ID],TableauProduit[Total (kg) N4],0,0,1)*TableauRecette[[#This Row],[fraction mélange]]</f>
        <v/>
      </c>
      <c r="P422">
        <f>_xlfn.XLOOKUP(TableauRecette[[#This Row],[ID]],TableauProduit[ID],TableauProduit[Total (kg) N5],0,0,1)*TableauRecette[[#This Row],[fraction mélange]]</f>
        <v/>
      </c>
      <c r="Q422">
        <f>_xlfn.XLOOKUP(TableauRecette[[#This Row],[ID]],TableauProduit[ID],TableauProduit[Total (kg) N6],0,0,1)*TableauRecette[[#This Row],[fraction mélange]]</f>
        <v/>
      </c>
      <c r="R422">
        <f>_xlfn.XLOOKUP(TableauRecette[[#This Row],[ID]],TableauProduit[ID],TableauProduit[Total (kg) N7],0,0,1)*TableauRecette[[#This Row],[fraction mélange]]</f>
        <v/>
      </c>
      <c r="S422">
        <f>_xlfn.XLOOKUP(TableauRecette[[#This Row],[ID]],TableauProduit[ID],TableauProduit[Total (kg) N8],0,0,1)*TableauRecette[[#This Row],[fraction mélange]]</f>
        <v/>
      </c>
      <c r="T422">
        <f>_xlfn.XLOOKUP(TableauRecette[[#This Row],[ID]],TableauProduit[ID],TableauProduit[Total (kg) N9],0,0,1)*TableauRecette[[#This Row],[fraction mélange]]</f>
        <v/>
      </c>
    </row>
    <row r="423">
      <c r="A423" t="inlineStr">
        <is>
          <t>Vindaloo masala</t>
        </is>
      </c>
      <c r="B423">
        <f>TableauRecette[[#This Row],[Recette]]&amp;TableauRecette[[#This Row],[Conditionnement]]</f>
        <v/>
      </c>
      <c r="C423" t="inlineStr">
        <is>
          <t>Clous De Girofle</t>
        </is>
      </c>
      <c r="D423" t="n">
        <v>0.5</v>
      </c>
      <c r="E423" t="inlineStr">
        <is>
          <t>Epice 100ml</t>
        </is>
      </c>
      <c r="F4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3">
        <f>IFERROR(_xlfn.XLOOKUP(TableauRecette[[#This Row],[Ingredients]],TableauIngredients[Ingredients],TableauIngredients[Prix d''achat / kg],0)*TableauRecette[[#This Row],[fraction mélange]],0)</f>
        <v/>
      </c>
      <c r="H423">
        <f>IFERROR(SUMIFS(TableauRecette[Proportion],TableauRecette[Recette],TableauRecette[[#This Row],[Recette]],TableauRecette[Conditionnement],TableauRecette[[#This Row],[Conditionnement]]),0)</f>
        <v/>
      </c>
      <c r="I423">
        <f>IFERROR(TableauRecette[[#This Row],[Prix d''achat / kg]],0)</f>
        <v/>
      </c>
      <c r="L423">
        <f>_xlfn.XLOOKUP(TableauRecette[[#This Row],[ID]],TableauProduit[ID],TableauProduit[Total (kg) N1],0,0,1)*TableauRecette[[#This Row],[fraction mélange]]</f>
        <v/>
      </c>
      <c r="M423">
        <f>_xlfn.XLOOKUP(TableauRecette[[#This Row],[ID]],TableauProduit[ID],TableauProduit[Total (kg) N2],0,0,1)*TableauRecette[[#This Row],[fraction mélange]]</f>
        <v/>
      </c>
      <c r="N423">
        <f>_xlfn.XLOOKUP(TableauRecette[[#This Row],[ID]],TableauProduit[ID],TableauProduit[Total (kg) N3],0,0,1)*TableauRecette[[#This Row],[fraction mélange]]</f>
        <v/>
      </c>
      <c r="O423">
        <f>_xlfn.XLOOKUP(TableauRecette[[#This Row],[ID]],TableauProduit[ID],TableauProduit[Total (kg) N4],0,0,1)*TableauRecette[[#This Row],[fraction mélange]]</f>
        <v/>
      </c>
      <c r="P423">
        <f>_xlfn.XLOOKUP(TableauRecette[[#This Row],[ID]],TableauProduit[ID],TableauProduit[Total (kg) N5],0,0,1)*TableauRecette[[#This Row],[fraction mélange]]</f>
        <v/>
      </c>
      <c r="Q423">
        <f>_xlfn.XLOOKUP(TableauRecette[[#This Row],[ID]],TableauProduit[ID],TableauProduit[Total (kg) N6],0,0,1)*TableauRecette[[#This Row],[fraction mélange]]</f>
        <v/>
      </c>
      <c r="R423">
        <f>_xlfn.XLOOKUP(TableauRecette[[#This Row],[ID]],TableauProduit[ID],TableauProduit[Total (kg) N7],0,0,1)*TableauRecette[[#This Row],[fraction mélange]]</f>
        <v/>
      </c>
      <c r="S423">
        <f>_xlfn.XLOOKUP(TableauRecette[[#This Row],[ID]],TableauProduit[ID],TableauProduit[Total (kg) N8],0,0,1)*TableauRecette[[#This Row],[fraction mélange]]</f>
        <v/>
      </c>
      <c r="T423">
        <f>_xlfn.XLOOKUP(TableauRecette[[#This Row],[ID]],TableauProduit[ID],TableauProduit[Total (kg) N9],0,0,1)*TableauRecette[[#This Row],[fraction mélange]]</f>
        <v/>
      </c>
    </row>
    <row r="424">
      <c r="A424" t="inlineStr">
        <is>
          <t>Vindaloo masala</t>
        </is>
      </c>
      <c r="B424">
        <f>TableauRecette[[#This Row],[Recette]]&amp;TableauRecette[[#This Row],[Conditionnement]]</f>
        <v/>
      </c>
      <c r="C424" t="inlineStr">
        <is>
          <t>Poivre Noir</t>
        </is>
      </c>
      <c r="D424" t="n">
        <v>0.5</v>
      </c>
      <c r="E424" t="inlineStr">
        <is>
          <t>Epice 100ml</t>
        </is>
      </c>
      <c r="F4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4">
        <f>IFERROR(_xlfn.XLOOKUP(TableauRecette[[#This Row],[Ingredients]],TableauIngredients[Ingredients],TableauIngredients[Prix d''achat / kg],0)*TableauRecette[[#This Row],[fraction mélange]],0)</f>
        <v/>
      </c>
      <c r="H424">
        <f>IFERROR(SUMIFS(TableauRecette[Proportion],TableauRecette[Recette],TableauRecette[[#This Row],[Recette]],TableauRecette[Conditionnement],TableauRecette[[#This Row],[Conditionnement]]),0)</f>
        <v/>
      </c>
      <c r="I424">
        <f>IFERROR(TableauRecette[[#This Row],[Prix d''achat / kg]],0)</f>
        <v/>
      </c>
      <c r="L424">
        <f>_xlfn.XLOOKUP(TableauRecette[[#This Row],[ID]],TableauProduit[ID],TableauProduit[Total (kg) N1],0,0,1)*TableauRecette[[#This Row],[fraction mélange]]</f>
        <v/>
      </c>
      <c r="M424">
        <f>_xlfn.XLOOKUP(TableauRecette[[#This Row],[ID]],TableauProduit[ID],TableauProduit[Total (kg) N2],0,0,1)*TableauRecette[[#This Row],[fraction mélange]]</f>
        <v/>
      </c>
      <c r="N424">
        <f>_xlfn.XLOOKUP(TableauRecette[[#This Row],[ID]],TableauProduit[ID],TableauProduit[Total (kg) N3],0,0,1)*TableauRecette[[#This Row],[fraction mélange]]</f>
        <v/>
      </c>
      <c r="O424">
        <f>_xlfn.XLOOKUP(TableauRecette[[#This Row],[ID]],TableauProduit[ID],TableauProduit[Total (kg) N4],0,0,1)*TableauRecette[[#This Row],[fraction mélange]]</f>
        <v/>
      </c>
      <c r="P424">
        <f>_xlfn.XLOOKUP(TableauRecette[[#This Row],[ID]],TableauProduit[ID],TableauProduit[Total (kg) N5],0,0,1)*TableauRecette[[#This Row],[fraction mélange]]</f>
        <v/>
      </c>
      <c r="Q424">
        <f>_xlfn.XLOOKUP(TableauRecette[[#This Row],[ID]],TableauProduit[ID],TableauProduit[Total (kg) N6],0,0,1)*TableauRecette[[#This Row],[fraction mélange]]</f>
        <v/>
      </c>
      <c r="R424">
        <f>_xlfn.XLOOKUP(TableauRecette[[#This Row],[ID]],TableauProduit[ID],TableauProduit[Total (kg) N7],0,0,1)*TableauRecette[[#This Row],[fraction mélange]]</f>
        <v/>
      </c>
      <c r="S424">
        <f>_xlfn.XLOOKUP(TableauRecette[[#This Row],[ID]],TableauProduit[ID],TableauProduit[Total (kg) N8],0,0,1)*TableauRecette[[#This Row],[fraction mélange]]</f>
        <v/>
      </c>
      <c r="T424">
        <f>_xlfn.XLOOKUP(TableauRecette[[#This Row],[ID]],TableauProduit[ID],TableauProduit[Total (kg) N9],0,0,1)*TableauRecette[[#This Row],[fraction mélange]]</f>
        <v/>
      </c>
    </row>
    <row r="425">
      <c r="A425" t="inlineStr">
        <is>
          <t>Vindaloo masala</t>
        </is>
      </c>
      <c r="B425">
        <f>TableauRecette[[#This Row],[Recette]]&amp;TableauRecette[[#This Row],[Conditionnement]]</f>
        <v/>
      </c>
      <c r="C425" t="inlineStr">
        <is>
          <t>Graine De Cardamome</t>
        </is>
      </c>
      <c r="D425" t="n">
        <v>1</v>
      </c>
      <c r="E425" t="inlineStr">
        <is>
          <t>Epice 100ml</t>
        </is>
      </c>
      <c r="F42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5">
        <f>IFERROR(_xlfn.XLOOKUP(TableauRecette[[#This Row],[Ingredients]],TableauIngredients[Ingredients],TableauIngredients[Prix d''achat / kg],0)*TableauRecette[[#This Row],[fraction mélange]],0)</f>
        <v/>
      </c>
      <c r="H425">
        <f>IFERROR(SUMIFS(TableauRecette[Proportion],TableauRecette[Recette],TableauRecette[[#This Row],[Recette]],TableauRecette[Conditionnement],TableauRecette[[#This Row],[Conditionnement]]),0)</f>
        <v/>
      </c>
      <c r="I425">
        <f>IFERROR(TableauRecette[[#This Row],[Prix d''achat / kg]],0)</f>
        <v/>
      </c>
      <c r="L425">
        <f>_xlfn.XLOOKUP(TableauRecette[[#This Row],[ID]],TableauProduit[ID],TableauProduit[Total (kg) N1],0,0,1)*TableauRecette[[#This Row],[fraction mélange]]</f>
        <v/>
      </c>
      <c r="M425">
        <f>_xlfn.XLOOKUP(TableauRecette[[#This Row],[ID]],TableauProduit[ID],TableauProduit[Total (kg) N2],0,0,1)*TableauRecette[[#This Row],[fraction mélange]]</f>
        <v/>
      </c>
      <c r="N425">
        <f>_xlfn.XLOOKUP(TableauRecette[[#This Row],[ID]],TableauProduit[ID],TableauProduit[Total (kg) N3],0,0,1)*TableauRecette[[#This Row],[fraction mélange]]</f>
        <v/>
      </c>
      <c r="O425">
        <f>_xlfn.XLOOKUP(TableauRecette[[#This Row],[ID]],TableauProduit[ID],TableauProduit[Total (kg) N4],0,0,1)*TableauRecette[[#This Row],[fraction mélange]]</f>
        <v/>
      </c>
      <c r="P425">
        <f>_xlfn.XLOOKUP(TableauRecette[[#This Row],[ID]],TableauProduit[ID],TableauProduit[Total (kg) N5],0,0,1)*TableauRecette[[#This Row],[fraction mélange]]</f>
        <v/>
      </c>
      <c r="Q425">
        <f>_xlfn.XLOOKUP(TableauRecette[[#This Row],[ID]],TableauProduit[ID],TableauProduit[Total (kg) N6],0,0,1)*TableauRecette[[#This Row],[fraction mélange]]</f>
        <v/>
      </c>
      <c r="R425">
        <f>_xlfn.XLOOKUP(TableauRecette[[#This Row],[ID]],TableauProduit[ID],TableauProduit[Total (kg) N7],0,0,1)*TableauRecette[[#This Row],[fraction mélange]]</f>
        <v/>
      </c>
      <c r="S425">
        <f>_xlfn.XLOOKUP(TableauRecette[[#This Row],[ID]],TableauProduit[ID],TableauProduit[Total (kg) N8],0,0,1)*TableauRecette[[#This Row],[fraction mélange]]</f>
        <v/>
      </c>
      <c r="T425">
        <f>_xlfn.XLOOKUP(TableauRecette[[#This Row],[ID]],TableauProduit[ID],TableauProduit[Total (kg) N9],0,0,1)*TableauRecette[[#This Row],[fraction mélange]]</f>
        <v/>
      </c>
    </row>
    <row r="426">
      <c r="A426" t="inlineStr">
        <is>
          <t>Vindaloo masala</t>
        </is>
      </c>
      <c r="B426">
        <f>TableauRecette[[#This Row],[Recette]]&amp;TableauRecette[[#This Row],[Conditionnement]]</f>
        <v/>
      </c>
      <c r="C426" t="inlineStr">
        <is>
          <t>Piment De Cayenne Jaune</t>
        </is>
      </c>
      <c r="D426" t="n">
        <v>1</v>
      </c>
      <c r="E426" t="inlineStr">
        <is>
          <t>Epice 100ml</t>
        </is>
      </c>
      <c r="F42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6">
        <f>IFERROR(_xlfn.XLOOKUP(TableauRecette[[#This Row],[Ingredients]],TableauIngredients[Ingredients],TableauIngredients[Prix d''achat / kg],0)*TableauRecette[[#This Row],[fraction mélange]],0)</f>
        <v/>
      </c>
      <c r="H426">
        <f>IFERROR(SUMIFS(TableauRecette[Proportion],TableauRecette[Recette],TableauRecette[[#This Row],[Recette]],TableauRecette[Conditionnement],TableauRecette[[#This Row],[Conditionnement]]),0)</f>
        <v/>
      </c>
      <c r="I426">
        <f>IFERROR(TableauRecette[[#This Row],[Prix d''achat / kg]],0)</f>
        <v/>
      </c>
      <c r="L426">
        <f>_xlfn.XLOOKUP(TableauRecette[[#This Row],[ID]],TableauProduit[ID],TableauProduit[Total (kg) N1],0,0,1)*TableauRecette[[#This Row],[fraction mélange]]</f>
        <v/>
      </c>
      <c r="M426">
        <f>_xlfn.XLOOKUP(TableauRecette[[#This Row],[ID]],TableauProduit[ID],TableauProduit[Total (kg) N2],0,0,1)*TableauRecette[[#This Row],[fraction mélange]]</f>
        <v/>
      </c>
      <c r="N426">
        <f>_xlfn.XLOOKUP(TableauRecette[[#This Row],[ID]],TableauProduit[ID],TableauProduit[Total (kg) N3],0,0,1)*TableauRecette[[#This Row],[fraction mélange]]</f>
        <v/>
      </c>
      <c r="O426">
        <f>_xlfn.XLOOKUP(TableauRecette[[#This Row],[ID]],TableauProduit[ID],TableauProduit[Total (kg) N4],0,0,1)*TableauRecette[[#This Row],[fraction mélange]]</f>
        <v/>
      </c>
      <c r="P426">
        <f>_xlfn.XLOOKUP(TableauRecette[[#This Row],[ID]],TableauProduit[ID],TableauProduit[Total (kg) N5],0,0,1)*TableauRecette[[#This Row],[fraction mélange]]</f>
        <v/>
      </c>
      <c r="Q426">
        <f>_xlfn.XLOOKUP(TableauRecette[[#This Row],[ID]],TableauProduit[ID],TableauProduit[Total (kg) N6],0,0,1)*TableauRecette[[#This Row],[fraction mélange]]</f>
        <v/>
      </c>
      <c r="R426">
        <f>_xlfn.XLOOKUP(TableauRecette[[#This Row],[ID]],TableauProduit[ID],TableauProduit[Total (kg) N7],0,0,1)*TableauRecette[[#This Row],[fraction mélange]]</f>
        <v/>
      </c>
      <c r="S426">
        <f>_xlfn.XLOOKUP(TableauRecette[[#This Row],[ID]],TableauProduit[ID],TableauProduit[Total (kg) N8],0,0,1)*TableauRecette[[#This Row],[fraction mélange]]</f>
        <v/>
      </c>
      <c r="T426">
        <f>_xlfn.XLOOKUP(TableauRecette[[#This Row],[ID]],TableauProduit[ID],TableauProduit[Total (kg) N9],0,0,1)*TableauRecette[[#This Row],[fraction mélange]]</f>
        <v/>
      </c>
    </row>
    <row r="427">
      <c r="A427" t="inlineStr">
        <is>
          <t>Vindaloo masala</t>
        </is>
      </c>
      <c r="B427">
        <f>TableauRecette[[#This Row],[Recette]]&amp;TableauRecette[[#This Row],[Conditionnement]]</f>
        <v/>
      </c>
      <c r="C427" t="inlineStr">
        <is>
          <t>Graine De Moutarde</t>
        </is>
      </c>
      <c r="D427" t="n">
        <v>2</v>
      </c>
      <c r="E427" t="inlineStr">
        <is>
          <t>Epice 100ml</t>
        </is>
      </c>
      <c r="F4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7">
        <f>IFERROR(_xlfn.XLOOKUP(TableauRecette[[#This Row],[Ingredients]],TableauIngredients[Ingredients],TableauIngredients[Prix d''achat / kg],0)*TableauRecette[[#This Row],[fraction mélange]],0)</f>
        <v/>
      </c>
      <c r="H427">
        <f>IFERROR(SUMIFS(TableauRecette[Proportion],TableauRecette[Recette],TableauRecette[[#This Row],[Recette]],TableauRecette[Conditionnement],TableauRecette[[#This Row],[Conditionnement]]),0)</f>
        <v/>
      </c>
      <c r="I427">
        <f>IFERROR(TableauRecette[[#This Row],[Prix d''achat / kg]],0)</f>
        <v/>
      </c>
      <c r="L427">
        <f>_xlfn.XLOOKUP(TableauRecette[[#This Row],[ID]],TableauProduit[ID],TableauProduit[Total (kg) N1],0,0,1)*TableauRecette[[#This Row],[fraction mélange]]</f>
        <v/>
      </c>
      <c r="M427">
        <f>_xlfn.XLOOKUP(TableauRecette[[#This Row],[ID]],TableauProduit[ID],TableauProduit[Total (kg) N2],0,0,1)*TableauRecette[[#This Row],[fraction mélange]]</f>
        <v/>
      </c>
      <c r="N427">
        <f>_xlfn.XLOOKUP(TableauRecette[[#This Row],[ID]],TableauProduit[ID],TableauProduit[Total (kg) N3],0,0,1)*TableauRecette[[#This Row],[fraction mélange]]</f>
        <v/>
      </c>
      <c r="O427">
        <f>_xlfn.XLOOKUP(TableauRecette[[#This Row],[ID]],TableauProduit[ID],TableauProduit[Total (kg) N4],0,0,1)*TableauRecette[[#This Row],[fraction mélange]]</f>
        <v/>
      </c>
      <c r="P427">
        <f>_xlfn.XLOOKUP(TableauRecette[[#This Row],[ID]],TableauProduit[ID],TableauProduit[Total (kg) N5],0,0,1)*TableauRecette[[#This Row],[fraction mélange]]</f>
        <v/>
      </c>
      <c r="Q427">
        <f>_xlfn.XLOOKUP(TableauRecette[[#This Row],[ID]],TableauProduit[ID],TableauProduit[Total (kg) N6],0,0,1)*TableauRecette[[#This Row],[fraction mélange]]</f>
        <v/>
      </c>
      <c r="R427">
        <f>_xlfn.XLOOKUP(TableauRecette[[#This Row],[ID]],TableauProduit[ID],TableauProduit[Total (kg) N7],0,0,1)*TableauRecette[[#This Row],[fraction mélange]]</f>
        <v/>
      </c>
      <c r="S427">
        <f>_xlfn.XLOOKUP(TableauRecette[[#This Row],[ID]],TableauProduit[ID],TableauProduit[Total (kg) N8],0,0,1)*TableauRecette[[#This Row],[fraction mélange]]</f>
        <v/>
      </c>
      <c r="T427">
        <f>_xlfn.XLOOKUP(TableauRecette[[#This Row],[ID]],TableauProduit[ID],TableauProduit[Total (kg) N9],0,0,1)*TableauRecette[[#This Row],[fraction mélange]]</f>
        <v/>
      </c>
    </row>
    <row r="428">
      <c r="A428" t="inlineStr">
        <is>
          <t>Vindaloo masala</t>
        </is>
      </c>
      <c r="B428">
        <f>TableauRecette[[#This Row],[Recette]]&amp;TableauRecette[[#This Row],[Conditionnement]]</f>
        <v/>
      </c>
      <c r="C428" t="inlineStr">
        <is>
          <t>Feuilles De Curry</t>
        </is>
      </c>
      <c r="D428" t="n">
        <v>2</v>
      </c>
      <c r="E428" t="inlineStr">
        <is>
          <t>Epice 100ml</t>
        </is>
      </c>
      <c r="F42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8">
        <f>IFERROR(_xlfn.XLOOKUP(TableauRecette[[#This Row],[Ingredients]],TableauIngredients[Ingredients],TableauIngredients[Prix d''achat / kg],0)*TableauRecette[[#This Row],[fraction mélange]],0)</f>
        <v/>
      </c>
      <c r="H428">
        <f>IFERROR(SUMIFS(TableauRecette[Proportion],TableauRecette[Recette],TableauRecette[[#This Row],[Recette]],TableauRecette[Conditionnement],TableauRecette[[#This Row],[Conditionnement]]),0)</f>
        <v/>
      </c>
      <c r="I428">
        <f>IFERROR(TableauRecette[[#This Row],[Prix d''achat / kg]],0)</f>
        <v/>
      </c>
      <c r="L428">
        <f>_xlfn.XLOOKUP(TableauRecette[[#This Row],[ID]],TableauProduit[ID],TableauProduit[Total (kg) N1],0,0,1)*TableauRecette[[#This Row],[fraction mélange]]</f>
        <v/>
      </c>
      <c r="M428">
        <f>_xlfn.XLOOKUP(TableauRecette[[#This Row],[ID]],TableauProduit[ID],TableauProduit[Total (kg) N2],0,0,1)*TableauRecette[[#This Row],[fraction mélange]]</f>
        <v/>
      </c>
      <c r="N428">
        <f>_xlfn.XLOOKUP(TableauRecette[[#This Row],[ID]],TableauProduit[ID],TableauProduit[Total (kg) N3],0,0,1)*TableauRecette[[#This Row],[fraction mélange]]</f>
        <v/>
      </c>
      <c r="O428">
        <f>_xlfn.XLOOKUP(TableauRecette[[#This Row],[ID]],TableauProduit[ID],TableauProduit[Total (kg) N4],0,0,1)*TableauRecette[[#This Row],[fraction mélange]]</f>
        <v/>
      </c>
      <c r="P428">
        <f>_xlfn.XLOOKUP(TableauRecette[[#This Row],[ID]],TableauProduit[ID],TableauProduit[Total (kg) N5],0,0,1)*TableauRecette[[#This Row],[fraction mélange]]</f>
        <v/>
      </c>
      <c r="Q428">
        <f>_xlfn.XLOOKUP(TableauRecette[[#This Row],[ID]],TableauProduit[ID],TableauProduit[Total (kg) N6],0,0,1)*TableauRecette[[#This Row],[fraction mélange]]</f>
        <v/>
      </c>
      <c r="R428">
        <f>_xlfn.XLOOKUP(TableauRecette[[#This Row],[ID]],TableauProduit[ID],TableauProduit[Total (kg) N7],0,0,1)*TableauRecette[[#This Row],[fraction mélange]]</f>
        <v/>
      </c>
      <c r="S428">
        <f>_xlfn.XLOOKUP(TableauRecette[[#This Row],[ID]],TableauProduit[ID],TableauProduit[Total (kg) N8],0,0,1)*TableauRecette[[#This Row],[fraction mélange]]</f>
        <v/>
      </c>
      <c r="T428">
        <f>_xlfn.XLOOKUP(TableauRecette[[#This Row],[ID]],TableauProduit[ID],TableauProduit[Total (kg) N9],0,0,1)*TableauRecette[[#This Row],[fraction mélange]]</f>
        <v/>
      </c>
    </row>
    <row r="429">
      <c r="A429" t="inlineStr">
        <is>
          <t>Zaatar</t>
        </is>
      </c>
      <c r="B429">
        <f>TableauRecette[[#This Row],[Recette]]&amp;TableauRecette[[#This Row],[Conditionnement]]</f>
        <v/>
      </c>
      <c r="C429" t="inlineStr">
        <is>
          <t>Cumin Moulu</t>
        </is>
      </c>
      <c r="D429" t="n">
        <v>2</v>
      </c>
      <c r="E429" t="inlineStr">
        <is>
          <t>Epice 100ml</t>
        </is>
      </c>
      <c r="F4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9">
        <f>IFERROR(_xlfn.XLOOKUP(TableauRecette[[#This Row],[Ingredients]],TableauIngredients[Ingredients],TableauIngredients[Prix d''achat / kg],0)*TableauRecette[[#This Row],[fraction mélange]],0)</f>
        <v/>
      </c>
      <c r="H429">
        <f>IFERROR(SUMIFS(TableauRecette[Proportion],TableauRecette[Recette],TableauRecette[[#This Row],[Recette]],TableauRecette[Conditionnement],TableauRecette[[#This Row],[Conditionnement]]),0)</f>
        <v/>
      </c>
      <c r="I429">
        <f>IFERROR(TableauRecette[[#This Row],[Prix d''achat / kg]],0)</f>
        <v/>
      </c>
      <c r="L429">
        <f>_xlfn.XLOOKUP(TableauRecette[[#This Row],[ID]],TableauProduit[ID],TableauProduit[Total (kg) N1],0,0,1)*TableauRecette[[#This Row],[fraction mélange]]</f>
        <v/>
      </c>
      <c r="M429">
        <f>_xlfn.XLOOKUP(TableauRecette[[#This Row],[ID]],TableauProduit[ID],TableauProduit[Total (kg) N2],0,0,1)*TableauRecette[[#This Row],[fraction mélange]]</f>
        <v/>
      </c>
      <c r="N429">
        <f>_xlfn.XLOOKUP(TableauRecette[[#This Row],[ID]],TableauProduit[ID],TableauProduit[Total (kg) N3],0,0,1)*TableauRecette[[#This Row],[fraction mélange]]</f>
        <v/>
      </c>
      <c r="O429">
        <f>_xlfn.XLOOKUP(TableauRecette[[#This Row],[ID]],TableauProduit[ID],TableauProduit[Total (kg) N4],0,0,1)*TableauRecette[[#This Row],[fraction mélange]]</f>
        <v/>
      </c>
      <c r="P429">
        <f>_xlfn.XLOOKUP(TableauRecette[[#This Row],[ID]],TableauProduit[ID],TableauProduit[Total (kg) N5],0,0,1)*TableauRecette[[#This Row],[fraction mélange]]</f>
        <v/>
      </c>
      <c r="Q429">
        <f>_xlfn.XLOOKUP(TableauRecette[[#This Row],[ID]],TableauProduit[ID],TableauProduit[Total (kg) N6],0,0,1)*TableauRecette[[#This Row],[fraction mélange]]</f>
        <v/>
      </c>
      <c r="R429">
        <f>_xlfn.XLOOKUP(TableauRecette[[#This Row],[ID]],TableauProduit[ID],TableauProduit[Total (kg) N7],0,0,1)*TableauRecette[[#This Row],[fraction mélange]]</f>
        <v/>
      </c>
      <c r="S429">
        <f>_xlfn.XLOOKUP(TableauRecette[[#This Row],[ID]],TableauProduit[ID],TableauProduit[Total (kg) N8],0,0,1)*TableauRecette[[#This Row],[fraction mélange]]</f>
        <v/>
      </c>
      <c r="T429">
        <f>_xlfn.XLOOKUP(TableauRecette[[#This Row],[ID]],TableauProduit[ID],TableauProduit[Total (kg) N9],0,0,1)*TableauRecette[[#This Row],[fraction mélange]]</f>
        <v/>
      </c>
    </row>
    <row r="430">
      <c r="A430" t="inlineStr">
        <is>
          <t>Zaatar</t>
        </is>
      </c>
      <c r="B430">
        <f>TableauRecette[[#This Row],[Recette]]&amp;TableauRecette[[#This Row],[Conditionnement]]</f>
        <v/>
      </c>
      <c r="C430" t="inlineStr">
        <is>
          <t>Sel</t>
        </is>
      </c>
      <c r="D430" t="n">
        <v>1</v>
      </c>
      <c r="E430" t="inlineStr">
        <is>
          <t>Epice 100ml</t>
        </is>
      </c>
      <c r="F43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0">
        <f>IFERROR(_xlfn.XLOOKUP(TableauRecette[[#This Row],[Ingredients]],TableauIngredients[Ingredients],TableauIngredients[Prix d''achat / kg],0)*TableauRecette[[#This Row],[fraction mélange]],0)</f>
        <v/>
      </c>
      <c r="H430">
        <f>IFERROR(SUMIFS(TableauRecette[Proportion],TableauRecette[Recette],TableauRecette[[#This Row],[Recette]],TableauRecette[Conditionnement],TableauRecette[[#This Row],[Conditionnement]]),0)</f>
        <v/>
      </c>
      <c r="I430">
        <f>IFERROR(TableauRecette[[#This Row],[Prix d''achat / kg]],0)</f>
        <v/>
      </c>
      <c r="L430">
        <f>_xlfn.XLOOKUP(TableauRecette[[#This Row],[ID]],TableauProduit[ID],TableauProduit[Total (kg) N1],0,0,1)*TableauRecette[[#This Row],[fraction mélange]]</f>
        <v/>
      </c>
      <c r="M430">
        <f>_xlfn.XLOOKUP(TableauRecette[[#This Row],[ID]],TableauProduit[ID],TableauProduit[Total (kg) N2],0,0,1)*TableauRecette[[#This Row],[fraction mélange]]</f>
        <v/>
      </c>
      <c r="N430">
        <f>_xlfn.XLOOKUP(TableauRecette[[#This Row],[ID]],TableauProduit[ID],TableauProduit[Total (kg) N3],0,0,1)*TableauRecette[[#This Row],[fraction mélange]]</f>
        <v/>
      </c>
      <c r="O430">
        <f>_xlfn.XLOOKUP(TableauRecette[[#This Row],[ID]],TableauProduit[ID],TableauProduit[Total (kg) N4],0,0,1)*TableauRecette[[#This Row],[fraction mélange]]</f>
        <v/>
      </c>
      <c r="P430">
        <f>_xlfn.XLOOKUP(TableauRecette[[#This Row],[ID]],TableauProduit[ID],TableauProduit[Total (kg) N5],0,0,1)*TableauRecette[[#This Row],[fraction mélange]]</f>
        <v/>
      </c>
      <c r="Q430">
        <f>_xlfn.XLOOKUP(TableauRecette[[#This Row],[ID]],TableauProduit[ID],TableauProduit[Total (kg) N6],0,0,1)*TableauRecette[[#This Row],[fraction mélange]]</f>
        <v/>
      </c>
      <c r="R430">
        <f>_xlfn.XLOOKUP(TableauRecette[[#This Row],[ID]],TableauProduit[ID],TableauProduit[Total (kg) N7],0,0,1)*TableauRecette[[#This Row],[fraction mélange]]</f>
        <v/>
      </c>
      <c r="S430">
        <f>_xlfn.XLOOKUP(TableauRecette[[#This Row],[ID]],TableauProduit[ID],TableauProduit[Total (kg) N8],0,0,1)*TableauRecette[[#This Row],[fraction mélange]]</f>
        <v/>
      </c>
      <c r="T430">
        <f>_xlfn.XLOOKUP(TableauRecette[[#This Row],[ID]],TableauProduit[ID],TableauProduit[Total (kg) N9],0,0,1)*TableauRecette[[#This Row],[fraction mélange]]</f>
        <v/>
      </c>
    </row>
    <row r="431">
      <c r="A431" t="inlineStr">
        <is>
          <t>Zaatar</t>
        </is>
      </c>
      <c r="B431">
        <f>TableauRecette[[#This Row],[Recette]]&amp;TableauRecette[[#This Row],[Conditionnement]]</f>
        <v/>
      </c>
      <c r="C431" t="inlineStr">
        <is>
          <t>Graines De Sésame</t>
        </is>
      </c>
      <c r="D431" t="n">
        <v>2</v>
      </c>
      <c r="E431" t="inlineStr">
        <is>
          <t>Epice 100ml</t>
        </is>
      </c>
      <c r="F4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1">
        <f>IFERROR(_xlfn.XLOOKUP(TableauRecette[[#This Row],[Ingredients]],TableauIngredients[Ingredients],TableauIngredients[Prix d''achat / kg],0)*TableauRecette[[#This Row],[fraction mélange]],0)</f>
        <v/>
      </c>
      <c r="H431">
        <f>IFERROR(SUMIFS(TableauRecette[Proportion],TableauRecette[Recette],TableauRecette[[#This Row],[Recette]],TableauRecette[Conditionnement],TableauRecette[[#This Row],[Conditionnement]]),0)</f>
        <v/>
      </c>
      <c r="I431">
        <f>IFERROR(TableauRecette[[#This Row],[Prix d''achat / kg]],0)</f>
        <v/>
      </c>
      <c r="L431">
        <f>_xlfn.XLOOKUP(TableauRecette[[#This Row],[ID]],TableauProduit[ID],TableauProduit[Total (kg) N1],0,0,1)*TableauRecette[[#This Row],[fraction mélange]]</f>
        <v/>
      </c>
      <c r="M431">
        <f>_xlfn.XLOOKUP(TableauRecette[[#This Row],[ID]],TableauProduit[ID],TableauProduit[Total (kg) N2],0,0,1)*TableauRecette[[#This Row],[fraction mélange]]</f>
        <v/>
      </c>
      <c r="N431">
        <f>_xlfn.XLOOKUP(TableauRecette[[#This Row],[ID]],TableauProduit[ID],TableauProduit[Total (kg) N3],0,0,1)*TableauRecette[[#This Row],[fraction mélange]]</f>
        <v/>
      </c>
      <c r="O431">
        <f>_xlfn.XLOOKUP(TableauRecette[[#This Row],[ID]],TableauProduit[ID],TableauProduit[Total (kg) N4],0,0,1)*TableauRecette[[#This Row],[fraction mélange]]</f>
        <v/>
      </c>
      <c r="P431">
        <f>_xlfn.XLOOKUP(TableauRecette[[#This Row],[ID]],TableauProduit[ID],TableauProduit[Total (kg) N5],0,0,1)*TableauRecette[[#This Row],[fraction mélange]]</f>
        <v/>
      </c>
      <c r="Q431">
        <f>_xlfn.XLOOKUP(TableauRecette[[#This Row],[ID]],TableauProduit[ID],TableauProduit[Total (kg) N6],0,0,1)*TableauRecette[[#This Row],[fraction mélange]]</f>
        <v/>
      </c>
      <c r="R431">
        <f>_xlfn.XLOOKUP(TableauRecette[[#This Row],[ID]],TableauProduit[ID],TableauProduit[Total (kg) N7],0,0,1)*TableauRecette[[#This Row],[fraction mélange]]</f>
        <v/>
      </c>
      <c r="S431">
        <f>_xlfn.XLOOKUP(TableauRecette[[#This Row],[ID]],TableauProduit[ID],TableauProduit[Total (kg) N8],0,0,1)*TableauRecette[[#This Row],[fraction mélange]]</f>
        <v/>
      </c>
      <c r="T431">
        <f>_xlfn.XLOOKUP(TableauRecette[[#This Row],[ID]],TableauProduit[ID],TableauProduit[Total (kg) N9],0,0,1)*TableauRecette[[#This Row],[fraction mélange]]</f>
        <v/>
      </c>
    </row>
    <row r="432">
      <c r="A432" t="inlineStr">
        <is>
          <t>Zaatar</t>
        </is>
      </c>
      <c r="B432">
        <f>TableauRecette[[#This Row],[Recette]]&amp;TableauRecette[[#This Row],[Conditionnement]]</f>
        <v/>
      </c>
      <c r="C432" t="inlineStr">
        <is>
          <t>Origan</t>
        </is>
      </c>
      <c r="D432" t="n">
        <v>2</v>
      </c>
      <c r="E432" t="inlineStr">
        <is>
          <t>Epice 100ml</t>
        </is>
      </c>
      <c r="F43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2">
        <f>IFERROR(_xlfn.XLOOKUP(TableauRecette[[#This Row],[Ingredients]],TableauIngredients[Ingredients],TableauIngredients[Prix d''achat / kg],0)*TableauRecette[[#This Row],[fraction mélange]],0)</f>
        <v/>
      </c>
      <c r="H432">
        <f>IFERROR(SUMIFS(TableauRecette[Proportion],TableauRecette[Recette],TableauRecette[[#This Row],[Recette]],TableauRecette[Conditionnement],TableauRecette[[#This Row],[Conditionnement]]),0)</f>
        <v/>
      </c>
      <c r="I432">
        <f>IFERROR(TableauRecette[[#This Row],[Prix d''achat / kg]],0)</f>
        <v/>
      </c>
      <c r="L432">
        <f>_xlfn.XLOOKUP(TableauRecette[[#This Row],[ID]],TableauProduit[ID],TableauProduit[Total (kg) N1],0,0,1)*TableauRecette[[#This Row],[fraction mélange]]</f>
        <v/>
      </c>
      <c r="M432">
        <f>_xlfn.XLOOKUP(TableauRecette[[#This Row],[ID]],TableauProduit[ID],TableauProduit[Total (kg) N2],0,0,1)*TableauRecette[[#This Row],[fraction mélange]]</f>
        <v/>
      </c>
      <c r="N432">
        <f>_xlfn.XLOOKUP(TableauRecette[[#This Row],[ID]],TableauProduit[ID],TableauProduit[Total (kg) N3],0,0,1)*TableauRecette[[#This Row],[fraction mélange]]</f>
        <v/>
      </c>
      <c r="O432">
        <f>_xlfn.XLOOKUP(TableauRecette[[#This Row],[ID]],TableauProduit[ID],TableauProduit[Total (kg) N4],0,0,1)*TableauRecette[[#This Row],[fraction mélange]]</f>
        <v/>
      </c>
      <c r="P432">
        <f>_xlfn.XLOOKUP(TableauRecette[[#This Row],[ID]],TableauProduit[ID],TableauProduit[Total (kg) N5],0,0,1)*TableauRecette[[#This Row],[fraction mélange]]</f>
        <v/>
      </c>
      <c r="Q432">
        <f>_xlfn.XLOOKUP(TableauRecette[[#This Row],[ID]],TableauProduit[ID],TableauProduit[Total (kg) N6],0,0,1)*TableauRecette[[#This Row],[fraction mélange]]</f>
        <v/>
      </c>
      <c r="R432">
        <f>_xlfn.XLOOKUP(TableauRecette[[#This Row],[ID]],TableauProduit[ID],TableauProduit[Total (kg) N7],0,0,1)*TableauRecette[[#This Row],[fraction mélange]]</f>
        <v/>
      </c>
      <c r="S432">
        <f>_xlfn.XLOOKUP(TableauRecette[[#This Row],[ID]],TableauProduit[ID],TableauProduit[Total (kg) N8],0,0,1)*TableauRecette[[#This Row],[fraction mélange]]</f>
        <v/>
      </c>
      <c r="T432">
        <f>_xlfn.XLOOKUP(TableauRecette[[#This Row],[ID]],TableauProduit[ID],TableauProduit[Total (kg) N9],0,0,1)*TableauRecette[[#This Row],[fraction mélange]]</f>
        <v/>
      </c>
    </row>
    <row r="433">
      <c r="A433" t="inlineStr">
        <is>
          <t>Zaatar</t>
        </is>
      </c>
      <c r="B433">
        <f>TableauRecette[[#This Row],[Recette]]&amp;TableauRecette[[#This Row],[Conditionnement]]</f>
        <v/>
      </c>
      <c r="C433" t="inlineStr">
        <is>
          <t>Sumac</t>
        </is>
      </c>
      <c r="D433" t="n">
        <v>2</v>
      </c>
      <c r="E433" t="inlineStr">
        <is>
          <t>Epice 100ml</t>
        </is>
      </c>
      <c r="F4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3">
        <f>IFERROR(_xlfn.XLOOKUP(TableauRecette[[#This Row],[Ingredients]],TableauIngredients[Ingredients],TableauIngredients[Prix d''achat / kg],0)*TableauRecette[[#This Row],[fraction mélange]],0)</f>
        <v/>
      </c>
      <c r="H433">
        <f>IFERROR(SUMIFS(TableauRecette[Proportion],TableauRecette[Recette],TableauRecette[[#This Row],[Recette]],TableauRecette[Conditionnement],TableauRecette[[#This Row],[Conditionnement]]),0)</f>
        <v/>
      </c>
      <c r="I433">
        <f>IFERROR(TableauRecette[[#This Row],[Prix d''achat / kg]],0)</f>
        <v/>
      </c>
      <c r="L433">
        <f>_xlfn.XLOOKUP(TableauRecette[[#This Row],[ID]],TableauProduit[ID],TableauProduit[Total (kg) N1],0,0,1)*TableauRecette[[#This Row],[fraction mélange]]</f>
        <v/>
      </c>
      <c r="M433">
        <f>_xlfn.XLOOKUP(TableauRecette[[#This Row],[ID]],TableauProduit[ID],TableauProduit[Total (kg) N2],0,0,1)*TableauRecette[[#This Row],[fraction mélange]]</f>
        <v/>
      </c>
      <c r="N433">
        <f>_xlfn.XLOOKUP(TableauRecette[[#This Row],[ID]],TableauProduit[ID],TableauProduit[Total (kg) N3],0,0,1)*TableauRecette[[#This Row],[fraction mélange]]</f>
        <v/>
      </c>
      <c r="O433">
        <f>_xlfn.XLOOKUP(TableauRecette[[#This Row],[ID]],TableauProduit[ID],TableauProduit[Total (kg) N4],0,0,1)*TableauRecette[[#This Row],[fraction mélange]]</f>
        <v/>
      </c>
      <c r="P433">
        <f>_xlfn.XLOOKUP(TableauRecette[[#This Row],[ID]],TableauProduit[ID],TableauProduit[Total (kg) N5],0,0,1)*TableauRecette[[#This Row],[fraction mélange]]</f>
        <v/>
      </c>
      <c r="Q433">
        <f>_xlfn.XLOOKUP(TableauRecette[[#This Row],[ID]],TableauProduit[ID],TableauProduit[Total (kg) N6],0,0,1)*TableauRecette[[#This Row],[fraction mélange]]</f>
        <v/>
      </c>
      <c r="R433">
        <f>_xlfn.XLOOKUP(TableauRecette[[#This Row],[ID]],TableauProduit[ID],TableauProduit[Total (kg) N7],0,0,1)*TableauRecette[[#This Row],[fraction mélange]]</f>
        <v/>
      </c>
      <c r="S433">
        <f>_xlfn.XLOOKUP(TableauRecette[[#This Row],[ID]],TableauProduit[ID],TableauProduit[Total (kg) N8],0,0,1)*TableauRecette[[#This Row],[fraction mélange]]</f>
        <v/>
      </c>
      <c r="T433">
        <f>_xlfn.XLOOKUP(TableauRecette[[#This Row],[ID]],TableauProduit[ID],TableauProduit[Total (kg) N9],0,0,1)*TableauRecette[[#This Row],[fraction mélange]]</f>
        <v/>
      </c>
    </row>
    <row r="434">
      <c r="A434" t="inlineStr">
        <is>
          <t>Zhug</t>
        </is>
      </c>
      <c r="B434">
        <f>TableauRecette[[#This Row],[Recette]]&amp;TableauRecette[[#This Row],[Conditionnement]]</f>
        <v/>
      </c>
      <c r="C434" t="inlineStr">
        <is>
          <t>Ail</t>
        </is>
      </c>
      <c r="D434" t="n">
        <v>12</v>
      </c>
      <c r="E434" t="inlineStr">
        <is>
          <t>Epice 100ml</t>
        </is>
      </c>
      <c r="F43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4">
        <f>IFERROR(_xlfn.XLOOKUP(TableauRecette[[#This Row],[Ingredients]],TableauIngredients[Ingredients],TableauIngredients[Prix d''achat / kg],0)*TableauRecette[[#This Row],[fraction mélange]],0)</f>
        <v/>
      </c>
      <c r="H434">
        <f>IFERROR(SUMIFS(TableauRecette[Proportion],TableauRecette[Recette],TableauRecette[[#This Row],[Recette]],TableauRecette[Conditionnement],TableauRecette[[#This Row],[Conditionnement]]),0)</f>
        <v/>
      </c>
      <c r="I434">
        <f>IFERROR(TableauRecette[[#This Row],[Prix d''achat / kg]],0)</f>
        <v/>
      </c>
      <c r="L434">
        <f>_xlfn.XLOOKUP(TableauRecette[[#This Row],[ID]],TableauProduit[ID],TableauProduit[Total (kg) N1],0,0,1)*TableauRecette[[#This Row],[fraction mélange]]</f>
        <v/>
      </c>
      <c r="M434">
        <f>_xlfn.XLOOKUP(TableauRecette[[#This Row],[ID]],TableauProduit[ID],TableauProduit[Total (kg) N2],0,0,1)*TableauRecette[[#This Row],[fraction mélange]]</f>
        <v/>
      </c>
      <c r="N434">
        <f>_xlfn.XLOOKUP(TableauRecette[[#This Row],[ID]],TableauProduit[ID],TableauProduit[Total (kg) N3],0,0,1)*TableauRecette[[#This Row],[fraction mélange]]</f>
        <v/>
      </c>
      <c r="O434">
        <f>_xlfn.XLOOKUP(TableauRecette[[#This Row],[ID]],TableauProduit[ID],TableauProduit[Total (kg) N4],0,0,1)*TableauRecette[[#This Row],[fraction mélange]]</f>
        <v/>
      </c>
      <c r="P434">
        <f>_xlfn.XLOOKUP(TableauRecette[[#This Row],[ID]],TableauProduit[ID],TableauProduit[Total (kg) N5],0,0,1)*TableauRecette[[#This Row],[fraction mélange]]</f>
        <v/>
      </c>
      <c r="Q434">
        <f>_xlfn.XLOOKUP(TableauRecette[[#This Row],[ID]],TableauProduit[ID],TableauProduit[Total (kg) N6],0,0,1)*TableauRecette[[#This Row],[fraction mélange]]</f>
        <v/>
      </c>
      <c r="R434">
        <f>_xlfn.XLOOKUP(TableauRecette[[#This Row],[ID]],TableauProduit[ID],TableauProduit[Total (kg) N7],0,0,1)*TableauRecette[[#This Row],[fraction mélange]]</f>
        <v/>
      </c>
      <c r="S434">
        <f>_xlfn.XLOOKUP(TableauRecette[[#This Row],[ID]],TableauProduit[ID],TableauProduit[Total (kg) N8],0,0,1)*TableauRecette[[#This Row],[fraction mélange]]</f>
        <v/>
      </c>
      <c r="T434">
        <f>_xlfn.XLOOKUP(TableauRecette[[#This Row],[ID]],TableauProduit[ID],TableauProduit[Total (kg) N9],0,0,1)*TableauRecette[[#This Row],[fraction mélange]]</f>
        <v/>
      </c>
    </row>
    <row r="435">
      <c r="A435" t="inlineStr">
        <is>
          <t>Zhug</t>
        </is>
      </c>
      <c r="B435">
        <f>TableauRecette[[#This Row],[Recette]]&amp;TableauRecette[[#This Row],[Conditionnement]]</f>
        <v/>
      </c>
      <c r="C435" t="inlineStr">
        <is>
          <t>Graine De Cardamome</t>
        </is>
      </c>
      <c r="D435" t="n">
        <v>2.1</v>
      </c>
      <c r="E435" t="inlineStr">
        <is>
          <t>Epice 100ml</t>
        </is>
      </c>
      <c r="F43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5">
        <f>IFERROR(_xlfn.XLOOKUP(TableauRecette[[#This Row],[Ingredients]],TableauIngredients[Ingredients],TableauIngredients[Prix d''achat / kg],0)*TableauRecette[[#This Row],[fraction mélange]],0)</f>
        <v/>
      </c>
      <c r="H435">
        <f>IFERROR(SUMIFS(TableauRecette[Proportion],TableauRecette[Recette],TableauRecette[[#This Row],[Recette]],TableauRecette[Conditionnement],TableauRecette[[#This Row],[Conditionnement]]),0)</f>
        <v/>
      </c>
      <c r="I435">
        <f>IFERROR(TableauRecette[[#This Row],[Prix d''achat / kg]],0)</f>
        <v/>
      </c>
      <c r="L435">
        <f>_xlfn.XLOOKUP(TableauRecette[[#This Row],[ID]],TableauProduit[ID],TableauProduit[Total (kg) N1],0,0,1)*TableauRecette[[#This Row],[fraction mélange]]</f>
        <v/>
      </c>
      <c r="M435">
        <f>_xlfn.XLOOKUP(TableauRecette[[#This Row],[ID]],TableauProduit[ID],TableauProduit[Total (kg) N2],0,0,1)*TableauRecette[[#This Row],[fraction mélange]]</f>
        <v/>
      </c>
      <c r="N435">
        <f>_xlfn.XLOOKUP(TableauRecette[[#This Row],[ID]],TableauProduit[ID],TableauProduit[Total (kg) N3],0,0,1)*TableauRecette[[#This Row],[fraction mélange]]</f>
        <v/>
      </c>
      <c r="O435">
        <f>_xlfn.XLOOKUP(TableauRecette[[#This Row],[ID]],TableauProduit[ID],TableauProduit[Total (kg) N4],0,0,1)*TableauRecette[[#This Row],[fraction mélange]]</f>
        <v/>
      </c>
      <c r="P435">
        <f>_xlfn.XLOOKUP(TableauRecette[[#This Row],[ID]],TableauProduit[ID],TableauProduit[Total (kg) N5],0,0,1)*TableauRecette[[#This Row],[fraction mélange]]</f>
        <v/>
      </c>
      <c r="Q435">
        <f>_xlfn.XLOOKUP(TableauRecette[[#This Row],[ID]],TableauProduit[ID],TableauProduit[Total (kg) N6],0,0,1)*TableauRecette[[#This Row],[fraction mélange]]</f>
        <v/>
      </c>
      <c r="R435">
        <f>_xlfn.XLOOKUP(TableauRecette[[#This Row],[ID]],TableauProduit[ID],TableauProduit[Total (kg) N7],0,0,1)*TableauRecette[[#This Row],[fraction mélange]]</f>
        <v/>
      </c>
      <c r="S435">
        <f>_xlfn.XLOOKUP(TableauRecette[[#This Row],[ID]],TableauProduit[ID],TableauProduit[Total (kg) N8],0,0,1)*TableauRecette[[#This Row],[fraction mélange]]</f>
        <v/>
      </c>
      <c r="T435">
        <f>_xlfn.XLOOKUP(TableauRecette[[#This Row],[ID]],TableauProduit[ID],TableauProduit[Total (kg) N9],0,0,1)*TableauRecette[[#This Row],[fraction mélange]]</f>
        <v/>
      </c>
    </row>
    <row r="436">
      <c r="A436" t="inlineStr">
        <is>
          <t>Zhug</t>
        </is>
      </c>
      <c r="B436">
        <f>TableauRecette[[#This Row],[Recette]]&amp;TableauRecette[[#This Row],[Conditionnement]]</f>
        <v/>
      </c>
      <c r="C436" t="inlineStr">
        <is>
          <t>Coriandre Graine</t>
        </is>
      </c>
      <c r="D436" t="n">
        <v>2.4</v>
      </c>
      <c r="E436" t="inlineStr">
        <is>
          <t>Epice 100ml</t>
        </is>
      </c>
      <c r="F43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6">
        <f>IFERROR(_xlfn.XLOOKUP(TableauRecette[[#This Row],[Ingredients]],TableauIngredients[Ingredients],TableauIngredients[Prix d''achat / kg],0)*TableauRecette[[#This Row],[fraction mélange]],0)</f>
        <v/>
      </c>
      <c r="H436">
        <f>IFERROR(SUMIFS(TableauRecette[Proportion],TableauRecette[Recette],TableauRecette[[#This Row],[Recette]],TableauRecette[Conditionnement],TableauRecette[[#This Row],[Conditionnement]]),0)</f>
        <v/>
      </c>
      <c r="I436">
        <f>IFERROR(TableauRecette[[#This Row],[Prix d''achat / kg]],0)</f>
        <v/>
      </c>
      <c r="L436">
        <f>_xlfn.XLOOKUP(TableauRecette[[#This Row],[ID]],TableauProduit[ID],TableauProduit[Total (kg) N1],0,0,1)*TableauRecette[[#This Row],[fraction mélange]]</f>
        <v/>
      </c>
      <c r="M436">
        <f>_xlfn.XLOOKUP(TableauRecette[[#This Row],[ID]],TableauProduit[ID],TableauProduit[Total (kg) N2],0,0,1)*TableauRecette[[#This Row],[fraction mélange]]</f>
        <v/>
      </c>
      <c r="N436">
        <f>_xlfn.XLOOKUP(TableauRecette[[#This Row],[ID]],TableauProduit[ID],TableauProduit[Total (kg) N3],0,0,1)*TableauRecette[[#This Row],[fraction mélange]]</f>
        <v/>
      </c>
      <c r="O436">
        <f>_xlfn.XLOOKUP(TableauRecette[[#This Row],[ID]],TableauProduit[ID],TableauProduit[Total (kg) N4],0,0,1)*TableauRecette[[#This Row],[fraction mélange]]</f>
        <v/>
      </c>
      <c r="P436">
        <f>_xlfn.XLOOKUP(TableauRecette[[#This Row],[ID]],TableauProduit[ID],TableauProduit[Total (kg) N5],0,0,1)*TableauRecette[[#This Row],[fraction mélange]]</f>
        <v/>
      </c>
      <c r="Q436">
        <f>_xlfn.XLOOKUP(TableauRecette[[#This Row],[ID]],TableauProduit[ID],TableauProduit[Total (kg) N6],0,0,1)*TableauRecette[[#This Row],[fraction mélange]]</f>
        <v/>
      </c>
      <c r="R436">
        <f>_xlfn.XLOOKUP(TableauRecette[[#This Row],[ID]],TableauProduit[ID],TableauProduit[Total (kg) N7],0,0,1)*TableauRecette[[#This Row],[fraction mélange]]</f>
        <v/>
      </c>
      <c r="S436">
        <f>_xlfn.XLOOKUP(TableauRecette[[#This Row],[ID]],TableauProduit[ID],TableauProduit[Total (kg) N8],0,0,1)*TableauRecette[[#This Row],[fraction mélange]]</f>
        <v/>
      </c>
      <c r="T436">
        <f>_xlfn.XLOOKUP(TableauRecette[[#This Row],[ID]],TableauProduit[ID],TableauProduit[Total (kg) N9],0,0,1)*TableauRecette[[#This Row],[fraction mélange]]</f>
        <v/>
      </c>
    </row>
    <row r="437">
      <c r="A437" t="inlineStr">
        <is>
          <t>Zhug</t>
        </is>
      </c>
      <c r="B437">
        <f>TableauRecette[[#This Row],[Recette]]&amp;TableauRecette[[#This Row],[Conditionnement]]</f>
        <v/>
      </c>
      <c r="C437" t="inlineStr">
        <is>
          <t>Cumin Moulu</t>
        </is>
      </c>
      <c r="D437" t="n">
        <v>1</v>
      </c>
      <c r="E437" t="inlineStr">
        <is>
          <t>Epice 100ml</t>
        </is>
      </c>
      <c r="F43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7">
        <f>IFERROR(_xlfn.XLOOKUP(TableauRecette[[#This Row],[Ingredients]],TableauIngredients[Ingredients],TableauIngredients[Prix d''achat / kg],0)*TableauRecette[[#This Row],[fraction mélange]],0)</f>
        <v/>
      </c>
      <c r="H437">
        <f>IFERROR(SUMIFS(TableauRecette[Proportion],TableauRecette[Recette],TableauRecette[[#This Row],[Recette]],TableauRecette[Conditionnement],TableauRecette[[#This Row],[Conditionnement]]),0)</f>
        <v/>
      </c>
      <c r="I437">
        <f>IFERROR(TableauRecette[[#This Row],[Prix d''achat / kg]],0)</f>
        <v/>
      </c>
      <c r="L437">
        <f>_xlfn.XLOOKUP(TableauRecette[[#This Row],[ID]],TableauProduit[ID],TableauProduit[Total (kg) N1],0,0,1)*TableauRecette[[#This Row],[fraction mélange]]</f>
        <v/>
      </c>
      <c r="M437">
        <f>_xlfn.XLOOKUP(TableauRecette[[#This Row],[ID]],TableauProduit[ID],TableauProduit[Total (kg) N2],0,0,1)*TableauRecette[[#This Row],[fraction mélange]]</f>
        <v/>
      </c>
      <c r="N437">
        <f>_xlfn.XLOOKUP(TableauRecette[[#This Row],[ID]],TableauProduit[ID],TableauProduit[Total (kg) N3],0,0,1)*TableauRecette[[#This Row],[fraction mélange]]</f>
        <v/>
      </c>
      <c r="O437">
        <f>_xlfn.XLOOKUP(TableauRecette[[#This Row],[ID]],TableauProduit[ID],TableauProduit[Total (kg) N4],0,0,1)*TableauRecette[[#This Row],[fraction mélange]]</f>
        <v/>
      </c>
      <c r="P437">
        <f>_xlfn.XLOOKUP(TableauRecette[[#This Row],[ID]],TableauProduit[ID],TableauProduit[Total (kg) N5],0,0,1)*TableauRecette[[#This Row],[fraction mélange]]</f>
        <v/>
      </c>
      <c r="Q437">
        <f>_xlfn.XLOOKUP(TableauRecette[[#This Row],[ID]],TableauProduit[ID],TableauProduit[Total (kg) N6],0,0,1)*TableauRecette[[#This Row],[fraction mélange]]</f>
        <v/>
      </c>
      <c r="R437">
        <f>_xlfn.XLOOKUP(TableauRecette[[#This Row],[ID]],TableauProduit[ID],TableauProduit[Total (kg) N7],0,0,1)*TableauRecette[[#This Row],[fraction mélange]]</f>
        <v/>
      </c>
      <c r="S437">
        <f>_xlfn.XLOOKUP(TableauRecette[[#This Row],[ID]],TableauProduit[ID],TableauProduit[Total (kg) N8],0,0,1)*TableauRecette[[#This Row],[fraction mélange]]</f>
        <v/>
      </c>
      <c r="T437">
        <f>_xlfn.XLOOKUP(TableauRecette[[#This Row],[ID]],TableauProduit[ID],TableauProduit[Total (kg) N9],0,0,1)*TableauRecette[[#This Row],[fraction mélange]]</f>
        <v/>
      </c>
    </row>
    <row r="438">
      <c r="A438" t="inlineStr">
        <is>
          <t>Zhug</t>
        </is>
      </c>
      <c r="B438">
        <f>TableauRecette[[#This Row],[Recette]]&amp;TableauRecette[[#This Row],[Conditionnement]]</f>
        <v/>
      </c>
      <c r="C438" t="inlineStr">
        <is>
          <t>Piments Verts</t>
        </is>
      </c>
      <c r="D438" t="n">
        <v>30</v>
      </c>
      <c r="E438" t="inlineStr">
        <is>
          <t>Epice 100ml</t>
        </is>
      </c>
      <c r="F43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8">
        <f>IFERROR(_xlfn.XLOOKUP(TableauRecette[[#This Row],[Ingredients]],TableauIngredients[Ingredients],TableauIngredients[Prix d''achat / kg],0)*TableauRecette[[#This Row],[fraction mélange]],0)</f>
        <v/>
      </c>
      <c r="H438">
        <f>IFERROR(SUMIFS(TableauRecette[Proportion],TableauRecette[Recette],TableauRecette[[#This Row],[Recette]],TableauRecette[Conditionnement],TableauRecette[[#This Row],[Conditionnement]]),0)</f>
        <v/>
      </c>
      <c r="I438">
        <f>IFERROR(TableauRecette[[#This Row],[Prix d''achat / kg]],0)</f>
        <v/>
      </c>
      <c r="L438">
        <f>_xlfn.XLOOKUP(TableauRecette[[#This Row],[ID]],TableauProduit[ID],TableauProduit[Total (kg) N1],0,0,1)*TableauRecette[[#This Row],[fraction mélange]]</f>
        <v/>
      </c>
      <c r="M438">
        <f>_xlfn.XLOOKUP(TableauRecette[[#This Row],[ID]],TableauProduit[ID],TableauProduit[Total (kg) N2],0,0,1)*TableauRecette[[#This Row],[fraction mélange]]</f>
        <v/>
      </c>
      <c r="N438">
        <f>_xlfn.XLOOKUP(TableauRecette[[#This Row],[ID]],TableauProduit[ID],TableauProduit[Total (kg) N3],0,0,1)*TableauRecette[[#This Row],[fraction mélange]]</f>
        <v/>
      </c>
      <c r="O438">
        <f>_xlfn.XLOOKUP(TableauRecette[[#This Row],[ID]],TableauProduit[ID],TableauProduit[Total (kg) N4],0,0,1)*TableauRecette[[#This Row],[fraction mélange]]</f>
        <v/>
      </c>
      <c r="P438">
        <f>_xlfn.XLOOKUP(TableauRecette[[#This Row],[ID]],TableauProduit[ID],TableauProduit[Total (kg) N5],0,0,1)*TableauRecette[[#This Row],[fraction mélange]]</f>
        <v/>
      </c>
      <c r="Q438">
        <f>_xlfn.XLOOKUP(TableauRecette[[#This Row],[ID]],TableauProduit[ID],TableauProduit[Total (kg) N6],0,0,1)*TableauRecette[[#This Row],[fraction mélange]]</f>
        <v/>
      </c>
      <c r="R438">
        <f>_xlfn.XLOOKUP(TableauRecette[[#This Row],[ID]],TableauProduit[ID],TableauProduit[Total (kg) N7],0,0,1)*TableauRecette[[#This Row],[fraction mélange]]</f>
        <v/>
      </c>
      <c r="S438">
        <f>_xlfn.XLOOKUP(TableauRecette[[#This Row],[ID]],TableauProduit[ID],TableauProduit[Total (kg) N8],0,0,1)*TableauRecette[[#This Row],[fraction mélange]]</f>
        <v/>
      </c>
      <c r="T438">
        <f>_xlfn.XLOOKUP(TableauRecette[[#This Row],[ID]],TableauProduit[ID],TableauProduit[Total (kg) N9],0,0,1)*TableauRecette[[#This Row],[fraction mélange]]</f>
        <v/>
      </c>
    </row>
    <row r="439">
      <c r="A439" t="inlineStr">
        <is>
          <t>Zhug</t>
        </is>
      </c>
      <c r="B439">
        <f>TableauRecette[[#This Row],[Recette]]&amp;TableauRecette[[#This Row],[Conditionnement]]</f>
        <v/>
      </c>
      <c r="C439" t="inlineStr">
        <is>
          <t>Coriandre Feuille</t>
        </is>
      </c>
      <c r="D439" t="n">
        <v>50</v>
      </c>
      <c r="E439" t="inlineStr">
        <is>
          <t>Epice 100ml</t>
        </is>
      </c>
      <c r="F43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9">
        <f>IFERROR(_xlfn.XLOOKUP(TableauRecette[[#This Row],[Ingredients]],TableauIngredients[Ingredients],TableauIngredients[Prix d''achat / kg],0)*TableauRecette[[#This Row],[fraction mélange]],0)</f>
        <v/>
      </c>
      <c r="H439">
        <f>IFERROR(SUMIFS(TableauRecette[Proportion],TableauRecette[Recette],TableauRecette[[#This Row],[Recette]],TableauRecette[Conditionnement],TableauRecette[[#This Row],[Conditionnement]]),0)</f>
        <v/>
      </c>
      <c r="I439">
        <f>IFERROR(TableauRecette[[#This Row],[Prix d''achat / kg]],0)</f>
        <v/>
      </c>
      <c r="L439">
        <f>_xlfn.XLOOKUP(TableauRecette[[#This Row],[ID]],TableauProduit[ID],TableauProduit[Total (kg) N1],0,0,1)*TableauRecette[[#This Row],[fraction mélange]]</f>
        <v/>
      </c>
      <c r="M439">
        <f>_xlfn.XLOOKUP(TableauRecette[[#This Row],[ID]],TableauProduit[ID],TableauProduit[Total (kg) N2],0,0,1)*TableauRecette[[#This Row],[fraction mélange]]</f>
        <v/>
      </c>
      <c r="N439">
        <f>_xlfn.XLOOKUP(TableauRecette[[#This Row],[ID]],TableauProduit[ID],TableauProduit[Total (kg) N3],0,0,1)*TableauRecette[[#This Row],[fraction mélange]]</f>
        <v/>
      </c>
      <c r="O439">
        <f>_xlfn.XLOOKUP(TableauRecette[[#This Row],[ID]],TableauProduit[ID],TableauProduit[Total (kg) N4],0,0,1)*TableauRecette[[#This Row],[fraction mélange]]</f>
        <v/>
      </c>
      <c r="P439">
        <f>_xlfn.XLOOKUP(TableauRecette[[#This Row],[ID]],TableauProduit[ID],TableauProduit[Total (kg) N5],0,0,1)*TableauRecette[[#This Row],[fraction mélange]]</f>
        <v/>
      </c>
      <c r="Q439">
        <f>_xlfn.XLOOKUP(TableauRecette[[#This Row],[ID]],TableauProduit[ID],TableauProduit[Total (kg) N6],0,0,1)*TableauRecette[[#This Row],[fraction mélange]]</f>
        <v/>
      </c>
      <c r="R439">
        <f>_xlfn.XLOOKUP(TableauRecette[[#This Row],[ID]],TableauProduit[ID],TableauProduit[Total (kg) N7],0,0,1)*TableauRecette[[#This Row],[fraction mélange]]</f>
        <v/>
      </c>
      <c r="S439">
        <f>_xlfn.XLOOKUP(TableauRecette[[#This Row],[ID]],TableauProduit[ID],TableauProduit[Total (kg) N8],0,0,1)*TableauRecette[[#This Row],[fraction mélange]]</f>
        <v/>
      </c>
      <c r="T439">
        <f>_xlfn.XLOOKUP(TableauRecette[[#This Row],[ID]],TableauProduit[ID],TableauProduit[Total (kg) N9],0,0,1)*TableauRecette[[#This Row],[fraction mélange]]</f>
        <v/>
      </c>
    </row>
    <row r="440">
      <c r="A440" t="inlineStr">
        <is>
          <t>Zhug</t>
        </is>
      </c>
      <c r="B440">
        <f>TableauRecette[[#This Row],[Recette]]&amp;TableauRecette[[#This Row],[Conditionnement]]</f>
        <v/>
      </c>
      <c r="C440" t="inlineStr">
        <is>
          <t>Persil</t>
        </is>
      </c>
      <c r="D440" t="n">
        <v>50</v>
      </c>
      <c r="E440" t="inlineStr">
        <is>
          <t>Epice 100ml</t>
        </is>
      </c>
      <c r="F44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0">
        <f>IFERROR(_xlfn.XLOOKUP(TableauRecette[[#This Row],[Ingredients]],TableauIngredients[Ingredients],TableauIngredients[Prix d''achat / kg],0)*TableauRecette[[#This Row],[fraction mélange]],0)</f>
        <v/>
      </c>
      <c r="H440">
        <f>IFERROR(SUMIFS(TableauRecette[Proportion],TableauRecette[Recette],TableauRecette[[#This Row],[Recette]],TableauRecette[Conditionnement],TableauRecette[[#This Row],[Conditionnement]]),0)</f>
        <v/>
      </c>
      <c r="I440">
        <f>IFERROR(TableauRecette[[#This Row],[Prix d''achat / kg]],0)</f>
        <v/>
      </c>
      <c r="L440">
        <f>_xlfn.XLOOKUP(TableauRecette[[#This Row],[ID]],TableauProduit[ID],TableauProduit[Total (kg) N1],0,0,1)*TableauRecette[[#This Row],[fraction mélange]]</f>
        <v/>
      </c>
      <c r="M440">
        <f>_xlfn.XLOOKUP(TableauRecette[[#This Row],[ID]],TableauProduit[ID],TableauProduit[Total (kg) N2],0,0,1)*TableauRecette[[#This Row],[fraction mélange]]</f>
        <v/>
      </c>
      <c r="N440">
        <f>_xlfn.XLOOKUP(TableauRecette[[#This Row],[ID]],TableauProduit[ID],TableauProduit[Total (kg) N3],0,0,1)*TableauRecette[[#This Row],[fraction mélange]]</f>
        <v/>
      </c>
      <c r="O440">
        <f>_xlfn.XLOOKUP(TableauRecette[[#This Row],[ID]],TableauProduit[ID],TableauProduit[Total (kg) N4],0,0,1)*TableauRecette[[#This Row],[fraction mélange]]</f>
        <v/>
      </c>
      <c r="P440">
        <f>_xlfn.XLOOKUP(TableauRecette[[#This Row],[ID]],TableauProduit[ID],TableauProduit[Total (kg) N5],0,0,1)*TableauRecette[[#This Row],[fraction mélange]]</f>
        <v/>
      </c>
      <c r="Q440">
        <f>_xlfn.XLOOKUP(TableauRecette[[#This Row],[ID]],TableauProduit[ID],TableauProduit[Total (kg) N6],0,0,1)*TableauRecette[[#This Row],[fraction mélange]]</f>
        <v/>
      </c>
      <c r="R440">
        <f>_xlfn.XLOOKUP(TableauRecette[[#This Row],[ID]],TableauProduit[ID],TableauProduit[Total (kg) N7],0,0,1)*TableauRecette[[#This Row],[fraction mélange]]</f>
        <v/>
      </c>
      <c r="S440">
        <f>_xlfn.XLOOKUP(TableauRecette[[#This Row],[ID]],TableauProduit[ID],TableauProduit[Total (kg) N8],0,0,1)*TableauRecette[[#This Row],[fraction mélange]]</f>
        <v/>
      </c>
      <c r="T440">
        <f>_xlfn.XLOOKUP(TableauRecette[[#This Row],[ID]],TableauProduit[ID],TableauProduit[Total (kg) N9],0,0,1)*TableauRecette[[#This Row],[fraction mélange]]</f>
        <v/>
      </c>
    </row>
    <row r="441">
      <c r="A441" t="inlineStr">
        <is>
          <t>Zhug</t>
        </is>
      </c>
      <c r="B441">
        <f>TableauRecette[[#This Row],[Recette]]&amp;TableauRecette[[#This Row],[Conditionnement]]</f>
        <v/>
      </c>
      <c r="C441" t="inlineStr">
        <is>
          <t>Huile D'Olive</t>
        </is>
      </c>
      <c r="D441" t="n">
        <v>16</v>
      </c>
      <c r="E441" t="inlineStr">
        <is>
          <t>Epice 100ml</t>
        </is>
      </c>
      <c r="F44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1">
        <f>IFERROR(_xlfn.XLOOKUP(TableauRecette[[#This Row],[Ingredients]],TableauIngredients[Ingredients],TableauIngredients[Prix d''achat / kg],0)*TableauRecette[[#This Row],[fraction mélange]],0)</f>
        <v/>
      </c>
      <c r="H441">
        <f>IFERROR(SUMIFS(TableauRecette[Proportion],TableauRecette[Recette],TableauRecette[[#This Row],[Recette]],TableauRecette[Conditionnement],TableauRecette[[#This Row],[Conditionnement]]),0)</f>
        <v/>
      </c>
      <c r="I441">
        <f>IFERROR(TableauRecette[[#This Row],[Prix d''achat / kg]],0)</f>
        <v/>
      </c>
      <c r="L441">
        <f>_xlfn.XLOOKUP(TableauRecette[[#This Row],[ID]],TableauProduit[ID],TableauProduit[Total (kg) N1],0,0,1)*TableauRecette[[#This Row],[fraction mélange]]</f>
        <v/>
      </c>
      <c r="M441">
        <f>_xlfn.XLOOKUP(TableauRecette[[#This Row],[ID]],TableauProduit[ID],TableauProduit[Total (kg) N2],0,0,1)*TableauRecette[[#This Row],[fraction mélange]]</f>
        <v/>
      </c>
      <c r="N441">
        <f>_xlfn.XLOOKUP(TableauRecette[[#This Row],[ID]],TableauProduit[ID],TableauProduit[Total (kg) N3],0,0,1)*TableauRecette[[#This Row],[fraction mélange]]</f>
        <v/>
      </c>
      <c r="O441">
        <f>_xlfn.XLOOKUP(TableauRecette[[#This Row],[ID]],TableauProduit[ID],TableauProduit[Total (kg) N4],0,0,1)*TableauRecette[[#This Row],[fraction mélange]]</f>
        <v/>
      </c>
      <c r="P441">
        <f>_xlfn.XLOOKUP(TableauRecette[[#This Row],[ID]],TableauProduit[ID],TableauProduit[Total (kg) N5],0,0,1)*TableauRecette[[#This Row],[fraction mélange]]</f>
        <v/>
      </c>
      <c r="Q441">
        <f>_xlfn.XLOOKUP(TableauRecette[[#This Row],[ID]],TableauProduit[ID],TableauProduit[Total (kg) N6],0,0,1)*TableauRecette[[#This Row],[fraction mélange]]</f>
        <v/>
      </c>
      <c r="R441">
        <f>_xlfn.XLOOKUP(TableauRecette[[#This Row],[ID]],TableauProduit[ID],TableauProduit[Total (kg) N7],0,0,1)*TableauRecette[[#This Row],[fraction mélange]]</f>
        <v/>
      </c>
      <c r="S441">
        <f>_xlfn.XLOOKUP(TableauRecette[[#This Row],[ID]],TableauProduit[ID],TableauProduit[Total (kg) N8],0,0,1)*TableauRecette[[#This Row],[fraction mélange]]</f>
        <v/>
      </c>
      <c r="T441">
        <f>_xlfn.XLOOKUP(TableauRecette[[#This Row],[ID]],TableauProduit[ID],TableauProduit[Total (kg) N9],0,0,1)*TableauRecette[[#This Row],[fraction mélange]]</f>
        <v/>
      </c>
    </row>
    <row r="442">
      <c r="A442" t="inlineStr">
        <is>
          <t>Zhug</t>
        </is>
      </c>
      <c r="B442">
        <f>TableauRecette[[#This Row],[Recette]]&amp;TableauRecette[[#This Row],[Conditionnement]]</f>
        <v/>
      </c>
      <c r="C442" t="inlineStr">
        <is>
          <t>Citron Jaune</t>
        </is>
      </c>
      <c r="D442" t="n">
        <v>45</v>
      </c>
      <c r="E442" t="inlineStr">
        <is>
          <t>Epice 100ml</t>
        </is>
      </c>
      <c r="F44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2">
        <f>IFERROR(_xlfn.XLOOKUP(TableauRecette[[#This Row],[Ingredients]],TableauIngredients[Ingredients],TableauIngredients[Prix d''achat / kg],0)*TableauRecette[[#This Row],[fraction mélange]],0)</f>
        <v/>
      </c>
      <c r="H442">
        <f>IFERROR(SUMIFS(TableauRecette[Proportion],TableauRecette[Recette],TableauRecette[[#This Row],[Recette]],TableauRecette[Conditionnement],TableauRecette[[#This Row],[Conditionnement]]),0)</f>
        <v/>
      </c>
      <c r="I442">
        <f>IFERROR(TableauRecette[[#This Row],[Prix d''achat / kg]],0)</f>
        <v/>
      </c>
      <c r="L442">
        <f>_xlfn.XLOOKUP(TableauRecette[[#This Row],[ID]],TableauProduit[ID],TableauProduit[Total (kg) N1],0,0,1)*TableauRecette[[#This Row],[fraction mélange]]</f>
        <v/>
      </c>
      <c r="M442">
        <f>_xlfn.XLOOKUP(TableauRecette[[#This Row],[ID]],TableauProduit[ID],TableauProduit[Total (kg) N2],0,0,1)*TableauRecette[[#This Row],[fraction mélange]]</f>
        <v/>
      </c>
      <c r="N442">
        <f>_xlfn.XLOOKUP(TableauRecette[[#This Row],[ID]],TableauProduit[ID],TableauProduit[Total (kg) N3],0,0,1)*TableauRecette[[#This Row],[fraction mélange]]</f>
        <v/>
      </c>
      <c r="O442">
        <f>_xlfn.XLOOKUP(TableauRecette[[#This Row],[ID]],TableauProduit[ID],TableauProduit[Total (kg) N4],0,0,1)*TableauRecette[[#This Row],[fraction mélange]]</f>
        <v/>
      </c>
      <c r="P442">
        <f>_xlfn.XLOOKUP(TableauRecette[[#This Row],[ID]],TableauProduit[ID],TableauProduit[Total (kg) N5],0,0,1)*TableauRecette[[#This Row],[fraction mélange]]</f>
        <v/>
      </c>
      <c r="Q442">
        <f>_xlfn.XLOOKUP(TableauRecette[[#This Row],[ID]],TableauProduit[ID],TableauProduit[Total (kg) N6],0,0,1)*TableauRecette[[#This Row],[fraction mélange]]</f>
        <v/>
      </c>
      <c r="R442">
        <f>_xlfn.XLOOKUP(TableauRecette[[#This Row],[ID]],TableauProduit[ID],TableauProduit[Total (kg) N7],0,0,1)*TableauRecette[[#This Row],[fraction mélange]]</f>
        <v/>
      </c>
      <c r="S442">
        <f>_xlfn.XLOOKUP(TableauRecette[[#This Row],[ID]],TableauProduit[ID],TableauProduit[Total (kg) N8],0,0,1)*TableauRecette[[#This Row],[fraction mélange]]</f>
        <v/>
      </c>
      <c r="T442">
        <f>_xlfn.XLOOKUP(TableauRecette[[#This Row],[ID]],TableauProduit[ID],TableauProduit[Total (kg) N9],0,0,1)*TableauRecette[[#This Row],[fraction mélange]]</f>
        <v/>
      </c>
    </row>
    <row r="443">
      <c r="A443" t="inlineStr">
        <is>
          <t>Sel de garrigue</t>
        </is>
      </c>
      <c r="B443">
        <f>TableauRecette[[#This Row],[Recette]]&amp;TableauRecette[[#This Row],[Conditionnement]]</f>
        <v/>
      </c>
      <c r="C443" t="inlineStr">
        <is>
          <t>Sel</t>
        </is>
      </c>
      <c r="D443" t="n">
        <v>8</v>
      </c>
      <c r="E443" t="inlineStr">
        <is>
          <t>Epice 100ml</t>
        </is>
      </c>
      <c r="F44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3">
        <f>IFERROR(_xlfn.XLOOKUP(TableauRecette[[#This Row],[Ingredients]],TableauIngredients[Ingredients],TableauIngredients[Prix d''achat / kg],0)*TableauRecette[[#This Row],[fraction mélange]],0)</f>
        <v/>
      </c>
      <c r="H443">
        <f>IFERROR(SUMIFS(TableauRecette[Proportion],TableauRecette[Recette],TableauRecette[[#This Row],[Recette]],TableauRecette[Conditionnement],TableauRecette[[#This Row],[Conditionnement]]),0)</f>
        <v/>
      </c>
      <c r="I443">
        <f>IFERROR(TableauRecette[[#This Row],[Prix d''achat / kg]],0)</f>
        <v/>
      </c>
      <c r="J443" t="inlineStr">
        <is>
          <t>Aveyron</t>
        </is>
      </c>
      <c r="K443" t="inlineStr">
        <is>
          <t>SEC</t>
        </is>
      </c>
      <c r="L443">
        <f>_xlfn.XLOOKUP(TableauRecette[[#This Row],[ID]],TableauProduit[ID],TableauProduit[Total (kg) N1],0,0,1)*TableauRecette[[#This Row],[fraction mélange]]</f>
        <v/>
      </c>
      <c r="M443">
        <f>_xlfn.XLOOKUP(TableauRecette[[#This Row],[ID]],TableauProduit[ID],TableauProduit[Total (kg) N2],0,0,1)*TableauRecette[[#This Row],[fraction mélange]]</f>
        <v/>
      </c>
      <c r="N443">
        <f>_xlfn.XLOOKUP(TableauRecette[[#This Row],[ID]],TableauProduit[ID],TableauProduit[Total (kg) N3],0,0,1)*TableauRecette[[#This Row],[fraction mélange]]</f>
        <v/>
      </c>
      <c r="O443">
        <f>_xlfn.XLOOKUP(TableauRecette[[#This Row],[ID]],TableauProduit[ID],TableauProduit[Total (kg) N4],0,0,1)*TableauRecette[[#This Row],[fraction mélange]]</f>
        <v/>
      </c>
      <c r="P443">
        <f>_xlfn.XLOOKUP(TableauRecette[[#This Row],[ID]],TableauProduit[ID],TableauProduit[Total (kg) N5],0,0,1)*TableauRecette[[#This Row],[fraction mélange]]</f>
        <v/>
      </c>
      <c r="Q443">
        <f>_xlfn.XLOOKUP(TableauRecette[[#This Row],[ID]],TableauProduit[ID],TableauProduit[Total (kg) N6],0,0,1)*TableauRecette[[#This Row],[fraction mélange]]</f>
        <v/>
      </c>
      <c r="R443">
        <f>_xlfn.XLOOKUP(TableauRecette[[#This Row],[ID]],TableauProduit[ID],TableauProduit[Total (kg) N7],0,0,1)*TableauRecette[[#This Row],[fraction mélange]]</f>
        <v/>
      </c>
      <c r="S443">
        <f>_xlfn.XLOOKUP(TableauRecette[[#This Row],[ID]],TableauProduit[ID],TableauProduit[Total (kg) N8],0,0,1)*TableauRecette[[#This Row],[fraction mélange]]</f>
        <v/>
      </c>
      <c r="T443">
        <f>_xlfn.XLOOKUP(TableauRecette[[#This Row],[ID]],TableauProduit[ID],TableauProduit[Total (kg) N9],0,0,1)*TableauRecette[[#This Row],[fraction mélange]]</f>
        <v/>
      </c>
    </row>
    <row r="444">
      <c r="A444" t="inlineStr">
        <is>
          <t>Sel de garrigue</t>
        </is>
      </c>
      <c r="B444">
        <f>TableauRecette[[#This Row],[Recette]]&amp;TableauRecette[[#This Row],[Conditionnement]]</f>
        <v/>
      </c>
      <c r="C444" t="inlineStr">
        <is>
          <t>Thym SEC</t>
        </is>
      </c>
      <c r="D444" t="n">
        <v>1</v>
      </c>
      <c r="E444" t="inlineStr">
        <is>
          <t>Epice 100ml</t>
        </is>
      </c>
      <c r="F44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4">
        <f>IFERROR(_xlfn.XLOOKUP(TableauRecette[[#This Row],[Ingredients]],TableauIngredients[Ingredients],TableauIngredients[Prix d''achat / kg],0)*TableauRecette[[#This Row],[fraction mélange]],0)</f>
        <v/>
      </c>
      <c r="H444">
        <f>IFERROR(SUMIFS(TableauRecette[Proportion],TableauRecette[Recette],TableauRecette[[#This Row],[Recette]],TableauRecette[Conditionnement],TableauRecette[[#This Row],[Conditionnement]]),0)</f>
        <v/>
      </c>
      <c r="I444">
        <f>IFERROR(TableauRecette[[#This Row],[Prix d''achat / kg]],0)</f>
        <v/>
      </c>
      <c r="J444" t="inlineStr">
        <is>
          <t>Aveyron</t>
        </is>
      </c>
      <c r="K444" t="inlineStr">
        <is>
          <t>SEC</t>
        </is>
      </c>
      <c r="L444">
        <f>_xlfn.XLOOKUP(TableauRecette[[#This Row],[ID]],TableauProduit[ID],TableauProduit[Total (kg) N1],0,0,1)*TableauRecette[[#This Row],[fraction mélange]]</f>
        <v/>
      </c>
      <c r="M444">
        <f>_xlfn.XLOOKUP(TableauRecette[[#This Row],[ID]],TableauProduit[ID],TableauProduit[Total (kg) N2],0,0,1)*TableauRecette[[#This Row],[fraction mélange]]</f>
        <v/>
      </c>
      <c r="N444">
        <f>_xlfn.XLOOKUP(TableauRecette[[#This Row],[ID]],TableauProduit[ID],TableauProduit[Total (kg) N3],0,0,1)*TableauRecette[[#This Row],[fraction mélange]]</f>
        <v/>
      </c>
      <c r="O444">
        <f>_xlfn.XLOOKUP(TableauRecette[[#This Row],[ID]],TableauProduit[ID],TableauProduit[Total (kg) N4],0,0,1)*TableauRecette[[#This Row],[fraction mélange]]</f>
        <v/>
      </c>
      <c r="P444">
        <f>_xlfn.XLOOKUP(TableauRecette[[#This Row],[ID]],TableauProduit[ID],TableauProduit[Total (kg) N5],0,0,1)*TableauRecette[[#This Row],[fraction mélange]]</f>
        <v/>
      </c>
      <c r="Q444">
        <f>_xlfn.XLOOKUP(TableauRecette[[#This Row],[ID]],TableauProduit[ID],TableauProduit[Total (kg) N6],0,0,1)*TableauRecette[[#This Row],[fraction mélange]]</f>
        <v/>
      </c>
      <c r="R444">
        <f>_xlfn.XLOOKUP(TableauRecette[[#This Row],[ID]],TableauProduit[ID],TableauProduit[Total (kg) N7],0,0,1)*TableauRecette[[#This Row],[fraction mélange]]</f>
        <v/>
      </c>
      <c r="S444">
        <f>_xlfn.XLOOKUP(TableauRecette[[#This Row],[ID]],TableauProduit[ID],TableauProduit[Total (kg) N8],0,0,1)*TableauRecette[[#This Row],[fraction mélange]]</f>
        <v/>
      </c>
      <c r="T444">
        <f>_xlfn.XLOOKUP(TableauRecette[[#This Row],[ID]],TableauProduit[ID],TableauProduit[Total (kg) N9],0,0,1)*TableauRecette[[#This Row],[fraction mélange]]</f>
        <v/>
      </c>
    </row>
    <row r="445">
      <c r="A445" t="inlineStr">
        <is>
          <t>Sel de garrigue</t>
        </is>
      </c>
      <c r="B445">
        <f>TableauRecette[[#This Row],[Recette]]&amp;TableauRecette[[#This Row],[Conditionnement]]</f>
        <v/>
      </c>
      <c r="C445" t="inlineStr">
        <is>
          <t>Romarin SEC</t>
        </is>
      </c>
      <c r="D445" t="n">
        <v>0.5</v>
      </c>
      <c r="E445" t="inlineStr">
        <is>
          <t>Epice 100ml</t>
        </is>
      </c>
      <c r="F44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5">
        <f>IFERROR(_xlfn.XLOOKUP(TableauRecette[[#This Row],[Ingredients]],TableauIngredients[Ingredients],TableauIngredients[Prix d''achat / kg],0)*TableauRecette[[#This Row],[fraction mélange]],0)</f>
        <v/>
      </c>
      <c r="H445">
        <f>IFERROR(SUMIFS(TableauRecette[Proportion],TableauRecette[Recette],TableauRecette[[#This Row],[Recette]],TableauRecette[Conditionnement],TableauRecette[[#This Row],[Conditionnement]]),0)</f>
        <v/>
      </c>
      <c r="I445">
        <f>IFERROR(TableauRecette[[#This Row],[Prix d''achat / kg]],0)</f>
        <v/>
      </c>
      <c r="J445" t="inlineStr">
        <is>
          <t>Aveyron</t>
        </is>
      </c>
      <c r="K445" t="inlineStr">
        <is>
          <t>SEC</t>
        </is>
      </c>
      <c r="L445">
        <f>_xlfn.XLOOKUP(TableauRecette[[#This Row],[ID]],TableauProduit[ID],TableauProduit[Total (kg) N1],0,0,1)*TableauRecette[[#This Row],[fraction mélange]]</f>
        <v/>
      </c>
      <c r="M445">
        <f>_xlfn.XLOOKUP(TableauRecette[[#This Row],[ID]],TableauProduit[ID],TableauProduit[Total (kg) N2],0,0,1)*TableauRecette[[#This Row],[fraction mélange]]</f>
        <v/>
      </c>
      <c r="N445">
        <f>_xlfn.XLOOKUP(TableauRecette[[#This Row],[ID]],TableauProduit[ID],TableauProduit[Total (kg) N3],0,0,1)*TableauRecette[[#This Row],[fraction mélange]]</f>
        <v/>
      </c>
      <c r="O445">
        <f>_xlfn.XLOOKUP(TableauRecette[[#This Row],[ID]],TableauProduit[ID],TableauProduit[Total (kg) N4],0,0,1)*TableauRecette[[#This Row],[fraction mélange]]</f>
        <v/>
      </c>
      <c r="P445">
        <f>_xlfn.XLOOKUP(TableauRecette[[#This Row],[ID]],TableauProduit[ID],TableauProduit[Total (kg) N5],0,0,1)*TableauRecette[[#This Row],[fraction mélange]]</f>
        <v/>
      </c>
      <c r="Q445">
        <f>_xlfn.XLOOKUP(TableauRecette[[#This Row],[ID]],TableauProduit[ID],TableauProduit[Total (kg) N6],0,0,1)*TableauRecette[[#This Row],[fraction mélange]]</f>
        <v/>
      </c>
      <c r="R445">
        <f>_xlfn.XLOOKUP(TableauRecette[[#This Row],[ID]],TableauProduit[ID],TableauProduit[Total (kg) N7],0,0,1)*TableauRecette[[#This Row],[fraction mélange]]</f>
        <v/>
      </c>
      <c r="S445">
        <f>_xlfn.XLOOKUP(TableauRecette[[#This Row],[ID]],TableauProduit[ID],TableauProduit[Total (kg) N8],0,0,1)*TableauRecette[[#This Row],[fraction mélange]]</f>
        <v/>
      </c>
      <c r="T445">
        <f>_xlfn.XLOOKUP(TableauRecette[[#This Row],[ID]],TableauProduit[ID],TableauProduit[Total (kg) N9],0,0,1)*TableauRecette[[#This Row],[fraction mélange]]</f>
        <v/>
      </c>
    </row>
    <row r="446">
      <c r="A446" t="inlineStr">
        <is>
          <t>Sel de garrigue</t>
        </is>
      </c>
      <c r="B446">
        <f>TableauRecette[[#This Row],[Recette]]&amp;TableauRecette[[#This Row],[Conditionnement]]</f>
        <v/>
      </c>
      <c r="C446" t="inlineStr">
        <is>
          <t>Sarriette SEC</t>
        </is>
      </c>
      <c r="D446" t="n">
        <v>0.5</v>
      </c>
      <c r="E446" t="inlineStr">
        <is>
          <t>Epice 100ml</t>
        </is>
      </c>
      <c r="F44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6">
        <f>IFERROR(_xlfn.XLOOKUP(TableauRecette[[#This Row],[Ingredients]],TableauIngredients[Ingredients],TableauIngredients[Prix d''achat / kg],0)*TableauRecette[[#This Row],[fraction mélange]],0)</f>
        <v/>
      </c>
      <c r="H446">
        <f>IFERROR(SUMIFS(TableauRecette[Proportion],TableauRecette[Recette],TableauRecette[[#This Row],[Recette]],TableauRecette[Conditionnement],TableauRecette[[#This Row],[Conditionnement]]),0)</f>
        <v/>
      </c>
      <c r="I446">
        <f>IFERROR(TableauRecette[[#This Row],[Prix d''achat / kg]],0)</f>
        <v/>
      </c>
      <c r="J446" t="inlineStr">
        <is>
          <t>Aveyron</t>
        </is>
      </c>
      <c r="K446" t="inlineStr">
        <is>
          <t>SEC</t>
        </is>
      </c>
      <c r="L446">
        <f>_xlfn.XLOOKUP(TableauRecette[[#This Row],[ID]],TableauProduit[ID],TableauProduit[Total (kg) N1],0,0,1)*TableauRecette[[#This Row],[fraction mélange]]</f>
        <v/>
      </c>
      <c r="M446">
        <f>_xlfn.XLOOKUP(TableauRecette[[#This Row],[ID]],TableauProduit[ID],TableauProduit[Total (kg) N2],0,0,1)*TableauRecette[[#This Row],[fraction mélange]]</f>
        <v/>
      </c>
      <c r="N446">
        <f>_xlfn.XLOOKUP(TableauRecette[[#This Row],[ID]],TableauProduit[ID],TableauProduit[Total (kg) N3],0,0,1)*TableauRecette[[#This Row],[fraction mélange]]</f>
        <v/>
      </c>
      <c r="O446">
        <f>_xlfn.XLOOKUP(TableauRecette[[#This Row],[ID]],TableauProduit[ID],TableauProduit[Total (kg) N4],0,0,1)*TableauRecette[[#This Row],[fraction mélange]]</f>
        <v/>
      </c>
      <c r="P446">
        <f>_xlfn.XLOOKUP(TableauRecette[[#This Row],[ID]],TableauProduit[ID],TableauProduit[Total (kg) N5],0,0,1)*TableauRecette[[#This Row],[fraction mélange]]</f>
        <v/>
      </c>
      <c r="Q446">
        <f>_xlfn.XLOOKUP(TableauRecette[[#This Row],[ID]],TableauProduit[ID],TableauProduit[Total (kg) N6],0,0,1)*TableauRecette[[#This Row],[fraction mélange]]</f>
        <v/>
      </c>
      <c r="R446">
        <f>_xlfn.XLOOKUP(TableauRecette[[#This Row],[ID]],TableauProduit[ID],TableauProduit[Total (kg) N7],0,0,1)*TableauRecette[[#This Row],[fraction mélange]]</f>
        <v/>
      </c>
      <c r="S446">
        <f>_xlfn.XLOOKUP(TableauRecette[[#This Row],[ID]],TableauProduit[ID],TableauProduit[Total (kg) N8],0,0,1)*TableauRecette[[#This Row],[fraction mélange]]</f>
        <v/>
      </c>
      <c r="T446">
        <f>_xlfn.XLOOKUP(TableauRecette[[#This Row],[ID]],TableauProduit[ID],TableauProduit[Total (kg) N9],0,0,1)*TableauRecette[[#This Row],[fraction mélange]]</f>
        <v/>
      </c>
    </row>
    <row r="447">
      <c r="A447" t="inlineStr">
        <is>
          <t>Sel de garrigue</t>
        </is>
      </c>
      <c r="B447">
        <f>TableauRecette[[#This Row],[Recette]]&amp;TableauRecette[[#This Row],[Conditionnement]]</f>
        <v/>
      </c>
      <c r="C447" t="inlineStr">
        <is>
          <t>Ail Sec</t>
        </is>
      </c>
      <c r="D447" t="n">
        <v>0.5</v>
      </c>
      <c r="E447" t="inlineStr">
        <is>
          <t>Epice 100ml</t>
        </is>
      </c>
      <c r="F44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7">
        <f>IFERROR(_xlfn.XLOOKUP(TableauRecette[[#This Row],[Ingredients]],TableauIngredients[Ingredients],TableauIngredients[Prix d''achat / kg],0)*TableauRecette[[#This Row],[fraction mélange]],0)</f>
        <v/>
      </c>
      <c r="H447">
        <f>IFERROR(SUMIFS(TableauRecette[Proportion],TableauRecette[Recette],TableauRecette[[#This Row],[Recette]],TableauRecette[Conditionnement],TableauRecette[[#This Row],[Conditionnement]]),0)</f>
        <v/>
      </c>
      <c r="I447">
        <f>IFERROR(TableauRecette[[#This Row],[Prix d''achat / kg]],0)</f>
        <v/>
      </c>
      <c r="J447" t="inlineStr">
        <is>
          <t>Aveyron</t>
        </is>
      </c>
      <c r="K447" t="inlineStr">
        <is>
          <t>SEC</t>
        </is>
      </c>
      <c r="L447">
        <f>_xlfn.XLOOKUP(TableauRecette[[#This Row],[ID]],TableauProduit[ID],TableauProduit[Total (kg) N1],0,0,1)*TableauRecette[[#This Row],[fraction mélange]]</f>
        <v/>
      </c>
      <c r="M447">
        <f>_xlfn.XLOOKUP(TableauRecette[[#This Row],[ID]],TableauProduit[ID],TableauProduit[Total (kg) N2],0,0,1)*TableauRecette[[#This Row],[fraction mélange]]</f>
        <v/>
      </c>
      <c r="N447">
        <f>_xlfn.XLOOKUP(TableauRecette[[#This Row],[ID]],TableauProduit[ID],TableauProduit[Total (kg) N3],0,0,1)*TableauRecette[[#This Row],[fraction mélange]]</f>
        <v/>
      </c>
      <c r="O447">
        <f>_xlfn.XLOOKUP(TableauRecette[[#This Row],[ID]],TableauProduit[ID],TableauProduit[Total (kg) N4],0,0,1)*TableauRecette[[#This Row],[fraction mélange]]</f>
        <v/>
      </c>
      <c r="P447">
        <f>_xlfn.XLOOKUP(TableauRecette[[#This Row],[ID]],TableauProduit[ID],TableauProduit[Total (kg) N5],0,0,1)*TableauRecette[[#This Row],[fraction mélange]]</f>
        <v/>
      </c>
      <c r="Q447">
        <f>_xlfn.XLOOKUP(TableauRecette[[#This Row],[ID]],TableauProduit[ID],TableauProduit[Total (kg) N6],0,0,1)*TableauRecette[[#This Row],[fraction mélange]]</f>
        <v/>
      </c>
      <c r="R447">
        <f>_xlfn.XLOOKUP(TableauRecette[[#This Row],[ID]],TableauProduit[ID],TableauProduit[Total (kg) N7],0,0,1)*TableauRecette[[#This Row],[fraction mélange]]</f>
        <v/>
      </c>
      <c r="S447">
        <f>_xlfn.XLOOKUP(TableauRecette[[#This Row],[ID]],TableauProduit[ID],TableauProduit[Total (kg) N8],0,0,1)*TableauRecette[[#This Row],[fraction mélange]]</f>
        <v/>
      </c>
      <c r="T447">
        <f>_xlfn.XLOOKUP(TableauRecette[[#This Row],[ID]],TableauProduit[ID],TableauProduit[Total (kg) N9],0,0,1)*TableauRecette[[#This Row],[fraction mélange]]</f>
        <v/>
      </c>
    </row>
    <row r="448">
      <c r="A448" t="inlineStr">
        <is>
          <t>Sel de garrigue</t>
        </is>
      </c>
      <c r="B448">
        <f>TableauRecette[[#This Row],[Recette]]&amp;TableauRecette[[#This Row],[Conditionnement]]</f>
        <v/>
      </c>
      <c r="C448" t="inlineStr">
        <is>
          <t>Lavande SEC</t>
        </is>
      </c>
      <c r="D448" t="n">
        <v>0.2</v>
      </c>
      <c r="E448" t="inlineStr">
        <is>
          <t>Epice 100ml</t>
        </is>
      </c>
      <c r="F44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8">
        <f>IFERROR(_xlfn.XLOOKUP(TableauRecette[[#This Row],[Ingredients]],TableauIngredients[Ingredients],TableauIngredients[Prix d''achat / kg],0)*TableauRecette[[#This Row],[fraction mélange]],0)</f>
        <v/>
      </c>
      <c r="H448">
        <f>IFERROR(SUMIFS(TableauRecette[Proportion],TableauRecette[Recette],TableauRecette[[#This Row],[Recette]],TableauRecette[Conditionnement],TableauRecette[[#This Row],[Conditionnement]]),0)</f>
        <v/>
      </c>
      <c r="I448">
        <f>IFERROR(TableauRecette[[#This Row],[Prix d''achat / kg]],0)</f>
        <v/>
      </c>
      <c r="J448" t="inlineStr">
        <is>
          <t>Aveyron</t>
        </is>
      </c>
      <c r="K448" t="inlineStr">
        <is>
          <t>SEC</t>
        </is>
      </c>
      <c r="L448">
        <f>_xlfn.XLOOKUP(TableauRecette[[#This Row],[ID]],TableauProduit[ID],TableauProduit[Total (kg) N1],0,0,1)*TableauRecette[[#This Row],[fraction mélange]]</f>
        <v/>
      </c>
      <c r="M448">
        <f>_xlfn.XLOOKUP(TableauRecette[[#This Row],[ID]],TableauProduit[ID],TableauProduit[Total (kg) N2],0,0,1)*TableauRecette[[#This Row],[fraction mélange]]</f>
        <v/>
      </c>
      <c r="N448">
        <f>_xlfn.XLOOKUP(TableauRecette[[#This Row],[ID]],TableauProduit[ID],TableauProduit[Total (kg) N3],0,0,1)*TableauRecette[[#This Row],[fraction mélange]]</f>
        <v/>
      </c>
      <c r="O448">
        <f>_xlfn.XLOOKUP(TableauRecette[[#This Row],[ID]],TableauProduit[ID],TableauProduit[Total (kg) N4],0,0,1)*TableauRecette[[#This Row],[fraction mélange]]</f>
        <v/>
      </c>
      <c r="P448">
        <f>_xlfn.XLOOKUP(TableauRecette[[#This Row],[ID]],TableauProduit[ID],TableauProduit[Total (kg) N5],0,0,1)*TableauRecette[[#This Row],[fraction mélange]]</f>
        <v/>
      </c>
      <c r="Q448">
        <f>_xlfn.XLOOKUP(TableauRecette[[#This Row],[ID]],TableauProduit[ID],TableauProduit[Total (kg) N6],0,0,1)*TableauRecette[[#This Row],[fraction mélange]]</f>
        <v/>
      </c>
      <c r="R448">
        <f>_xlfn.XLOOKUP(TableauRecette[[#This Row],[ID]],TableauProduit[ID],TableauProduit[Total (kg) N7],0,0,1)*TableauRecette[[#This Row],[fraction mélange]]</f>
        <v/>
      </c>
      <c r="S448">
        <f>_xlfn.XLOOKUP(TableauRecette[[#This Row],[ID]],TableauProduit[ID],TableauProduit[Total (kg) N8],0,0,1)*TableauRecette[[#This Row],[fraction mélange]]</f>
        <v/>
      </c>
      <c r="T448">
        <f>_xlfn.XLOOKUP(TableauRecette[[#This Row],[ID]],TableauProduit[ID],TableauProduit[Total (kg) N9],0,0,1)*TableauRecette[[#This Row],[fraction mélange]]</f>
        <v/>
      </c>
    </row>
    <row r="449">
      <c r="A449" t="inlineStr">
        <is>
          <t>Tisane d'hiver</t>
        </is>
      </c>
      <c r="B449">
        <f>TableauRecette[[#This Row],[Recette]]&amp;TableauRecette[[#This Row],[Conditionnement]]</f>
        <v/>
      </c>
      <c r="C449" t="inlineStr">
        <is>
          <t>Thym SEC</t>
        </is>
      </c>
      <c r="D449" t="n">
        <v>2</v>
      </c>
      <c r="E449" t="inlineStr">
        <is>
          <t>Recharge craft 100ml</t>
        </is>
      </c>
      <c r="F44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9">
        <f>IFERROR(_xlfn.XLOOKUP(TableauRecette[[#This Row],[Ingredients]],TableauIngredients[Ingredients],TableauIngredients[Prix d''achat / kg],0)*TableauRecette[[#This Row],[fraction mélange]],0)</f>
        <v/>
      </c>
      <c r="H449">
        <f>IFERROR(SUMIFS(TableauRecette[Proportion],TableauRecette[Recette],TableauRecette[[#This Row],[Recette]],TableauRecette[Conditionnement],TableauRecette[[#This Row],[Conditionnement]]),0)</f>
        <v/>
      </c>
      <c r="I449">
        <f>IFERROR(TableauRecette[[#This Row],[Prix d''achat / kg]],0)</f>
        <v/>
      </c>
      <c r="J449" t="inlineStr">
        <is>
          <t>Aveyron</t>
        </is>
      </c>
      <c r="K449" t="inlineStr">
        <is>
          <t>SEC</t>
        </is>
      </c>
      <c r="L449">
        <f>_xlfn.XLOOKUP(TableauRecette[[#This Row],[ID]],TableauProduit[ID],TableauProduit[Total (kg) N1],0,0,1)*TableauRecette[[#This Row],[fraction mélange]]</f>
        <v/>
      </c>
      <c r="M449">
        <f>_xlfn.XLOOKUP(TableauRecette[[#This Row],[ID]],TableauProduit[ID],TableauProduit[Total (kg) N2],0,0,1)*TableauRecette[[#This Row],[fraction mélange]]</f>
        <v/>
      </c>
      <c r="N449">
        <f>_xlfn.XLOOKUP(TableauRecette[[#This Row],[ID]],TableauProduit[ID],TableauProduit[Total (kg) N3],0,0,1)*TableauRecette[[#This Row],[fraction mélange]]</f>
        <v/>
      </c>
      <c r="O449">
        <f>_xlfn.XLOOKUP(TableauRecette[[#This Row],[ID]],TableauProduit[ID],TableauProduit[Total (kg) N4],0,0,1)*TableauRecette[[#This Row],[fraction mélange]]</f>
        <v/>
      </c>
      <c r="P449">
        <f>_xlfn.XLOOKUP(TableauRecette[[#This Row],[ID]],TableauProduit[ID],TableauProduit[Total (kg) N5],0,0,1)*TableauRecette[[#This Row],[fraction mélange]]</f>
        <v/>
      </c>
      <c r="Q449">
        <f>_xlfn.XLOOKUP(TableauRecette[[#This Row],[ID]],TableauProduit[ID],TableauProduit[Total (kg) N6],0,0,1)*TableauRecette[[#This Row],[fraction mélange]]</f>
        <v/>
      </c>
      <c r="R449">
        <f>_xlfn.XLOOKUP(TableauRecette[[#This Row],[ID]],TableauProduit[ID],TableauProduit[Total (kg) N7],0,0,1)*TableauRecette[[#This Row],[fraction mélange]]</f>
        <v/>
      </c>
      <c r="S449">
        <f>_xlfn.XLOOKUP(TableauRecette[[#This Row],[ID]],TableauProduit[ID],TableauProduit[Total (kg) N8],0,0,1)*TableauRecette[[#This Row],[fraction mélange]]</f>
        <v/>
      </c>
      <c r="T449">
        <f>_xlfn.XLOOKUP(TableauRecette[[#This Row],[ID]],TableauProduit[ID],TableauProduit[Total (kg) N9],0,0,1)*TableauRecette[[#This Row],[fraction mélange]]</f>
        <v/>
      </c>
    </row>
    <row r="450">
      <c r="A450" t="inlineStr">
        <is>
          <t>Tisane d'hiver</t>
        </is>
      </c>
      <c r="B450">
        <f>TableauRecette[[#This Row],[Recette]]&amp;TableauRecette[[#This Row],[Conditionnement]]</f>
        <v/>
      </c>
      <c r="C450" t="inlineStr">
        <is>
          <t>Sureau SEC</t>
        </is>
      </c>
      <c r="D450" t="n">
        <v>2</v>
      </c>
      <c r="E450" t="inlineStr">
        <is>
          <t>Recharge craft 100ml</t>
        </is>
      </c>
      <c r="F45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0">
        <f>IFERROR(_xlfn.XLOOKUP(TableauRecette[[#This Row],[Ingredients]],TableauIngredients[Ingredients],TableauIngredients[Prix d''achat / kg],0)*TableauRecette[[#This Row],[fraction mélange]],0)</f>
        <v/>
      </c>
      <c r="H450">
        <f>IFERROR(SUMIFS(TableauRecette[Proportion],TableauRecette[Recette],TableauRecette[[#This Row],[Recette]],TableauRecette[Conditionnement],TableauRecette[[#This Row],[Conditionnement]]),0)</f>
        <v/>
      </c>
      <c r="I450">
        <f>IFERROR(TableauRecette[[#This Row],[Prix d''achat / kg]],0)</f>
        <v/>
      </c>
      <c r="J450" t="inlineStr">
        <is>
          <t>Aveyron</t>
        </is>
      </c>
      <c r="K450" t="inlineStr">
        <is>
          <t>SEC</t>
        </is>
      </c>
      <c r="L450">
        <f>_xlfn.XLOOKUP(TableauRecette[[#This Row],[ID]],TableauProduit[ID],TableauProduit[Total (kg) N1],0,0,1)*TableauRecette[[#This Row],[fraction mélange]]</f>
        <v/>
      </c>
      <c r="M450">
        <f>_xlfn.XLOOKUP(TableauRecette[[#This Row],[ID]],TableauProduit[ID],TableauProduit[Total (kg) N2],0,0,1)*TableauRecette[[#This Row],[fraction mélange]]</f>
        <v/>
      </c>
      <c r="N450">
        <f>_xlfn.XLOOKUP(TableauRecette[[#This Row],[ID]],TableauProduit[ID],TableauProduit[Total (kg) N3],0,0,1)*TableauRecette[[#This Row],[fraction mélange]]</f>
        <v/>
      </c>
      <c r="O450">
        <f>_xlfn.XLOOKUP(TableauRecette[[#This Row],[ID]],TableauProduit[ID],TableauProduit[Total (kg) N4],0,0,1)*TableauRecette[[#This Row],[fraction mélange]]</f>
        <v/>
      </c>
      <c r="P450">
        <f>_xlfn.XLOOKUP(TableauRecette[[#This Row],[ID]],TableauProduit[ID],TableauProduit[Total (kg) N5],0,0,1)*TableauRecette[[#This Row],[fraction mélange]]</f>
        <v/>
      </c>
      <c r="Q450">
        <f>_xlfn.XLOOKUP(TableauRecette[[#This Row],[ID]],TableauProduit[ID],TableauProduit[Total (kg) N6],0,0,1)*TableauRecette[[#This Row],[fraction mélange]]</f>
        <v/>
      </c>
      <c r="R450">
        <f>_xlfn.XLOOKUP(TableauRecette[[#This Row],[ID]],TableauProduit[ID],TableauProduit[Total (kg) N7],0,0,1)*TableauRecette[[#This Row],[fraction mélange]]</f>
        <v/>
      </c>
      <c r="S450">
        <f>_xlfn.XLOOKUP(TableauRecette[[#This Row],[ID]],TableauProduit[ID],TableauProduit[Total (kg) N8],0,0,1)*TableauRecette[[#This Row],[fraction mélange]]</f>
        <v/>
      </c>
      <c r="T450">
        <f>_xlfn.XLOOKUP(TableauRecette[[#This Row],[ID]],TableauProduit[ID],TableauProduit[Total (kg) N9],0,0,1)*TableauRecette[[#This Row],[fraction mélange]]</f>
        <v/>
      </c>
    </row>
    <row r="451">
      <c r="A451" t="inlineStr">
        <is>
          <t>Tisane d'hiver</t>
        </is>
      </c>
      <c r="B451">
        <f>TableauRecette[[#This Row],[Recette]]&amp;TableauRecette[[#This Row],[Conditionnement]]</f>
        <v/>
      </c>
      <c r="C451" t="inlineStr">
        <is>
          <t>Églantier SEC</t>
        </is>
      </c>
      <c r="D451" t="n">
        <v>3</v>
      </c>
      <c r="E451" t="inlineStr">
        <is>
          <t>Recharge craft 100ml</t>
        </is>
      </c>
      <c r="F45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1">
        <f>IFERROR(_xlfn.XLOOKUP(TableauRecette[[#This Row],[Ingredients]],TableauIngredients[Ingredients],TableauIngredients[Prix d''achat / kg],0)*TableauRecette[[#This Row],[fraction mélange]],0)</f>
        <v/>
      </c>
      <c r="H451">
        <f>IFERROR(SUMIFS(TableauRecette[Proportion],TableauRecette[Recette],TableauRecette[[#This Row],[Recette]],TableauRecette[Conditionnement],TableauRecette[[#This Row],[Conditionnement]]),0)</f>
        <v/>
      </c>
      <c r="I451">
        <f>IFERROR(TableauRecette[[#This Row],[Prix d''achat / kg]],0)</f>
        <v/>
      </c>
      <c r="J451" t="inlineStr">
        <is>
          <t>Aveyron</t>
        </is>
      </c>
      <c r="K451" t="inlineStr">
        <is>
          <t>SEC</t>
        </is>
      </c>
      <c r="L451">
        <f>_xlfn.XLOOKUP(TableauRecette[[#This Row],[ID]],TableauProduit[ID],TableauProduit[Total (kg) N1],0,0,1)*TableauRecette[[#This Row],[fraction mélange]]</f>
        <v/>
      </c>
      <c r="M451">
        <f>_xlfn.XLOOKUP(TableauRecette[[#This Row],[ID]],TableauProduit[ID],TableauProduit[Total (kg) N2],0,0,1)*TableauRecette[[#This Row],[fraction mélange]]</f>
        <v/>
      </c>
      <c r="N451">
        <f>_xlfn.XLOOKUP(TableauRecette[[#This Row],[ID]],TableauProduit[ID],TableauProduit[Total (kg) N3],0,0,1)*TableauRecette[[#This Row],[fraction mélange]]</f>
        <v/>
      </c>
      <c r="O451">
        <f>_xlfn.XLOOKUP(TableauRecette[[#This Row],[ID]],TableauProduit[ID],TableauProduit[Total (kg) N4],0,0,1)*TableauRecette[[#This Row],[fraction mélange]]</f>
        <v/>
      </c>
      <c r="P451">
        <f>_xlfn.XLOOKUP(TableauRecette[[#This Row],[ID]],TableauProduit[ID],TableauProduit[Total (kg) N5],0,0,1)*TableauRecette[[#This Row],[fraction mélange]]</f>
        <v/>
      </c>
      <c r="Q451">
        <f>_xlfn.XLOOKUP(TableauRecette[[#This Row],[ID]],TableauProduit[ID],TableauProduit[Total (kg) N6],0,0,1)*TableauRecette[[#This Row],[fraction mélange]]</f>
        <v/>
      </c>
      <c r="R451">
        <f>_xlfn.XLOOKUP(TableauRecette[[#This Row],[ID]],TableauProduit[ID],TableauProduit[Total (kg) N7],0,0,1)*TableauRecette[[#This Row],[fraction mélange]]</f>
        <v/>
      </c>
      <c r="S451">
        <f>_xlfn.XLOOKUP(TableauRecette[[#This Row],[ID]],TableauProduit[ID],TableauProduit[Total (kg) N8],0,0,1)*TableauRecette[[#This Row],[fraction mélange]]</f>
        <v/>
      </c>
      <c r="T451">
        <f>_xlfn.XLOOKUP(TableauRecette[[#This Row],[ID]],TableauProduit[ID],TableauProduit[Total (kg) N9],0,0,1)*TableauRecette[[#This Row],[fraction mélange]]</f>
        <v/>
      </c>
    </row>
    <row r="452">
      <c r="A452" t="inlineStr">
        <is>
          <t>Tisane d'hiver</t>
        </is>
      </c>
      <c r="B452">
        <f>TableauRecette[[#This Row],[Recette]]&amp;TableauRecette[[#This Row],[Conditionnement]]</f>
        <v/>
      </c>
      <c r="C452" t="inlineStr">
        <is>
          <t>Sauge SEC</t>
        </is>
      </c>
      <c r="D452" t="n">
        <v>1</v>
      </c>
      <c r="E452" t="inlineStr">
        <is>
          <t>Recharge craft 100ml</t>
        </is>
      </c>
      <c r="F45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2">
        <f>IFERROR(_xlfn.XLOOKUP(TableauRecette[[#This Row],[Ingredients]],TableauIngredients[Ingredients],TableauIngredients[Prix d''achat / kg],0)*TableauRecette[[#This Row],[fraction mélange]],0)</f>
        <v/>
      </c>
      <c r="H452">
        <f>IFERROR(SUMIFS(TableauRecette[Proportion],TableauRecette[Recette],TableauRecette[[#This Row],[Recette]],TableauRecette[Conditionnement],TableauRecette[[#This Row],[Conditionnement]]),0)</f>
        <v/>
      </c>
      <c r="I452">
        <f>IFERROR(TableauRecette[[#This Row],[Prix d''achat / kg]],0)</f>
        <v/>
      </c>
      <c r="J452" t="inlineStr">
        <is>
          <t>Aveyron</t>
        </is>
      </c>
      <c r="K452" t="inlineStr">
        <is>
          <t>SEC</t>
        </is>
      </c>
      <c r="L452">
        <f>_xlfn.XLOOKUP(TableauRecette[[#This Row],[ID]],TableauProduit[ID],TableauProduit[Total (kg) N1],0,0,1)*TableauRecette[[#This Row],[fraction mélange]]</f>
        <v/>
      </c>
      <c r="M452">
        <f>_xlfn.XLOOKUP(TableauRecette[[#This Row],[ID]],TableauProduit[ID],TableauProduit[Total (kg) N2],0,0,1)*TableauRecette[[#This Row],[fraction mélange]]</f>
        <v/>
      </c>
      <c r="N452">
        <f>_xlfn.XLOOKUP(TableauRecette[[#This Row],[ID]],TableauProduit[ID],TableauProduit[Total (kg) N3],0,0,1)*TableauRecette[[#This Row],[fraction mélange]]</f>
        <v/>
      </c>
      <c r="O452">
        <f>_xlfn.XLOOKUP(TableauRecette[[#This Row],[ID]],TableauProduit[ID],TableauProduit[Total (kg) N4],0,0,1)*TableauRecette[[#This Row],[fraction mélange]]</f>
        <v/>
      </c>
      <c r="P452">
        <f>_xlfn.XLOOKUP(TableauRecette[[#This Row],[ID]],TableauProduit[ID],TableauProduit[Total (kg) N5],0,0,1)*TableauRecette[[#This Row],[fraction mélange]]</f>
        <v/>
      </c>
      <c r="Q452">
        <f>_xlfn.XLOOKUP(TableauRecette[[#This Row],[ID]],TableauProduit[ID],TableauProduit[Total (kg) N6],0,0,1)*TableauRecette[[#This Row],[fraction mélange]]</f>
        <v/>
      </c>
      <c r="R452">
        <f>_xlfn.XLOOKUP(TableauRecette[[#This Row],[ID]],TableauProduit[ID],TableauProduit[Total (kg) N7],0,0,1)*TableauRecette[[#This Row],[fraction mélange]]</f>
        <v/>
      </c>
      <c r="S452">
        <f>_xlfn.XLOOKUP(TableauRecette[[#This Row],[ID]],TableauProduit[ID],TableauProduit[Total (kg) N8],0,0,1)*TableauRecette[[#This Row],[fraction mélange]]</f>
        <v/>
      </c>
      <c r="T452">
        <f>_xlfn.XLOOKUP(TableauRecette[[#This Row],[ID]],TableauProduit[ID],TableauProduit[Total (kg) N9],0,0,1)*TableauRecette[[#This Row],[fraction mélange]]</f>
        <v/>
      </c>
    </row>
    <row r="453">
      <c r="A453" t="inlineStr">
        <is>
          <t>Tisane d'hiver</t>
        </is>
      </c>
      <c r="B453">
        <f>TableauRecette[[#This Row],[Recette]]&amp;TableauRecette[[#This Row],[Conditionnement]]</f>
        <v/>
      </c>
      <c r="C453" t="inlineStr">
        <is>
          <t>Cassis SEC</t>
        </is>
      </c>
      <c r="D453" t="n">
        <v>1</v>
      </c>
      <c r="E453" t="inlineStr">
        <is>
          <t>Recharge craft 100ml</t>
        </is>
      </c>
      <c r="F45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3">
        <f>IFERROR(_xlfn.XLOOKUP(TableauRecette[[#This Row],[Ingredients]],TableauIngredients[Ingredients],TableauIngredients[Prix d''achat / kg],0)*TableauRecette[[#This Row],[fraction mélange]],0)</f>
        <v/>
      </c>
      <c r="H453">
        <f>IFERROR(SUMIFS(TableauRecette[Proportion],TableauRecette[Recette],TableauRecette[[#This Row],[Recette]],TableauRecette[Conditionnement],TableauRecette[[#This Row],[Conditionnement]]),0)</f>
        <v/>
      </c>
      <c r="I453">
        <f>IFERROR(TableauRecette[[#This Row],[Prix d''achat / kg]],0)</f>
        <v/>
      </c>
      <c r="J453" t="inlineStr">
        <is>
          <t>Aveyron</t>
        </is>
      </c>
      <c r="K453" t="inlineStr">
        <is>
          <t>SEC</t>
        </is>
      </c>
      <c r="L453">
        <f>_xlfn.XLOOKUP(TableauRecette[[#This Row],[ID]],TableauProduit[ID],TableauProduit[Total (kg) N1],0,0,1)*TableauRecette[[#This Row],[fraction mélange]]</f>
        <v/>
      </c>
      <c r="M453">
        <f>_xlfn.XLOOKUP(TableauRecette[[#This Row],[ID]],TableauProduit[ID],TableauProduit[Total (kg) N2],0,0,1)*TableauRecette[[#This Row],[fraction mélange]]</f>
        <v/>
      </c>
      <c r="N453">
        <f>_xlfn.XLOOKUP(TableauRecette[[#This Row],[ID]],TableauProduit[ID],TableauProduit[Total (kg) N3],0,0,1)*TableauRecette[[#This Row],[fraction mélange]]</f>
        <v/>
      </c>
      <c r="O453">
        <f>_xlfn.XLOOKUP(TableauRecette[[#This Row],[ID]],TableauProduit[ID],TableauProduit[Total (kg) N4],0,0,1)*TableauRecette[[#This Row],[fraction mélange]]</f>
        <v/>
      </c>
      <c r="P453">
        <f>_xlfn.XLOOKUP(TableauRecette[[#This Row],[ID]],TableauProduit[ID],TableauProduit[Total (kg) N5],0,0,1)*TableauRecette[[#This Row],[fraction mélange]]</f>
        <v/>
      </c>
      <c r="Q453">
        <f>_xlfn.XLOOKUP(TableauRecette[[#This Row],[ID]],TableauProduit[ID],TableauProduit[Total (kg) N6],0,0,1)*TableauRecette[[#This Row],[fraction mélange]]</f>
        <v/>
      </c>
      <c r="R453">
        <f>_xlfn.XLOOKUP(TableauRecette[[#This Row],[ID]],TableauProduit[ID],TableauProduit[Total (kg) N7],0,0,1)*TableauRecette[[#This Row],[fraction mélange]]</f>
        <v/>
      </c>
      <c r="S453">
        <f>_xlfn.XLOOKUP(TableauRecette[[#This Row],[ID]],TableauProduit[ID],TableauProduit[Total (kg) N8],0,0,1)*TableauRecette[[#This Row],[fraction mélange]]</f>
        <v/>
      </c>
      <c r="T453">
        <f>_xlfn.XLOOKUP(TableauRecette[[#This Row],[ID]],TableauProduit[ID],TableauProduit[Total (kg) N9],0,0,1)*TableauRecette[[#This Row],[fraction mélange]]</f>
        <v/>
      </c>
    </row>
    <row r="454">
      <c r="A454" t="inlineStr">
        <is>
          <t>Tisane digestive</t>
        </is>
      </c>
      <c r="B454">
        <f>TableauRecette[[#This Row],[Recette]]&amp;TableauRecette[[#This Row],[Conditionnement]]</f>
        <v/>
      </c>
      <c r="C454" t="inlineStr">
        <is>
          <t>Menthe Verte SEC</t>
        </is>
      </c>
      <c r="D454" t="n">
        <v>3</v>
      </c>
      <c r="E454" t="inlineStr">
        <is>
          <t>Recharge craft 100ml</t>
        </is>
      </c>
      <c r="F45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4">
        <f>IFERROR(_xlfn.XLOOKUP(TableauRecette[[#This Row],[Ingredients]],TableauIngredients[Ingredients],TableauIngredients[Prix d''achat / kg],0)*TableauRecette[[#This Row],[fraction mélange]],0)</f>
        <v/>
      </c>
      <c r="H454">
        <f>IFERROR(SUMIFS(TableauRecette[Proportion],TableauRecette[Recette],TableauRecette[[#This Row],[Recette]],TableauRecette[Conditionnement],TableauRecette[[#This Row],[Conditionnement]]),0)</f>
        <v/>
      </c>
      <c r="I454">
        <f>IFERROR(TableauRecette[[#This Row],[Prix d''achat / kg]],0)</f>
        <v/>
      </c>
      <c r="J454" t="inlineStr">
        <is>
          <t>Aveyron</t>
        </is>
      </c>
      <c r="K454" t="inlineStr">
        <is>
          <t>SEC</t>
        </is>
      </c>
      <c r="L454">
        <f>_xlfn.XLOOKUP(TableauRecette[[#This Row],[ID]],TableauProduit[ID],TableauProduit[Total (kg) N1],0,0,1)*TableauRecette[[#This Row],[fraction mélange]]</f>
        <v/>
      </c>
      <c r="M454">
        <f>_xlfn.XLOOKUP(TableauRecette[[#This Row],[ID]],TableauProduit[ID],TableauProduit[Total (kg) N2],0,0,1)*TableauRecette[[#This Row],[fraction mélange]]</f>
        <v/>
      </c>
      <c r="N454">
        <f>_xlfn.XLOOKUP(TableauRecette[[#This Row],[ID]],TableauProduit[ID],TableauProduit[Total (kg) N3],0,0,1)*TableauRecette[[#This Row],[fraction mélange]]</f>
        <v/>
      </c>
      <c r="O454">
        <f>_xlfn.XLOOKUP(TableauRecette[[#This Row],[ID]],TableauProduit[ID],TableauProduit[Total (kg) N4],0,0,1)*TableauRecette[[#This Row],[fraction mélange]]</f>
        <v/>
      </c>
      <c r="P454">
        <f>_xlfn.XLOOKUP(TableauRecette[[#This Row],[ID]],TableauProduit[ID],TableauProduit[Total (kg) N5],0,0,1)*TableauRecette[[#This Row],[fraction mélange]]</f>
        <v/>
      </c>
      <c r="Q454">
        <f>_xlfn.XLOOKUP(TableauRecette[[#This Row],[ID]],TableauProduit[ID],TableauProduit[Total (kg) N6],0,0,1)*TableauRecette[[#This Row],[fraction mélange]]</f>
        <v/>
      </c>
      <c r="R454">
        <f>_xlfn.XLOOKUP(TableauRecette[[#This Row],[ID]],TableauProduit[ID],TableauProduit[Total (kg) N7],0,0,1)*TableauRecette[[#This Row],[fraction mélange]]</f>
        <v/>
      </c>
      <c r="S454">
        <f>_xlfn.XLOOKUP(TableauRecette[[#This Row],[ID]],TableauProduit[ID],TableauProduit[Total (kg) N8],0,0,1)*TableauRecette[[#This Row],[fraction mélange]]</f>
        <v/>
      </c>
      <c r="T454">
        <f>_xlfn.XLOOKUP(TableauRecette[[#This Row],[ID]],TableauProduit[ID],TableauProduit[Total (kg) N9],0,0,1)*TableauRecette[[#This Row],[fraction mélange]]</f>
        <v/>
      </c>
    </row>
    <row r="455">
      <c r="A455" t="inlineStr">
        <is>
          <t>Tisane digestive</t>
        </is>
      </c>
      <c r="B455">
        <f>TableauRecette[[#This Row],[Recette]]&amp;TableauRecette[[#This Row],[Conditionnement]]</f>
        <v/>
      </c>
      <c r="C455" t="inlineStr">
        <is>
          <t>Fenouil Graine</t>
        </is>
      </c>
      <c r="D455" t="n">
        <v>2</v>
      </c>
      <c r="E455" t="inlineStr">
        <is>
          <t>Recharge craft 100ml</t>
        </is>
      </c>
      <c r="F45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5">
        <f>IFERROR(_xlfn.XLOOKUP(TableauRecette[[#This Row],[Ingredients]],TableauIngredients[Ingredients],TableauIngredients[Prix d''achat / kg],0)*TableauRecette[[#This Row],[fraction mélange]],0)</f>
        <v/>
      </c>
      <c r="H455">
        <f>IFERROR(SUMIFS(TableauRecette[Proportion],TableauRecette[Recette],TableauRecette[[#This Row],[Recette]],TableauRecette[Conditionnement],TableauRecette[[#This Row],[Conditionnement]]),0)</f>
        <v/>
      </c>
      <c r="I455">
        <f>IFERROR(TableauRecette[[#This Row],[Prix d''achat / kg]],0)</f>
        <v/>
      </c>
      <c r="J455" t="inlineStr">
        <is>
          <t>Aveyron</t>
        </is>
      </c>
      <c r="K455" t="inlineStr">
        <is>
          <t>SEC</t>
        </is>
      </c>
      <c r="L455">
        <f>_xlfn.XLOOKUP(TableauRecette[[#This Row],[ID]],TableauProduit[ID],TableauProduit[Total (kg) N1],0,0,1)*TableauRecette[[#This Row],[fraction mélange]]</f>
        <v/>
      </c>
      <c r="M455">
        <f>_xlfn.XLOOKUP(TableauRecette[[#This Row],[ID]],TableauProduit[ID],TableauProduit[Total (kg) N2],0,0,1)*TableauRecette[[#This Row],[fraction mélange]]</f>
        <v/>
      </c>
      <c r="N455">
        <f>_xlfn.XLOOKUP(TableauRecette[[#This Row],[ID]],TableauProduit[ID],TableauProduit[Total (kg) N3],0,0,1)*TableauRecette[[#This Row],[fraction mélange]]</f>
        <v/>
      </c>
      <c r="O455">
        <f>_xlfn.XLOOKUP(TableauRecette[[#This Row],[ID]],TableauProduit[ID],TableauProduit[Total (kg) N4],0,0,1)*TableauRecette[[#This Row],[fraction mélange]]</f>
        <v/>
      </c>
      <c r="P455">
        <f>_xlfn.XLOOKUP(TableauRecette[[#This Row],[ID]],TableauProduit[ID],TableauProduit[Total (kg) N5],0,0,1)*TableauRecette[[#This Row],[fraction mélange]]</f>
        <v/>
      </c>
      <c r="Q455">
        <f>_xlfn.XLOOKUP(TableauRecette[[#This Row],[ID]],TableauProduit[ID],TableauProduit[Total (kg) N6],0,0,1)*TableauRecette[[#This Row],[fraction mélange]]</f>
        <v/>
      </c>
      <c r="R455">
        <f>_xlfn.XLOOKUP(TableauRecette[[#This Row],[ID]],TableauProduit[ID],TableauProduit[Total (kg) N7],0,0,1)*TableauRecette[[#This Row],[fraction mélange]]</f>
        <v/>
      </c>
      <c r="S455">
        <f>_xlfn.XLOOKUP(TableauRecette[[#This Row],[ID]],TableauProduit[ID],TableauProduit[Total (kg) N8],0,0,1)*TableauRecette[[#This Row],[fraction mélange]]</f>
        <v/>
      </c>
      <c r="T455">
        <f>_xlfn.XLOOKUP(TableauRecette[[#This Row],[ID]],TableauProduit[ID],TableauProduit[Total (kg) N9],0,0,1)*TableauRecette[[#This Row],[fraction mélange]]</f>
        <v/>
      </c>
    </row>
    <row r="456">
      <c r="A456" t="inlineStr">
        <is>
          <t>Tisane digestive</t>
        </is>
      </c>
      <c r="B456">
        <f>TableauRecette[[#This Row],[Recette]]&amp;TableauRecette[[#This Row],[Conditionnement]]</f>
        <v/>
      </c>
      <c r="C456" t="inlineStr">
        <is>
          <t>Mélisse SEC</t>
        </is>
      </c>
      <c r="D456" t="n">
        <v>2</v>
      </c>
      <c r="E456" t="inlineStr">
        <is>
          <t>Recharge craft 100ml</t>
        </is>
      </c>
      <c r="F45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6">
        <f>IFERROR(_xlfn.XLOOKUP(TableauRecette[[#This Row],[Ingredients]],TableauIngredients[Ingredients],TableauIngredients[Prix d''achat / kg],0)*TableauRecette[[#This Row],[fraction mélange]],0)</f>
        <v/>
      </c>
      <c r="H456">
        <f>IFERROR(SUMIFS(TableauRecette[Proportion],TableauRecette[Recette],TableauRecette[[#This Row],[Recette]],TableauRecette[Conditionnement],TableauRecette[[#This Row],[Conditionnement]]),0)</f>
        <v/>
      </c>
      <c r="I456">
        <f>IFERROR(TableauRecette[[#This Row],[Prix d''achat / kg]],0)</f>
        <v/>
      </c>
      <c r="J456" t="inlineStr">
        <is>
          <t>Aveyron</t>
        </is>
      </c>
      <c r="K456" t="inlineStr">
        <is>
          <t>SEC</t>
        </is>
      </c>
      <c r="L456">
        <f>_xlfn.XLOOKUP(TableauRecette[[#This Row],[ID]],TableauProduit[ID],TableauProduit[Total (kg) N1],0,0,1)*TableauRecette[[#This Row],[fraction mélange]]</f>
        <v/>
      </c>
      <c r="M456">
        <f>_xlfn.XLOOKUP(TableauRecette[[#This Row],[ID]],TableauProduit[ID],TableauProduit[Total (kg) N2],0,0,1)*TableauRecette[[#This Row],[fraction mélange]]</f>
        <v/>
      </c>
      <c r="N456">
        <f>_xlfn.XLOOKUP(TableauRecette[[#This Row],[ID]],TableauProduit[ID],TableauProduit[Total (kg) N3],0,0,1)*TableauRecette[[#This Row],[fraction mélange]]</f>
        <v/>
      </c>
      <c r="O456">
        <f>_xlfn.XLOOKUP(TableauRecette[[#This Row],[ID]],TableauProduit[ID],TableauProduit[Total (kg) N4],0,0,1)*TableauRecette[[#This Row],[fraction mélange]]</f>
        <v/>
      </c>
      <c r="P456">
        <f>_xlfn.XLOOKUP(TableauRecette[[#This Row],[ID]],TableauProduit[ID],TableauProduit[Total (kg) N5],0,0,1)*TableauRecette[[#This Row],[fraction mélange]]</f>
        <v/>
      </c>
      <c r="Q456">
        <f>_xlfn.XLOOKUP(TableauRecette[[#This Row],[ID]],TableauProduit[ID],TableauProduit[Total (kg) N6],0,0,1)*TableauRecette[[#This Row],[fraction mélange]]</f>
        <v/>
      </c>
      <c r="R456">
        <f>_xlfn.XLOOKUP(TableauRecette[[#This Row],[ID]],TableauProduit[ID],TableauProduit[Total (kg) N7],0,0,1)*TableauRecette[[#This Row],[fraction mélange]]</f>
        <v/>
      </c>
      <c r="S456">
        <f>_xlfn.XLOOKUP(TableauRecette[[#This Row],[ID]],TableauProduit[ID],TableauProduit[Total (kg) N8],0,0,1)*TableauRecette[[#This Row],[fraction mélange]]</f>
        <v/>
      </c>
      <c r="T456">
        <f>_xlfn.XLOOKUP(TableauRecette[[#This Row],[ID]],TableauProduit[ID],TableauProduit[Total (kg) N9],0,0,1)*TableauRecette[[#This Row],[fraction mélange]]</f>
        <v/>
      </c>
    </row>
    <row r="457">
      <c r="A457" t="inlineStr">
        <is>
          <t>Tisane digestive</t>
        </is>
      </c>
      <c r="B457">
        <f>TableauRecette[[#This Row],[Recette]]&amp;TableauRecette[[#This Row],[Conditionnement]]</f>
        <v/>
      </c>
      <c r="C457" t="inlineStr">
        <is>
          <t>Camomille Romaine SEC</t>
        </is>
      </c>
      <c r="D457" t="n">
        <v>2</v>
      </c>
      <c r="E457" t="inlineStr">
        <is>
          <t>Recharge craft 100ml</t>
        </is>
      </c>
      <c r="F45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7">
        <f>IFERROR(_xlfn.XLOOKUP(TableauRecette[[#This Row],[Ingredients]],TableauIngredients[Ingredients],TableauIngredients[Prix d''achat / kg],0)*TableauRecette[[#This Row],[fraction mélange]],0)</f>
        <v/>
      </c>
      <c r="H457">
        <f>IFERROR(SUMIFS(TableauRecette[Proportion],TableauRecette[Recette],TableauRecette[[#This Row],[Recette]],TableauRecette[Conditionnement],TableauRecette[[#This Row],[Conditionnement]]),0)</f>
        <v/>
      </c>
      <c r="I457">
        <f>IFERROR(TableauRecette[[#This Row],[Prix d''achat / kg]],0)</f>
        <v/>
      </c>
      <c r="J457" t="inlineStr">
        <is>
          <t>Aveyron</t>
        </is>
      </c>
      <c r="K457" t="inlineStr">
        <is>
          <t>SEC</t>
        </is>
      </c>
      <c r="L457">
        <f>_xlfn.XLOOKUP(TableauRecette[[#This Row],[ID]],TableauProduit[ID],TableauProduit[Total (kg) N1],0,0,1)*TableauRecette[[#This Row],[fraction mélange]]</f>
        <v/>
      </c>
      <c r="M457">
        <f>_xlfn.XLOOKUP(TableauRecette[[#This Row],[ID]],TableauProduit[ID],TableauProduit[Total (kg) N2],0,0,1)*TableauRecette[[#This Row],[fraction mélange]]</f>
        <v/>
      </c>
      <c r="N457">
        <f>_xlfn.XLOOKUP(TableauRecette[[#This Row],[ID]],TableauProduit[ID],TableauProduit[Total (kg) N3],0,0,1)*TableauRecette[[#This Row],[fraction mélange]]</f>
        <v/>
      </c>
      <c r="O457">
        <f>_xlfn.XLOOKUP(TableauRecette[[#This Row],[ID]],TableauProduit[ID],TableauProduit[Total (kg) N4],0,0,1)*TableauRecette[[#This Row],[fraction mélange]]</f>
        <v/>
      </c>
      <c r="P457">
        <f>_xlfn.XLOOKUP(TableauRecette[[#This Row],[ID]],TableauProduit[ID],TableauProduit[Total (kg) N5],0,0,1)*TableauRecette[[#This Row],[fraction mélange]]</f>
        <v/>
      </c>
      <c r="Q457">
        <f>_xlfn.XLOOKUP(TableauRecette[[#This Row],[ID]],TableauProduit[ID],TableauProduit[Total (kg) N6],0,0,1)*TableauRecette[[#This Row],[fraction mélange]]</f>
        <v/>
      </c>
      <c r="R457">
        <f>_xlfn.XLOOKUP(TableauRecette[[#This Row],[ID]],TableauProduit[ID],TableauProduit[Total (kg) N7],0,0,1)*TableauRecette[[#This Row],[fraction mélange]]</f>
        <v/>
      </c>
      <c r="S457">
        <f>_xlfn.XLOOKUP(TableauRecette[[#This Row],[ID]],TableauProduit[ID],TableauProduit[Total (kg) N8],0,0,1)*TableauRecette[[#This Row],[fraction mélange]]</f>
        <v/>
      </c>
      <c r="T457">
        <f>_xlfn.XLOOKUP(TableauRecette[[#This Row],[ID]],TableauProduit[ID],TableauProduit[Total (kg) N9],0,0,1)*TableauRecette[[#This Row],[fraction mélange]]</f>
        <v/>
      </c>
    </row>
    <row r="458">
      <c r="A458" t="inlineStr">
        <is>
          <t>Tisane digestive</t>
        </is>
      </c>
      <c r="B458">
        <f>TableauRecette[[#This Row],[Recette]]&amp;TableauRecette[[#This Row],[Conditionnement]]</f>
        <v/>
      </c>
      <c r="C458" t="inlineStr">
        <is>
          <t>Verveine Citronnelle SEC</t>
        </is>
      </c>
      <c r="D458" t="n">
        <v>1</v>
      </c>
      <c r="E458" t="inlineStr">
        <is>
          <t>Recharge craft 100ml</t>
        </is>
      </c>
      <c r="F45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8">
        <f>IFERROR(_xlfn.XLOOKUP(TableauRecette[[#This Row],[Ingredients]],TableauIngredients[Ingredients],TableauIngredients[Prix d''achat / kg],0)*TableauRecette[[#This Row],[fraction mélange]],0)</f>
        <v/>
      </c>
      <c r="H458">
        <f>IFERROR(SUMIFS(TableauRecette[Proportion],TableauRecette[Recette],TableauRecette[[#This Row],[Recette]],TableauRecette[Conditionnement],TableauRecette[[#This Row],[Conditionnement]]),0)</f>
        <v/>
      </c>
      <c r="I458">
        <f>IFERROR(TableauRecette[[#This Row],[Prix d''achat / kg]],0)</f>
        <v/>
      </c>
      <c r="J458" t="inlineStr">
        <is>
          <t>Aveyron</t>
        </is>
      </c>
      <c r="K458" t="inlineStr">
        <is>
          <t>SEC</t>
        </is>
      </c>
      <c r="L458">
        <f>_xlfn.XLOOKUP(TableauRecette[[#This Row],[ID]],TableauProduit[ID],TableauProduit[Total (kg) N1],0,0,1)*TableauRecette[[#This Row],[fraction mélange]]</f>
        <v/>
      </c>
      <c r="M458">
        <f>_xlfn.XLOOKUP(TableauRecette[[#This Row],[ID]],TableauProduit[ID],TableauProduit[Total (kg) N2],0,0,1)*TableauRecette[[#This Row],[fraction mélange]]</f>
        <v/>
      </c>
      <c r="N458">
        <f>_xlfn.XLOOKUP(TableauRecette[[#This Row],[ID]],TableauProduit[ID],TableauProduit[Total (kg) N3],0,0,1)*TableauRecette[[#This Row],[fraction mélange]]</f>
        <v/>
      </c>
      <c r="O458">
        <f>_xlfn.XLOOKUP(TableauRecette[[#This Row],[ID]],TableauProduit[ID],TableauProduit[Total (kg) N4],0,0,1)*TableauRecette[[#This Row],[fraction mélange]]</f>
        <v/>
      </c>
      <c r="P458">
        <f>_xlfn.XLOOKUP(TableauRecette[[#This Row],[ID]],TableauProduit[ID],TableauProduit[Total (kg) N5],0,0,1)*TableauRecette[[#This Row],[fraction mélange]]</f>
        <v/>
      </c>
      <c r="Q458">
        <f>_xlfn.XLOOKUP(TableauRecette[[#This Row],[ID]],TableauProduit[ID],TableauProduit[Total (kg) N6],0,0,1)*TableauRecette[[#This Row],[fraction mélange]]</f>
        <v/>
      </c>
      <c r="R458">
        <f>_xlfn.XLOOKUP(TableauRecette[[#This Row],[ID]],TableauProduit[ID],TableauProduit[Total (kg) N7],0,0,1)*TableauRecette[[#This Row],[fraction mélange]]</f>
        <v/>
      </c>
      <c r="S458">
        <f>_xlfn.XLOOKUP(TableauRecette[[#This Row],[ID]],TableauProduit[ID],TableauProduit[Total (kg) N8],0,0,1)*TableauRecette[[#This Row],[fraction mélange]]</f>
        <v/>
      </c>
      <c r="T458">
        <f>_xlfn.XLOOKUP(TableauRecette[[#This Row],[ID]],TableauProduit[ID],TableauProduit[Total (kg) N9],0,0,1)*TableauRecette[[#This Row],[fraction mélange]]</f>
        <v/>
      </c>
    </row>
    <row r="459">
      <c r="A459" t="inlineStr">
        <is>
          <t>Cornichons lactofermentés</t>
        </is>
      </c>
      <c r="B459">
        <f>TableauRecette[[#This Row],[Recette]]&amp;TableauRecette[[#This Row],[Conditionnement]]</f>
        <v/>
      </c>
      <c r="C459" t="inlineStr">
        <is>
          <t>Cornichons</t>
        </is>
      </c>
      <c r="D459" t="n">
        <v>500</v>
      </c>
      <c r="E459" t="inlineStr">
        <is>
          <t>Cornichon fin</t>
        </is>
      </c>
      <c r="F45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9">
        <f>IFERROR(_xlfn.XLOOKUP(TableauRecette[[#This Row],[Ingredients]],TableauIngredients[Ingredients],TableauIngredients[Prix d''achat / kg],0)*TableauRecette[[#This Row],[fraction mélange]],0)</f>
        <v/>
      </c>
      <c r="H459">
        <f>IFERROR(SUMIFS(TableauRecette[Proportion],TableauRecette[Recette],TableauRecette[[#This Row],[Recette]],TableauRecette[Conditionnement],TableauRecette[[#This Row],[Conditionnement]]),0)</f>
        <v/>
      </c>
      <c r="I459">
        <f>IFERROR(TableauRecette[[#This Row],[Prix d''achat / kg]],0)</f>
        <v/>
      </c>
      <c r="J459" t="inlineStr">
        <is>
          <t>Aveyron</t>
        </is>
      </c>
      <c r="K459" t="inlineStr">
        <is>
          <t>lacto</t>
        </is>
      </c>
      <c r="L459">
        <f>_xlfn.XLOOKUP(TableauRecette[[#This Row],[ID]],TableauProduit[ID],TableauProduit[Total (kg) N1],0,0,1)*TableauRecette[[#This Row],[fraction mélange]]</f>
        <v/>
      </c>
      <c r="M459">
        <f>_xlfn.XLOOKUP(TableauRecette[[#This Row],[ID]],TableauProduit[ID],TableauProduit[Total (kg) N2],0,0,1)*TableauRecette[[#This Row],[fraction mélange]]</f>
        <v/>
      </c>
      <c r="N459">
        <f>_xlfn.XLOOKUP(TableauRecette[[#This Row],[ID]],TableauProduit[ID],TableauProduit[Total (kg) N3],0,0,1)*TableauRecette[[#This Row],[fraction mélange]]</f>
        <v/>
      </c>
      <c r="O459">
        <f>_xlfn.XLOOKUP(TableauRecette[[#This Row],[ID]],TableauProduit[ID],TableauProduit[Total (kg) N4],0,0,1)*TableauRecette[[#This Row],[fraction mélange]]</f>
        <v/>
      </c>
      <c r="P459">
        <f>_xlfn.XLOOKUP(TableauRecette[[#This Row],[ID]],TableauProduit[ID],TableauProduit[Total (kg) N5],0,0,1)*TableauRecette[[#This Row],[fraction mélange]]</f>
        <v/>
      </c>
      <c r="Q459">
        <f>_xlfn.XLOOKUP(TableauRecette[[#This Row],[ID]],TableauProduit[ID],TableauProduit[Total (kg) N6],0,0,1)*TableauRecette[[#This Row],[fraction mélange]]</f>
        <v/>
      </c>
      <c r="R459">
        <f>_xlfn.XLOOKUP(TableauRecette[[#This Row],[ID]],TableauProduit[ID],TableauProduit[Total (kg) N7],0,0,1)*TableauRecette[[#This Row],[fraction mélange]]</f>
        <v/>
      </c>
      <c r="S459">
        <f>_xlfn.XLOOKUP(TableauRecette[[#This Row],[ID]],TableauProduit[ID],TableauProduit[Total (kg) N8],0,0,1)*TableauRecette[[#This Row],[fraction mélange]]</f>
        <v/>
      </c>
      <c r="T459">
        <f>_xlfn.XLOOKUP(TableauRecette[[#This Row],[ID]],TableauProduit[ID],TableauProduit[Total (kg) N9],0,0,1)*TableauRecette[[#This Row],[fraction mélange]]</f>
        <v/>
      </c>
    </row>
    <row r="460">
      <c r="A460" t="inlineStr">
        <is>
          <t>Cornichons lactofermentés</t>
        </is>
      </c>
      <c r="B460">
        <f>TableauRecette[[#This Row],[Recette]]&amp;TableauRecette[[#This Row],[Conditionnement]]</f>
        <v/>
      </c>
      <c r="C460" t="inlineStr">
        <is>
          <t>Eau</t>
        </is>
      </c>
      <c r="D460" t="n">
        <v>1</v>
      </c>
      <c r="E460" t="inlineStr">
        <is>
          <t>Cornichon fin</t>
        </is>
      </c>
      <c r="F46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0">
        <f>IFERROR(_xlfn.XLOOKUP(TableauRecette[[#This Row],[Ingredients]],TableauIngredients[Ingredients],TableauIngredients[Prix d''achat / kg],0)*TableauRecette[[#This Row],[fraction mélange]],0)</f>
        <v/>
      </c>
      <c r="H460">
        <f>IFERROR(SUMIFS(TableauRecette[Proportion],TableauRecette[Recette],TableauRecette[[#This Row],[Recette]],TableauRecette[Conditionnement],TableauRecette[[#This Row],[Conditionnement]]),0)</f>
        <v/>
      </c>
      <c r="I460">
        <f>IFERROR(TableauRecette[[#This Row],[Prix d''achat / kg]],0)</f>
        <v/>
      </c>
      <c r="J460" t="inlineStr">
        <is>
          <t>Aveyron</t>
        </is>
      </c>
      <c r="K460" t="inlineStr">
        <is>
          <t>lacto</t>
        </is>
      </c>
      <c r="L460">
        <f>_xlfn.XLOOKUP(TableauRecette[[#This Row],[ID]],TableauProduit[ID],TableauProduit[Total (kg) N1],0,0,1)*TableauRecette[[#This Row],[fraction mélange]]</f>
        <v/>
      </c>
      <c r="M460">
        <f>_xlfn.XLOOKUP(TableauRecette[[#This Row],[ID]],TableauProduit[ID],TableauProduit[Total (kg) N2],0,0,1)*TableauRecette[[#This Row],[fraction mélange]]</f>
        <v/>
      </c>
      <c r="N460">
        <f>_xlfn.XLOOKUP(TableauRecette[[#This Row],[ID]],TableauProduit[ID],TableauProduit[Total (kg) N3],0,0,1)*TableauRecette[[#This Row],[fraction mélange]]</f>
        <v/>
      </c>
      <c r="O460">
        <f>_xlfn.XLOOKUP(TableauRecette[[#This Row],[ID]],TableauProduit[ID],TableauProduit[Total (kg) N4],0,0,1)*TableauRecette[[#This Row],[fraction mélange]]</f>
        <v/>
      </c>
      <c r="P460">
        <f>_xlfn.XLOOKUP(TableauRecette[[#This Row],[ID]],TableauProduit[ID],TableauProduit[Total (kg) N5],0,0,1)*TableauRecette[[#This Row],[fraction mélange]]</f>
        <v/>
      </c>
      <c r="Q460">
        <f>_xlfn.XLOOKUP(TableauRecette[[#This Row],[ID]],TableauProduit[ID],TableauProduit[Total (kg) N6],0,0,1)*TableauRecette[[#This Row],[fraction mélange]]</f>
        <v/>
      </c>
      <c r="R460">
        <f>_xlfn.XLOOKUP(TableauRecette[[#This Row],[ID]],TableauProduit[ID],TableauProduit[Total (kg) N7],0,0,1)*TableauRecette[[#This Row],[fraction mélange]]</f>
        <v/>
      </c>
      <c r="S460">
        <f>_xlfn.XLOOKUP(TableauRecette[[#This Row],[ID]],TableauProduit[ID],TableauProduit[Total (kg) N8],0,0,1)*TableauRecette[[#This Row],[fraction mélange]]</f>
        <v/>
      </c>
      <c r="T460">
        <f>_xlfn.XLOOKUP(TableauRecette[[#This Row],[ID]],TableauProduit[ID],TableauProduit[Total (kg) N9],0,0,1)*TableauRecette[[#This Row],[fraction mélange]]</f>
        <v/>
      </c>
    </row>
    <row r="461">
      <c r="A461" t="inlineStr">
        <is>
          <t>Cornichons lactofermentés</t>
        </is>
      </c>
      <c r="B461">
        <f>TableauRecette[[#This Row],[Recette]]&amp;TableauRecette[[#This Row],[Conditionnement]]</f>
        <v/>
      </c>
      <c r="C461" t="inlineStr">
        <is>
          <t>Sel</t>
        </is>
      </c>
      <c r="D461" t="n">
        <v>30</v>
      </c>
      <c r="E461" t="inlineStr">
        <is>
          <t>Cornichon fin</t>
        </is>
      </c>
      <c r="F46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1">
        <f>IFERROR(_xlfn.XLOOKUP(TableauRecette[[#This Row],[Ingredients]],TableauIngredients[Ingredients],TableauIngredients[Prix d''achat / kg],0)*TableauRecette[[#This Row],[fraction mélange]],0)</f>
        <v/>
      </c>
      <c r="H461">
        <f>IFERROR(SUMIFS(TableauRecette[Proportion],TableauRecette[Recette],TableauRecette[[#This Row],[Recette]],TableauRecette[Conditionnement],TableauRecette[[#This Row],[Conditionnement]]),0)</f>
        <v/>
      </c>
      <c r="I461">
        <f>IFERROR(TableauRecette[[#This Row],[Prix d''achat / kg]],0)</f>
        <v/>
      </c>
      <c r="J461" t="inlineStr">
        <is>
          <t>Aveyron</t>
        </is>
      </c>
      <c r="K461" t="inlineStr">
        <is>
          <t>lacto</t>
        </is>
      </c>
      <c r="L461">
        <f>_xlfn.XLOOKUP(TableauRecette[[#This Row],[ID]],TableauProduit[ID],TableauProduit[Total (kg) N1],0,0,1)*TableauRecette[[#This Row],[fraction mélange]]</f>
        <v/>
      </c>
      <c r="M461">
        <f>_xlfn.XLOOKUP(TableauRecette[[#This Row],[ID]],TableauProduit[ID],TableauProduit[Total (kg) N2],0,0,1)*TableauRecette[[#This Row],[fraction mélange]]</f>
        <v/>
      </c>
      <c r="N461">
        <f>_xlfn.XLOOKUP(TableauRecette[[#This Row],[ID]],TableauProduit[ID],TableauProduit[Total (kg) N3],0,0,1)*TableauRecette[[#This Row],[fraction mélange]]</f>
        <v/>
      </c>
      <c r="O461">
        <f>_xlfn.XLOOKUP(TableauRecette[[#This Row],[ID]],TableauProduit[ID],TableauProduit[Total (kg) N4],0,0,1)*TableauRecette[[#This Row],[fraction mélange]]</f>
        <v/>
      </c>
      <c r="P461">
        <f>_xlfn.XLOOKUP(TableauRecette[[#This Row],[ID]],TableauProduit[ID],TableauProduit[Total (kg) N5],0,0,1)*TableauRecette[[#This Row],[fraction mélange]]</f>
        <v/>
      </c>
      <c r="Q461">
        <f>_xlfn.XLOOKUP(TableauRecette[[#This Row],[ID]],TableauProduit[ID],TableauProduit[Total (kg) N6],0,0,1)*TableauRecette[[#This Row],[fraction mélange]]</f>
        <v/>
      </c>
      <c r="R461">
        <f>_xlfn.XLOOKUP(TableauRecette[[#This Row],[ID]],TableauProduit[ID],TableauProduit[Total (kg) N7],0,0,1)*TableauRecette[[#This Row],[fraction mélange]]</f>
        <v/>
      </c>
      <c r="S461">
        <f>_xlfn.XLOOKUP(TableauRecette[[#This Row],[ID]],TableauProduit[ID],TableauProduit[Total (kg) N8],0,0,1)*TableauRecette[[#This Row],[fraction mélange]]</f>
        <v/>
      </c>
      <c r="T461">
        <f>_xlfn.XLOOKUP(TableauRecette[[#This Row],[ID]],TableauProduit[ID],TableauProduit[Total (kg) N9],0,0,1)*TableauRecette[[#This Row],[fraction mélange]]</f>
        <v/>
      </c>
    </row>
    <row r="462">
      <c r="A462" t="inlineStr">
        <is>
          <t>Cornichons lactofermentés</t>
        </is>
      </c>
      <c r="B462">
        <f>TableauRecette[[#This Row],[Recette]]&amp;TableauRecette[[#This Row],[Conditionnement]]</f>
        <v/>
      </c>
      <c r="C462" t="inlineStr">
        <is>
          <t>Ail</t>
        </is>
      </c>
      <c r="D462" t="n">
        <v>2</v>
      </c>
      <c r="E462" t="inlineStr">
        <is>
          <t>Cornichon fin</t>
        </is>
      </c>
      <c r="F46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2">
        <f>IFERROR(_xlfn.XLOOKUP(TableauRecette[[#This Row],[Ingredients]],TableauIngredients[Ingredients],TableauIngredients[Prix d''achat / kg],0)*TableauRecette[[#This Row],[fraction mélange]],0)</f>
        <v/>
      </c>
      <c r="H462">
        <f>IFERROR(SUMIFS(TableauRecette[Proportion],TableauRecette[Recette],TableauRecette[[#This Row],[Recette]],TableauRecette[Conditionnement],TableauRecette[[#This Row],[Conditionnement]]),0)</f>
        <v/>
      </c>
      <c r="I462">
        <f>IFERROR(TableauRecette[[#This Row],[Prix d''achat / kg]],0)</f>
        <v/>
      </c>
      <c r="J462" t="inlineStr">
        <is>
          <t>Aveyron</t>
        </is>
      </c>
      <c r="K462" t="inlineStr">
        <is>
          <t>lacto</t>
        </is>
      </c>
      <c r="L462">
        <f>_xlfn.XLOOKUP(TableauRecette[[#This Row],[ID]],TableauProduit[ID],TableauProduit[Total (kg) N1],0,0,1)*TableauRecette[[#This Row],[fraction mélange]]</f>
        <v/>
      </c>
      <c r="M462">
        <f>_xlfn.XLOOKUP(TableauRecette[[#This Row],[ID]],TableauProduit[ID],TableauProduit[Total (kg) N2],0,0,1)*TableauRecette[[#This Row],[fraction mélange]]</f>
        <v/>
      </c>
      <c r="N462">
        <f>_xlfn.XLOOKUP(TableauRecette[[#This Row],[ID]],TableauProduit[ID],TableauProduit[Total (kg) N3],0,0,1)*TableauRecette[[#This Row],[fraction mélange]]</f>
        <v/>
      </c>
      <c r="O462">
        <f>_xlfn.XLOOKUP(TableauRecette[[#This Row],[ID]],TableauProduit[ID],TableauProduit[Total (kg) N4],0,0,1)*TableauRecette[[#This Row],[fraction mélange]]</f>
        <v/>
      </c>
      <c r="P462">
        <f>_xlfn.XLOOKUP(TableauRecette[[#This Row],[ID]],TableauProduit[ID],TableauProduit[Total (kg) N5],0,0,1)*TableauRecette[[#This Row],[fraction mélange]]</f>
        <v/>
      </c>
      <c r="Q462">
        <f>_xlfn.XLOOKUP(TableauRecette[[#This Row],[ID]],TableauProduit[ID],TableauProduit[Total (kg) N6],0,0,1)*TableauRecette[[#This Row],[fraction mélange]]</f>
        <v/>
      </c>
      <c r="R462">
        <f>_xlfn.XLOOKUP(TableauRecette[[#This Row],[ID]],TableauProduit[ID],TableauProduit[Total (kg) N7],0,0,1)*TableauRecette[[#This Row],[fraction mélange]]</f>
        <v/>
      </c>
      <c r="S462">
        <f>_xlfn.XLOOKUP(TableauRecette[[#This Row],[ID]],TableauProduit[ID],TableauProduit[Total (kg) N8],0,0,1)*TableauRecette[[#This Row],[fraction mélange]]</f>
        <v/>
      </c>
      <c r="T462">
        <f>_xlfn.XLOOKUP(TableauRecette[[#This Row],[ID]],TableauProduit[ID],TableauProduit[Total (kg) N9],0,0,1)*TableauRecette[[#This Row],[fraction mélange]]</f>
        <v/>
      </c>
    </row>
    <row r="463">
      <c r="A463" t="inlineStr">
        <is>
          <t>Cornichons lactofermentés</t>
        </is>
      </c>
      <c r="B463">
        <f>TableauRecette[[#This Row],[Recette]]&amp;TableauRecette[[#This Row],[Conditionnement]]</f>
        <v/>
      </c>
      <c r="C463" t="inlineStr">
        <is>
          <t>Moutarde</t>
        </is>
      </c>
      <c r="D463" t="n">
        <v>1</v>
      </c>
      <c r="E463" t="inlineStr">
        <is>
          <t>Cornichon fin</t>
        </is>
      </c>
      <c r="F46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3">
        <f>IFERROR(_xlfn.XLOOKUP(TableauRecette[[#This Row],[Ingredients]],TableauIngredients[Ingredients],TableauIngredients[Prix d''achat / kg],0)*TableauRecette[[#This Row],[fraction mélange]],0)</f>
        <v/>
      </c>
      <c r="H463">
        <f>IFERROR(SUMIFS(TableauRecette[Proportion],TableauRecette[Recette],TableauRecette[[#This Row],[Recette]],TableauRecette[Conditionnement],TableauRecette[[#This Row],[Conditionnement]]),0)</f>
        <v/>
      </c>
      <c r="I463">
        <f>IFERROR(TableauRecette[[#This Row],[Prix d''achat / kg]],0)</f>
        <v/>
      </c>
      <c r="J463" t="inlineStr">
        <is>
          <t>Aveyron</t>
        </is>
      </c>
      <c r="K463" t="inlineStr">
        <is>
          <t>lacto</t>
        </is>
      </c>
      <c r="L463">
        <f>_xlfn.XLOOKUP(TableauRecette[[#This Row],[ID]],TableauProduit[ID],TableauProduit[Total (kg) N1],0,0,1)*TableauRecette[[#This Row],[fraction mélange]]</f>
        <v/>
      </c>
      <c r="M463">
        <f>_xlfn.XLOOKUP(TableauRecette[[#This Row],[ID]],TableauProduit[ID],TableauProduit[Total (kg) N2],0,0,1)*TableauRecette[[#This Row],[fraction mélange]]</f>
        <v/>
      </c>
      <c r="N463">
        <f>_xlfn.XLOOKUP(TableauRecette[[#This Row],[ID]],TableauProduit[ID],TableauProduit[Total (kg) N3],0,0,1)*TableauRecette[[#This Row],[fraction mélange]]</f>
        <v/>
      </c>
      <c r="O463">
        <f>_xlfn.XLOOKUP(TableauRecette[[#This Row],[ID]],TableauProduit[ID],TableauProduit[Total (kg) N4],0,0,1)*TableauRecette[[#This Row],[fraction mélange]]</f>
        <v/>
      </c>
      <c r="P463">
        <f>_xlfn.XLOOKUP(TableauRecette[[#This Row],[ID]],TableauProduit[ID],TableauProduit[Total (kg) N5],0,0,1)*TableauRecette[[#This Row],[fraction mélange]]</f>
        <v/>
      </c>
      <c r="Q463">
        <f>_xlfn.XLOOKUP(TableauRecette[[#This Row],[ID]],TableauProduit[ID],TableauProduit[Total (kg) N6],0,0,1)*TableauRecette[[#This Row],[fraction mélange]]</f>
        <v/>
      </c>
      <c r="R463">
        <f>_xlfn.XLOOKUP(TableauRecette[[#This Row],[ID]],TableauProduit[ID],TableauProduit[Total (kg) N7],0,0,1)*TableauRecette[[#This Row],[fraction mélange]]</f>
        <v/>
      </c>
      <c r="S463">
        <f>_xlfn.XLOOKUP(TableauRecette[[#This Row],[ID]],TableauProduit[ID],TableauProduit[Total (kg) N8],0,0,1)*TableauRecette[[#This Row],[fraction mélange]]</f>
        <v/>
      </c>
      <c r="T463">
        <f>_xlfn.XLOOKUP(TableauRecette[[#This Row],[ID]],TableauProduit[ID],TableauProduit[Total (kg) N9],0,0,1)*TableauRecette[[#This Row],[fraction mélange]]</f>
        <v/>
      </c>
    </row>
    <row r="464">
      <c r="A464" t="inlineStr">
        <is>
          <t>Cornichons lactofermentés</t>
        </is>
      </c>
      <c r="B464">
        <f>TableauRecette[[#This Row],[Recette]]&amp;TableauRecette[[#This Row],[Conditionnement]]</f>
        <v/>
      </c>
      <c r="C464" t="inlineStr">
        <is>
          <t>Laurier sauce</t>
        </is>
      </c>
      <c r="D464" t="n">
        <v>1</v>
      </c>
      <c r="E464" t="inlineStr">
        <is>
          <t>Cornichon fin</t>
        </is>
      </c>
      <c r="F46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4">
        <f>IFERROR(_xlfn.XLOOKUP(TableauRecette[[#This Row],[Ingredients]],TableauIngredients[Ingredients],TableauIngredients[Prix d''achat / kg],0)*TableauRecette[[#This Row],[fraction mélange]],0)</f>
        <v/>
      </c>
      <c r="H464">
        <f>IFERROR(SUMIFS(TableauRecette[Proportion],TableauRecette[Recette],TableauRecette[[#This Row],[Recette]],TableauRecette[Conditionnement],TableauRecette[[#This Row],[Conditionnement]]),0)</f>
        <v/>
      </c>
      <c r="I464">
        <f>IFERROR(TableauRecette[[#This Row],[Prix d''achat / kg]],0)</f>
        <v/>
      </c>
      <c r="J464" t="inlineStr">
        <is>
          <t>Aveyron</t>
        </is>
      </c>
      <c r="K464" t="inlineStr">
        <is>
          <t>lacto</t>
        </is>
      </c>
      <c r="L464">
        <f>_xlfn.XLOOKUP(TableauRecette[[#This Row],[ID]],TableauProduit[ID],TableauProduit[Total (kg) N1],0,0,1)*TableauRecette[[#This Row],[fraction mélange]]</f>
        <v/>
      </c>
      <c r="M464">
        <f>_xlfn.XLOOKUP(TableauRecette[[#This Row],[ID]],TableauProduit[ID],TableauProduit[Total (kg) N2],0,0,1)*TableauRecette[[#This Row],[fraction mélange]]</f>
        <v/>
      </c>
      <c r="N464">
        <f>_xlfn.XLOOKUP(TableauRecette[[#This Row],[ID]],TableauProduit[ID],TableauProduit[Total (kg) N3],0,0,1)*TableauRecette[[#This Row],[fraction mélange]]</f>
        <v/>
      </c>
      <c r="O464">
        <f>_xlfn.XLOOKUP(TableauRecette[[#This Row],[ID]],TableauProduit[ID],TableauProduit[Total (kg) N4],0,0,1)*TableauRecette[[#This Row],[fraction mélange]]</f>
        <v/>
      </c>
      <c r="P464">
        <f>_xlfn.XLOOKUP(TableauRecette[[#This Row],[ID]],TableauProduit[ID],TableauProduit[Total (kg) N5],0,0,1)*TableauRecette[[#This Row],[fraction mélange]]</f>
        <v/>
      </c>
      <c r="Q464">
        <f>_xlfn.XLOOKUP(TableauRecette[[#This Row],[ID]],TableauProduit[ID],TableauProduit[Total (kg) N6],0,0,1)*TableauRecette[[#This Row],[fraction mélange]]</f>
        <v/>
      </c>
      <c r="R464">
        <f>_xlfn.XLOOKUP(TableauRecette[[#This Row],[ID]],TableauProduit[ID],TableauProduit[Total (kg) N7],0,0,1)*TableauRecette[[#This Row],[fraction mélange]]</f>
        <v/>
      </c>
      <c r="S464">
        <f>_xlfn.XLOOKUP(TableauRecette[[#This Row],[ID]],TableauProduit[ID],TableauProduit[Total (kg) N8],0,0,1)*TableauRecette[[#This Row],[fraction mélange]]</f>
        <v/>
      </c>
      <c r="T464">
        <f>_xlfn.XLOOKUP(TableauRecette[[#This Row],[ID]],TableauProduit[ID],TableauProduit[Total (kg) N9],0,0,1)*TableauRecette[[#This Row],[fraction mélange]]</f>
        <v/>
      </c>
    </row>
    <row r="465">
      <c r="A465" t="inlineStr">
        <is>
          <t>Faux-poivre de garrigue</t>
        </is>
      </c>
      <c r="B465">
        <f>TableauRecette[[#This Row],[Recette]]&amp;TableauRecette[[#This Row],[Conditionnement]]</f>
        <v/>
      </c>
      <c r="C465" t="inlineStr">
        <is>
          <t>Poivre de Sichuan</t>
        </is>
      </c>
      <c r="D465" t="n">
        <v>3</v>
      </c>
      <c r="E465" t="inlineStr">
        <is>
          <t>Epice 100ml</t>
        </is>
      </c>
      <c r="F46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5">
        <f>IFERROR(_xlfn.XLOOKUP(TableauRecette[[#This Row],[Ingredients]],TableauIngredients[Ingredients],TableauIngredients[Prix d''achat / kg],0)*TableauRecette[[#This Row],[fraction mélange]],0)</f>
        <v/>
      </c>
      <c r="H465">
        <f>IFERROR(SUMIFS(TableauRecette[Proportion],TableauRecette[Recette],TableauRecette[[#This Row],[Recette]],TableauRecette[Conditionnement],TableauRecette[[#This Row],[Conditionnement]]),0)</f>
        <v/>
      </c>
      <c r="I465">
        <f>IFERROR(TableauRecette[[#This Row],[Prix d''achat / kg]],0)</f>
        <v/>
      </c>
      <c r="J465" t="inlineStr">
        <is>
          <t>Aveyron</t>
        </is>
      </c>
      <c r="K465" t="inlineStr">
        <is>
          <t>SEC</t>
        </is>
      </c>
      <c r="L465">
        <f>_xlfn.XLOOKUP(TableauRecette[[#This Row],[ID]],TableauProduit[ID],TableauProduit[Total (kg) N1],0,0,1)*TableauRecette[[#This Row],[fraction mélange]]</f>
        <v/>
      </c>
      <c r="M465">
        <f>_xlfn.XLOOKUP(TableauRecette[[#This Row],[ID]],TableauProduit[ID],TableauProduit[Total (kg) N2],0,0,1)*TableauRecette[[#This Row],[fraction mélange]]</f>
        <v/>
      </c>
      <c r="N465">
        <f>_xlfn.XLOOKUP(TableauRecette[[#This Row],[ID]],TableauProduit[ID],TableauProduit[Total (kg) N3],0,0,1)*TableauRecette[[#This Row],[fraction mélange]]</f>
        <v/>
      </c>
      <c r="O465">
        <f>_xlfn.XLOOKUP(TableauRecette[[#This Row],[ID]],TableauProduit[ID],TableauProduit[Total (kg) N4],0,0,1)*TableauRecette[[#This Row],[fraction mélange]]</f>
        <v/>
      </c>
      <c r="P465">
        <f>_xlfn.XLOOKUP(TableauRecette[[#This Row],[ID]],TableauProduit[ID],TableauProduit[Total (kg) N5],0,0,1)*TableauRecette[[#This Row],[fraction mélange]]</f>
        <v/>
      </c>
      <c r="Q465">
        <f>_xlfn.XLOOKUP(TableauRecette[[#This Row],[ID]],TableauProduit[ID],TableauProduit[Total (kg) N6],0,0,1)*TableauRecette[[#This Row],[fraction mélange]]</f>
        <v/>
      </c>
      <c r="R465">
        <f>_xlfn.XLOOKUP(TableauRecette[[#This Row],[ID]],TableauProduit[ID],TableauProduit[Total (kg) N7],0,0,1)*TableauRecette[[#This Row],[fraction mélange]]</f>
        <v/>
      </c>
      <c r="S465">
        <f>_xlfn.XLOOKUP(TableauRecette[[#This Row],[ID]],TableauProduit[ID],TableauProduit[Total (kg) N8],0,0,1)*TableauRecette[[#This Row],[fraction mélange]]</f>
        <v/>
      </c>
      <c r="T465">
        <f>_xlfn.XLOOKUP(TableauRecette[[#This Row],[ID]],TableauProduit[ID],TableauProduit[Total (kg) N9],0,0,1)*TableauRecette[[#This Row],[fraction mélange]]</f>
        <v/>
      </c>
    </row>
    <row r="466">
      <c r="A466" t="inlineStr">
        <is>
          <t>Faux-poivre de garrigue</t>
        </is>
      </c>
      <c r="B466">
        <f>TableauRecette[[#This Row],[Recette]]&amp;TableauRecette[[#This Row],[Conditionnement]]</f>
        <v/>
      </c>
      <c r="C466" t="inlineStr">
        <is>
          <t>Poivre de Timut</t>
        </is>
      </c>
      <c r="D466" t="n">
        <v>2</v>
      </c>
      <c r="E466" t="inlineStr">
        <is>
          <t>Epice 100ml</t>
        </is>
      </c>
      <c r="F46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6">
        <f>IFERROR(_xlfn.XLOOKUP(TableauRecette[[#This Row],[Ingredients]],TableauIngredients[Ingredients],TableauIngredients[Prix d''achat / kg],0)*TableauRecette[[#This Row],[fraction mélange]],0)</f>
        <v/>
      </c>
      <c r="H466">
        <f>IFERROR(SUMIFS(TableauRecette[Proportion],TableauRecette[Recette],TableauRecette[[#This Row],[Recette]],TableauRecette[Conditionnement],TableauRecette[[#This Row],[Conditionnement]]),0)</f>
        <v/>
      </c>
      <c r="I466">
        <f>IFERROR(TableauRecette[[#This Row],[Prix d''achat / kg]],0)</f>
        <v/>
      </c>
      <c r="J466" t="inlineStr">
        <is>
          <t>Aveyron</t>
        </is>
      </c>
      <c r="K466" t="inlineStr">
        <is>
          <t>SEC</t>
        </is>
      </c>
      <c r="L466">
        <f>_xlfn.XLOOKUP(TableauRecette[[#This Row],[ID]],TableauProduit[ID],TableauProduit[Total (kg) N1],0,0,1)*TableauRecette[[#This Row],[fraction mélange]]</f>
        <v/>
      </c>
      <c r="M466">
        <f>_xlfn.XLOOKUP(TableauRecette[[#This Row],[ID]],TableauProduit[ID],TableauProduit[Total (kg) N2],0,0,1)*TableauRecette[[#This Row],[fraction mélange]]</f>
        <v/>
      </c>
      <c r="N466">
        <f>_xlfn.XLOOKUP(TableauRecette[[#This Row],[ID]],TableauProduit[ID],TableauProduit[Total (kg) N3],0,0,1)*TableauRecette[[#This Row],[fraction mélange]]</f>
        <v/>
      </c>
      <c r="O466">
        <f>_xlfn.XLOOKUP(TableauRecette[[#This Row],[ID]],TableauProduit[ID],TableauProduit[Total (kg) N4],0,0,1)*TableauRecette[[#This Row],[fraction mélange]]</f>
        <v/>
      </c>
      <c r="P466">
        <f>_xlfn.XLOOKUP(TableauRecette[[#This Row],[ID]],TableauProduit[ID],TableauProduit[Total (kg) N5],0,0,1)*TableauRecette[[#This Row],[fraction mélange]]</f>
        <v/>
      </c>
      <c r="Q466">
        <f>_xlfn.XLOOKUP(TableauRecette[[#This Row],[ID]],TableauProduit[ID],TableauProduit[Total (kg) N6],0,0,1)*TableauRecette[[#This Row],[fraction mélange]]</f>
        <v/>
      </c>
      <c r="R466">
        <f>_xlfn.XLOOKUP(TableauRecette[[#This Row],[ID]],TableauProduit[ID],TableauProduit[Total (kg) N7],0,0,1)*TableauRecette[[#This Row],[fraction mélange]]</f>
        <v/>
      </c>
      <c r="S466">
        <f>_xlfn.XLOOKUP(TableauRecette[[#This Row],[ID]],TableauProduit[ID],TableauProduit[Total (kg) N8],0,0,1)*TableauRecette[[#This Row],[fraction mélange]]</f>
        <v/>
      </c>
      <c r="T466">
        <f>_xlfn.XLOOKUP(TableauRecette[[#This Row],[ID]],TableauProduit[ID],TableauProduit[Total (kg) N9],0,0,1)*TableauRecette[[#This Row],[fraction mélange]]</f>
        <v/>
      </c>
    </row>
    <row r="467">
      <c r="A467" t="inlineStr">
        <is>
          <t>Faux-poivre de garrigue</t>
        </is>
      </c>
      <c r="B467">
        <f>TableauRecette[[#This Row],[Recette]]&amp;TableauRecette[[#This Row],[Conditionnement]]</f>
        <v/>
      </c>
      <c r="C467" t="inlineStr">
        <is>
          <t>Genévrier commun</t>
        </is>
      </c>
      <c r="D467" t="n">
        <v>2</v>
      </c>
      <c r="E467" t="inlineStr">
        <is>
          <t>Epice 100ml</t>
        </is>
      </c>
      <c r="F46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7">
        <f>IFERROR(_xlfn.XLOOKUP(TableauRecette[[#This Row],[Ingredients]],TableauIngredients[Ingredients],TableauIngredients[Prix d''achat / kg],0)*TableauRecette[[#This Row],[fraction mélange]],0)</f>
        <v/>
      </c>
      <c r="H467">
        <f>IFERROR(SUMIFS(TableauRecette[Proportion],TableauRecette[Recette],TableauRecette[[#This Row],[Recette]],TableauRecette[Conditionnement],TableauRecette[[#This Row],[Conditionnement]]),0)</f>
        <v/>
      </c>
      <c r="I467">
        <f>IFERROR(TableauRecette[[#This Row],[Prix d''achat / kg]],0)</f>
        <v/>
      </c>
      <c r="J467" t="inlineStr">
        <is>
          <t>Aveyron</t>
        </is>
      </c>
      <c r="K467" t="inlineStr">
        <is>
          <t>SEC</t>
        </is>
      </c>
      <c r="L467">
        <f>_xlfn.XLOOKUP(TableauRecette[[#This Row],[ID]],TableauProduit[ID],TableauProduit[Total (kg) N1],0,0,1)*TableauRecette[[#This Row],[fraction mélange]]</f>
        <v/>
      </c>
      <c r="M467">
        <f>_xlfn.XLOOKUP(TableauRecette[[#This Row],[ID]],TableauProduit[ID],TableauProduit[Total (kg) N2],0,0,1)*TableauRecette[[#This Row],[fraction mélange]]</f>
        <v/>
      </c>
      <c r="N467">
        <f>_xlfn.XLOOKUP(TableauRecette[[#This Row],[ID]],TableauProduit[ID],TableauProduit[Total (kg) N3],0,0,1)*TableauRecette[[#This Row],[fraction mélange]]</f>
        <v/>
      </c>
      <c r="O467">
        <f>_xlfn.XLOOKUP(TableauRecette[[#This Row],[ID]],TableauProduit[ID],TableauProduit[Total (kg) N4],0,0,1)*TableauRecette[[#This Row],[fraction mélange]]</f>
        <v/>
      </c>
      <c r="P467">
        <f>_xlfn.XLOOKUP(TableauRecette[[#This Row],[ID]],TableauProduit[ID],TableauProduit[Total (kg) N5],0,0,1)*TableauRecette[[#This Row],[fraction mélange]]</f>
        <v/>
      </c>
      <c r="Q467">
        <f>_xlfn.XLOOKUP(TableauRecette[[#This Row],[ID]],TableauProduit[ID],TableauProduit[Total (kg) N6],0,0,1)*TableauRecette[[#This Row],[fraction mélange]]</f>
        <v/>
      </c>
      <c r="R467">
        <f>_xlfn.XLOOKUP(TableauRecette[[#This Row],[ID]],TableauProduit[ID],TableauProduit[Total (kg) N7],0,0,1)*TableauRecette[[#This Row],[fraction mélange]]</f>
        <v/>
      </c>
      <c r="S467">
        <f>_xlfn.XLOOKUP(TableauRecette[[#This Row],[ID]],TableauProduit[ID],TableauProduit[Total (kg) N8],0,0,1)*TableauRecette[[#This Row],[fraction mélange]]</f>
        <v/>
      </c>
      <c r="T467">
        <f>_xlfn.XLOOKUP(TableauRecette[[#This Row],[ID]],TableauProduit[ID],TableauProduit[Total (kg) N9],0,0,1)*TableauRecette[[#This Row],[fraction mélange]]</f>
        <v/>
      </c>
    </row>
    <row r="468">
      <c r="A468" t="inlineStr">
        <is>
          <t>Faux-poivre de garrigue</t>
        </is>
      </c>
      <c r="B468">
        <f>TableauRecette[[#This Row],[Recette]]&amp;TableauRecette[[#This Row],[Conditionnement]]</f>
        <v/>
      </c>
      <c r="C468" t="inlineStr">
        <is>
          <t>Gattilier</t>
        </is>
      </c>
      <c r="D468" t="n">
        <v>2</v>
      </c>
      <c r="E468" t="inlineStr">
        <is>
          <t>Epice 100ml</t>
        </is>
      </c>
      <c r="F46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8">
        <f>IFERROR(_xlfn.XLOOKUP(TableauRecette[[#This Row],[Ingredients]],TableauIngredients[Ingredients],TableauIngredients[Prix d''achat / kg],0)*TableauRecette[[#This Row],[fraction mélange]],0)</f>
        <v/>
      </c>
      <c r="H468">
        <f>IFERROR(SUMIFS(TableauRecette[Proportion],TableauRecette[Recette],TableauRecette[[#This Row],[Recette]],TableauRecette[Conditionnement],TableauRecette[[#This Row],[Conditionnement]]),0)</f>
        <v/>
      </c>
      <c r="I468">
        <f>IFERROR(TableauRecette[[#This Row],[Prix d''achat / kg]],0)</f>
        <v/>
      </c>
      <c r="J468" t="inlineStr">
        <is>
          <t>Aveyron</t>
        </is>
      </c>
      <c r="K468" t="inlineStr">
        <is>
          <t>SEC</t>
        </is>
      </c>
      <c r="L468">
        <f>_xlfn.XLOOKUP(TableauRecette[[#This Row],[ID]],TableauProduit[ID],TableauProduit[Total (kg) N1],0,0,1)*TableauRecette[[#This Row],[fraction mélange]]</f>
        <v/>
      </c>
      <c r="M468">
        <f>_xlfn.XLOOKUP(TableauRecette[[#This Row],[ID]],TableauProduit[ID],TableauProduit[Total (kg) N2],0,0,1)*TableauRecette[[#This Row],[fraction mélange]]</f>
        <v/>
      </c>
      <c r="N468">
        <f>_xlfn.XLOOKUP(TableauRecette[[#This Row],[ID]],TableauProduit[ID],TableauProduit[Total (kg) N3],0,0,1)*TableauRecette[[#This Row],[fraction mélange]]</f>
        <v/>
      </c>
      <c r="O468">
        <f>_xlfn.XLOOKUP(TableauRecette[[#This Row],[ID]],TableauProduit[ID],TableauProduit[Total (kg) N4],0,0,1)*TableauRecette[[#This Row],[fraction mélange]]</f>
        <v/>
      </c>
      <c r="P468">
        <f>_xlfn.XLOOKUP(TableauRecette[[#This Row],[ID]],TableauProduit[ID],TableauProduit[Total (kg) N5],0,0,1)*TableauRecette[[#This Row],[fraction mélange]]</f>
        <v/>
      </c>
      <c r="Q468">
        <f>_xlfn.XLOOKUP(TableauRecette[[#This Row],[ID]],TableauProduit[ID],TableauProduit[Total (kg) N6],0,0,1)*TableauRecette[[#This Row],[fraction mélange]]</f>
        <v/>
      </c>
      <c r="R468">
        <f>_xlfn.XLOOKUP(TableauRecette[[#This Row],[ID]],TableauProduit[ID],TableauProduit[Total (kg) N7],0,0,1)*TableauRecette[[#This Row],[fraction mélange]]</f>
        <v/>
      </c>
      <c r="S468">
        <f>_xlfn.XLOOKUP(TableauRecette[[#This Row],[ID]],TableauProduit[ID],TableauProduit[Total (kg) N8],0,0,1)*TableauRecette[[#This Row],[fraction mélange]]</f>
        <v/>
      </c>
      <c r="T468">
        <f>_xlfn.XLOOKUP(TableauRecette[[#This Row],[ID]],TableauProduit[ID],TableauProduit[Total (kg) N9],0,0,1)*TableauRecette[[#This Row],[fraction mélange]]</f>
        <v/>
      </c>
    </row>
    <row r="469">
      <c r="A469" t="inlineStr">
        <is>
          <t>Faux-poivre de garrigue</t>
        </is>
      </c>
      <c r="B469">
        <f>TableauRecette[[#This Row],[Recette]]&amp;TableauRecette[[#This Row],[Conditionnement]]</f>
        <v/>
      </c>
      <c r="C469" t="inlineStr">
        <is>
          <t>Maceron</t>
        </is>
      </c>
      <c r="D469" t="n">
        <v>1</v>
      </c>
      <c r="E469" t="inlineStr">
        <is>
          <t>Epice 100ml</t>
        </is>
      </c>
      <c r="F46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9">
        <f>IFERROR(_xlfn.XLOOKUP(TableauRecette[[#This Row],[Ingredients]],TableauIngredients[Ingredients],TableauIngredients[Prix d''achat / kg],0)*TableauRecette[[#This Row],[fraction mélange]],0)</f>
        <v/>
      </c>
      <c r="H469">
        <f>IFERROR(SUMIFS(TableauRecette[Proportion],TableauRecette[Recette],TableauRecette[[#This Row],[Recette]],TableauRecette[Conditionnement],TableauRecette[[#This Row],[Conditionnement]]),0)</f>
        <v/>
      </c>
      <c r="I469">
        <f>IFERROR(TableauRecette[[#This Row],[Prix d''achat / kg]],0)</f>
        <v/>
      </c>
      <c r="J469" t="inlineStr">
        <is>
          <t>Aveyron</t>
        </is>
      </c>
      <c r="K469" t="inlineStr">
        <is>
          <t>SEC</t>
        </is>
      </c>
      <c r="L469">
        <f>_xlfn.XLOOKUP(TableauRecette[[#This Row],[ID]],TableauProduit[ID],TableauProduit[Total (kg) N1],0,0,1)*TableauRecette[[#This Row],[fraction mélange]]</f>
        <v/>
      </c>
      <c r="M469">
        <f>_xlfn.XLOOKUP(TableauRecette[[#This Row],[ID]],TableauProduit[ID],TableauProduit[Total (kg) N2],0,0,1)*TableauRecette[[#This Row],[fraction mélange]]</f>
        <v/>
      </c>
      <c r="N469">
        <f>_xlfn.XLOOKUP(TableauRecette[[#This Row],[ID]],TableauProduit[ID],TableauProduit[Total (kg) N3],0,0,1)*TableauRecette[[#This Row],[fraction mélange]]</f>
        <v/>
      </c>
      <c r="O469">
        <f>_xlfn.XLOOKUP(TableauRecette[[#This Row],[ID]],TableauProduit[ID],TableauProduit[Total (kg) N4],0,0,1)*TableauRecette[[#This Row],[fraction mélange]]</f>
        <v/>
      </c>
      <c r="P469">
        <f>_xlfn.XLOOKUP(TableauRecette[[#This Row],[ID]],TableauProduit[ID],TableauProduit[Total (kg) N5],0,0,1)*TableauRecette[[#This Row],[fraction mélange]]</f>
        <v/>
      </c>
      <c r="Q469">
        <f>_xlfn.XLOOKUP(TableauRecette[[#This Row],[ID]],TableauProduit[ID],TableauProduit[Total (kg) N6],0,0,1)*TableauRecette[[#This Row],[fraction mélange]]</f>
        <v/>
      </c>
      <c r="R469">
        <f>_xlfn.XLOOKUP(TableauRecette[[#This Row],[ID]],TableauProduit[ID],TableauProduit[Total (kg) N7],0,0,1)*TableauRecette[[#This Row],[fraction mélange]]</f>
        <v/>
      </c>
      <c r="S469">
        <f>_xlfn.XLOOKUP(TableauRecette[[#This Row],[ID]],TableauProduit[ID],TableauProduit[Total (kg) N8],0,0,1)*TableauRecette[[#This Row],[fraction mélange]]</f>
        <v/>
      </c>
      <c r="T469">
        <f>_xlfn.XLOOKUP(TableauRecette[[#This Row],[ID]],TableauProduit[ID],TableauProduit[Total (kg) N9],0,0,1)*TableauRecette[[#This Row],[fraction mélange]]</f>
        <v/>
      </c>
    </row>
    <row r="470">
      <c r="A470" t="inlineStr">
        <is>
          <t>Mélange à poissons anisé</t>
        </is>
      </c>
      <c r="B470">
        <f>TableauRecette[[#This Row],[Recette]]&amp;TableauRecette[[#This Row],[Conditionnement]]</f>
        <v/>
      </c>
      <c r="C470" t="inlineStr">
        <is>
          <t>Fenouil</t>
        </is>
      </c>
      <c r="D470" t="n">
        <v>3</v>
      </c>
      <c r="E470" t="inlineStr">
        <is>
          <t>Epice 100ml</t>
        </is>
      </c>
      <c r="F47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70">
        <f>IFERROR(_xlfn.XLOOKUP(TableauRecette[[#This Row],[Ingredients]],TableauIngredients[Ingredients],TableauIngredients[Prix d''achat / kg],0)*TableauRecette[[#This Row],[fraction mélange]],0)</f>
        <v/>
      </c>
      <c r="H470">
        <f>IFERROR(SUMIFS(TableauRecette[Proportion],TableauRecette[Recette],TableauRecette[[#This Row],[Recette]],TableauRecette[Conditionnement],TableauRecette[[#This Row],[Conditionnement]]),0)</f>
        <v/>
      </c>
      <c r="I470">
        <f>IFERROR(TableauRecette[[#This Row],[Prix d''achat / kg]],0)</f>
        <v/>
      </c>
      <c r="J470" t="inlineStr">
        <is>
          <t>Aveyron</t>
        </is>
      </c>
      <c r="K470" t="inlineStr">
        <is>
          <t>SEC</t>
        </is>
      </c>
      <c r="L470">
        <f>_xlfn.XLOOKUP(TableauRecette[[#This Row],[ID]],TableauProduit[ID],TableauProduit[Total (kg) N1],0,0,1)*TableauRecette[[#This Row],[fraction mélange]]</f>
        <v/>
      </c>
      <c r="M470">
        <f>_xlfn.XLOOKUP(TableauRecette[[#This Row],[ID]],TableauProduit[ID],TableauProduit[Total (kg) N2],0,0,1)*TableauRecette[[#This Row],[fraction mélange]]</f>
        <v/>
      </c>
      <c r="N470">
        <f>_xlfn.XLOOKUP(TableauRecette[[#This Row],[ID]],TableauProduit[ID],TableauProduit[Total (kg) N3],0,0,1)*TableauRecette[[#This Row],[fraction mélange]]</f>
        <v/>
      </c>
      <c r="O470">
        <f>_xlfn.XLOOKUP(TableauRecette[[#This Row],[ID]],TableauProduit[ID],TableauProduit[Total (kg) N4],0,0,1)*TableauRecette[[#This Row],[fraction mélange]]</f>
        <v/>
      </c>
      <c r="P470">
        <f>_xlfn.XLOOKUP(TableauRecette[[#This Row],[ID]],TableauProduit[ID],TableauProduit[Total (kg) N5],0,0,1)*TableauRecette[[#This Row],[fraction mélange]]</f>
        <v/>
      </c>
      <c r="Q470">
        <f>_xlfn.XLOOKUP(TableauRecette[[#This Row],[ID]],TableauProduit[ID],TableauProduit[Total (kg) N6],0,0,1)*TableauRecette[[#This Row],[fraction mélange]]</f>
        <v/>
      </c>
      <c r="R470">
        <f>_xlfn.XLOOKUP(TableauRecette[[#This Row],[ID]],TableauProduit[ID],TableauProduit[Total (kg) N7],0,0,1)*TableauRecette[[#This Row],[fraction mélange]]</f>
        <v/>
      </c>
      <c r="S470">
        <f>_xlfn.XLOOKUP(TableauRecette[[#This Row],[ID]],TableauProduit[ID],TableauProduit[Total (kg) N8],0,0,1)*TableauRecette[[#This Row],[fraction mélange]]</f>
        <v/>
      </c>
      <c r="T470">
        <f>_xlfn.XLOOKUP(TableauRecette[[#This Row],[ID]],TableauProduit[ID],TableauProduit[Total (kg) N9],0,0,1)*TableauRecette[[#This Row],[fraction mélange]]</f>
        <v/>
      </c>
    </row>
    <row r="471">
      <c r="A471" t="inlineStr">
        <is>
          <t>Mélange à poissons anisé</t>
        </is>
      </c>
      <c r="B471">
        <f>TableauRecette[[#This Row],[Recette]]&amp;TableauRecette[[#This Row],[Conditionnement]]</f>
        <v/>
      </c>
      <c r="C471" t="inlineStr">
        <is>
          <t>Aneth</t>
        </is>
      </c>
      <c r="D471" t="n">
        <v>2</v>
      </c>
      <c r="E471" t="inlineStr">
        <is>
          <t>Epice 100ml</t>
        </is>
      </c>
      <c r="F47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71">
        <f>IFERROR(_xlfn.XLOOKUP(TableauRecette[[#This Row],[Ingredients]],TableauIngredients[Ingredients],TableauIngredients[Prix d''achat / kg],0)*TableauRecette[[#This Row],[fraction mélange]],0)</f>
        <v/>
      </c>
      <c r="H471">
        <f>IFERROR(SUMIFS(TableauRecette[Proportion],TableauRecette[Recette],TableauRecette[[#This Row],[Recette]],TableauRecette[Conditionnement],TableauRecette[[#This Row],[Conditionnement]]),0)</f>
        <v/>
      </c>
      <c r="I471">
        <f>IFERROR(TableauRecette[[#This Row],[Prix d''achat / kg]],0)</f>
        <v/>
      </c>
      <c r="J471" t="inlineStr">
        <is>
          <t>Aveyron</t>
        </is>
      </c>
      <c r="K471" t="inlineStr">
        <is>
          <t>SEC</t>
        </is>
      </c>
      <c r="L471">
        <f>_xlfn.XLOOKUP(TableauRecette[[#This Row],[ID]],TableauProduit[ID],TableauProduit[Total (kg) N1],0,0,1)*TableauRecette[[#This Row],[fraction mélange]]</f>
        <v/>
      </c>
      <c r="M471">
        <f>_xlfn.XLOOKUP(TableauRecette[[#This Row],[ID]],TableauProduit[ID],TableauProduit[Total (kg) N2],0,0,1)*TableauRecette[[#This Row],[fraction mélange]]</f>
        <v/>
      </c>
      <c r="N471">
        <f>_xlfn.XLOOKUP(TableauRecette[[#This Row],[ID]],TableauProduit[ID],TableauProduit[Total (kg) N3],0,0,1)*TableauRecette[[#This Row],[fraction mélange]]</f>
        <v/>
      </c>
      <c r="O471">
        <f>_xlfn.XLOOKUP(TableauRecette[[#This Row],[ID]],TableauProduit[ID],TableauProduit[Total (kg) N4],0,0,1)*TableauRecette[[#This Row],[fraction mélange]]</f>
        <v/>
      </c>
      <c r="P471">
        <f>_xlfn.XLOOKUP(TableauRecette[[#This Row],[ID]],TableauProduit[ID],TableauProduit[Total (kg) N5],0,0,1)*TableauRecette[[#This Row],[fraction mélange]]</f>
        <v/>
      </c>
      <c r="Q471">
        <f>_xlfn.XLOOKUP(TableauRecette[[#This Row],[ID]],TableauProduit[ID],TableauProduit[Total (kg) N6],0,0,1)*TableauRecette[[#This Row],[fraction mélange]]</f>
        <v/>
      </c>
      <c r="R471">
        <f>_xlfn.XLOOKUP(TableauRecette[[#This Row],[ID]],TableauProduit[ID],TableauProduit[Total (kg) N7],0,0,1)*TableauRecette[[#This Row],[fraction mélange]]</f>
        <v/>
      </c>
      <c r="S471">
        <f>_xlfn.XLOOKUP(TableauRecette[[#This Row],[ID]],TableauProduit[ID],TableauProduit[Total (kg) N8],0,0,1)*TableauRecette[[#This Row],[fraction mélange]]</f>
        <v/>
      </c>
      <c r="T471">
        <f>_xlfn.XLOOKUP(TableauRecette[[#This Row],[ID]],TableauProduit[ID],TableauProduit[Total (kg) N9],0,0,1)*TableauRecette[[#This Row],[fraction mélange]]</f>
        <v/>
      </c>
    </row>
    <row r="472">
      <c r="A472" t="inlineStr">
        <is>
          <t>Mélange à poissons anisé</t>
        </is>
      </c>
      <c r="B472">
        <f>TableauRecette[[#This Row],[Recette]]&amp;TableauRecette[[#This Row],[Conditionnement]]</f>
        <v/>
      </c>
      <c r="C472" t="inlineStr">
        <is>
          <t>Anis vert</t>
        </is>
      </c>
      <c r="D472" t="n">
        <v>2</v>
      </c>
      <c r="E472" t="inlineStr">
        <is>
          <t>Epice 100ml</t>
        </is>
      </c>
      <c r="F47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72">
        <f>IFERROR(_xlfn.XLOOKUP(TableauRecette[[#This Row],[Ingredients]],TableauIngredients[Ingredients],TableauIngredients[Prix d''achat / kg],0)*TableauRecette[[#This Row],[fraction mélange]],0)</f>
        <v/>
      </c>
      <c r="H472">
        <f>IFERROR(SUMIFS(TableauRecette[Proportion],TableauRecette[Recette],TableauRecette[[#This Row],[Recette]],TableauRecette[Conditionnement],TableauRecette[[#This Row],[Conditionnement]]),0)</f>
        <v/>
      </c>
      <c r="I472">
        <f>IFERROR(TableauRecette[[#This Row],[Prix d''achat / kg]],0)</f>
        <v/>
      </c>
      <c r="J472" t="inlineStr">
        <is>
          <t>Aveyron</t>
        </is>
      </c>
      <c r="K472" t="inlineStr">
        <is>
          <t>SEC</t>
        </is>
      </c>
      <c r="L472">
        <f>_xlfn.XLOOKUP(TableauRecette[[#This Row],[ID]],TableauProduit[ID],TableauProduit[Total (kg) N1],0,0,1)*TableauRecette[[#This Row],[fraction mélange]]</f>
        <v/>
      </c>
      <c r="M472">
        <f>_xlfn.XLOOKUP(TableauRecette[[#This Row],[ID]],TableauProduit[ID],TableauProduit[Total (kg) N2],0,0,1)*TableauRecette[[#This Row],[fraction mélange]]</f>
        <v/>
      </c>
      <c r="N472">
        <f>_xlfn.XLOOKUP(TableauRecette[[#This Row],[ID]],TableauProduit[ID],TableauProduit[Total (kg) N3],0,0,1)*TableauRecette[[#This Row],[fraction mélange]]</f>
        <v/>
      </c>
      <c r="O472">
        <f>_xlfn.XLOOKUP(TableauRecette[[#This Row],[ID]],TableauProduit[ID],TableauProduit[Total (kg) N4],0,0,1)*TableauRecette[[#This Row],[fraction mélange]]</f>
        <v/>
      </c>
      <c r="P472">
        <f>_xlfn.XLOOKUP(TableauRecette[[#This Row],[ID]],TableauProduit[ID],TableauProduit[Total (kg) N5],0,0,1)*TableauRecette[[#This Row],[fraction mélange]]</f>
        <v/>
      </c>
      <c r="Q472">
        <f>_xlfn.XLOOKUP(TableauRecette[[#This Row],[ID]],TableauProduit[ID],TableauProduit[Total (kg) N6],0,0,1)*TableauRecette[[#This Row],[fraction mélange]]</f>
        <v/>
      </c>
      <c r="R472">
        <f>_xlfn.XLOOKUP(TableauRecette[[#This Row],[ID]],TableauProduit[ID],TableauProduit[Total (kg) N7],0,0,1)*TableauRecette[[#This Row],[fraction mélange]]</f>
        <v/>
      </c>
      <c r="S472">
        <f>_xlfn.XLOOKUP(TableauRecette[[#This Row],[ID]],TableauProduit[ID],TableauProduit[Total (kg) N8],0,0,1)*TableauRecette[[#This Row],[fraction mélange]]</f>
        <v/>
      </c>
      <c r="T472">
        <f>_xlfn.XLOOKUP(TableauRecette[[#This Row],[ID]],TableauProduit[ID],TableauProduit[Total (kg) N9],0,0,1)*TableauRecette[[#This Row],[fraction mélange]]</f>
        <v/>
      </c>
    </row>
    <row r="473">
      <c r="A473" t="inlineStr">
        <is>
          <t>Mélange à poissons anisé</t>
        </is>
      </c>
      <c r="B473">
        <f>TableauRecette[[#This Row],[Recette]]&amp;TableauRecette[[#This Row],[Conditionnement]]</f>
        <v/>
      </c>
      <c r="C473" t="inlineStr">
        <is>
          <t>Zeste séché</t>
        </is>
      </c>
      <c r="D473" t="n">
        <v>1</v>
      </c>
      <c r="E473" t="inlineStr">
        <is>
          <t>Epice 100ml</t>
        </is>
      </c>
      <c r="F47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73">
        <f>IFERROR(_xlfn.XLOOKUP(TableauRecette[[#This Row],[Ingredients]],TableauIngredients[Ingredients],TableauIngredients[Prix d''achat / kg],0)*TableauRecette[[#This Row],[fraction mélange]],0)</f>
        <v/>
      </c>
      <c r="H473">
        <f>IFERROR(SUMIFS(TableauRecette[Proportion],TableauRecette[Recette],TableauRecette[[#This Row],[Recette]],TableauRecette[Conditionnement],TableauRecette[[#This Row],[Conditionnement]]),0)</f>
        <v/>
      </c>
      <c r="I473">
        <f>IFERROR(TableauRecette[[#This Row],[Prix d''achat / kg]],0)</f>
        <v/>
      </c>
      <c r="J473" t="inlineStr">
        <is>
          <t>Aveyron</t>
        </is>
      </c>
      <c r="K473" t="inlineStr">
        <is>
          <t>SEC</t>
        </is>
      </c>
      <c r="L473">
        <f>_xlfn.XLOOKUP(TableauRecette[[#This Row],[ID]],TableauProduit[ID],TableauProduit[Total (kg) N1],0,0,1)*TableauRecette[[#This Row],[fraction mélange]]</f>
        <v/>
      </c>
      <c r="M473">
        <f>_xlfn.XLOOKUP(TableauRecette[[#This Row],[ID]],TableauProduit[ID],TableauProduit[Total (kg) N2],0,0,1)*TableauRecette[[#This Row],[fraction mélange]]</f>
        <v/>
      </c>
      <c r="N473">
        <f>_xlfn.XLOOKUP(TableauRecette[[#This Row],[ID]],TableauProduit[ID],TableauProduit[Total (kg) N3],0,0,1)*TableauRecette[[#This Row],[fraction mélange]]</f>
        <v/>
      </c>
      <c r="O473">
        <f>_xlfn.XLOOKUP(TableauRecette[[#This Row],[ID]],TableauProduit[ID],TableauProduit[Total (kg) N4],0,0,1)*TableauRecette[[#This Row],[fraction mélange]]</f>
        <v/>
      </c>
      <c r="P473">
        <f>_xlfn.XLOOKUP(TableauRecette[[#This Row],[ID]],TableauProduit[ID],TableauProduit[Total (kg) N5],0,0,1)*TableauRecette[[#This Row],[fraction mélange]]</f>
        <v/>
      </c>
      <c r="Q473">
        <f>_xlfn.XLOOKUP(TableauRecette[[#This Row],[ID]],TableauProduit[ID],TableauProduit[Total (kg) N6],0,0,1)*TableauRecette[[#This Row],[fraction mélange]]</f>
        <v/>
      </c>
      <c r="R473">
        <f>_xlfn.XLOOKUP(TableauRecette[[#This Row],[ID]],TableauProduit[ID],TableauProduit[Total (kg) N7],0,0,1)*TableauRecette[[#This Row],[fraction mélange]]</f>
        <v/>
      </c>
      <c r="S473">
        <f>_xlfn.XLOOKUP(TableauRecette[[#This Row],[ID]],TableauProduit[ID],TableauProduit[Total (kg) N8],0,0,1)*TableauRecette[[#This Row],[fraction mélange]]</f>
        <v/>
      </c>
      <c r="T473">
        <f>_xlfn.XLOOKUP(TableauRecette[[#This Row],[ID]],TableauProduit[ID],TableauProduit[Total (kg) N9],0,0,1)*TableauRecette[[#This Row],[fraction mélange]]</f>
        <v/>
      </c>
    </row>
    <row r="474">
      <c r="A474" t="inlineStr">
        <is>
          <t>Mélange à poissons anisé</t>
        </is>
      </c>
      <c r="B474">
        <f>TableauRecette[[#This Row],[Recette]]&amp;TableauRecette[[#This Row],[Conditionnement]]</f>
        <v/>
      </c>
      <c r="C474" t="inlineStr">
        <is>
          <t>Cerfeuil</t>
        </is>
      </c>
      <c r="D474" t="n">
        <v>1</v>
      </c>
      <c r="E474" t="inlineStr">
        <is>
          <t>Epice 100ml</t>
        </is>
      </c>
      <c r="F47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74">
        <f>IFERROR(_xlfn.XLOOKUP(TableauRecette[[#This Row],[Ingredients]],TableauIngredients[Ingredients],TableauIngredients[Prix d''achat / kg],0)*TableauRecette[[#This Row],[fraction mélange]],0)</f>
        <v/>
      </c>
      <c r="H474">
        <f>IFERROR(SUMIFS(TableauRecette[Proportion],TableauRecette[Recette],TableauRecette[[#This Row],[Recette]],TableauRecette[Conditionnement],TableauRecette[[#This Row],[Conditionnement]]),0)</f>
        <v/>
      </c>
      <c r="I474">
        <f>IFERROR(TableauRecette[[#This Row],[Prix d''achat / kg]],0)</f>
        <v/>
      </c>
      <c r="J474" t="inlineStr">
        <is>
          <t>Aveyron</t>
        </is>
      </c>
      <c r="K474" t="inlineStr">
        <is>
          <t>SEC</t>
        </is>
      </c>
      <c r="L474">
        <f>_xlfn.XLOOKUP(TableauRecette[[#This Row],[ID]],TableauProduit[ID],TableauProduit[Total (kg) N1],0,0,1)*TableauRecette[[#This Row],[fraction mélange]]</f>
        <v/>
      </c>
      <c r="M474">
        <f>_xlfn.XLOOKUP(TableauRecette[[#This Row],[ID]],TableauProduit[ID],TableauProduit[Total (kg) N2],0,0,1)*TableauRecette[[#This Row],[fraction mélange]]</f>
        <v/>
      </c>
      <c r="N474">
        <f>_xlfn.XLOOKUP(TableauRecette[[#This Row],[ID]],TableauProduit[ID],TableauProduit[Total (kg) N3],0,0,1)*TableauRecette[[#This Row],[fraction mélange]]</f>
        <v/>
      </c>
      <c r="O474">
        <f>_xlfn.XLOOKUP(TableauRecette[[#This Row],[ID]],TableauProduit[ID],TableauProduit[Total (kg) N4],0,0,1)*TableauRecette[[#This Row],[fraction mélange]]</f>
        <v/>
      </c>
      <c r="P474">
        <f>_xlfn.XLOOKUP(TableauRecette[[#This Row],[ID]],TableauProduit[ID],TableauProduit[Total (kg) N5],0,0,1)*TableauRecette[[#This Row],[fraction mélange]]</f>
        <v/>
      </c>
      <c r="Q474">
        <f>_xlfn.XLOOKUP(TableauRecette[[#This Row],[ID]],TableauProduit[ID],TableauProduit[Total (kg) N6],0,0,1)*TableauRecette[[#This Row],[fraction mélange]]</f>
        <v/>
      </c>
      <c r="R474">
        <f>_xlfn.XLOOKUP(TableauRecette[[#This Row],[ID]],TableauProduit[ID],TableauProduit[Total (kg) N7],0,0,1)*TableauRecette[[#This Row],[fraction mélange]]</f>
        <v/>
      </c>
      <c r="S474">
        <f>_xlfn.XLOOKUP(TableauRecette[[#This Row],[ID]],TableauProduit[ID],TableauProduit[Total (kg) N8],0,0,1)*TableauRecette[[#This Row],[fraction mélange]]</f>
        <v/>
      </c>
      <c r="T474">
        <f>_xlfn.XLOOKUP(TableauRecette[[#This Row],[ID]],TableauProduit[ID],TableauProduit[Total (kg) N9],0,0,1)*TableauRecette[[#This Row],[fraction mélange]]</f>
        <v/>
      </c>
    </row>
    <row r="475">
      <c r="A475" t="inlineStr">
        <is>
          <t>Mélange à poissons anisé</t>
        </is>
      </c>
      <c r="B475">
        <f>TableauRecette[[#This Row],[Recette]]&amp;TableauRecette[[#This Row],[Conditionnement]]</f>
        <v/>
      </c>
      <c r="C475" t="inlineStr">
        <is>
          <t>Thym</t>
        </is>
      </c>
      <c r="D475" t="n">
        <v>0.5</v>
      </c>
      <c r="E475" t="inlineStr">
        <is>
          <t>Epice 100ml</t>
        </is>
      </c>
      <c r="F47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75">
        <f>IFERROR(_xlfn.XLOOKUP(TableauRecette[[#This Row],[Ingredients]],TableauIngredients[Ingredients],TableauIngredients[Prix d''achat / kg],0)*TableauRecette[[#This Row],[fraction mélange]],0)</f>
        <v/>
      </c>
      <c r="H475">
        <f>IFERROR(SUMIFS(TableauRecette[Proportion],TableauRecette[Recette],TableauRecette[[#This Row],[Recette]],TableauRecette[Conditionnement],TableauRecette[[#This Row],[Conditionnement]]),0)</f>
        <v/>
      </c>
      <c r="I475">
        <f>IFERROR(TableauRecette[[#This Row],[Prix d''achat / kg]],0)</f>
        <v/>
      </c>
      <c r="J475" t="inlineStr">
        <is>
          <t>Aveyron</t>
        </is>
      </c>
      <c r="K475" t="inlineStr">
        <is>
          <t>SEC</t>
        </is>
      </c>
      <c r="L475">
        <f>_xlfn.XLOOKUP(TableauRecette[[#This Row],[ID]],TableauProduit[ID],TableauProduit[Total (kg) N1],0,0,1)*TableauRecette[[#This Row],[fraction mélange]]</f>
        <v/>
      </c>
      <c r="M475">
        <f>_xlfn.XLOOKUP(TableauRecette[[#This Row],[ID]],TableauProduit[ID],TableauProduit[Total (kg) N2],0,0,1)*TableauRecette[[#This Row],[fraction mélange]]</f>
        <v/>
      </c>
      <c r="N475">
        <f>_xlfn.XLOOKUP(TableauRecette[[#This Row],[ID]],TableauProduit[ID],TableauProduit[Total (kg) N3],0,0,1)*TableauRecette[[#This Row],[fraction mélange]]</f>
        <v/>
      </c>
      <c r="O475">
        <f>_xlfn.XLOOKUP(TableauRecette[[#This Row],[ID]],TableauProduit[ID],TableauProduit[Total (kg) N4],0,0,1)*TableauRecette[[#This Row],[fraction mélange]]</f>
        <v/>
      </c>
      <c r="P475">
        <f>_xlfn.XLOOKUP(TableauRecette[[#This Row],[ID]],TableauProduit[ID],TableauProduit[Total (kg) N5],0,0,1)*TableauRecette[[#This Row],[fraction mélange]]</f>
        <v/>
      </c>
      <c r="Q475">
        <f>_xlfn.XLOOKUP(TableauRecette[[#This Row],[ID]],TableauProduit[ID],TableauProduit[Total (kg) N6],0,0,1)*TableauRecette[[#This Row],[fraction mélange]]</f>
        <v/>
      </c>
      <c r="R475">
        <f>_xlfn.XLOOKUP(TableauRecette[[#This Row],[ID]],TableauProduit[ID],TableauProduit[Total (kg) N7],0,0,1)*TableauRecette[[#This Row],[fraction mélange]]</f>
        <v/>
      </c>
      <c r="S475">
        <f>_xlfn.XLOOKUP(TableauRecette[[#This Row],[ID]],TableauProduit[ID],TableauProduit[Total (kg) N8],0,0,1)*TableauRecette[[#This Row],[fraction mélange]]</f>
        <v/>
      </c>
      <c r="T475">
        <f>_xlfn.XLOOKUP(TableauRecette[[#This Row],[ID]],TableauProduit[ID],TableauProduit[Total (kg) N9],0,0,1)*TableauRecette[[#This Row],[fraction mélange]]</f>
        <v/>
      </c>
    </row>
    <row r="476">
      <c r="A476" t="inlineStr">
        <is>
          <t>Sel fumé</t>
        </is>
      </c>
      <c r="B476">
        <f>TableauRecette[[#This Row],[Recette]]&amp;TableauRecette[[#This Row],[Conditionnement]]</f>
        <v/>
      </c>
      <c r="C476" t="inlineStr">
        <is>
          <t>Sel</t>
        </is>
      </c>
      <c r="D476" t="n">
        <v>10</v>
      </c>
      <c r="E476" t="inlineStr">
        <is>
          <t>Epice 100ml</t>
        </is>
      </c>
      <c r="F47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76">
        <f>IFERROR(_xlfn.XLOOKUP(TableauRecette[[#This Row],[Ingredients]],TableauIngredients[Ingredients],TableauIngredients[Prix d''achat / kg],0)*TableauRecette[[#This Row],[fraction mélange]],0)</f>
        <v/>
      </c>
      <c r="H476">
        <f>IFERROR(SUMIFS(TableauRecette[Proportion],TableauRecette[Recette],TableauRecette[[#This Row],[Recette]],TableauRecette[Conditionnement],TableauRecette[[#This Row],[Conditionnement]]),0)</f>
        <v/>
      </c>
      <c r="I476">
        <f>IFERROR(TableauRecette[[#This Row],[Prix d''achat / kg]],0)</f>
        <v/>
      </c>
      <c r="J476" t="inlineStr">
        <is>
          <t>Aveyron</t>
        </is>
      </c>
      <c r="K476" t="inlineStr">
        <is>
          <t>SEC</t>
        </is>
      </c>
      <c r="L476">
        <f>_xlfn.XLOOKUP(TableauRecette[[#This Row],[ID]],TableauProduit[ID],TableauProduit[Total (kg) N1],0,0,1)*TableauRecette[[#This Row],[fraction mélange]]</f>
        <v/>
      </c>
      <c r="M476">
        <f>_xlfn.XLOOKUP(TableauRecette[[#This Row],[ID]],TableauProduit[ID],TableauProduit[Total (kg) N2],0,0,1)*TableauRecette[[#This Row],[fraction mélange]]</f>
        <v/>
      </c>
      <c r="N476">
        <f>_xlfn.XLOOKUP(TableauRecette[[#This Row],[ID]],TableauProduit[ID],TableauProduit[Total (kg) N3],0,0,1)*TableauRecette[[#This Row],[fraction mélange]]</f>
        <v/>
      </c>
      <c r="O476">
        <f>_xlfn.XLOOKUP(TableauRecette[[#This Row],[ID]],TableauProduit[ID],TableauProduit[Total (kg) N4],0,0,1)*TableauRecette[[#This Row],[fraction mélange]]</f>
        <v/>
      </c>
      <c r="P476">
        <f>_xlfn.XLOOKUP(TableauRecette[[#This Row],[ID]],TableauProduit[ID],TableauProduit[Total (kg) N5],0,0,1)*TableauRecette[[#This Row],[fraction mélange]]</f>
        <v/>
      </c>
      <c r="Q476">
        <f>_xlfn.XLOOKUP(TableauRecette[[#This Row],[ID]],TableauProduit[ID],TableauProduit[Total (kg) N6],0,0,1)*TableauRecette[[#This Row],[fraction mélange]]</f>
        <v/>
      </c>
      <c r="R476">
        <f>_xlfn.XLOOKUP(TableauRecette[[#This Row],[ID]],TableauProduit[ID],TableauProduit[Total (kg) N7],0,0,1)*TableauRecette[[#This Row],[fraction mélange]]</f>
        <v/>
      </c>
      <c r="S476">
        <f>_xlfn.XLOOKUP(TableauRecette[[#This Row],[ID]],TableauProduit[ID],TableauProduit[Total (kg) N8],0,0,1)*TableauRecette[[#This Row],[fraction mélange]]</f>
        <v/>
      </c>
      <c r="T476">
        <f>_xlfn.XLOOKUP(TableauRecette[[#This Row],[ID]],TableauProduit[ID],TableauProduit[Total (kg) N9],0,0,1)*TableauRecette[[#This Row],[fraction mélange]]</f>
        <v/>
      </c>
    </row>
    <row r="477">
      <c r="A477" t="inlineStr">
        <is>
          <t>Sirop de sureau</t>
        </is>
      </c>
      <c r="B477">
        <f>TableauRecette[[#This Row],[Recette]]&amp;TableauRecette[[#This Row],[Conditionnement]]</f>
        <v/>
      </c>
      <c r="C477" t="inlineStr">
        <is>
          <t>Sureau</t>
        </is>
      </c>
      <c r="D477" t="n">
        <v>15</v>
      </c>
      <c r="E477" t="inlineStr">
        <is>
          <t>Sirop 500 ml</t>
        </is>
      </c>
      <c r="F47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77">
        <f>IFERROR(_xlfn.XLOOKUP(TableauRecette[[#This Row],[Ingredients]],TableauIngredients[Ingredients],TableauIngredients[Prix d''achat / kg],0)*TableauRecette[[#This Row],[fraction mélange]],0)</f>
        <v/>
      </c>
      <c r="H477">
        <f>IFERROR(SUMIFS(TableauRecette[Proportion],TableauRecette[Recette],TableauRecette[[#This Row],[Recette]],TableauRecette[Conditionnement],TableauRecette[[#This Row],[Conditionnement]]),0)</f>
        <v/>
      </c>
      <c r="I477">
        <f>IFERROR(TableauRecette[[#This Row],[Prix d''achat / kg]],0)</f>
        <v/>
      </c>
      <c r="J477" t="inlineStr">
        <is>
          <t>Aveyron</t>
        </is>
      </c>
      <c r="K477" t="inlineStr">
        <is>
          <t>sirop</t>
        </is>
      </c>
      <c r="L477">
        <f>_xlfn.XLOOKUP(TableauRecette[[#This Row],[ID]],TableauProduit[ID],TableauProduit[Total (kg) N1],0,0,1)*TableauRecette[[#This Row],[fraction mélange]]</f>
        <v/>
      </c>
      <c r="M477">
        <f>_xlfn.XLOOKUP(TableauRecette[[#This Row],[ID]],TableauProduit[ID],TableauProduit[Total (kg) N2],0,0,1)*TableauRecette[[#This Row],[fraction mélange]]</f>
        <v/>
      </c>
      <c r="N477">
        <f>_xlfn.XLOOKUP(TableauRecette[[#This Row],[ID]],TableauProduit[ID],TableauProduit[Total (kg) N3],0,0,1)*TableauRecette[[#This Row],[fraction mélange]]</f>
        <v/>
      </c>
      <c r="O477">
        <f>_xlfn.XLOOKUP(TableauRecette[[#This Row],[ID]],TableauProduit[ID],TableauProduit[Total (kg) N4],0,0,1)*TableauRecette[[#This Row],[fraction mélange]]</f>
        <v/>
      </c>
      <c r="P477">
        <f>_xlfn.XLOOKUP(TableauRecette[[#This Row],[ID]],TableauProduit[ID],TableauProduit[Total (kg) N5],0,0,1)*TableauRecette[[#This Row],[fraction mélange]]</f>
        <v/>
      </c>
      <c r="Q477">
        <f>_xlfn.XLOOKUP(TableauRecette[[#This Row],[ID]],TableauProduit[ID],TableauProduit[Total (kg) N6],0,0,1)*TableauRecette[[#This Row],[fraction mélange]]</f>
        <v/>
      </c>
      <c r="R477">
        <f>_xlfn.XLOOKUP(TableauRecette[[#This Row],[ID]],TableauProduit[ID],TableauProduit[Total (kg) N7],0,0,1)*TableauRecette[[#This Row],[fraction mélange]]</f>
        <v/>
      </c>
      <c r="S477">
        <f>_xlfn.XLOOKUP(TableauRecette[[#This Row],[ID]],TableauProduit[ID],TableauProduit[Total (kg) N8],0,0,1)*TableauRecette[[#This Row],[fraction mélange]]</f>
        <v/>
      </c>
      <c r="T477">
        <f>_xlfn.XLOOKUP(TableauRecette[[#This Row],[ID]],TableauProduit[ID],TableauProduit[Total (kg) N9],0,0,1)*TableauRecette[[#This Row],[fraction mélange]]</f>
        <v/>
      </c>
    </row>
    <row r="478">
      <c r="A478" t="inlineStr">
        <is>
          <t>Sirop de sureau</t>
        </is>
      </c>
      <c r="B478">
        <f>TableauRecette[[#This Row],[Recette]]&amp;TableauRecette[[#This Row],[Conditionnement]]</f>
        <v/>
      </c>
      <c r="C478" t="inlineStr">
        <is>
          <t>Eau</t>
        </is>
      </c>
      <c r="D478" t="n">
        <v>1000</v>
      </c>
      <c r="E478" t="inlineStr">
        <is>
          <t>Sirop 500 ml</t>
        </is>
      </c>
      <c r="F47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78">
        <f>IFERROR(_xlfn.XLOOKUP(TableauRecette[[#This Row],[Ingredients]],TableauIngredients[Ingredients],TableauIngredients[Prix d''achat / kg],0)*TableauRecette[[#This Row],[fraction mélange]],0)</f>
        <v/>
      </c>
      <c r="H478">
        <f>IFERROR(SUMIFS(TableauRecette[Proportion],TableauRecette[Recette],TableauRecette[[#This Row],[Recette]],TableauRecette[Conditionnement],TableauRecette[[#This Row],[Conditionnement]]),0)</f>
        <v/>
      </c>
      <c r="I478">
        <f>IFERROR(TableauRecette[[#This Row],[Prix d''achat / kg]],0)</f>
        <v/>
      </c>
      <c r="J478" t="inlineStr">
        <is>
          <t>Aveyron</t>
        </is>
      </c>
      <c r="K478" t="inlineStr">
        <is>
          <t>sirop</t>
        </is>
      </c>
      <c r="L478">
        <f>_xlfn.XLOOKUP(TableauRecette[[#This Row],[ID]],TableauProduit[ID],TableauProduit[Total (kg) N1],0,0,1)*TableauRecette[[#This Row],[fraction mélange]]</f>
        <v/>
      </c>
      <c r="M478">
        <f>_xlfn.XLOOKUP(TableauRecette[[#This Row],[ID]],TableauProduit[ID],TableauProduit[Total (kg) N2],0,0,1)*TableauRecette[[#This Row],[fraction mélange]]</f>
        <v/>
      </c>
      <c r="N478">
        <f>_xlfn.XLOOKUP(TableauRecette[[#This Row],[ID]],TableauProduit[ID],TableauProduit[Total (kg) N3],0,0,1)*TableauRecette[[#This Row],[fraction mélange]]</f>
        <v/>
      </c>
      <c r="O478">
        <f>_xlfn.XLOOKUP(TableauRecette[[#This Row],[ID]],TableauProduit[ID],TableauProduit[Total (kg) N4],0,0,1)*TableauRecette[[#This Row],[fraction mélange]]</f>
        <v/>
      </c>
      <c r="P478">
        <f>_xlfn.XLOOKUP(TableauRecette[[#This Row],[ID]],TableauProduit[ID],TableauProduit[Total (kg) N5],0,0,1)*TableauRecette[[#This Row],[fraction mélange]]</f>
        <v/>
      </c>
      <c r="Q478">
        <f>_xlfn.XLOOKUP(TableauRecette[[#This Row],[ID]],TableauProduit[ID],TableauProduit[Total (kg) N6],0,0,1)*TableauRecette[[#This Row],[fraction mélange]]</f>
        <v/>
      </c>
      <c r="R478">
        <f>_xlfn.XLOOKUP(TableauRecette[[#This Row],[ID]],TableauProduit[ID],TableauProduit[Total (kg) N7],0,0,1)*TableauRecette[[#This Row],[fraction mélange]]</f>
        <v/>
      </c>
      <c r="S478">
        <f>_xlfn.XLOOKUP(TableauRecette[[#This Row],[ID]],TableauProduit[ID],TableauProduit[Total (kg) N8],0,0,1)*TableauRecette[[#This Row],[fraction mélange]]</f>
        <v/>
      </c>
      <c r="T478">
        <f>_xlfn.XLOOKUP(TableauRecette[[#This Row],[ID]],TableauProduit[ID],TableauProduit[Total (kg) N9],0,0,1)*TableauRecette[[#This Row],[fraction mélange]]</f>
        <v/>
      </c>
    </row>
    <row r="479">
      <c r="A479" t="inlineStr">
        <is>
          <t>Sirop de sureau</t>
        </is>
      </c>
      <c r="B479">
        <f>TableauRecette[[#This Row],[Recette]]&amp;TableauRecette[[#This Row],[Conditionnement]]</f>
        <v/>
      </c>
      <c r="C479" t="inlineStr">
        <is>
          <t>Sucre Blanc</t>
        </is>
      </c>
      <c r="D479" t="n">
        <v>610.5</v>
      </c>
      <c r="E479" t="inlineStr">
        <is>
          <t>Sirop 500 ml</t>
        </is>
      </c>
      <c r="F4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79">
        <f>IFERROR(_xlfn.XLOOKUP(TableauRecette[[#This Row],[Ingredients]],TableauIngredients[Ingredients],TableauIngredients[Prix d''achat / kg],0)*TableauRecette[[#This Row],[fraction mélange]],0)</f>
        <v/>
      </c>
      <c r="H479">
        <f>IFERROR(SUMIFS(TableauRecette[Proportion],TableauRecette[Recette],TableauRecette[[#This Row],[Recette]],TableauRecette[Conditionnement],TableauRecette[[#This Row],[Conditionnement]]),0)</f>
        <v/>
      </c>
      <c r="I479">
        <f>IFERROR(TableauRecette[[#This Row],[Prix d''achat / kg]],0)</f>
        <v/>
      </c>
      <c r="J479" t="inlineStr">
        <is>
          <t>Aveyron</t>
        </is>
      </c>
      <c r="K479" t="inlineStr">
        <is>
          <t>sirop</t>
        </is>
      </c>
      <c r="L479">
        <f>_xlfn.XLOOKUP(TableauRecette[[#This Row],[ID]],TableauProduit[ID],TableauProduit[Total (kg) N1],0,0,1)*TableauRecette[[#This Row],[fraction mélange]]</f>
        <v/>
      </c>
      <c r="M479">
        <f>_xlfn.XLOOKUP(TableauRecette[[#This Row],[ID]],TableauProduit[ID],TableauProduit[Total (kg) N2],0,0,1)*TableauRecette[[#This Row],[fraction mélange]]</f>
        <v/>
      </c>
      <c r="N479">
        <f>_xlfn.XLOOKUP(TableauRecette[[#This Row],[ID]],TableauProduit[ID],TableauProduit[Total (kg) N3],0,0,1)*TableauRecette[[#This Row],[fraction mélange]]</f>
        <v/>
      </c>
      <c r="O479">
        <f>_xlfn.XLOOKUP(TableauRecette[[#This Row],[ID]],TableauProduit[ID],TableauProduit[Total (kg) N4],0,0,1)*TableauRecette[[#This Row],[fraction mélange]]</f>
        <v/>
      </c>
      <c r="P479">
        <f>_xlfn.XLOOKUP(TableauRecette[[#This Row],[ID]],TableauProduit[ID],TableauProduit[Total (kg) N5],0,0,1)*TableauRecette[[#This Row],[fraction mélange]]</f>
        <v/>
      </c>
      <c r="Q479">
        <f>_xlfn.XLOOKUP(TableauRecette[[#This Row],[ID]],TableauProduit[ID],TableauProduit[Total (kg) N6],0,0,1)*TableauRecette[[#This Row],[fraction mélange]]</f>
        <v/>
      </c>
      <c r="R479">
        <f>_xlfn.XLOOKUP(TableauRecette[[#This Row],[ID]],TableauProduit[ID],TableauProduit[Total (kg) N7],0,0,1)*TableauRecette[[#This Row],[fraction mélange]]</f>
        <v/>
      </c>
      <c r="S479">
        <f>_xlfn.XLOOKUP(TableauRecette[[#This Row],[ID]],TableauProduit[ID],TableauProduit[Total (kg) N8],0,0,1)*TableauRecette[[#This Row],[fraction mélange]]</f>
        <v/>
      </c>
      <c r="T479">
        <f>_xlfn.XLOOKUP(TableauRecette[[#This Row],[ID]],TableauProduit[ID],TableauProduit[Total (kg) N9],0,0,1)*TableauRecette[[#This Row],[fraction mélange]]</f>
        <v/>
      </c>
    </row>
    <row r="480">
      <c r="A480" t="inlineStr">
        <is>
          <t>Sirop de sureau</t>
        </is>
      </c>
      <c r="B480">
        <f>TableauRecette[[#This Row],[Recette]]&amp;TableauRecette[[#This Row],[Conditionnement]]</f>
        <v/>
      </c>
      <c r="C480" t="inlineStr">
        <is>
          <t>Citron Vert</t>
        </is>
      </c>
      <c r="D480" t="n">
        <v>10</v>
      </c>
      <c r="E480" t="inlineStr">
        <is>
          <t>Sirop 500 ml</t>
        </is>
      </c>
      <c r="F48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80">
        <f>IFERROR(_xlfn.XLOOKUP(TableauRecette[[#This Row],[Ingredients]],TableauIngredients[Ingredients],TableauIngredients[Prix d''achat / kg],0)*TableauRecette[[#This Row],[fraction mélange]],0)</f>
        <v/>
      </c>
      <c r="H480">
        <f>IFERROR(SUMIFS(TableauRecette[Proportion],TableauRecette[Recette],TableauRecette[[#This Row],[Recette]],TableauRecette[Conditionnement],TableauRecette[[#This Row],[Conditionnement]]),0)</f>
        <v/>
      </c>
      <c r="I480">
        <f>IFERROR(TableauRecette[[#This Row],[Prix d''achat / kg]],0)</f>
        <v/>
      </c>
      <c r="J480" t="inlineStr">
        <is>
          <t>Aveyron</t>
        </is>
      </c>
      <c r="K480" t="inlineStr">
        <is>
          <t>sirop</t>
        </is>
      </c>
      <c r="L480">
        <f>_xlfn.XLOOKUP(TableauRecette[[#This Row],[ID]],TableauProduit[ID],TableauProduit[Total (kg) N1],0,0,1)*TableauRecette[[#This Row],[fraction mélange]]</f>
        <v/>
      </c>
      <c r="M480">
        <f>_xlfn.XLOOKUP(TableauRecette[[#This Row],[ID]],TableauProduit[ID],TableauProduit[Total (kg) N2],0,0,1)*TableauRecette[[#This Row],[fraction mélange]]</f>
        <v/>
      </c>
      <c r="N480">
        <f>_xlfn.XLOOKUP(TableauRecette[[#This Row],[ID]],TableauProduit[ID],TableauProduit[Total (kg) N3],0,0,1)*TableauRecette[[#This Row],[fraction mélange]]</f>
        <v/>
      </c>
      <c r="O480">
        <f>_xlfn.XLOOKUP(TableauRecette[[#This Row],[ID]],TableauProduit[ID],TableauProduit[Total (kg) N4],0,0,1)*TableauRecette[[#This Row],[fraction mélange]]</f>
        <v/>
      </c>
      <c r="P480">
        <f>_xlfn.XLOOKUP(TableauRecette[[#This Row],[ID]],TableauProduit[ID],TableauProduit[Total (kg) N5],0,0,1)*TableauRecette[[#This Row],[fraction mélange]]</f>
        <v/>
      </c>
      <c r="Q480">
        <f>_xlfn.XLOOKUP(TableauRecette[[#This Row],[ID]],TableauProduit[ID],TableauProduit[Total (kg) N6],0,0,1)*TableauRecette[[#This Row],[fraction mélange]]</f>
        <v/>
      </c>
      <c r="R480">
        <f>_xlfn.XLOOKUP(TableauRecette[[#This Row],[ID]],TableauProduit[ID],TableauProduit[Total (kg) N7],0,0,1)*TableauRecette[[#This Row],[fraction mélange]]</f>
        <v/>
      </c>
      <c r="S480">
        <f>_xlfn.XLOOKUP(TableauRecette[[#This Row],[ID]],TableauProduit[ID],TableauProduit[Total (kg) N8],0,0,1)*TableauRecette[[#This Row],[fraction mélange]]</f>
        <v/>
      </c>
      <c r="T480">
        <f>_xlfn.XLOOKUP(TableauRecette[[#This Row],[ID]],TableauProduit[ID],TableauProduit[Total (kg) N9],0,0,1)*TableauRecette[[#This Row],[fraction mélange]]</f>
        <v/>
      </c>
    </row>
    <row r="481">
      <c r="A481" t="inlineStr">
        <is>
          <t>Tisane du soir</t>
        </is>
      </c>
      <c r="B481">
        <f>TableauRecette[[#This Row],[Recette]]&amp;TableauRecette[[#This Row],[Conditionnement]]</f>
        <v/>
      </c>
      <c r="C481" t="inlineStr">
        <is>
          <t>Verveine citronnelle</t>
        </is>
      </c>
      <c r="D481" t="n">
        <v>3</v>
      </c>
      <c r="E481" t="inlineStr">
        <is>
          <t>Recharge craft 100ml</t>
        </is>
      </c>
      <c r="F48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81">
        <f>IFERROR(_xlfn.XLOOKUP(TableauRecette[[#This Row],[Ingredients]],TableauIngredients[Ingredients],TableauIngredients[Prix d''achat / kg],0)*TableauRecette[[#This Row],[fraction mélange]],0)</f>
        <v/>
      </c>
      <c r="H481">
        <f>IFERROR(SUMIFS(TableauRecette[Proportion],TableauRecette[Recette],TableauRecette[[#This Row],[Recette]],TableauRecette[Conditionnement],TableauRecette[[#This Row],[Conditionnement]]),0)</f>
        <v/>
      </c>
      <c r="I481">
        <f>IFERROR(TableauRecette[[#This Row],[Prix d''achat / kg]],0)</f>
        <v/>
      </c>
      <c r="J481" t="inlineStr">
        <is>
          <t>Aveyron</t>
        </is>
      </c>
      <c r="K481" t="inlineStr">
        <is>
          <t>SEC</t>
        </is>
      </c>
      <c r="L481">
        <f>_xlfn.XLOOKUP(TableauRecette[[#This Row],[ID]],TableauProduit[ID],TableauProduit[Total (kg) N1],0,0,1)*TableauRecette[[#This Row],[fraction mélange]]</f>
        <v/>
      </c>
      <c r="M481">
        <f>_xlfn.XLOOKUP(TableauRecette[[#This Row],[ID]],TableauProduit[ID],TableauProduit[Total (kg) N2],0,0,1)*TableauRecette[[#This Row],[fraction mélange]]</f>
        <v/>
      </c>
      <c r="N481">
        <f>_xlfn.XLOOKUP(TableauRecette[[#This Row],[ID]],TableauProduit[ID],TableauProduit[Total (kg) N3],0,0,1)*TableauRecette[[#This Row],[fraction mélange]]</f>
        <v/>
      </c>
      <c r="O481">
        <f>_xlfn.XLOOKUP(TableauRecette[[#This Row],[ID]],TableauProduit[ID],TableauProduit[Total (kg) N4],0,0,1)*TableauRecette[[#This Row],[fraction mélange]]</f>
        <v/>
      </c>
      <c r="P481">
        <f>_xlfn.XLOOKUP(TableauRecette[[#This Row],[ID]],TableauProduit[ID],TableauProduit[Total (kg) N5],0,0,1)*TableauRecette[[#This Row],[fraction mélange]]</f>
        <v/>
      </c>
      <c r="Q481">
        <f>_xlfn.XLOOKUP(TableauRecette[[#This Row],[ID]],TableauProduit[ID],TableauProduit[Total (kg) N6],0,0,1)*TableauRecette[[#This Row],[fraction mélange]]</f>
        <v/>
      </c>
      <c r="R481">
        <f>_xlfn.XLOOKUP(TableauRecette[[#This Row],[ID]],TableauProduit[ID],TableauProduit[Total (kg) N7],0,0,1)*TableauRecette[[#This Row],[fraction mélange]]</f>
        <v/>
      </c>
      <c r="S481">
        <f>_xlfn.XLOOKUP(TableauRecette[[#This Row],[ID]],TableauProduit[ID],TableauProduit[Total (kg) N8],0,0,1)*TableauRecette[[#This Row],[fraction mélange]]</f>
        <v/>
      </c>
      <c r="T481">
        <f>_xlfn.XLOOKUP(TableauRecette[[#This Row],[ID]],TableauProduit[ID],TableauProduit[Total (kg) N9],0,0,1)*TableauRecette[[#This Row],[fraction mélange]]</f>
        <v/>
      </c>
    </row>
    <row r="482">
      <c r="A482" t="inlineStr">
        <is>
          <t>Tisane du soir</t>
        </is>
      </c>
      <c r="B482">
        <f>TableauRecette[[#This Row],[Recette]]&amp;TableauRecette[[#This Row],[Conditionnement]]</f>
        <v/>
      </c>
      <c r="C482" t="inlineStr">
        <is>
          <t>Tilleul</t>
        </is>
      </c>
      <c r="D482" t="n">
        <v>3</v>
      </c>
      <c r="E482" t="inlineStr">
        <is>
          <t>Recharge craft 100ml</t>
        </is>
      </c>
      <c r="F48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82">
        <f>IFERROR(_xlfn.XLOOKUP(TableauRecette[[#This Row],[Ingredients]],TableauIngredients[Ingredients],TableauIngredients[Prix d''achat / kg],0)*TableauRecette[[#This Row],[fraction mélange]],0)</f>
        <v/>
      </c>
      <c r="H482">
        <f>IFERROR(SUMIFS(TableauRecette[Proportion],TableauRecette[Recette],TableauRecette[[#This Row],[Recette]],TableauRecette[Conditionnement],TableauRecette[[#This Row],[Conditionnement]]),0)</f>
        <v/>
      </c>
      <c r="I482">
        <f>IFERROR(TableauRecette[[#This Row],[Prix d''achat / kg]],0)</f>
        <v/>
      </c>
      <c r="J482" t="inlineStr">
        <is>
          <t>Aveyron</t>
        </is>
      </c>
      <c r="K482" t="inlineStr">
        <is>
          <t>SEC</t>
        </is>
      </c>
      <c r="L482">
        <f>_xlfn.XLOOKUP(TableauRecette[[#This Row],[ID]],TableauProduit[ID],TableauProduit[Total (kg) N1],0,0,1)*TableauRecette[[#This Row],[fraction mélange]]</f>
        <v/>
      </c>
      <c r="M482">
        <f>_xlfn.XLOOKUP(TableauRecette[[#This Row],[ID]],TableauProduit[ID],TableauProduit[Total (kg) N2],0,0,1)*TableauRecette[[#This Row],[fraction mélange]]</f>
        <v/>
      </c>
      <c r="N482">
        <f>_xlfn.XLOOKUP(TableauRecette[[#This Row],[ID]],TableauProduit[ID],TableauProduit[Total (kg) N3],0,0,1)*TableauRecette[[#This Row],[fraction mélange]]</f>
        <v/>
      </c>
      <c r="O482">
        <f>_xlfn.XLOOKUP(TableauRecette[[#This Row],[ID]],TableauProduit[ID],TableauProduit[Total (kg) N4],0,0,1)*TableauRecette[[#This Row],[fraction mélange]]</f>
        <v/>
      </c>
      <c r="P482">
        <f>_xlfn.XLOOKUP(TableauRecette[[#This Row],[ID]],TableauProduit[ID],TableauProduit[Total (kg) N5],0,0,1)*TableauRecette[[#This Row],[fraction mélange]]</f>
        <v/>
      </c>
      <c r="Q482">
        <f>_xlfn.XLOOKUP(TableauRecette[[#This Row],[ID]],TableauProduit[ID],TableauProduit[Total (kg) N6],0,0,1)*TableauRecette[[#This Row],[fraction mélange]]</f>
        <v/>
      </c>
      <c r="R482">
        <f>_xlfn.XLOOKUP(TableauRecette[[#This Row],[ID]],TableauProduit[ID],TableauProduit[Total (kg) N7],0,0,1)*TableauRecette[[#This Row],[fraction mélange]]</f>
        <v/>
      </c>
      <c r="S482">
        <f>_xlfn.XLOOKUP(TableauRecette[[#This Row],[ID]],TableauProduit[ID],TableauProduit[Total (kg) N8],0,0,1)*TableauRecette[[#This Row],[fraction mélange]]</f>
        <v/>
      </c>
      <c r="T482">
        <f>_xlfn.XLOOKUP(TableauRecette[[#This Row],[ID]],TableauProduit[ID],TableauProduit[Total (kg) N9],0,0,1)*TableauRecette[[#This Row],[fraction mélange]]</f>
        <v/>
      </c>
    </row>
    <row r="483">
      <c r="A483" t="inlineStr">
        <is>
          <t>Tisane du soir</t>
        </is>
      </c>
      <c r="B483">
        <f>TableauRecette[[#This Row],[Recette]]&amp;TableauRecette[[#This Row],[Conditionnement]]</f>
        <v/>
      </c>
      <c r="C483" t="inlineStr">
        <is>
          <t>Camomille matricaire</t>
        </is>
      </c>
      <c r="D483" t="n">
        <v>2</v>
      </c>
      <c r="E483" t="inlineStr">
        <is>
          <t>Recharge craft 100ml</t>
        </is>
      </c>
      <c r="F48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83">
        <f>IFERROR(_xlfn.XLOOKUP(TableauRecette[[#This Row],[Ingredients]],TableauIngredients[Ingredients],TableauIngredients[Prix d''achat / kg],0)*TableauRecette[[#This Row],[fraction mélange]],0)</f>
        <v/>
      </c>
      <c r="H483">
        <f>IFERROR(SUMIFS(TableauRecette[Proportion],TableauRecette[Recette],TableauRecette[[#This Row],[Recette]],TableauRecette[Conditionnement],TableauRecette[[#This Row],[Conditionnement]]),0)</f>
        <v/>
      </c>
      <c r="I483">
        <f>IFERROR(TableauRecette[[#This Row],[Prix d''achat / kg]],0)</f>
        <v/>
      </c>
      <c r="J483" t="inlineStr">
        <is>
          <t>Aveyron</t>
        </is>
      </c>
      <c r="K483" t="inlineStr">
        <is>
          <t>SEC</t>
        </is>
      </c>
      <c r="L483">
        <f>_xlfn.XLOOKUP(TableauRecette[[#This Row],[ID]],TableauProduit[ID],TableauProduit[Total (kg) N1],0,0,1)*TableauRecette[[#This Row],[fraction mélange]]</f>
        <v/>
      </c>
      <c r="M483">
        <f>_xlfn.XLOOKUP(TableauRecette[[#This Row],[ID]],TableauProduit[ID],TableauProduit[Total (kg) N2],0,0,1)*TableauRecette[[#This Row],[fraction mélange]]</f>
        <v/>
      </c>
      <c r="N483">
        <f>_xlfn.XLOOKUP(TableauRecette[[#This Row],[ID]],TableauProduit[ID],TableauProduit[Total (kg) N3],0,0,1)*TableauRecette[[#This Row],[fraction mélange]]</f>
        <v/>
      </c>
      <c r="O483">
        <f>_xlfn.XLOOKUP(TableauRecette[[#This Row],[ID]],TableauProduit[ID],TableauProduit[Total (kg) N4],0,0,1)*TableauRecette[[#This Row],[fraction mélange]]</f>
        <v/>
      </c>
      <c r="P483">
        <f>_xlfn.XLOOKUP(TableauRecette[[#This Row],[ID]],TableauProduit[ID],TableauProduit[Total (kg) N5],0,0,1)*TableauRecette[[#This Row],[fraction mélange]]</f>
        <v/>
      </c>
      <c r="Q483">
        <f>_xlfn.XLOOKUP(TableauRecette[[#This Row],[ID]],TableauProduit[ID],TableauProduit[Total (kg) N6],0,0,1)*TableauRecette[[#This Row],[fraction mélange]]</f>
        <v/>
      </c>
      <c r="R483">
        <f>_xlfn.XLOOKUP(TableauRecette[[#This Row],[ID]],TableauProduit[ID],TableauProduit[Total (kg) N7],0,0,1)*TableauRecette[[#This Row],[fraction mélange]]</f>
        <v/>
      </c>
      <c r="S483">
        <f>_xlfn.XLOOKUP(TableauRecette[[#This Row],[ID]],TableauProduit[ID],TableauProduit[Total (kg) N8],0,0,1)*TableauRecette[[#This Row],[fraction mélange]]</f>
        <v/>
      </c>
      <c r="T483">
        <f>_xlfn.XLOOKUP(TableauRecette[[#This Row],[ID]],TableauProduit[ID],TableauProduit[Total (kg) N9],0,0,1)*TableauRecette[[#This Row],[fraction mélange]]</f>
        <v/>
      </c>
    </row>
    <row r="484">
      <c r="A484" t="inlineStr">
        <is>
          <t>Tisane du soir</t>
        </is>
      </c>
      <c r="B484">
        <f>TableauRecette[[#This Row],[Recette]]&amp;TableauRecette[[#This Row],[Conditionnement]]</f>
        <v/>
      </c>
      <c r="C484" t="inlineStr">
        <is>
          <t>Mélisse</t>
        </is>
      </c>
      <c r="D484" t="n">
        <v>2</v>
      </c>
      <c r="E484" t="inlineStr">
        <is>
          <t>Recharge craft 100ml</t>
        </is>
      </c>
      <c r="F48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84">
        <f>IFERROR(_xlfn.XLOOKUP(TableauRecette[[#This Row],[Ingredients]],TableauIngredients[Ingredients],TableauIngredients[Prix d''achat / kg],0)*TableauRecette[[#This Row],[fraction mélange]],0)</f>
        <v/>
      </c>
      <c r="H484">
        <f>IFERROR(SUMIFS(TableauRecette[Proportion],TableauRecette[Recette],TableauRecette[[#This Row],[Recette]],TableauRecette[Conditionnement],TableauRecette[[#This Row],[Conditionnement]]),0)</f>
        <v/>
      </c>
      <c r="I484">
        <f>IFERROR(TableauRecette[[#This Row],[Prix d''achat / kg]],0)</f>
        <v/>
      </c>
      <c r="J484" t="inlineStr">
        <is>
          <t>Aveyron</t>
        </is>
      </c>
      <c r="K484" t="inlineStr">
        <is>
          <t>SEC</t>
        </is>
      </c>
      <c r="L484">
        <f>_xlfn.XLOOKUP(TableauRecette[[#This Row],[ID]],TableauProduit[ID],TableauProduit[Total (kg) N1],0,0,1)*TableauRecette[[#This Row],[fraction mélange]]</f>
        <v/>
      </c>
      <c r="M484">
        <f>_xlfn.XLOOKUP(TableauRecette[[#This Row],[ID]],TableauProduit[ID],TableauProduit[Total (kg) N2],0,0,1)*TableauRecette[[#This Row],[fraction mélange]]</f>
        <v/>
      </c>
      <c r="N484">
        <f>_xlfn.XLOOKUP(TableauRecette[[#This Row],[ID]],TableauProduit[ID],TableauProduit[Total (kg) N3],0,0,1)*TableauRecette[[#This Row],[fraction mélange]]</f>
        <v/>
      </c>
      <c r="O484">
        <f>_xlfn.XLOOKUP(TableauRecette[[#This Row],[ID]],TableauProduit[ID],TableauProduit[Total (kg) N4],0,0,1)*TableauRecette[[#This Row],[fraction mélange]]</f>
        <v/>
      </c>
      <c r="P484">
        <f>_xlfn.XLOOKUP(TableauRecette[[#This Row],[ID]],TableauProduit[ID],TableauProduit[Total (kg) N5],0,0,1)*TableauRecette[[#This Row],[fraction mélange]]</f>
        <v/>
      </c>
      <c r="Q484">
        <f>_xlfn.XLOOKUP(TableauRecette[[#This Row],[ID]],TableauProduit[ID],TableauProduit[Total (kg) N6],0,0,1)*TableauRecette[[#This Row],[fraction mélange]]</f>
        <v/>
      </c>
      <c r="R484">
        <f>_xlfn.XLOOKUP(TableauRecette[[#This Row],[ID]],TableauProduit[ID],TableauProduit[Total (kg) N7],0,0,1)*TableauRecette[[#This Row],[fraction mélange]]</f>
        <v/>
      </c>
      <c r="S484">
        <f>_xlfn.XLOOKUP(TableauRecette[[#This Row],[ID]],TableauProduit[ID],TableauProduit[Total (kg) N8],0,0,1)*TableauRecette[[#This Row],[fraction mélange]]</f>
        <v/>
      </c>
      <c r="T484">
        <f>_xlfn.XLOOKUP(TableauRecette[[#This Row],[ID]],TableauProduit[ID],TableauProduit[Total (kg) N9],0,0,1)*TableauRecette[[#This Row],[fraction mélange]]</f>
        <v/>
      </c>
    </row>
    <row r="485">
      <c r="A485" t="inlineStr">
        <is>
          <t>Tisane du soir</t>
        </is>
      </c>
      <c r="B485">
        <f>TableauRecette[[#This Row],[Recette]]&amp;TableauRecette[[#This Row],[Conditionnement]]</f>
        <v/>
      </c>
      <c r="C485" t="inlineStr">
        <is>
          <t>Lavande</t>
        </is>
      </c>
      <c r="D485" t="n">
        <v>0.5</v>
      </c>
      <c r="E485" t="inlineStr">
        <is>
          <t>Recharge craft 100ml</t>
        </is>
      </c>
      <c r="F4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85">
        <f>IFERROR(_xlfn.XLOOKUP(TableauRecette[[#This Row],[Ingredients]],TableauIngredients[Ingredients],TableauIngredients[Prix d''achat / kg],0)*TableauRecette[[#This Row],[fraction mélange]],0)</f>
        <v/>
      </c>
      <c r="H485">
        <f>IFERROR(SUMIFS(TableauRecette[Proportion],TableauRecette[Recette],TableauRecette[[#This Row],[Recette]],TableauRecette[Conditionnement],TableauRecette[[#This Row],[Conditionnement]]),0)</f>
        <v/>
      </c>
      <c r="I485">
        <f>IFERROR(TableauRecette[[#This Row],[Prix d''achat / kg]],0)</f>
        <v/>
      </c>
      <c r="J485" t="inlineStr">
        <is>
          <t>Aveyron</t>
        </is>
      </c>
      <c r="K485" t="inlineStr">
        <is>
          <t>SEC</t>
        </is>
      </c>
      <c r="L485">
        <f>_xlfn.XLOOKUP(TableauRecette[[#This Row],[ID]],TableauProduit[ID],TableauProduit[Total (kg) N1],0,0,1)*TableauRecette[[#This Row],[fraction mélange]]</f>
        <v/>
      </c>
      <c r="M485">
        <f>_xlfn.XLOOKUP(TableauRecette[[#This Row],[ID]],TableauProduit[ID],TableauProduit[Total (kg) N2],0,0,1)*TableauRecette[[#This Row],[fraction mélange]]</f>
        <v/>
      </c>
      <c r="N485">
        <f>_xlfn.XLOOKUP(TableauRecette[[#This Row],[ID]],TableauProduit[ID],TableauProduit[Total (kg) N3],0,0,1)*TableauRecette[[#This Row],[fraction mélange]]</f>
        <v/>
      </c>
      <c r="O485">
        <f>_xlfn.XLOOKUP(TableauRecette[[#This Row],[ID]],TableauProduit[ID],TableauProduit[Total (kg) N4],0,0,1)*TableauRecette[[#This Row],[fraction mélange]]</f>
        <v/>
      </c>
      <c r="P485">
        <f>_xlfn.XLOOKUP(TableauRecette[[#This Row],[ID]],TableauProduit[ID],TableauProduit[Total (kg) N5],0,0,1)*TableauRecette[[#This Row],[fraction mélange]]</f>
        <v/>
      </c>
      <c r="Q485">
        <f>_xlfn.XLOOKUP(TableauRecette[[#This Row],[ID]],TableauProduit[ID],TableauProduit[Total (kg) N6],0,0,1)*TableauRecette[[#This Row],[fraction mélange]]</f>
        <v/>
      </c>
      <c r="R485">
        <f>_xlfn.XLOOKUP(TableauRecette[[#This Row],[ID]],TableauProduit[ID],TableauProduit[Total (kg) N7],0,0,1)*TableauRecette[[#This Row],[fraction mélange]]</f>
        <v/>
      </c>
      <c r="S485">
        <f>_xlfn.XLOOKUP(TableauRecette[[#This Row],[ID]],TableauProduit[ID],TableauProduit[Total (kg) N8],0,0,1)*TableauRecette[[#This Row],[fraction mélange]]</f>
        <v/>
      </c>
      <c r="T485">
        <f>_xlfn.XLOOKUP(TableauRecette[[#This Row],[ID]],TableauProduit[ID],TableauProduit[Total (kg) N9],0,0,1)*TableauRecette[[#This Row],[fraction mélange]]</f>
        <v/>
      </c>
    </row>
    <row r="486">
      <c r="A486" t="inlineStr">
        <is>
          <t>Tisane rafraîchissante</t>
        </is>
      </c>
      <c r="B486">
        <f>TableauRecette[[#This Row],[Recette]]&amp;TableauRecette[[#This Row],[Conditionnement]]</f>
        <v/>
      </c>
      <c r="C486" t="inlineStr">
        <is>
          <t>Menthe</t>
        </is>
      </c>
      <c r="D486" t="n">
        <v>3</v>
      </c>
      <c r="E486" t="inlineStr">
        <is>
          <t>Recharge craft 100ml</t>
        </is>
      </c>
      <c r="F48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86">
        <f>IFERROR(_xlfn.XLOOKUP(TableauRecette[[#This Row],[Ingredients]],TableauIngredients[Ingredients],TableauIngredients[Prix d''achat / kg],0)*TableauRecette[[#This Row],[fraction mélange]],0)</f>
        <v/>
      </c>
      <c r="H486">
        <f>IFERROR(SUMIFS(TableauRecette[Proportion],TableauRecette[Recette],TableauRecette[[#This Row],[Recette]],TableauRecette[Conditionnement],TableauRecette[[#This Row],[Conditionnement]]),0)</f>
        <v/>
      </c>
      <c r="I486">
        <f>IFERROR(TableauRecette[[#This Row],[Prix d''achat / kg]],0)</f>
        <v/>
      </c>
      <c r="J486" t="inlineStr">
        <is>
          <t>Aveyron</t>
        </is>
      </c>
      <c r="K486" t="inlineStr">
        <is>
          <t>SEC</t>
        </is>
      </c>
      <c r="L486">
        <f>_xlfn.XLOOKUP(TableauRecette[[#This Row],[ID]],TableauProduit[ID],TableauProduit[Total (kg) N1],0,0,1)*TableauRecette[[#This Row],[fraction mélange]]</f>
        <v/>
      </c>
      <c r="M486">
        <f>_xlfn.XLOOKUP(TableauRecette[[#This Row],[ID]],TableauProduit[ID],TableauProduit[Total (kg) N2],0,0,1)*TableauRecette[[#This Row],[fraction mélange]]</f>
        <v/>
      </c>
      <c r="N486">
        <f>_xlfn.XLOOKUP(TableauRecette[[#This Row],[ID]],TableauProduit[ID],TableauProduit[Total (kg) N3],0,0,1)*TableauRecette[[#This Row],[fraction mélange]]</f>
        <v/>
      </c>
      <c r="O486">
        <f>_xlfn.XLOOKUP(TableauRecette[[#This Row],[ID]],TableauProduit[ID],TableauProduit[Total (kg) N4],0,0,1)*TableauRecette[[#This Row],[fraction mélange]]</f>
        <v/>
      </c>
      <c r="P486">
        <f>_xlfn.XLOOKUP(TableauRecette[[#This Row],[ID]],TableauProduit[ID],TableauProduit[Total (kg) N5],0,0,1)*TableauRecette[[#This Row],[fraction mélange]]</f>
        <v/>
      </c>
      <c r="Q486">
        <f>_xlfn.XLOOKUP(TableauRecette[[#This Row],[ID]],TableauProduit[ID],TableauProduit[Total (kg) N6],0,0,1)*TableauRecette[[#This Row],[fraction mélange]]</f>
        <v/>
      </c>
      <c r="R486">
        <f>_xlfn.XLOOKUP(TableauRecette[[#This Row],[ID]],TableauProduit[ID],TableauProduit[Total (kg) N7],0,0,1)*TableauRecette[[#This Row],[fraction mélange]]</f>
        <v/>
      </c>
      <c r="S486">
        <f>_xlfn.XLOOKUP(TableauRecette[[#This Row],[ID]],TableauProduit[ID],TableauProduit[Total (kg) N8],0,0,1)*TableauRecette[[#This Row],[fraction mélange]]</f>
        <v/>
      </c>
      <c r="T486">
        <f>_xlfn.XLOOKUP(TableauRecette[[#This Row],[ID]],TableauProduit[ID],TableauProduit[Total (kg) N9],0,0,1)*TableauRecette[[#This Row],[fraction mélange]]</f>
        <v/>
      </c>
    </row>
    <row r="487">
      <c r="A487" t="inlineStr">
        <is>
          <t>Tisane rafraîchissante</t>
        </is>
      </c>
      <c r="B487">
        <f>TableauRecette[[#This Row],[Recette]]&amp;TableauRecette[[#This Row],[Conditionnement]]</f>
        <v/>
      </c>
      <c r="C487" t="inlineStr">
        <is>
          <t>Verveine citronnelle</t>
        </is>
      </c>
      <c r="D487" t="n">
        <v>2</v>
      </c>
      <c r="E487" t="inlineStr">
        <is>
          <t>Recharge craft 100ml</t>
        </is>
      </c>
      <c r="F48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87">
        <f>IFERROR(_xlfn.XLOOKUP(TableauRecette[[#This Row],[Ingredients]],TableauIngredients[Ingredients],TableauIngredients[Prix d''achat / kg],0)*TableauRecette[[#This Row],[fraction mélange]],0)</f>
        <v/>
      </c>
      <c r="H487">
        <f>IFERROR(SUMIFS(TableauRecette[Proportion],TableauRecette[Recette],TableauRecette[[#This Row],[Recette]],TableauRecette[Conditionnement],TableauRecette[[#This Row],[Conditionnement]]),0)</f>
        <v/>
      </c>
      <c r="I487">
        <f>IFERROR(TableauRecette[[#This Row],[Prix d''achat / kg]],0)</f>
        <v/>
      </c>
      <c r="J487" t="inlineStr">
        <is>
          <t>Aveyron</t>
        </is>
      </c>
      <c r="K487" t="inlineStr">
        <is>
          <t>SEC</t>
        </is>
      </c>
      <c r="L487">
        <f>_xlfn.XLOOKUP(TableauRecette[[#This Row],[ID]],TableauProduit[ID],TableauProduit[Total (kg) N1],0,0,1)*TableauRecette[[#This Row],[fraction mélange]]</f>
        <v/>
      </c>
      <c r="M487">
        <f>_xlfn.XLOOKUP(TableauRecette[[#This Row],[ID]],TableauProduit[ID],TableauProduit[Total (kg) N2],0,0,1)*TableauRecette[[#This Row],[fraction mélange]]</f>
        <v/>
      </c>
      <c r="N487">
        <f>_xlfn.XLOOKUP(TableauRecette[[#This Row],[ID]],TableauProduit[ID],TableauProduit[Total (kg) N3],0,0,1)*TableauRecette[[#This Row],[fraction mélange]]</f>
        <v/>
      </c>
      <c r="O487">
        <f>_xlfn.XLOOKUP(TableauRecette[[#This Row],[ID]],TableauProduit[ID],TableauProduit[Total (kg) N4],0,0,1)*TableauRecette[[#This Row],[fraction mélange]]</f>
        <v/>
      </c>
      <c r="P487">
        <f>_xlfn.XLOOKUP(TableauRecette[[#This Row],[ID]],TableauProduit[ID],TableauProduit[Total (kg) N5],0,0,1)*TableauRecette[[#This Row],[fraction mélange]]</f>
        <v/>
      </c>
      <c r="Q487">
        <f>_xlfn.XLOOKUP(TableauRecette[[#This Row],[ID]],TableauProduit[ID],TableauProduit[Total (kg) N6],0,0,1)*TableauRecette[[#This Row],[fraction mélange]]</f>
        <v/>
      </c>
      <c r="R487">
        <f>_xlfn.XLOOKUP(TableauRecette[[#This Row],[ID]],TableauProduit[ID],TableauProduit[Total (kg) N7],0,0,1)*TableauRecette[[#This Row],[fraction mélange]]</f>
        <v/>
      </c>
      <c r="S487">
        <f>_xlfn.XLOOKUP(TableauRecette[[#This Row],[ID]],TableauProduit[ID],TableauProduit[Total (kg) N8],0,0,1)*TableauRecette[[#This Row],[fraction mélange]]</f>
        <v/>
      </c>
      <c r="T487">
        <f>_xlfn.XLOOKUP(TableauRecette[[#This Row],[ID]],TableauProduit[ID],TableauProduit[Total (kg) N9],0,0,1)*TableauRecette[[#This Row],[fraction mélange]]</f>
        <v/>
      </c>
    </row>
    <row r="488">
      <c r="A488" t="inlineStr">
        <is>
          <t>Tisane rafraîchissante</t>
        </is>
      </c>
      <c r="B488">
        <f>TableauRecette[[#This Row],[Recette]]&amp;TableauRecette[[#This Row],[Conditionnement]]</f>
        <v/>
      </c>
      <c r="C488" t="inlineStr">
        <is>
          <t>Hibiscus</t>
        </is>
      </c>
      <c r="D488" t="n">
        <v>2</v>
      </c>
      <c r="E488" t="inlineStr">
        <is>
          <t>Recharge craft 100ml</t>
        </is>
      </c>
      <c r="F48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88">
        <f>IFERROR(_xlfn.XLOOKUP(TableauRecette[[#This Row],[Ingredients]],TableauIngredients[Ingredients],TableauIngredients[Prix d''achat / kg],0)*TableauRecette[[#This Row],[fraction mélange]],0)</f>
        <v/>
      </c>
      <c r="H488">
        <f>IFERROR(SUMIFS(TableauRecette[Proportion],TableauRecette[Recette],TableauRecette[[#This Row],[Recette]],TableauRecette[Conditionnement],TableauRecette[[#This Row],[Conditionnement]]),0)</f>
        <v/>
      </c>
      <c r="I488">
        <f>IFERROR(TableauRecette[[#This Row],[Prix d''achat / kg]],0)</f>
        <v/>
      </c>
      <c r="J488" t="inlineStr">
        <is>
          <t>Aveyron</t>
        </is>
      </c>
      <c r="K488" t="inlineStr">
        <is>
          <t>SEC</t>
        </is>
      </c>
      <c r="L488">
        <f>_xlfn.XLOOKUP(TableauRecette[[#This Row],[ID]],TableauProduit[ID],TableauProduit[Total (kg) N1],0,0,1)*TableauRecette[[#This Row],[fraction mélange]]</f>
        <v/>
      </c>
      <c r="M488">
        <f>_xlfn.XLOOKUP(TableauRecette[[#This Row],[ID]],TableauProduit[ID],TableauProduit[Total (kg) N2],0,0,1)*TableauRecette[[#This Row],[fraction mélange]]</f>
        <v/>
      </c>
      <c r="N488">
        <f>_xlfn.XLOOKUP(TableauRecette[[#This Row],[ID]],TableauProduit[ID],TableauProduit[Total (kg) N3],0,0,1)*TableauRecette[[#This Row],[fraction mélange]]</f>
        <v/>
      </c>
      <c r="O488">
        <f>_xlfn.XLOOKUP(TableauRecette[[#This Row],[ID]],TableauProduit[ID],TableauProduit[Total (kg) N4],0,0,1)*TableauRecette[[#This Row],[fraction mélange]]</f>
        <v/>
      </c>
      <c r="P488">
        <f>_xlfn.XLOOKUP(TableauRecette[[#This Row],[ID]],TableauProduit[ID],TableauProduit[Total (kg) N5],0,0,1)*TableauRecette[[#This Row],[fraction mélange]]</f>
        <v/>
      </c>
      <c r="Q488">
        <f>_xlfn.XLOOKUP(TableauRecette[[#This Row],[ID]],TableauProduit[ID],TableauProduit[Total (kg) N6],0,0,1)*TableauRecette[[#This Row],[fraction mélange]]</f>
        <v/>
      </c>
      <c r="R488">
        <f>_xlfn.XLOOKUP(TableauRecette[[#This Row],[ID]],TableauProduit[ID],TableauProduit[Total (kg) N7],0,0,1)*TableauRecette[[#This Row],[fraction mélange]]</f>
        <v/>
      </c>
      <c r="S488">
        <f>_xlfn.XLOOKUP(TableauRecette[[#This Row],[ID]],TableauProduit[ID],TableauProduit[Total (kg) N8],0,0,1)*TableauRecette[[#This Row],[fraction mélange]]</f>
        <v/>
      </c>
      <c r="T488">
        <f>_xlfn.XLOOKUP(TableauRecette[[#This Row],[ID]],TableauProduit[ID],TableauProduit[Total (kg) N9],0,0,1)*TableauRecette[[#This Row],[fraction mélange]]</f>
        <v/>
      </c>
    </row>
    <row r="489">
      <c r="A489" t="inlineStr">
        <is>
          <t>Tisane rafraîchissante</t>
        </is>
      </c>
      <c r="B489">
        <f>TableauRecette[[#This Row],[Recette]]&amp;TableauRecette[[#This Row],[Conditionnement]]</f>
        <v/>
      </c>
      <c r="C489" t="inlineStr">
        <is>
          <t>Mélisse</t>
        </is>
      </c>
      <c r="D489" t="n">
        <v>1</v>
      </c>
      <c r="E489" t="inlineStr">
        <is>
          <t>Recharge craft 100ml</t>
        </is>
      </c>
      <c r="F4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89">
        <f>IFERROR(_xlfn.XLOOKUP(TableauRecette[[#This Row],[Ingredients]],TableauIngredients[Ingredients],TableauIngredients[Prix d''achat / kg],0)*TableauRecette[[#This Row],[fraction mélange]],0)</f>
        <v/>
      </c>
      <c r="H489">
        <f>IFERROR(SUMIFS(TableauRecette[Proportion],TableauRecette[Recette],TableauRecette[[#This Row],[Recette]],TableauRecette[Conditionnement],TableauRecette[[#This Row],[Conditionnement]]),0)</f>
        <v/>
      </c>
      <c r="I489">
        <f>IFERROR(TableauRecette[[#This Row],[Prix d''achat / kg]],0)</f>
        <v/>
      </c>
      <c r="J489" t="inlineStr">
        <is>
          <t>Aveyron</t>
        </is>
      </c>
      <c r="K489" t="inlineStr">
        <is>
          <t>SEC</t>
        </is>
      </c>
      <c r="L489">
        <f>_xlfn.XLOOKUP(TableauRecette[[#This Row],[ID]],TableauProduit[ID],TableauProduit[Total (kg) N1],0,0,1)*TableauRecette[[#This Row],[fraction mélange]]</f>
        <v/>
      </c>
      <c r="M489">
        <f>_xlfn.XLOOKUP(TableauRecette[[#This Row],[ID]],TableauProduit[ID],TableauProduit[Total (kg) N2],0,0,1)*TableauRecette[[#This Row],[fraction mélange]]</f>
        <v/>
      </c>
      <c r="N489">
        <f>_xlfn.XLOOKUP(TableauRecette[[#This Row],[ID]],TableauProduit[ID],TableauProduit[Total (kg) N3],0,0,1)*TableauRecette[[#This Row],[fraction mélange]]</f>
        <v/>
      </c>
      <c r="O489">
        <f>_xlfn.XLOOKUP(TableauRecette[[#This Row],[ID]],TableauProduit[ID],TableauProduit[Total (kg) N4],0,0,1)*TableauRecette[[#This Row],[fraction mélange]]</f>
        <v/>
      </c>
      <c r="P489">
        <f>_xlfn.XLOOKUP(TableauRecette[[#This Row],[ID]],TableauProduit[ID],TableauProduit[Total (kg) N5],0,0,1)*TableauRecette[[#This Row],[fraction mélange]]</f>
        <v/>
      </c>
      <c r="Q489">
        <f>_xlfn.XLOOKUP(TableauRecette[[#This Row],[ID]],TableauProduit[ID],TableauProduit[Total (kg) N6],0,0,1)*TableauRecette[[#This Row],[fraction mélange]]</f>
        <v/>
      </c>
      <c r="R489">
        <f>_xlfn.XLOOKUP(TableauRecette[[#This Row],[ID]],TableauProduit[ID],TableauProduit[Total (kg) N7],0,0,1)*TableauRecette[[#This Row],[fraction mélange]]</f>
        <v/>
      </c>
      <c r="S489">
        <f>_xlfn.XLOOKUP(TableauRecette[[#This Row],[ID]],TableauProduit[ID],TableauProduit[Total (kg) N8],0,0,1)*TableauRecette[[#This Row],[fraction mélange]]</f>
        <v/>
      </c>
      <c r="T489">
        <f>_xlfn.XLOOKUP(TableauRecette[[#This Row],[ID]],TableauProduit[ID],TableauProduit[Total (kg) N9],0,0,1)*TableauRecette[[#This Row],[fraction mélange]]</f>
        <v/>
      </c>
    </row>
    <row r="490">
      <c r="A490" t="inlineStr">
        <is>
          <t>Sirop de menthe chocolat</t>
        </is>
      </c>
      <c r="B490">
        <f>TableauRecette[[#This Row],[Recette]]&amp;TableauRecette[[#This Row],[Conditionnement]]</f>
        <v/>
      </c>
      <c r="C490" t="inlineStr">
        <is>
          <t>Citron Vert</t>
        </is>
      </c>
      <c r="D490" t="n">
        <v>10</v>
      </c>
      <c r="E490" t="inlineStr">
        <is>
          <t>Sirop 500 ml</t>
        </is>
      </c>
      <c r="F4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90">
        <f>IFERROR(_xlfn.XLOOKUP(TableauRecette[[#This Row],[Ingredients]],TableauIngredients[Ingredients],TableauIngredients[Prix d''achat / kg],0)*TableauRecette[[#This Row],[fraction mélange]],0)</f>
        <v/>
      </c>
      <c r="H490">
        <f>IFERROR(SUMIFS(TableauRecette[Proportion],TableauRecette[Recette],TableauRecette[[#This Row],[Recette]],TableauRecette[Conditionnement],TableauRecette[[#This Row],[Conditionnement]]),0)</f>
        <v/>
      </c>
      <c r="I490">
        <f>IFERROR(TableauRecette[[#This Row],[Prix d''achat / kg]],0)</f>
        <v/>
      </c>
      <c r="L490">
        <f>_xlfn.XLOOKUP(TableauRecette[[#This Row],[ID]],TableauProduit[ID],TableauProduit[Total (kg) N1],0,0,1)*TableauRecette[[#This Row],[fraction mélange]]</f>
        <v/>
      </c>
    </row>
    <row r="491">
      <c r="A491" t="inlineStr">
        <is>
          <t>Sirop de menthe chocolat</t>
        </is>
      </c>
      <c r="B491">
        <f>TableauRecette[[#This Row],[Recette]]&amp;TableauRecette[[#This Row],[Conditionnement]]</f>
        <v/>
      </c>
      <c r="C491" t="inlineStr">
        <is>
          <t>Sucre Blanc</t>
        </is>
      </c>
      <c r="D491" t="n">
        <v>610.5</v>
      </c>
      <c r="E491" t="inlineStr">
        <is>
          <t>Sirop 500 ml</t>
        </is>
      </c>
      <c r="F4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91">
        <f>IFERROR(_xlfn.XLOOKUP(TableauRecette[[#This Row],[Ingredients]],TableauIngredients[Ingredients],TableauIngredients[Prix d''achat / kg],0)*TableauRecette[[#This Row],[fraction mélange]],0)</f>
        <v/>
      </c>
      <c r="H491">
        <f>IFERROR(SUMIFS(TableauRecette[Proportion],TableauRecette[Recette],TableauRecette[[#This Row],[Recette]],TableauRecette[Conditionnement],TableauRecette[[#This Row],[Conditionnement]]),0)</f>
        <v/>
      </c>
      <c r="I491">
        <f>IFERROR(TableauRecette[[#This Row],[Prix d''achat / kg]],0)</f>
        <v/>
      </c>
      <c r="L491">
        <f>_xlfn.XLOOKUP(TableauRecette[[#This Row],[ID]],TableauProduit[ID],TableauProduit[Total (kg) N1],0,0,1)*TableauRecette[[#This Row],[fraction mélange]]</f>
        <v/>
      </c>
    </row>
    <row r="492">
      <c r="A492" t="inlineStr">
        <is>
          <t>Sirop de menthe chocolat</t>
        </is>
      </c>
      <c r="B492">
        <f>TableauRecette[[#This Row],[Recette]]&amp;TableauRecette[[#This Row],[Conditionnement]]</f>
        <v/>
      </c>
      <c r="C492" t="inlineStr">
        <is>
          <t>Menthe chocolat</t>
        </is>
      </c>
      <c r="D492" t="n">
        <v>100</v>
      </c>
      <c r="E492" t="inlineStr">
        <is>
          <t>Sirop 500 ml</t>
        </is>
      </c>
      <c r="F49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92">
        <f>IFERROR(_xlfn.XLOOKUP(TableauRecette[[#This Row],[Ingredients]],TableauIngredients[Ingredients],TableauIngredients[Prix d''achat / kg],0)*TableauRecette[[#This Row],[fraction mélange]],0)</f>
        <v/>
      </c>
      <c r="H492">
        <f>IFERROR(SUMIFS(TableauRecette[Proportion],TableauRecette[Recette],TableauRecette[[#This Row],[Recette]],TableauRecette[Conditionnement],TableauRecette[[#This Row],[Conditionnement]]),0)</f>
        <v/>
      </c>
      <c r="I492">
        <f>IFERROR(TableauRecette[[#This Row],[Prix d''achat / kg]],0)</f>
        <v/>
      </c>
      <c r="L492">
        <f>_xlfn.XLOOKUP(TableauRecette[[#This Row],[ID]],TableauProduit[ID],TableauProduit[Total (kg) N1],0,0,1)*TableauRecette[[#This Row],[fraction mélange]]</f>
        <v/>
      </c>
    </row>
    <row r="493">
      <c r="A493" t="inlineStr">
        <is>
          <t>Sirop de menthe chocolat</t>
        </is>
      </c>
      <c r="B493">
        <f>TableauRecette[[#This Row],[Recette]]&amp;TableauRecette[[#This Row],[Conditionnement]]</f>
        <v/>
      </c>
      <c r="C493" t="inlineStr">
        <is>
          <t>Eau</t>
        </is>
      </c>
      <c r="D493" t="n">
        <v>1000</v>
      </c>
      <c r="E493" t="inlineStr">
        <is>
          <t>Sirop 500 ml</t>
        </is>
      </c>
      <c r="F4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93">
        <f>IFERROR(_xlfn.XLOOKUP(TableauRecette[[#This Row],[Ingredients]],TableauIngredients[Ingredients],TableauIngredients[Prix d''achat / kg],0)*TableauRecette[[#This Row],[fraction mélange]],0)</f>
        <v/>
      </c>
      <c r="H493">
        <f>IFERROR(SUMIFS(TableauRecette[Proportion],TableauRecette[Recette],TableauRecette[[#This Row],[Recette]],TableauRecette[Conditionnement],TableauRecette[[#This Row],[Conditionnement]]),0)</f>
        <v/>
      </c>
      <c r="I493">
        <f>IFERROR(TableauRecette[[#This Row],[Prix d''achat / kg]],0)</f>
        <v/>
      </c>
      <c r="L493">
        <f>_xlfn.XLOOKUP(TableauRecette[[#This Row],[ID]],TableauProduit[ID],TableauProduit[Total (kg) N1],0,0,1)*TableauRecette[[#This Row],[fraction mélange]]</f>
        <v/>
      </c>
    </row>
    <row r="494">
      <c r="A494" t="inlineStr">
        <is>
          <t>Sirop de verveine</t>
        </is>
      </c>
      <c r="B494">
        <f>TableauRecette[[#This Row],[Recette]]&amp;TableauRecette[[#This Row],[Conditionnement]]</f>
        <v/>
      </c>
      <c r="C494" t="inlineStr">
        <is>
          <t>Sucre Blanc</t>
        </is>
      </c>
      <c r="D494" t="n">
        <v>610.5</v>
      </c>
      <c r="E494" t="inlineStr">
        <is>
          <t>Sirop 500 ml</t>
        </is>
      </c>
      <c r="F4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94">
        <f>IFERROR(_xlfn.XLOOKUP(TableauRecette[[#This Row],[Ingredients]],TableauIngredients[Ingredients],TableauIngredients[Prix d''achat / kg],0)*TableauRecette[[#This Row],[fraction mélange]],0)</f>
        <v/>
      </c>
      <c r="H494">
        <f>IFERROR(SUMIFS(TableauRecette[Proportion],TableauRecette[Recette],TableauRecette[[#This Row],[Recette]],TableauRecette[Conditionnement],TableauRecette[[#This Row],[Conditionnement]]),0)</f>
        <v/>
      </c>
      <c r="I494">
        <f>IFERROR(TableauRecette[[#This Row],[Prix d''achat / kg]],0)</f>
        <v/>
      </c>
      <c r="L494">
        <f>_xlfn.XLOOKUP(TableauRecette[[#This Row],[ID]],TableauProduit[ID],TableauProduit[Total (kg) N1],0,0,1)*TableauRecette[[#This Row],[fraction mélange]]</f>
        <v/>
      </c>
    </row>
    <row r="495">
      <c r="A495" t="inlineStr">
        <is>
          <t>Sirop de verveine</t>
        </is>
      </c>
      <c r="B495">
        <f>TableauRecette[[#This Row],[Recette]]&amp;TableauRecette[[#This Row],[Conditionnement]]</f>
        <v/>
      </c>
      <c r="C495" t="inlineStr">
        <is>
          <t>Verveine citronnelle</t>
        </is>
      </c>
      <c r="D495" t="n">
        <v>80</v>
      </c>
      <c r="E495" t="inlineStr">
        <is>
          <t>Sirop 500 ml</t>
        </is>
      </c>
      <c r="F49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95">
        <f>IFERROR(_xlfn.XLOOKUP(TableauRecette[[#This Row],[Ingredients]],TableauIngredients[Ingredients],TableauIngredients[Prix d''achat / kg],0)*TableauRecette[[#This Row],[fraction mélange]],0)</f>
        <v/>
      </c>
      <c r="H495">
        <f>IFERROR(SUMIFS(TableauRecette[Proportion],TableauRecette[Recette],TableauRecette[[#This Row],[Recette]],TableauRecette[Conditionnement],TableauRecette[[#This Row],[Conditionnement]]),0)</f>
        <v/>
      </c>
      <c r="I495">
        <f>IFERROR(TableauRecette[[#This Row],[Prix d''achat / kg]],0)</f>
        <v/>
      </c>
      <c r="L495">
        <f>_xlfn.XLOOKUP(TableauRecette[[#This Row],[ID]],TableauProduit[ID],TableauProduit[Total (kg) N1],0,0,1)*TableauRecette[[#This Row],[fraction mélange]]</f>
        <v/>
      </c>
    </row>
    <row r="496">
      <c r="A496" t="inlineStr">
        <is>
          <t>Sirop de verveine</t>
        </is>
      </c>
      <c r="B496">
        <f>TableauRecette[[#This Row],[Recette]]&amp;TableauRecette[[#This Row],[Conditionnement]]</f>
        <v/>
      </c>
      <c r="C496" t="inlineStr">
        <is>
          <t>Citron Vert</t>
        </is>
      </c>
      <c r="D496" t="n">
        <v>10</v>
      </c>
      <c r="E496" t="inlineStr">
        <is>
          <t>Sirop 500 ml</t>
        </is>
      </c>
      <c r="F4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96">
        <f>IFERROR(_xlfn.XLOOKUP(TableauRecette[[#This Row],[Ingredients]],TableauIngredients[Ingredients],TableauIngredients[Prix d''achat / kg],0)*TableauRecette[[#This Row],[fraction mélange]],0)</f>
        <v/>
      </c>
      <c r="H496">
        <f>IFERROR(SUMIFS(TableauRecette[Proportion],TableauRecette[Recette],TableauRecette[[#This Row],[Recette]],TableauRecette[Conditionnement],TableauRecette[[#This Row],[Conditionnement]]),0)</f>
        <v/>
      </c>
      <c r="I496">
        <f>IFERROR(TableauRecette[[#This Row],[Prix d''achat / kg]],0)</f>
        <v/>
      </c>
      <c r="L496">
        <f>_xlfn.XLOOKUP(TableauRecette[[#This Row],[ID]],TableauProduit[ID],TableauProduit[Total (kg) N1],0,0,1)*TableauRecette[[#This Row],[fraction mélange]]</f>
        <v/>
      </c>
    </row>
    <row r="497">
      <c r="A497" t="inlineStr">
        <is>
          <t>Sirop de verveine</t>
        </is>
      </c>
      <c r="B497">
        <f>TableauRecette[[#This Row],[Recette]]&amp;TableauRecette[[#This Row],[Conditionnement]]</f>
        <v/>
      </c>
      <c r="C497" t="inlineStr">
        <is>
          <t>Eau</t>
        </is>
      </c>
      <c r="D497" t="n">
        <v>1000</v>
      </c>
      <c r="E497" t="inlineStr">
        <is>
          <t>Sirop 500 ml</t>
        </is>
      </c>
      <c r="F49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97">
        <f>IFERROR(_xlfn.XLOOKUP(TableauRecette[[#This Row],[Ingredients]],TableauIngredients[Ingredients],TableauIngredients[Prix d''achat / kg],0)*TableauRecette[[#This Row],[fraction mélange]],0)</f>
        <v/>
      </c>
      <c r="H497">
        <f>IFERROR(SUMIFS(TableauRecette[Proportion],TableauRecette[Recette],TableauRecette[[#This Row],[Recette]],TableauRecette[Conditionnement],TableauRecette[[#This Row],[Conditionnement]]),0)</f>
        <v/>
      </c>
      <c r="I497">
        <f>IFERROR(TableauRecette[[#This Row],[Prix d''achat / kg]],0)</f>
        <v/>
      </c>
      <c r="L497">
        <f>_xlfn.XLOOKUP(TableauRecette[[#This Row],[ID]],TableauProduit[ID],TableauProduit[Total (kg) N1],0,0,1)*TableauRecette[[#This Row],[fraction mélange]]</f>
        <v/>
      </c>
    </row>
  </sheetData>
  <pageMargins left="0.7" right="0.7" top="0.75" bottom="0.75" header="0.3" footer="0.3"/>
  <pageSetup orientation="portrait" paperSize="9" horizontalDpi="360" verticalDpi="36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24" customWidth="1" min="3" max="3"/>
    <col width="40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  <col width="19" customWidth="1" min="11" max="11"/>
    <col width="45" customWidth="1" min="12" max="12"/>
  </cols>
  <sheetData>
    <row r="1">
      <c r="A1" s="1090" t="inlineStr">
        <is>
          <t>Besoins plantes (kg) — recalculer après ouverture Excel si formules liées</t>
        </is>
      </c>
    </row>
    <row r="2" ht="35" customHeight="1">
      <c r="A2" s="1091" t="inlineStr">
        <is>
          <t>kg = unités × poids/unité × fraction recette. Pour plantes sèches : kg frais ≈ kg sec × ratio séchage. Eau/sel/sucre exclus des surfaces.</t>
        </is>
      </c>
    </row>
    <row r="3">
      <c r="A3" s="1092" t="inlineStr">
        <is>
          <t>Espèce / matière</t>
        </is>
      </c>
      <c r="B3" s="1092" t="inlineStr">
        <is>
          <t>Espace</t>
        </is>
      </c>
      <c r="C3" s="1092" t="inlineStr">
        <is>
          <t>Source An1-3</t>
        </is>
      </c>
      <c r="D3" s="1092" t="inlineStr">
        <is>
          <t>Ingrédients recette</t>
        </is>
      </c>
      <c r="E3" s="1092" t="inlineStr">
        <is>
          <t>kg sec N1</t>
        </is>
      </c>
      <c r="F3" s="1092" t="inlineStr">
        <is>
          <t>kg frais N1</t>
        </is>
      </c>
      <c r="G3" s="1092" t="inlineStr">
        <is>
          <t>kg sec N2</t>
        </is>
      </c>
      <c r="H3" s="1092" t="inlineStr">
        <is>
          <t>kg frais N2</t>
        </is>
      </c>
      <c r="I3" s="1092" t="inlineStr">
        <is>
          <t>kg sec N3</t>
        </is>
      </c>
      <c r="J3" s="1092" t="inlineStr">
        <is>
          <t>kg frais N3</t>
        </is>
      </c>
      <c r="K3" s="1092" t="inlineStr">
        <is>
          <t>m² indicatifs N3*</t>
        </is>
      </c>
      <c r="L3" s="1092" t="inlineStr">
        <is>
          <t>Notes</t>
        </is>
      </c>
    </row>
    <row r="4">
      <c r="A4" s="1093" t="inlineStr">
        <is>
          <t>Chou (choucroute)</t>
        </is>
      </c>
      <c r="B4" s="1093" t="inlineStr">
        <is>
          <t>Maraîchage</t>
        </is>
      </c>
      <c r="C4" s="1093" t="inlineStr">
        <is>
          <t>ferme An1</t>
        </is>
      </c>
      <c r="D4" s="1093" t="inlineStr">
        <is>
          <t>Choux</t>
        </is>
      </c>
      <c r="E4" s="1093" t="n">
        <v>438.6</v>
      </c>
      <c r="F4" s="1093" t="n">
        <v>438.6</v>
      </c>
      <c r="G4" s="1093" t="n">
        <v>657.89</v>
      </c>
      <c r="H4" s="1093" t="n">
        <v>657.9</v>
      </c>
      <c r="I4" s="1093" t="n">
        <v>768.03</v>
      </c>
      <c r="J4" s="1093" t="n">
        <v>768</v>
      </c>
      <c r="K4" s="1093" t="n">
        <v>192</v>
      </c>
      <c r="L4" s="1093" t="inlineStr">
        <is>
          <t>Frais — pas de séchage ; gros volume</t>
        </is>
      </c>
    </row>
    <row r="5">
      <c r="A5" s="1093" t="inlineStr">
        <is>
          <t>Moutarde (graine)</t>
        </is>
      </c>
      <c r="B5" s="1093" t="inlineStr">
        <is>
          <t>Grande culture</t>
        </is>
      </c>
      <c r="C5" s="1093" t="inlineStr">
        <is>
          <t>ferme An1</t>
        </is>
      </c>
      <c r="D5" s="1093" t="inlineStr">
        <is>
          <t>Graine De Moutarde</t>
        </is>
      </c>
      <c r="E5" s="1093" t="n">
        <v>161.4</v>
      </c>
      <c r="F5" s="1093" t="n">
        <v>161.4</v>
      </c>
      <c r="G5" s="1093" t="n">
        <v>242.52</v>
      </c>
      <c r="H5" s="1093" t="n">
        <v>242.5</v>
      </c>
      <c r="I5" s="1093" t="n">
        <v>284.83</v>
      </c>
      <c r="J5" s="1093" t="n">
        <v>284.8</v>
      </c>
      <c r="K5" s="1093" t="n">
        <v>2374</v>
      </c>
      <c r="L5" s="1093" t="inlineStr">
        <is>
          <t>Annuelle — semis printemps</t>
        </is>
      </c>
    </row>
    <row r="6">
      <c r="A6" s="1093" t="inlineStr">
        <is>
          <t>Piment doux (paprika)</t>
        </is>
      </c>
      <c r="B6" s="1093" t="inlineStr">
        <is>
          <t>Tunnel</t>
        </is>
      </c>
      <c r="C6" s="1093" t="inlineStr">
        <is>
          <t>ferme An1</t>
        </is>
      </c>
      <c r="D6" s="1093" t="inlineStr">
        <is>
          <t>Paprika, Paprika Fumé, Piment Doux Rouge En Poudre</t>
        </is>
      </c>
      <c r="E6" s="1093" t="n">
        <v>61.67</v>
      </c>
      <c r="F6" s="1093" t="n">
        <v>493.4</v>
      </c>
      <c r="G6" s="1093" t="n">
        <v>92.92</v>
      </c>
      <c r="H6" s="1093" t="n">
        <v>743.4</v>
      </c>
      <c r="I6" s="1093" t="n">
        <v>109.3</v>
      </c>
      <c r="J6" s="1093" t="n">
        <v>874.4</v>
      </c>
      <c r="K6" s="1093" t="n">
        <v>364</v>
      </c>
      <c r="L6" s="1093" t="inlineStr">
        <is>
          <t>Même culture + fumage</t>
        </is>
      </c>
    </row>
    <row r="7">
      <c r="A7" s="1093" t="inlineStr">
        <is>
          <t>Cumin</t>
        </is>
      </c>
      <c r="B7" s="1093" t="inlineStr">
        <is>
          <t>Grande culture</t>
        </is>
      </c>
      <c r="C7" s="1093" t="inlineStr">
        <is>
          <t>ferme An1</t>
        </is>
      </c>
      <c r="D7" s="1093" t="inlineStr">
        <is>
          <t>Cumin Moulu, Graine De Cumin</t>
        </is>
      </c>
      <c r="E7" s="1093" t="n">
        <v>54.98</v>
      </c>
      <c r="F7" s="1093" t="n">
        <v>55</v>
      </c>
      <c r="G7" s="1093" t="n">
        <v>85.16</v>
      </c>
      <c r="H7" s="1093" t="n">
        <v>85.2</v>
      </c>
      <c r="I7" s="1093" t="n">
        <v>102.67</v>
      </c>
      <c r="J7" s="1093" t="n">
        <v>102.7</v>
      </c>
      <c r="K7" s="1093" t="n">
        <v>1711</v>
      </c>
      <c r="L7" s="1093" t="inlineStr">
        <is>
          <t>Annuelle — semis fragile, expérimental</t>
        </is>
      </c>
    </row>
    <row r="8">
      <c r="A8" s="1093" t="inlineStr">
        <is>
          <t>Ail</t>
        </is>
      </c>
      <c r="B8" s="1093" t="inlineStr">
        <is>
          <t>Maraîchage</t>
        </is>
      </c>
      <c r="C8" s="1093" t="inlineStr">
        <is>
          <t>ferme An1</t>
        </is>
      </c>
      <c r="D8" s="1093" t="inlineStr">
        <is>
          <t>Ail, Ail Sec</t>
        </is>
      </c>
      <c r="E8" s="1093" t="n">
        <v>20.8</v>
      </c>
      <c r="F8" s="1093" t="n">
        <v>20.8</v>
      </c>
      <c r="G8" s="1093" t="n">
        <v>31.95</v>
      </c>
      <c r="H8" s="1093" t="n">
        <v>32</v>
      </c>
      <c r="I8" s="1093" t="n">
        <v>38.31</v>
      </c>
      <c r="J8" s="1093" t="n">
        <v>38.3</v>
      </c>
      <c r="K8" s="1093" t="n">
        <v>48</v>
      </c>
      <c r="L8" s="1093" t="inlineStr">
        <is>
          <t>Bulbes — plantation automne, récolte été ; puis séchage/semoule</t>
        </is>
      </c>
    </row>
    <row r="9">
      <c r="A9" s="1093" t="inlineStr">
        <is>
          <t>Origan</t>
        </is>
      </c>
      <c r="B9" s="1093" t="inlineStr">
        <is>
          <t>Drainé PPAM</t>
        </is>
      </c>
      <c r="C9" s="1093" t="inlineStr">
        <is>
          <t>achat An1 / plante An3</t>
        </is>
      </c>
      <c r="D9" s="1093" t="inlineStr">
        <is>
          <t>Origan</t>
        </is>
      </c>
      <c r="E9" s="1093" t="n">
        <v>19.9</v>
      </c>
      <c r="F9" s="1093" t="n">
        <v>79.59999999999999</v>
      </c>
      <c r="G9" s="1093" t="n">
        <v>30.14</v>
      </c>
      <c r="H9" s="1093" t="n">
        <v>120.6</v>
      </c>
      <c r="I9" s="1093" t="n">
        <v>35.24</v>
      </c>
      <c r="J9" s="1093" t="n">
        <v>141</v>
      </c>
      <c r="K9" s="1093" t="n">
        <v>176</v>
      </c>
      <c r="L9" s="1093" t="inlineStr">
        <is>
          <t>Plantation An3 — acheter An1-2</t>
        </is>
      </c>
    </row>
    <row r="10">
      <c r="A10" s="1093" t="inlineStr">
        <is>
          <t>Thym</t>
        </is>
      </c>
      <c r="B10" s="1093" t="inlineStr">
        <is>
          <t>Drainé PPAM</t>
        </is>
      </c>
      <c r="C10" s="1093" t="inlineStr">
        <is>
          <t>ferme+achat An1</t>
        </is>
      </c>
      <c r="D10" s="1093" t="inlineStr">
        <is>
          <t>Thym, Thym SEC</t>
        </is>
      </c>
      <c r="E10" s="1093" t="n">
        <v>17.34</v>
      </c>
      <c r="F10" s="1093" t="n">
        <v>69.40000000000001</v>
      </c>
      <c r="G10" s="1093" t="n">
        <v>34.16</v>
      </c>
      <c r="H10" s="1093" t="n">
        <v>136.6</v>
      </c>
      <c r="I10" s="1093" t="n">
        <v>41.36</v>
      </c>
      <c r="J10" s="1093" t="n">
        <v>165.4</v>
      </c>
      <c r="K10" s="1093" t="n">
        <v>165</v>
      </c>
      <c r="L10" s="1093" t="inlineStr">
        <is>
          <t>Idem</t>
        </is>
      </c>
    </row>
    <row r="11">
      <c r="A11" s="1093" t="inlineStr">
        <is>
          <t>Carvi</t>
        </is>
      </c>
      <c r="B11" s="1093" t="inlineStr">
        <is>
          <t>Grande culture</t>
        </is>
      </c>
      <c r="C11" s="1093" t="inlineStr">
        <is>
          <t>ferme An1-2</t>
        </is>
      </c>
      <c r="D11" s="1093" t="inlineStr">
        <is>
          <t>Graine De Carvi</t>
        </is>
      </c>
      <c r="E11" s="1093" t="n">
        <v>17.07</v>
      </c>
      <c r="F11" s="1093" t="n">
        <v>17.1</v>
      </c>
      <c r="G11" s="1093" t="n">
        <v>25.6</v>
      </c>
      <c r="H11" s="1093" t="n">
        <v>25.6</v>
      </c>
      <c r="I11" s="1093" t="n">
        <v>29.95</v>
      </c>
      <c r="J11" s="1093" t="n">
        <v>29.9</v>
      </c>
      <c r="K11" s="1093" t="n">
        <v>374</v>
      </c>
      <c r="L11" s="1093" t="inlineStr">
        <is>
          <t>Bisannuelle — semis An1, récolte An2</t>
        </is>
      </c>
    </row>
    <row r="12">
      <c r="A12" s="1093" t="inlineStr">
        <is>
          <t>Romarin</t>
        </is>
      </c>
      <c r="B12" s="1093" t="inlineStr">
        <is>
          <t>Drainé PPAM</t>
        </is>
      </c>
      <c r="C12" s="1093" t="inlineStr">
        <is>
          <t>achat An1 / plante An2</t>
        </is>
      </c>
      <c r="D12" s="1093" t="inlineStr">
        <is>
          <t>Romarin, Romarin SEC</t>
        </is>
      </c>
      <c r="E12" s="1093" t="n">
        <v>13.52</v>
      </c>
      <c r="F12" s="1093" t="n">
        <v>47.3</v>
      </c>
      <c r="G12" s="1093" t="n">
        <v>21.03</v>
      </c>
      <c r="H12" s="1093" t="n">
        <v>73.59999999999999</v>
      </c>
      <c r="I12" s="1093" t="n">
        <v>24.68</v>
      </c>
      <c r="J12" s="1093" t="n">
        <v>86.40000000000001</v>
      </c>
      <c r="K12" s="1093" t="n">
        <v>165</v>
      </c>
      <c r="L12" s="1093" t="inlineStr"/>
    </row>
    <row r="13">
      <c r="A13" s="1093" t="inlineStr">
        <is>
          <t>Sarriette</t>
        </is>
      </c>
      <c r="B13" s="1093" t="inlineStr">
        <is>
          <t>Drainé PPAM</t>
        </is>
      </c>
      <c r="C13" s="1093" t="inlineStr">
        <is>
          <t>achat An1 / plante An2</t>
        </is>
      </c>
      <c r="D13" s="1093" t="inlineStr">
        <is>
          <t>Sarriette, Sarriette SEC</t>
        </is>
      </c>
      <c r="E13" s="1093" t="n">
        <v>13.52</v>
      </c>
      <c r="F13" s="1093" t="n">
        <v>54.1</v>
      </c>
      <c r="G13" s="1093" t="n">
        <v>21.03</v>
      </c>
      <c r="H13" s="1093" t="n">
        <v>84.09999999999999</v>
      </c>
      <c r="I13" s="1093" t="n">
        <v>24.68</v>
      </c>
      <c r="J13" s="1093" t="n">
        <v>98.7</v>
      </c>
      <c r="K13" s="1093" t="n">
        <v>123</v>
      </c>
      <c r="L13" s="1093" t="inlineStr"/>
    </row>
    <row r="14">
      <c r="A14" s="1093" t="inlineStr">
        <is>
          <t>Menthe</t>
        </is>
      </c>
      <c r="B14" s="1093" t="inlineStr">
        <is>
          <t>Espace frais / Maraîchage</t>
        </is>
      </c>
      <c r="C14" s="1093" t="inlineStr">
        <is>
          <t>ferme An1</t>
        </is>
      </c>
      <c r="D14" s="1093" t="inlineStr">
        <is>
          <t>Menthe Verte, Menthe Verte SEC</t>
        </is>
      </c>
      <c r="E14" s="1093" t="n">
        <v>11.62</v>
      </c>
      <c r="F14" s="1093" t="n">
        <v>69.7</v>
      </c>
      <c r="G14" s="1093" t="n">
        <v>19.36</v>
      </c>
      <c r="H14" s="1093" t="n">
        <v>116.1</v>
      </c>
      <c r="I14" s="1093" t="n">
        <v>22.93</v>
      </c>
      <c r="J14" s="1093" t="n">
        <v>137.6</v>
      </c>
      <c r="K14" s="1093" t="n">
        <v>76</v>
      </c>
      <c r="L14" s="1093" t="inlineStr"/>
    </row>
    <row r="15">
      <c r="A15" s="1093" t="inlineStr">
        <is>
          <t>Sumac</t>
        </is>
      </c>
      <c r="B15" s="1093" t="inlineStr">
        <is>
          <t>Drainé PPAM</t>
        </is>
      </c>
      <c r="C15" s="1093" t="inlineStr">
        <is>
          <t>achat An1-4</t>
        </is>
      </c>
      <c r="D15" s="1093" t="inlineStr">
        <is>
          <t>Sumac</t>
        </is>
      </c>
      <c r="E15" s="1093" t="n">
        <v>3.89</v>
      </c>
      <c r="F15" s="1093" t="n">
        <v>3.9</v>
      </c>
      <c r="G15" s="1093" t="n">
        <v>5.83</v>
      </c>
      <c r="H15" s="1093" t="n">
        <v>5.8</v>
      </c>
      <c r="I15" s="1093" t="n">
        <v>6.8</v>
      </c>
      <c r="J15" s="1093" t="n">
        <v>6.8</v>
      </c>
      <c r="K15" s="1093" t="n">
        <v>170</v>
      </c>
      <c r="L15" s="1093" t="inlineStr">
        <is>
          <t>Arbuste — An5</t>
        </is>
      </c>
    </row>
    <row r="16">
      <c r="A16" s="1093" t="inlineStr">
        <is>
          <t>Sésame</t>
        </is>
      </c>
      <c r="B16" s="1093" t="inlineStr">
        <is>
          <t>Tunnel / GC</t>
        </is>
      </c>
      <c r="C16" s="1093" t="inlineStr">
        <is>
          <t>achat+essai</t>
        </is>
      </c>
      <c r="D16" s="1093" t="inlineStr">
        <is>
          <t>Graines De Sésame</t>
        </is>
      </c>
      <c r="E16" s="1093" t="n">
        <v>3.89</v>
      </c>
      <c r="F16" s="1093" t="n">
        <v>3.9</v>
      </c>
      <c r="G16" s="1093" t="n">
        <v>5.83</v>
      </c>
      <c r="H16" s="1093" t="n">
        <v>5.8</v>
      </c>
      <c r="I16" s="1093" t="n">
        <v>9.949999999999999</v>
      </c>
      <c r="J16" s="1093" t="n">
        <v>9.9</v>
      </c>
      <c r="K16" s="1093" t="n">
        <v>199</v>
      </c>
      <c r="L16" s="1093" t="inlineStr">
        <is>
          <t>Difficile en Aveyron</t>
        </is>
      </c>
    </row>
    <row r="17">
      <c r="A17" s="1093" t="inlineStr">
        <is>
          <t>Curcuma</t>
        </is>
      </c>
      <c r="B17" s="1093" t="inlineStr">
        <is>
          <t>Tunnel</t>
        </is>
      </c>
      <c r="C17" s="1093" t="inlineStr">
        <is>
          <t>achat+essai An1</t>
        </is>
      </c>
      <c r="D17" s="1093" t="inlineStr">
        <is>
          <t>Curcuma Moulu</t>
        </is>
      </c>
      <c r="E17" s="1093" t="n">
        <v>3.21</v>
      </c>
      <c r="F17" s="1093" t="n">
        <v>16.1</v>
      </c>
      <c r="G17" s="1093" t="n">
        <v>17.28</v>
      </c>
      <c r="H17" s="1093" t="n">
        <v>86.40000000000001</v>
      </c>
      <c r="I17" s="1093" t="n">
        <v>23.19</v>
      </c>
      <c r="J17" s="1093" t="n">
        <v>116</v>
      </c>
      <c r="K17" s="1093" t="n">
        <v>290</v>
      </c>
      <c r="L17" s="1093" t="inlineStr">
        <is>
          <t>Rhizome tunnel — rendement limité An1</t>
        </is>
      </c>
    </row>
    <row r="18">
      <c r="A18" s="1093" t="inlineStr">
        <is>
          <t>Estragon</t>
        </is>
      </c>
      <c r="B18" s="1093" t="inlineStr">
        <is>
          <t>Maraîchage / Tunnel</t>
        </is>
      </c>
      <c r="C18" s="1093" t="inlineStr">
        <is>
          <t>ferme An1</t>
        </is>
      </c>
      <c r="D18" s="1093" t="inlineStr">
        <is>
          <t>Estragon</t>
        </is>
      </c>
      <c r="E18" s="1093" t="n">
        <v>2.89</v>
      </c>
      <c r="F18" s="1093" t="n">
        <v>14.4</v>
      </c>
      <c r="G18" s="1093" t="n">
        <v>4.33</v>
      </c>
      <c r="H18" s="1093" t="n">
        <v>21.7</v>
      </c>
      <c r="I18" s="1093" t="n">
        <v>5.05</v>
      </c>
      <c r="J18" s="1093" t="n">
        <v>25.3</v>
      </c>
      <c r="K18" s="1093" t="n">
        <v>34</v>
      </c>
      <c r="L18" s="1093" t="inlineStr">
        <is>
          <t>Vivace — plants</t>
        </is>
      </c>
    </row>
    <row r="19">
      <c r="A19" s="1093" t="inlineStr">
        <is>
          <t>Coriandre</t>
        </is>
      </c>
      <c r="B19" s="1093" t="inlineStr">
        <is>
          <t>Grande culture / Maraîchage</t>
        </is>
      </c>
      <c r="C19" s="1093" t="inlineStr">
        <is>
          <t>ferme An1</t>
        </is>
      </c>
      <c r="D19" s="1093" t="inlineStr">
        <is>
          <t>Coriandre Graine</t>
        </is>
      </c>
      <c r="E19" s="1093" t="n">
        <v>2.41</v>
      </c>
      <c r="F19" s="1093" t="n">
        <v>2.4</v>
      </c>
      <c r="G19" s="1093" t="n">
        <v>3.93</v>
      </c>
      <c r="H19" s="1093" t="n">
        <v>3.9</v>
      </c>
      <c r="I19" s="1093" t="n">
        <v>7.33</v>
      </c>
      <c r="J19" s="1093" t="n">
        <v>7.3</v>
      </c>
      <c r="K19" s="1093" t="n">
        <v>92</v>
      </c>
      <c r="L19" s="1093" t="inlineStr">
        <is>
          <t>Annuelle</t>
        </is>
      </c>
    </row>
    <row r="20">
      <c r="A20" s="1093" t="inlineStr">
        <is>
          <t>Gingembre</t>
        </is>
      </c>
      <c r="B20" s="1093" t="inlineStr">
        <is>
          <t>Tunnel</t>
        </is>
      </c>
      <c r="C20" s="1093" t="inlineStr">
        <is>
          <t>achat+essai An1</t>
        </is>
      </c>
      <c r="D20" s="1093" t="inlineStr">
        <is>
          <t>Gingembre Sec</t>
        </is>
      </c>
      <c r="E20" s="1093" t="n">
        <v>1.61</v>
      </c>
      <c r="F20" s="1093" t="n">
        <v>8</v>
      </c>
      <c r="G20" s="1093" t="n">
        <v>12.42</v>
      </c>
      <c r="H20" s="1093" t="n">
        <v>62.1</v>
      </c>
      <c r="I20" s="1093" t="n">
        <v>17.49</v>
      </c>
      <c r="J20" s="1093" t="n">
        <v>87.5</v>
      </c>
      <c r="K20" s="1093" t="n">
        <v>219</v>
      </c>
      <c r="L20" s="1093" t="inlineStr">
        <is>
          <t>Rhizome tunnel</t>
        </is>
      </c>
    </row>
    <row r="21">
      <c r="A21" s="1093" t="inlineStr">
        <is>
          <t>Basilic</t>
        </is>
      </c>
      <c r="B21" s="1093" t="inlineStr">
        <is>
          <t>Tunnel</t>
        </is>
      </c>
      <c r="C21" s="1093" t="inlineStr">
        <is>
          <t>ferme An1</t>
        </is>
      </c>
      <c r="D21" s="1093" t="inlineStr">
        <is>
          <t>Basilic SEC</t>
        </is>
      </c>
      <c r="E21" s="1093" t="n">
        <v>1.56</v>
      </c>
      <c r="F21" s="1093" t="n">
        <v>12.5</v>
      </c>
      <c r="G21" s="1093" t="n">
        <v>2.34</v>
      </c>
      <c r="H21" s="1093" t="n">
        <v>18.7</v>
      </c>
      <c r="I21" s="1093" t="n">
        <v>2.73</v>
      </c>
      <c r="J21" s="1093" t="n">
        <v>21.8</v>
      </c>
      <c r="K21" s="1093" t="n">
        <v>14</v>
      </c>
      <c r="L21" s="1093" t="inlineStr">
        <is>
          <t>Annuelle tunnel — plusieurs successions</t>
        </is>
      </c>
    </row>
    <row r="22">
      <c r="A22" s="1093" t="inlineStr">
        <is>
          <t>Gattilier</t>
        </is>
      </c>
      <c r="B22" s="1093" t="inlineStr">
        <is>
          <t>Drainé PPAM</t>
        </is>
      </c>
      <c r="C22" s="1093" t="inlineStr">
        <is>
          <t>achat An1-3</t>
        </is>
      </c>
      <c r="D22" s="1093" t="inlineStr">
        <is>
          <t>Poivre Des Moines</t>
        </is>
      </c>
      <c r="E22" s="1093" t="n">
        <v>1.32</v>
      </c>
      <c r="F22" s="1093" t="n">
        <v>1.3</v>
      </c>
      <c r="G22" s="1093" t="n">
        <v>1.97</v>
      </c>
      <c r="H22" s="1093" t="n">
        <v>2</v>
      </c>
      <c r="I22" s="1093" t="n">
        <v>2.3</v>
      </c>
      <c r="J22" s="1093" t="n">
        <v>2.3</v>
      </c>
      <c r="K22" s="1093" t="n">
        <v>77</v>
      </c>
      <c r="L22" s="1093" t="inlineStr">
        <is>
          <t>Arbuste — baies An4+</t>
        </is>
      </c>
    </row>
    <row r="23">
      <c r="A23" s="1093" t="inlineStr">
        <is>
          <t>Combava / citron</t>
        </is>
      </c>
      <c r="B23" s="1093" t="inlineStr">
        <is>
          <t>Serre semis / Pot</t>
        </is>
      </c>
      <c r="C23" s="1093" t="inlineStr">
        <is>
          <t>achat+pot</t>
        </is>
      </c>
      <c r="D23" s="1093" t="inlineStr">
        <is>
          <t>Citron Vert</t>
        </is>
      </c>
      <c r="E23" s="1093" t="n">
        <v>1.16</v>
      </c>
      <c r="F23" s="1093" t="n">
        <v>1.2</v>
      </c>
      <c r="G23" s="1093" t="n">
        <v>2.27</v>
      </c>
      <c r="H23" s="1093" t="n">
        <v>2.3</v>
      </c>
      <c r="I23" s="1093" t="n">
        <v>2.74</v>
      </c>
      <c r="J23" s="1093" t="n">
        <v>2.7</v>
      </c>
      <c r="K23" s="1093" t="inlineStr"/>
      <c r="L23" s="1093" t="inlineStr">
        <is>
          <t>Agrumes en pot orangerie</t>
        </is>
      </c>
    </row>
    <row r="24">
      <c r="A24" s="1093" t="inlineStr">
        <is>
          <t>Oignon</t>
        </is>
      </c>
      <c r="B24" s="1093" t="inlineStr">
        <is>
          <t>Maraîchage</t>
        </is>
      </c>
      <c r="C24" s="1093" t="inlineStr">
        <is>
          <t>ferme An1</t>
        </is>
      </c>
      <c r="D24" s="1093" t="inlineStr">
        <is>
          <t>Oignon Séché</t>
        </is>
      </c>
      <c r="E24" s="1093" t="n">
        <v>0.8</v>
      </c>
      <c r="F24" s="1093" t="n">
        <v>0.8</v>
      </c>
      <c r="G24" s="1093" t="n">
        <v>1.21</v>
      </c>
      <c r="H24" s="1093" t="n">
        <v>1.2</v>
      </c>
      <c r="I24" s="1093" t="n">
        <v>1.41</v>
      </c>
      <c r="J24" s="1093" t="n">
        <v>1.4</v>
      </c>
      <c r="K24" s="1093" t="n">
        <v>1</v>
      </c>
      <c r="L24" s="1093" t="inlineStr"/>
    </row>
    <row r="25">
      <c r="A25" s="1093" t="inlineStr">
        <is>
          <t>Fenugrec</t>
        </is>
      </c>
      <c r="B25" s="1093" t="inlineStr">
        <is>
          <t>Grande culture</t>
        </is>
      </c>
      <c r="C25" s="1093" t="inlineStr">
        <is>
          <t>ferme An1</t>
        </is>
      </c>
      <c r="D25" s="1093" t="inlineStr">
        <is>
          <t>Fenugrec</t>
        </is>
      </c>
      <c r="E25" s="1093" t="n">
        <v>0.8</v>
      </c>
      <c r="F25" s="1093" t="n">
        <v>0.8</v>
      </c>
      <c r="G25" s="1093" t="n">
        <v>1.21</v>
      </c>
      <c r="H25" s="1093" t="n">
        <v>1.2</v>
      </c>
      <c r="I25" s="1093" t="n">
        <v>1.41</v>
      </c>
      <c r="J25" s="1093" t="n">
        <v>1.4</v>
      </c>
      <c r="K25" s="1093" t="n">
        <v>20</v>
      </c>
      <c r="L25" s="1093" t="inlineStr">
        <is>
          <t>Annuelle</t>
        </is>
      </c>
    </row>
    <row r="26">
      <c r="A26" s="1093" t="inlineStr">
        <is>
          <t>Piment fort</t>
        </is>
      </c>
      <c r="B26" s="1093" t="inlineStr">
        <is>
          <t>Tunnel</t>
        </is>
      </c>
      <c r="C26" s="1093" t="inlineStr">
        <is>
          <t>ferme An1-2</t>
        </is>
      </c>
      <c r="D26" s="1093" t="inlineStr">
        <is>
          <t>Piment Œil D'Oiseau</t>
        </is>
      </c>
      <c r="E26" s="1093" t="n">
        <v>0.8</v>
      </c>
      <c r="F26" s="1093" t="n">
        <v>6.4</v>
      </c>
      <c r="G26" s="1093" t="n">
        <v>1.21</v>
      </c>
      <c r="H26" s="1093" t="n">
        <v>9.6</v>
      </c>
      <c r="I26" s="1093" t="n">
        <v>1.62</v>
      </c>
      <c r="J26" s="1093" t="n">
        <v>12.9</v>
      </c>
      <c r="K26" s="1093" t="n">
        <v>8</v>
      </c>
      <c r="L26" s="1093" t="inlineStr"/>
    </row>
    <row r="27">
      <c r="A27" s="1093" t="inlineStr">
        <is>
          <t>Monarde</t>
        </is>
      </c>
      <c r="B27" s="1093" t="inlineStr">
        <is>
          <t>Grande culture / Frais</t>
        </is>
      </c>
      <c r="C27" s="1093" t="inlineStr">
        <is>
          <t>ferme An1-2</t>
        </is>
      </c>
      <c r="D27" s="1093" t="inlineStr">
        <is>
          <t>Monarde SEC</t>
        </is>
      </c>
      <c r="E27" s="1093" t="n">
        <v>0.14</v>
      </c>
      <c r="F27" s="1093" t="n">
        <v>0.9</v>
      </c>
      <c r="G27" s="1093" t="n">
        <v>1.39</v>
      </c>
      <c r="H27" s="1093" t="n">
        <v>8.300000000000001</v>
      </c>
      <c r="I27" s="1093" t="n">
        <v>1.77</v>
      </c>
      <c r="J27" s="1093" t="n">
        <v>10.6</v>
      </c>
      <c r="K27" s="1093" t="n">
        <v>44</v>
      </c>
      <c r="L27" s="1093" t="inlineStr">
        <is>
          <t>Fleurs</t>
        </is>
      </c>
    </row>
    <row r="28">
      <c r="A28" s="1093" t="inlineStr">
        <is>
          <t>Bleuet</t>
        </is>
      </c>
      <c r="B28" s="1093" t="inlineStr">
        <is>
          <t>Grande culture</t>
        </is>
      </c>
      <c r="C28" s="1093" t="inlineStr">
        <is>
          <t>ferme An1</t>
        </is>
      </c>
      <c r="D28" s="1093" t="inlineStr">
        <is>
          <t>Bleuet SEC</t>
        </is>
      </c>
      <c r="E28" s="1093" t="n">
        <v>0.14</v>
      </c>
      <c r="F28" s="1093" t="n">
        <v>0.9</v>
      </c>
      <c r="G28" s="1093" t="n">
        <v>0.22</v>
      </c>
      <c r="H28" s="1093" t="n">
        <v>1.3</v>
      </c>
      <c r="I28" s="1093" t="n">
        <v>0.25</v>
      </c>
      <c r="J28" s="1093" t="n">
        <v>1.5</v>
      </c>
      <c r="K28" s="1093" t="n">
        <v>13</v>
      </c>
      <c r="L28" s="1093" t="inlineStr"/>
    </row>
    <row r="29">
      <c r="A29" s="1093" t="inlineStr">
        <is>
          <t>Rose</t>
        </is>
      </c>
      <c r="B29" s="1093" t="inlineStr">
        <is>
          <t>Espace frais / Haie</t>
        </is>
      </c>
      <c r="C29" s="1093" t="inlineStr">
        <is>
          <t>ferme An2+</t>
        </is>
      </c>
      <c r="D29" s="1093" t="inlineStr">
        <is>
          <t>Rose, Rose SEC</t>
        </is>
      </c>
      <c r="E29" s="1093" t="n">
        <v>0.14</v>
      </c>
      <c r="F29" s="1093" t="n">
        <v>0.7</v>
      </c>
      <c r="G29" s="1093" t="n">
        <v>0.67</v>
      </c>
      <c r="H29" s="1093" t="n">
        <v>3.3</v>
      </c>
      <c r="I29" s="1093" t="n">
        <v>0.84</v>
      </c>
      <c r="J29" s="1093" t="n">
        <v>4.2</v>
      </c>
      <c r="K29" s="1093" t="n">
        <v>56</v>
      </c>
      <c r="L29" s="1093" t="inlineStr">
        <is>
          <t>Haie / rosier — long terme</t>
        </is>
      </c>
    </row>
    <row r="30">
      <c r="A30" s="1093" t="inlineStr">
        <is>
          <t>Hélichryse</t>
        </is>
      </c>
      <c r="B30" s="1093" t="inlineStr">
        <is>
          <t>Drainé PPAM</t>
        </is>
      </c>
      <c r="C30" s="1093" t="inlineStr">
        <is>
          <t>ferme An1-2</t>
        </is>
      </c>
      <c r="D30" s="1093" t="inlineStr">
        <is>
          <t>Fleur Helichrysum SEC</t>
        </is>
      </c>
      <c r="E30" s="1093" t="n">
        <v>0.14</v>
      </c>
      <c r="F30" s="1093" t="n">
        <v>0.7</v>
      </c>
      <c r="G30" s="1093" t="n">
        <v>0.82</v>
      </c>
      <c r="H30" s="1093" t="n">
        <v>4.1</v>
      </c>
      <c r="I30" s="1093" t="n">
        <v>1.09</v>
      </c>
      <c r="J30" s="1093" t="n">
        <v>5.5</v>
      </c>
      <c r="K30" s="1093" t="n">
        <v>22</v>
      </c>
      <c r="L30" s="1093" t="inlineStr"/>
    </row>
    <row r="31">
      <c r="A31" s="1093" t="inlineStr">
        <is>
          <t>Pélargonium</t>
        </is>
      </c>
      <c r="B31" s="1093" t="inlineStr">
        <is>
          <t>Tunnel / Pot</t>
        </is>
      </c>
      <c r="C31" s="1093" t="inlineStr">
        <is>
          <t>ferme An1</t>
        </is>
      </c>
      <c r="D31" s="1093" t="inlineStr">
        <is>
          <t>Pelargonium SEC (Géranium)</t>
        </is>
      </c>
      <c r="E31" s="1093" t="n">
        <v>0.14</v>
      </c>
      <c r="F31" s="1093" t="n">
        <v>0.9</v>
      </c>
      <c r="G31" s="1093" t="n">
        <v>0.22</v>
      </c>
      <c r="H31" s="1093" t="n">
        <v>1.3</v>
      </c>
      <c r="I31" s="1093" t="n">
        <v>0.25</v>
      </c>
      <c r="J31" s="1093" t="n">
        <v>1.5</v>
      </c>
      <c r="K31" s="1093" t="n">
        <v>8</v>
      </c>
      <c r="L31" s="1093" t="inlineStr">
        <is>
          <t>Pots / tunnel</t>
        </is>
      </c>
    </row>
    <row r="32">
      <c r="A32" s="1093" t="inlineStr">
        <is>
          <t>Lavande</t>
        </is>
      </c>
      <c r="B32" s="1093" t="inlineStr">
        <is>
          <t>Drainé PPAM</t>
        </is>
      </c>
      <c r="C32" s="1093" t="inlineStr">
        <is>
          <t>ferme+achat An1</t>
        </is>
      </c>
      <c r="D32" s="1093" t="inlineStr">
        <is>
          <t>Lavande SEC</t>
        </is>
      </c>
      <c r="E32" s="1093" t="n">
        <v>0.14</v>
      </c>
      <c r="F32" s="1093" t="n">
        <v>0.4</v>
      </c>
      <c r="G32" s="1093" t="n">
        <v>0.52</v>
      </c>
      <c r="H32" s="1093" t="n">
        <v>1.5</v>
      </c>
      <c r="I32" s="1093" t="n">
        <v>0.66</v>
      </c>
      <c r="J32" s="1093" t="n">
        <v>2</v>
      </c>
      <c r="K32" s="1093" t="n">
        <v>13</v>
      </c>
      <c r="L32" s="1093" t="inlineStr"/>
    </row>
    <row r="33">
      <c r="A33" s="1093" t="inlineStr">
        <is>
          <t>Sureau</t>
        </is>
      </c>
      <c r="B33" s="1093" t="inlineStr">
        <is>
          <t>Espace frais</t>
        </is>
      </c>
      <c r="C33" s="1093" t="inlineStr">
        <is>
          <t>ferme An1-2</t>
        </is>
      </c>
      <c r="D33" s="1093" t="inlineStr">
        <is>
          <t>Sureau SEC</t>
        </is>
      </c>
      <c r="E33" s="1093" t="n">
        <v>0.14</v>
      </c>
      <c r="F33" s="1093" t="n">
        <v>0.7</v>
      </c>
      <c r="G33" s="1093" t="n">
        <v>2.39</v>
      </c>
      <c r="H33" s="1093" t="n">
        <v>11.9</v>
      </c>
      <c r="I33" s="1093" t="n">
        <v>3.22</v>
      </c>
      <c r="J33" s="1093" t="n">
        <v>16.1</v>
      </c>
      <c r="K33" s="1093" t="n">
        <v>161</v>
      </c>
      <c r="L33" s="1093" t="inlineStr">
        <is>
          <t>Arbuste — fleurs An2+</t>
        </is>
      </c>
    </row>
    <row r="34">
      <c r="A34" s="1093" t="inlineStr">
        <is>
          <t>Camomille</t>
        </is>
      </c>
      <c r="B34" s="1093" t="inlineStr">
        <is>
          <t>Grande culture</t>
        </is>
      </c>
      <c r="C34" s="1093" t="inlineStr">
        <is>
          <t>ferme An1</t>
        </is>
      </c>
      <c r="D34" s="1093" t="inlineStr">
        <is>
          <t>Camomille Romaine SEC</t>
        </is>
      </c>
      <c r="E34" s="1093" t="n">
        <v>0.14</v>
      </c>
      <c r="F34" s="1093" t="n">
        <v>0.9</v>
      </c>
      <c r="G34" s="1093" t="n">
        <v>1.5</v>
      </c>
      <c r="H34" s="1093" t="n">
        <v>9</v>
      </c>
      <c r="I34" s="1093" t="n">
        <v>1.98</v>
      </c>
      <c r="J34" s="1093" t="n">
        <v>11.9</v>
      </c>
      <c r="K34" s="1093" t="n">
        <v>50</v>
      </c>
      <c r="L34" s="1093" t="inlineStr"/>
    </row>
    <row r="35">
      <c r="A35" s="1093" t="inlineStr">
        <is>
          <t>Souci</t>
        </is>
      </c>
      <c r="B35" s="1093" t="inlineStr">
        <is>
          <t>Grande culture</t>
        </is>
      </c>
      <c r="C35" s="1093" t="inlineStr">
        <is>
          <t>ferme An1</t>
        </is>
      </c>
      <c r="D35" s="1093" t="inlineStr">
        <is>
          <t>Souci SEC (Calendula Officinalis)</t>
        </is>
      </c>
      <c r="E35" s="1093" t="n">
        <v>0.14</v>
      </c>
      <c r="F35" s="1093" t="n">
        <v>0.9</v>
      </c>
      <c r="G35" s="1093" t="n">
        <v>0.22</v>
      </c>
      <c r="H35" s="1093" t="n">
        <v>1.3</v>
      </c>
      <c r="I35" s="1093" t="n">
        <v>0.25</v>
      </c>
      <c r="J35" s="1093" t="n">
        <v>1.5</v>
      </c>
      <c r="K35" s="1093" t="n">
        <v>5</v>
      </c>
      <c r="L35" s="1093" t="inlineStr"/>
    </row>
    <row r="36">
      <c r="A36" s="1093" t="inlineStr">
        <is>
          <t>Pensée</t>
        </is>
      </c>
      <c r="B36" s="1093" t="inlineStr">
        <is>
          <t>Grande culture / Maraîchage</t>
        </is>
      </c>
      <c r="C36" s="1093" t="inlineStr">
        <is>
          <t>ferme An1</t>
        </is>
      </c>
      <c r="D36" s="1093" t="inlineStr">
        <is>
          <t>La Pensée SEC</t>
        </is>
      </c>
      <c r="E36" s="1093" t="n">
        <v>0.14</v>
      </c>
      <c r="F36" s="1093" t="n">
        <v>0.9</v>
      </c>
      <c r="G36" s="1093" t="n">
        <v>0.22</v>
      </c>
      <c r="H36" s="1093" t="n">
        <v>1.3</v>
      </c>
      <c r="I36" s="1093" t="n">
        <v>0.25</v>
      </c>
      <c r="J36" s="1093" t="n">
        <v>1.5</v>
      </c>
      <c r="K36" s="1093" t="n">
        <v>13</v>
      </c>
      <c r="L36" s="1093" t="inlineStr"/>
    </row>
    <row r="37">
      <c r="A37" s="1093" t="inlineStr">
        <is>
          <t>Œillet d'Inde</t>
        </is>
      </c>
      <c r="B37" s="1093" t="inlineStr">
        <is>
          <t>Grande culture</t>
        </is>
      </c>
      <c r="C37" s="1093" t="inlineStr">
        <is>
          <t>ferme An1</t>
        </is>
      </c>
      <c r="D37" s="1093" t="inlineStr">
        <is>
          <t>Oeillet D’Inde SEC</t>
        </is>
      </c>
      <c r="E37" s="1093" t="n">
        <v>0.14</v>
      </c>
      <c r="F37" s="1093" t="n">
        <v>0.9</v>
      </c>
      <c r="G37" s="1093" t="n">
        <v>0.22</v>
      </c>
      <c r="H37" s="1093" t="n">
        <v>1.3</v>
      </c>
      <c r="I37" s="1093" t="n">
        <v>0.25</v>
      </c>
      <c r="J37" s="1093" t="n">
        <v>1.5</v>
      </c>
      <c r="K37" s="1093" t="n">
        <v>6</v>
      </c>
      <c r="L37" s="1093" t="inlineStr"/>
    </row>
    <row r="38">
      <c r="A38" s="1093" t="inlineStr">
        <is>
          <t>Mauve</t>
        </is>
      </c>
      <c r="B38" s="1093" t="inlineStr">
        <is>
          <t>Grande culture</t>
        </is>
      </c>
      <c r="C38" s="1093" t="inlineStr">
        <is>
          <t>ferme An1-2</t>
        </is>
      </c>
      <c r="D38" s="1093" t="inlineStr">
        <is>
          <t>Mauve SEC</t>
        </is>
      </c>
      <c r="E38" s="1093" t="n">
        <v>0.14</v>
      </c>
      <c r="F38" s="1093" t="n">
        <v>0.9</v>
      </c>
      <c r="G38" s="1093" t="n">
        <v>1.39</v>
      </c>
      <c r="H38" s="1093" t="n">
        <v>8.300000000000001</v>
      </c>
      <c r="I38" s="1093" t="n">
        <v>1.77</v>
      </c>
      <c r="J38" s="1093" t="n">
        <v>10.6</v>
      </c>
      <c r="K38" s="1093" t="n">
        <v>59</v>
      </c>
      <c r="L38" s="1093" t="inlineStr"/>
    </row>
    <row r="39">
      <c r="A39" s="1093" t="inlineStr">
        <is>
          <t>Agastache</t>
        </is>
      </c>
      <c r="B39" s="1093" t="inlineStr">
        <is>
          <t>Grande culture</t>
        </is>
      </c>
      <c r="C39" s="1093" t="inlineStr">
        <is>
          <t>ferme An1-2</t>
        </is>
      </c>
      <c r="D39" s="1093" t="inlineStr">
        <is>
          <t>L'Agastache SEC</t>
        </is>
      </c>
      <c r="E39" s="1093" t="n">
        <v>0.14</v>
      </c>
      <c r="F39" s="1093" t="n">
        <v>0.7</v>
      </c>
      <c r="G39" s="1093" t="n">
        <v>0.22</v>
      </c>
      <c r="H39" s="1093" t="n">
        <v>1.1</v>
      </c>
      <c r="I39" s="1093" t="n">
        <v>0.25</v>
      </c>
      <c r="J39" s="1093" t="n">
        <v>1.3</v>
      </c>
      <c r="K39" s="1093" t="n">
        <v>6</v>
      </c>
      <c r="L39" s="1093" t="inlineStr"/>
    </row>
    <row r="40">
      <c r="A40" s="1093" t="inlineStr">
        <is>
          <t>Piment De Cayenne Jaune SEC</t>
        </is>
      </c>
      <c r="B40" s="1093" t="inlineStr">
        <is>
          <t>À classer</t>
        </is>
      </c>
      <c r="C40" s="1093" t="inlineStr">
        <is>
          <t>achat?</t>
        </is>
      </c>
      <c r="D40" s="1093" t="inlineStr">
        <is>
          <t>Piment De Cayenne Jaune SEC</t>
        </is>
      </c>
      <c r="E40" s="1093" t="n">
        <v>0.12</v>
      </c>
      <c r="F40" s="1093" t="n">
        <v>0.1</v>
      </c>
      <c r="G40" s="1093" t="n">
        <v>0.19</v>
      </c>
      <c r="H40" s="1093" t="n">
        <v>0.2</v>
      </c>
      <c r="I40" s="1093" t="n">
        <v>0.48</v>
      </c>
      <c r="J40" s="1093" t="n">
        <v>0.5</v>
      </c>
      <c r="K40" s="1093" t="inlineStr"/>
      <c r="L40" s="1093" t="inlineStr">
        <is>
          <t>À rattacher manuellement</t>
        </is>
      </c>
    </row>
    <row r="41">
      <c r="A41" s="1094" t="inlineStr">
        <is>
          <t>Églantier</t>
        </is>
      </c>
      <c r="B41" s="1094" t="inlineStr">
        <is>
          <t>Haie / Frais</t>
        </is>
      </c>
      <c r="C41" s="1094" t="inlineStr">
        <is>
          <t>cueillette+plante An2</t>
        </is>
      </c>
      <c r="D41" s="1094" t="inlineStr">
        <is>
          <t>Églantier SEC</t>
        </is>
      </c>
      <c r="E41" s="1094" t="n">
        <v>0</v>
      </c>
      <c r="F41" s="1094" t="n">
        <v>0</v>
      </c>
      <c r="G41" s="1094" t="n">
        <v>2.13</v>
      </c>
      <c r="H41" s="1094" t="n">
        <v>8.5</v>
      </c>
      <c r="I41" s="1094" t="n">
        <v>2.88</v>
      </c>
      <c r="J41" s="1094" t="n">
        <v>11.5</v>
      </c>
      <c r="K41" s="1094" t="n">
        <v>144</v>
      </c>
      <c r="L41" s="1094" t="inlineStr">
        <is>
          <t>Cynorrhodon — haie</t>
        </is>
      </c>
    </row>
    <row r="42">
      <c r="A42" s="1094" t="inlineStr">
        <is>
          <t>Feuille De 4 Épices</t>
        </is>
      </c>
      <c r="B42" s="1094" t="inlineStr">
        <is>
          <t>À classer</t>
        </is>
      </c>
      <c r="C42" s="1094" t="inlineStr">
        <is>
          <t>achat?</t>
        </is>
      </c>
      <c r="D42" s="1094" t="inlineStr">
        <is>
          <t>Feuille De 4 Épices</t>
        </is>
      </c>
      <c r="E42" s="1094" t="n">
        <v>0</v>
      </c>
      <c r="F42" s="1094" t="n">
        <v>0</v>
      </c>
      <c r="G42" s="1094" t="n">
        <v>0</v>
      </c>
      <c r="H42" s="1094" t="n">
        <v>0</v>
      </c>
      <c r="I42" s="1094" t="n">
        <v>0.12</v>
      </c>
      <c r="J42" s="1094" t="n">
        <v>0.1</v>
      </c>
      <c r="K42" s="1094" t="inlineStr"/>
      <c r="L42" s="1094" t="inlineStr">
        <is>
          <t>À rattacher manuellement</t>
        </is>
      </c>
    </row>
    <row r="43">
      <c r="A43" s="1094" t="inlineStr">
        <is>
          <t>Hibiscus</t>
        </is>
      </c>
      <c r="B43" s="1094" t="inlineStr">
        <is>
          <t>À classer</t>
        </is>
      </c>
      <c r="C43" s="1094" t="inlineStr">
        <is>
          <t>achat?</t>
        </is>
      </c>
      <c r="D43" s="1094" t="inlineStr">
        <is>
          <t>Hibiscus</t>
        </is>
      </c>
      <c r="E43" s="1094" t="n">
        <v>0</v>
      </c>
      <c r="F43" s="1094" t="n">
        <v>0</v>
      </c>
      <c r="G43" s="1094" t="n">
        <v>26.32</v>
      </c>
      <c r="H43" s="1094" t="n">
        <v>26.3</v>
      </c>
      <c r="I43" s="1094" t="n">
        <v>35.53</v>
      </c>
      <c r="J43" s="1094" t="n">
        <v>35.5</v>
      </c>
      <c r="K43" s="1094" t="inlineStr"/>
      <c r="L43" s="1094" t="inlineStr">
        <is>
          <t>À rattacher manuellement</t>
        </is>
      </c>
    </row>
    <row r="44">
      <c r="A44" s="1094" t="inlineStr">
        <is>
          <t>Citron Jaune</t>
        </is>
      </c>
      <c r="B44" s="1094" t="inlineStr">
        <is>
          <t>À classer</t>
        </is>
      </c>
      <c r="C44" s="1094" t="inlineStr">
        <is>
          <t>achat?</t>
        </is>
      </c>
      <c r="D44" s="1094" t="inlineStr">
        <is>
          <t>Citron Jaune</t>
        </is>
      </c>
      <c r="E44" s="1094" t="n">
        <v>0</v>
      </c>
      <c r="F44" s="1094" t="n">
        <v>0</v>
      </c>
      <c r="G44" s="1094" t="n">
        <v>0.8100000000000001</v>
      </c>
      <c r="H44" s="1094" t="n">
        <v>0.8</v>
      </c>
      <c r="I44" s="1094" t="n">
        <v>1.09</v>
      </c>
      <c r="J44" s="1094" t="n">
        <v>1.1</v>
      </c>
      <c r="K44" s="1094" t="inlineStr"/>
      <c r="L44" s="1094" t="inlineStr">
        <is>
          <t>À rattacher manuellement</t>
        </is>
      </c>
    </row>
    <row r="45">
      <c r="A45" s="1094" t="inlineStr">
        <is>
          <t>Fenouil</t>
        </is>
      </c>
      <c r="B45" s="1094" t="inlineStr">
        <is>
          <t>Grande culture</t>
        </is>
      </c>
      <c r="C45" s="1094" t="inlineStr">
        <is>
          <t>ferme An1-2</t>
        </is>
      </c>
      <c r="D45" s="1094" t="inlineStr">
        <is>
          <t>Fenouil Graine</t>
        </is>
      </c>
      <c r="E45" s="1094" t="n">
        <v>0</v>
      </c>
      <c r="F45" s="1094" t="n">
        <v>0</v>
      </c>
      <c r="G45" s="1094" t="n">
        <v>1.28</v>
      </c>
      <c r="H45" s="1094" t="n">
        <v>1.3</v>
      </c>
      <c r="I45" s="1094" t="n">
        <v>1.73</v>
      </c>
      <c r="J45" s="1094" t="n">
        <v>1.7</v>
      </c>
      <c r="K45" s="1094" t="n">
        <v>25</v>
      </c>
      <c r="L45" s="1094" t="inlineStr"/>
    </row>
    <row r="46">
      <c r="A46" s="1094" t="inlineStr">
        <is>
          <t>Cannelle Moulue</t>
        </is>
      </c>
      <c r="B46" s="1094" t="inlineStr">
        <is>
          <t>À classer</t>
        </is>
      </c>
      <c r="C46" s="1094" t="inlineStr">
        <is>
          <t>achat?</t>
        </is>
      </c>
      <c r="D46" s="1094" t="inlineStr">
        <is>
          <t>Cannelle Moulue</t>
        </is>
      </c>
      <c r="E46" s="1094" t="n">
        <v>0</v>
      </c>
      <c r="F46" s="1094" t="n">
        <v>0</v>
      </c>
      <c r="G46" s="1094" t="n">
        <v>0</v>
      </c>
      <c r="H46" s="1094" t="n">
        <v>0</v>
      </c>
      <c r="I46" s="1094" t="n">
        <v>1.81</v>
      </c>
      <c r="J46" s="1094" t="n">
        <v>1.8</v>
      </c>
      <c r="K46" s="1094" t="inlineStr"/>
      <c r="L46" s="1094" t="inlineStr">
        <is>
          <t>À rattacher manuellement</t>
        </is>
      </c>
    </row>
    <row r="47">
      <c r="A47" s="1094" t="inlineStr">
        <is>
          <t>Carvi Moule</t>
        </is>
      </c>
      <c r="B47" s="1094" t="inlineStr">
        <is>
          <t>À classer</t>
        </is>
      </c>
      <c r="C47" s="1094" t="inlineStr">
        <is>
          <t>achat?</t>
        </is>
      </c>
      <c r="D47" s="1094" t="inlineStr">
        <is>
          <t>Carvi Moule</t>
        </is>
      </c>
      <c r="E47" s="1094" t="n">
        <v>0</v>
      </c>
      <c r="F47" s="1094" t="n">
        <v>0</v>
      </c>
      <c r="G47" s="1094" t="n">
        <v>7.8</v>
      </c>
      <c r="H47" s="1094" t="n">
        <v>7.8</v>
      </c>
      <c r="I47" s="1094" t="n">
        <v>10.14</v>
      </c>
      <c r="J47" s="1094" t="n">
        <v>10.1</v>
      </c>
      <c r="K47" s="1094" t="inlineStr"/>
      <c r="L47" s="1094" t="inlineStr">
        <is>
          <t>À rattacher manuellement</t>
        </is>
      </c>
    </row>
    <row r="48">
      <c r="A48" s="1094" t="inlineStr">
        <is>
          <t>Poivre De Jamaïque</t>
        </is>
      </c>
      <c r="B48" s="1094" t="inlineStr">
        <is>
          <t>À classer</t>
        </is>
      </c>
      <c r="C48" s="1094" t="inlineStr">
        <is>
          <t>achat?</t>
        </is>
      </c>
      <c r="D48" s="1094" t="inlineStr">
        <is>
          <t>Poivre De Jamaïque</t>
        </is>
      </c>
      <c r="E48" s="1094" t="n">
        <v>0</v>
      </c>
      <c r="F48" s="1094" t="n">
        <v>0</v>
      </c>
      <c r="G48" s="1094" t="n">
        <v>0</v>
      </c>
      <c r="H48" s="1094" t="n">
        <v>0</v>
      </c>
      <c r="I48" s="1094" t="n">
        <v>0.89</v>
      </c>
      <c r="J48" s="1094" t="n">
        <v>0.9</v>
      </c>
      <c r="K48" s="1094" t="inlineStr"/>
      <c r="L48" s="1094" t="inlineStr">
        <is>
          <t>À rattacher manuellement</t>
        </is>
      </c>
    </row>
    <row r="49">
      <c r="A49" s="1094" t="inlineStr">
        <is>
          <t>Quatre Épices</t>
        </is>
      </c>
      <c r="B49" s="1094" t="inlineStr">
        <is>
          <t>À classer</t>
        </is>
      </c>
      <c r="C49" s="1094" t="inlineStr">
        <is>
          <t>achat?</t>
        </is>
      </c>
      <c r="D49" s="1094" t="inlineStr">
        <is>
          <t>Quatre Épices</t>
        </is>
      </c>
      <c r="E49" s="1094" t="n">
        <v>0</v>
      </c>
      <c r="F49" s="1094" t="n">
        <v>0</v>
      </c>
      <c r="G49" s="1094" t="n">
        <v>0</v>
      </c>
      <c r="H49" s="1094" t="n">
        <v>0</v>
      </c>
      <c r="I49" s="1094" t="n">
        <v>0.73</v>
      </c>
      <c r="J49" s="1094" t="n">
        <v>0.7</v>
      </c>
      <c r="K49" s="1094" t="inlineStr"/>
      <c r="L49" s="1094" t="inlineStr">
        <is>
          <t>À rattacher manuellement</t>
        </is>
      </c>
    </row>
    <row r="50">
      <c r="A50" s="1094" t="inlineStr">
        <is>
          <t>Verveine citronnelle</t>
        </is>
      </c>
      <c r="B50" s="1094" t="inlineStr">
        <is>
          <t>Tunnel / Pot</t>
        </is>
      </c>
      <c r="C50" s="1094" t="inlineStr">
        <is>
          <t>ferme An1</t>
        </is>
      </c>
      <c r="D50" s="1094" t="inlineStr">
        <is>
          <t>Verveine Citronnelle SEC</t>
        </is>
      </c>
      <c r="E50" s="1094" t="n">
        <v>0</v>
      </c>
      <c r="F50" s="1094" t="n">
        <v>0</v>
      </c>
      <c r="G50" s="1094" t="n">
        <v>0.64</v>
      </c>
      <c r="H50" s="1094" t="n">
        <v>3.2</v>
      </c>
      <c r="I50" s="1094" t="n">
        <v>0.86</v>
      </c>
      <c r="J50" s="1094" t="n">
        <v>4.3</v>
      </c>
      <c r="K50" s="1094" t="n">
        <v>11</v>
      </c>
      <c r="L50" s="1094" t="inlineStr">
        <is>
          <t>Hiverner hors gel</t>
        </is>
      </c>
    </row>
    <row r="51">
      <c r="A51" s="1094" t="inlineStr">
        <is>
          <t>Noisette Entière</t>
        </is>
      </c>
      <c r="B51" s="1094" t="inlineStr">
        <is>
          <t>À classer</t>
        </is>
      </c>
      <c r="C51" s="1094" t="inlineStr">
        <is>
          <t>achat?</t>
        </is>
      </c>
      <c r="D51" s="1094" t="inlineStr">
        <is>
          <t>Noisette Entière</t>
        </is>
      </c>
      <c r="E51" s="1094" t="n">
        <v>0</v>
      </c>
      <c r="F51" s="1094" t="n">
        <v>0</v>
      </c>
      <c r="G51" s="1094" t="n">
        <v>0</v>
      </c>
      <c r="H51" s="1094" t="n">
        <v>0</v>
      </c>
      <c r="I51" s="1094" t="n">
        <v>1.63</v>
      </c>
      <c r="J51" s="1094" t="n">
        <v>1.6</v>
      </c>
      <c r="K51" s="1094" t="inlineStr"/>
      <c r="L51" s="1094" t="inlineStr">
        <is>
          <t>À rattacher manuellement</t>
        </is>
      </c>
    </row>
    <row r="52">
      <c r="A52" s="1094" t="inlineStr">
        <is>
          <t>Muscade Moulue</t>
        </is>
      </c>
      <c r="B52" s="1094" t="inlineStr">
        <is>
          <t>À classer</t>
        </is>
      </c>
      <c r="C52" s="1094" t="inlineStr">
        <is>
          <t>achat?</t>
        </is>
      </c>
      <c r="D52" s="1094" t="inlineStr">
        <is>
          <t>Muscade Moulue</t>
        </is>
      </c>
      <c r="E52" s="1094" t="n">
        <v>0</v>
      </c>
      <c r="F52" s="1094" t="n">
        <v>0</v>
      </c>
      <c r="G52" s="1094" t="n">
        <v>0</v>
      </c>
      <c r="H52" s="1094" t="n">
        <v>0</v>
      </c>
      <c r="I52" s="1094" t="n">
        <v>0.9399999999999999</v>
      </c>
      <c r="J52" s="1094" t="n">
        <v>0.9</v>
      </c>
      <c r="K52" s="1094" t="inlineStr"/>
      <c r="L52" s="1094" t="inlineStr">
        <is>
          <t>À rattacher manuellement</t>
        </is>
      </c>
    </row>
    <row r="53">
      <c r="A53" s="1094" t="inlineStr">
        <is>
          <t>Mélisse</t>
        </is>
      </c>
      <c r="B53" s="1094" t="inlineStr">
        <is>
          <t>Espace frais</t>
        </is>
      </c>
      <c r="C53" s="1094" t="inlineStr">
        <is>
          <t>ferme An1</t>
        </is>
      </c>
      <c r="D53" s="1094" t="inlineStr">
        <is>
          <t>Mélisse SEC</t>
        </is>
      </c>
      <c r="E53" s="1094" t="n">
        <v>0</v>
      </c>
      <c r="F53" s="1094" t="n">
        <v>0</v>
      </c>
      <c r="G53" s="1094" t="n">
        <v>1.28</v>
      </c>
      <c r="H53" s="1094" t="n">
        <v>6.4</v>
      </c>
      <c r="I53" s="1094" t="n">
        <v>1.73</v>
      </c>
      <c r="J53" s="1094" t="n">
        <v>8.6</v>
      </c>
      <c r="K53" s="1094" t="n">
        <v>9</v>
      </c>
      <c r="L53" s="1094" t="inlineStr"/>
    </row>
    <row r="54">
      <c r="A54" s="1094" t="inlineStr">
        <is>
          <t>Graine De Fenouil</t>
        </is>
      </c>
      <c r="B54" s="1094" t="inlineStr">
        <is>
          <t>À classer</t>
        </is>
      </c>
      <c r="C54" s="1094" t="inlineStr">
        <is>
          <t>achat?</t>
        </is>
      </c>
      <c r="D54" s="1094" t="inlineStr">
        <is>
          <t>Graine De Fenouil</t>
        </is>
      </c>
      <c r="E54" s="1094" t="n">
        <v>0</v>
      </c>
      <c r="F54" s="1094" t="n">
        <v>0</v>
      </c>
      <c r="G54" s="1094" t="n">
        <v>0</v>
      </c>
      <c r="H54" s="1094" t="n">
        <v>0</v>
      </c>
      <c r="I54" s="1094" t="n">
        <v>0.09</v>
      </c>
      <c r="J54" s="1094" t="n">
        <v>0.1</v>
      </c>
      <c r="K54" s="1094" t="inlineStr"/>
      <c r="L54" s="1094" t="inlineStr">
        <is>
          <t>À rattacher manuellement</t>
        </is>
      </c>
    </row>
    <row r="55">
      <c r="A55" s="1094" t="inlineStr">
        <is>
          <t>Anis Étoilé</t>
        </is>
      </c>
      <c r="B55" s="1094" t="inlineStr">
        <is>
          <t>À classer</t>
        </is>
      </c>
      <c r="C55" s="1094" t="inlineStr">
        <is>
          <t>achat?</t>
        </is>
      </c>
      <c r="D55" s="1094" t="inlineStr">
        <is>
          <t>Anis Étoilé</t>
        </is>
      </c>
      <c r="E55" s="1094" t="n">
        <v>0</v>
      </c>
      <c r="F55" s="1094" t="n">
        <v>0</v>
      </c>
      <c r="G55" s="1094" t="n">
        <v>0</v>
      </c>
      <c r="H55" s="1094" t="n">
        <v>0</v>
      </c>
      <c r="I55" s="1094" t="n">
        <v>0.07000000000000001</v>
      </c>
      <c r="J55" s="1094" t="n">
        <v>0.1</v>
      </c>
      <c r="K55" s="1094" t="inlineStr"/>
      <c r="L55" s="1094" t="inlineStr">
        <is>
          <t>À rattacher manuellement</t>
        </is>
      </c>
    </row>
    <row r="56">
      <c r="A56" s="1094" t="inlineStr">
        <is>
          <t>Sauge</t>
        </is>
      </c>
      <c r="B56" s="1094" t="inlineStr">
        <is>
          <t>Drainé PPAM</t>
        </is>
      </c>
      <c r="C56" s="1094" t="inlineStr">
        <is>
          <t>ferme An2</t>
        </is>
      </c>
      <c r="D56" s="1094" t="inlineStr">
        <is>
          <t>Sauge SEC</t>
        </is>
      </c>
      <c r="E56" s="1094" t="n">
        <v>0</v>
      </c>
      <c r="F56" s="1094" t="n">
        <v>0</v>
      </c>
      <c r="G56" s="1094" t="n">
        <v>0.71</v>
      </c>
      <c r="H56" s="1094" t="n">
        <v>2.8</v>
      </c>
      <c r="I56" s="1094" t="n">
        <v>0.96</v>
      </c>
      <c r="J56" s="1094" t="n">
        <v>3.8</v>
      </c>
      <c r="K56" s="1094" t="n">
        <v>6</v>
      </c>
      <c r="L56" s="1094" t="inlineStr">
        <is>
          <t>Plantation An2</t>
        </is>
      </c>
    </row>
    <row r="57">
      <c r="A57" s="1094" t="inlineStr">
        <is>
          <t>Basilic thaï</t>
        </is>
      </c>
      <c r="B57" s="1094" t="inlineStr">
        <is>
          <t>Tunnel</t>
        </is>
      </c>
      <c r="C57" s="1094" t="inlineStr">
        <is>
          <t>ferme An1-2</t>
        </is>
      </c>
      <c r="D57" s="1094" t="inlineStr">
        <is>
          <t>Basilic Thaï</t>
        </is>
      </c>
      <c r="E57" s="1094" t="n">
        <v>0</v>
      </c>
      <c r="F57" s="1094" t="n">
        <v>0</v>
      </c>
      <c r="G57" s="1094" t="n">
        <v>4.03</v>
      </c>
      <c r="H57" s="1094" t="n">
        <v>32.3</v>
      </c>
      <c r="I57" s="1094" t="n">
        <v>5.44</v>
      </c>
      <c r="J57" s="1094" t="n">
        <v>43.5</v>
      </c>
      <c r="K57" s="1094" t="n">
        <v>27</v>
      </c>
      <c r="L57" s="1094" t="inlineStr"/>
    </row>
    <row r="58">
      <c r="A58" s="1094" t="inlineStr">
        <is>
          <t>Feuilles De Laurier</t>
        </is>
      </c>
      <c r="B58" s="1094" t="inlineStr">
        <is>
          <t>À classer</t>
        </is>
      </c>
      <c r="C58" s="1094" t="inlineStr">
        <is>
          <t>achat?</t>
        </is>
      </c>
      <c r="D58" s="1094" t="inlineStr">
        <is>
          <t>Feuilles De Laurier</t>
        </is>
      </c>
      <c r="E58" s="1094" t="n">
        <v>0</v>
      </c>
      <c r="F58" s="1094" t="n">
        <v>0</v>
      </c>
      <c r="G58" s="1094" t="n">
        <v>0</v>
      </c>
      <c r="H58" s="1094" t="n">
        <v>0</v>
      </c>
      <c r="I58" s="1094" t="n">
        <v>0.04</v>
      </c>
      <c r="J58" s="1094" t="n">
        <v>0</v>
      </c>
      <c r="K58" s="1094" t="inlineStr"/>
      <c r="L58" s="1094" t="inlineStr">
        <is>
          <t>À rattacher manuellement</t>
        </is>
      </c>
    </row>
    <row r="59">
      <c r="A59" s="1094" t="inlineStr">
        <is>
          <t>Graine De Fenugrec</t>
        </is>
      </c>
      <c r="B59" s="1094" t="inlineStr">
        <is>
          <t>À classer</t>
        </is>
      </c>
      <c r="C59" s="1094" t="inlineStr">
        <is>
          <t>achat?</t>
        </is>
      </c>
      <c r="D59" s="1094" t="inlineStr">
        <is>
          <t>Graine De Fenugrec</t>
        </is>
      </c>
      <c r="E59" s="1094" t="n">
        <v>0</v>
      </c>
      <c r="F59" s="1094" t="n">
        <v>0</v>
      </c>
      <c r="G59" s="1094" t="n">
        <v>0</v>
      </c>
      <c r="H59" s="1094" t="n">
        <v>0</v>
      </c>
      <c r="I59" s="1094" t="n">
        <v>0.12</v>
      </c>
      <c r="J59" s="1094" t="n">
        <v>0.1</v>
      </c>
      <c r="K59" s="1094" t="inlineStr"/>
      <c r="L59" s="1094" t="inlineStr">
        <is>
          <t>À rattacher manuellement</t>
        </is>
      </c>
    </row>
    <row r="60">
      <c r="A60" s="1094" t="inlineStr">
        <is>
          <t>Jus De Citron Jaune</t>
        </is>
      </c>
      <c r="B60" s="1094" t="inlineStr">
        <is>
          <t>À classer</t>
        </is>
      </c>
      <c r="C60" s="1094" t="inlineStr">
        <is>
          <t>achat?</t>
        </is>
      </c>
      <c r="D60" s="1094" t="inlineStr">
        <is>
          <t>Jus De Citron Jaune</t>
        </is>
      </c>
      <c r="E60" s="1094" t="n">
        <v>0</v>
      </c>
      <c r="F60" s="1094" t="n">
        <v>0</v>
      </c>
      <c r="G60" s="1094" t="n">
        <v>0</v>
      </c>
      <c r="H60" s="1094" t="n">
        <v>0</v>
      </c>
      <c r="I60" s="1094" t="n">
        <v>0.31</v>
      </c>
      <c r="J60" s="1094" t="n">
        <v>0.3</v>
      </c>
      <c r="K60" s="1094" t="inlineStr"/>
      <c r="L60" s="1094" t="inlineStr">
        <is>
          <t>À rattacher manuellement</t>
        </is>
      </c>
    </row>
    <row r="61">
      <c r="A61" s="1094" t="inlineStr">
        <is>
          <t>Huile D'Olive</t>
        </is>
      </c>
      <c r="B61" s="1094" t="inlineStr">
        <is>
          <t>À classer</t>
        </is>
      </c>
      <c r="C61" s="1094" t="inlineStr">
        <is>
          <t>achat?</t>
        </is>
      </c>
      <c r="D61" s="1094" t="inlineStr">
        <is>
          <t>Huile D'Olive</t>
        </is>
      </c>
      <c r="E61" s="1094" t="n">
        <v>0</v>
      </c>
      <c r="F61" s="1094" t="n">
        <v>0</v>
      </c>
      <c r="G61" s="1094" t="n">
        <v>0</v>
      </c>
      <c r="H61" s="1094" t="n">
        <v>0</v>
      </c>
      <c r="I61" s="1094" t="n">
        <v>0.61</v>
      </c>
      <c r="J61" s="1094" t="n">
        <v>0.6</v>
      </c>
      <c r="K61" s="1094" t="inlineStr"/>
      <c r="L61" s="1094" t="inlineStr">
        <is>
          <t>À rattacher manuellement</t>
        </is>
      </c>
    </row>
    <row r="62">
      <c r="A62" s="1094" t="inlineStr">
        <is>
          <t>Amande Douce</t>
        </is>
      </c>
      <c r="B62" s="1094" t="inlineStr">
        <is>
          <t>À classer</t>
        </is>
      </c>
      <c r="C62" s="1094" t="inlineStr">
        <is>
          <t>achat?</t>
        </is>
      </c>
      <c r="D62" s="1094" t="inlineStr">
        <is>
          <t>Amande Douce</t>
        </is>
      </c>
      <c r="E62" s="1094" t="n">
        <v>0</v>
      </c>
      <c r="F62" s="1094" t="n">
        <v>0</v>
      </c>
      <c r="G62" s="1094" t="n">
        <v>0</v>
      </c>
      <c r="H62" s="1094" t="n">
        <v>0</v>
      </c>
      <c r="I62" s="1094" t="n">
        <v>1.63</v>
      </c>
      <c r="J62" s="1094" t="n">
        <v>1.6</v>
      </c>
      <c r="K62" s="1094" t="inlineStr"/>
      <c r="L62" s="1094" t="inlineStr">
        <is>
          <t>À rattacher manuellement</t>
        </is>
      </c>
    </row>
    <row r="63">
      <c r="A63" s="1094" t="inlineStr">
        <is>
          <t>Céleri En Poudre</t>
        </is>
      </c>
      <c r="B63" s="1094" t="inlineStr">
        <is>
          <t>À classer</t>
        </is>
      </c>
      <c r="C63" s="1094" t="inlineStr">
        <is>
          <t>achat?</t>
        </is>
      </c>
      <c r="D63" s="1094" t="inlineStr">
        <is>
          <t>Céleri En Poudre</t>
        </is>
      </c>
      <c r="E63" s="1094" t="n">
        <v>0</v>
      </c>
      <c r="F63" s="1094" t="n">
        <v>0</v>
      </c>
      <c r="G63" s="1094" t="n">
        <v>0</v>
      </c>
      <c r="H63" s="1094" t="n">
        <v>0</v>
      </c>
      <c r="I63" s="1094" t="n">
        <v>0.7</v>
      </c>
      <c r="J63" s="1094" t="n">
        <v>0.7</v>
      </c>
      <c r="K63" s="1094" t="inlineStr"/>
      <c r="L63" s="1094" t="inlineStr">
        <is>
          <t>À rattacher manuellement</t>
        </is>
      </c>
    </row>
    <row r="64">
      <c r="A64" s="1094" t="inlineStr">
        <is>
          <t>Graine De Cardamome</t>
        </is>
      </c>
      <c r="B64" s="1094" t="inlineStr">
        <is>
          <t>À classer</t>
        </is>
      </c>
      <c r="C64" s="1094" t="inlineStr">
        <is>
          <t>achat?</t>
        </is>
      </c>
      <c r="D64" s="1094" t="inlineStr">
        <is>
          <t>Graine De Cardamome</t>
        </is>
      </c>
      <c r="E64" s="1094" t="n">
        <v>0</v>
      </c>
      <c r="F64" s="1094" t="n">
        <v>0</v>
      </c>
      <c r="G64" s="1094" t="n">
        <v>0</v>
      </c>
      <c r="H64" s="1094" t="n">
        <v>0</v>
      </c>
      <c r="I64" s="1094" t="n">
        <v>0.85</v>
      </c>
      <c r="J64" s="1094" t="n">
        <v>0.9</v>
      </c>
      <c r="K64" s="1094" t="inlineStr"/>
      <c r="L64" s="1094" t="inlineStr">
        <is>
          <t>À rattacher manuellement</t>
        </is>
      </c>
    </row>
    <row r="65">
      <c r="A65" s="1094" t="inlineStr">
        <is>
          <t>Muscade</t>
        </is>
      </c>
      <c r="B65" s="1094" t="inlineStr">
        <is>
          <t>À classer</t>
        </is>
      </c>
      <c r="C65" s="1094" t="inlineStr">
        <is>
          <t>achat?</t>
        </is>
      </c>
      <c r="D65" s="1094" t="inlineStr">
        <is>
          <t>Muscade</t>
        </is>
      </c>
      <c r="E65" s="1094" t="n">
        <v>0</v>
      </c>
      <c r="F65" s="1094" t="n">
        <v>0</v>
      </c>
      <c r="G65" s="1094" t="n">
        <v>0</v>
      </c>
      <c r="H65" s="1094" t="n">
        <v>0</v>
      </c>
      <c r="I65" s="1094" t="n">
        <v>0.27</v>
      </c>
      <c r="J65" s="1094" t="n">
        <v>0.3</v>
      </c>
      <c r="K65" s="1094" t="inlineStr"/>
      <c r="L65" s="1094" t="inlineStr">
        <is>
          <t>À rattacher manuellement</t>
        </is>
      </c>
    </row>
    <row r="66">
      <c r="A66" s="1094" t="inlineStr">
        <is>
          <t>Clous De Girofle</t>
        </is>
      </c>
      <c r="B66" s="1094" t="inlineStr">
        <is>
          <t>À classer</t>
        </is>
      </c>
      <c r="C66" s="1094" t="inlineStr">
        <is>
          <t>achat?</t>
        </is>
      </c>
      <c r="D66" s="1094" t="inlineStr">
        <is>
          <t>Clous De Girofle</t>
        </is>
      </c>
      <c r="E66" s="1094" t="n">
        <v>0</v>
      </c>
      <c r="F66" s="1094" t="n">
        <v>0</v>
      </c>
      <c r="G66" s="1094" t="n">
        <v>0</v>
      </c>
      <c r="H66" s="1094" t="n">
        <v>0</v>
      </c>
      <c r="I66" s="1094" t="n">
        <v>1.15</v>
      </c>
      <c r="J66" s="1094" t="n">
        <v>1.2</v>
      </c>
      <c r="K66" s="1094" t="inlineStr"/>
      <c r="L66" s="1094" t="inlineStr">
        <is>
          <t>À rattacher manuellement</t>
        </is>
      </c>
    </row>
    <row r="67">
      <c r="A67" s="1094" t="inlineStr">
        <is>
          <t>Cannelle</t>
        </is>
      </c>
      <c r="B67" s="1094" t="inlineStr">
        <is>
          <t>À classer</t>
        </is>
      </c>
      <c r="C67" s="1094" t="inlineStr">
        <is>
          <t>achat?</t>
        </is>
      </c>
      <c r="D67" s="1094" t="inlineStr">
        <is>
          <t>Cannelle</t>
        </is>
      </c>
      <c r="E67" s="1094" t="n">
        <v>0</v>
      </c>
      <c r="F67" s="1094" t="n">
        <v>0</v>
      </c>
      <c r="G67" s="1094" t="n">
        <v>0</v>
      </c>
      <c r="H67" s="1094" t="n">
        <v>0</v>
      </c>
      <c r="I67" s="1094" t="n">
        <v>0.84</v>
      </c>
      <c r="J67" s="1094" t="n">
        <v>0.8</v>
      </c>
      <c r="K67" s="1094" t="inlineStr"/>
      <c r="L67" s="1094" t="inlineStr">
        <is>
          <t>À rattacher manuellement</t>
        </is>
      </c>
    </row>
    <row r="68">
      <c r="A68" s="1094" t="inlineStr">
        <is>
          <t>Cassis</t>
        </is>
      </c>
      <c r="B68" s="1094" t="inlineStr">
        <is>
          <t>Espace frais</t>
        </is>
      </c>
      <c r="C68" s="1094" t="inlineStr">
        <is>
          <t>ferme An2</t>
        </is>
      </c>
      <c r="D68" s="1094" t="inlineStr">
        <is>
          <t>Cassis SEC</t>
        </is>
      </c>
      <c r="E68" s="1094" t="n">
        <v>0</v>
      </c>
      <c r="F68" s="1094" t="n">
        <v>0</v>
      </c>
      <c r="G68" s="1094" t="n">
        <v>0.71</v>
      </c>
      <c r="H68" s="1094" t="n">
        <v>2.8</v>
      </c>
      <c r="I68" s="1094" t="n">
        <v>0.96</v>
      </c>
      <c r="J68" s="1094" t="n">
        <v>3.8</v>
      </c>
      <c r="K68" s="1094" t="n">
        <v>19</v>
      </c>
      <c r="L68" s="1094" t="inlineStr">
        <is>
          <t>Buissons</t>
        </is>
      </c>
    </row>
    <row r="69">
      <c r="A69" s="1094" t="inlineStr">
        <is>
          <t>Piments Rouge Séchés</t>
        </is>
      </c>
      <c r="B69" s="1094" t="inlineStr">
        <is>
          <t>À classer</t>
        </is>
      </c>
      <c r="C69" s="1094" t="inlineStr">
        <is>
          <t>achat?</t>
        </is>
      </c>
      <c r="D69" s="1094" t="inlineStr">
        <is>
          <t>Piments Rouge Séchés</t>
        </is>
      </c>
      <c r="E69" s="1094" t="n">
        <v>0</v>
      </c>
      <c r="F69" s="1094" t="n">
        <v>0</v>
      </c>
      <c r="G69" s="1094" t="n">
        <v>0</v>
      </c>
      <c r="H69" s="1094" t="n">
        <v>0</v>
      </c>
      <c r="I69" s="1094" t="n">
        <v>2.58</v>
      </c>
      <c r="J69" s="1094" t="n">
        <v>2.6</v>
      </c>
      <c r="K69" s="1094" t="inlineStr"/>
      <c r="L69" s="1094" t="inlineStr">
        <is>
          <t>À rattacher manuellement</t>
        </is>
      </c>
    </row>
    <row r="70">
      <c r="A70" s="1094" t="inlineStr">
        <is>
          <t>Pelargonium (Géranium)</t>
        </is>
      </c>
      <c r="B70" s="1094" t="inlineStr">
        <is>
          <t>À classer</t>
        </is>
      </c>
      <c r="C70" s="1094" t="inlineStr">
        <is>
          <t>achat?</t>
        </is>
      </c>
      <c r="D70" s="1094" t="inlineStr">
        <is>
          <t>Pelargonium (Géranium)</t>
        </is>
      </c>
      <c r="E70" s="1094" t="n">
        <v>0</v>
      </c>
      <c r="F70" s="1094" t="n">
        <v>0</v>
      </c>
      <c r="G70" s="1094" t="n">
        <v>0.58</v>
      </c>
      <c r="H70" s="1094" t="n">
        <v>0.6</v>
      </c>
      <c r="I70" s="1094" t="n">
        <v>0.76</v>
      </c>
      <c r="J70" s="1094" t="n">
        <v>0.8</v>
      </c>
      <c r="K70" s="1094" t="inlineStr"/>
      <c r="L70" s="1094" t="inlineStr">
        <is>
          <t>À rattacher manuellement</t>
        </is>
      </c>
    </row>
    <row r="71">
      <c r="A71" s="1094" t="inlineStr">
        <is>
          <t>Coriandre Moulue</t>
        </is>
      </c>
      <c r="B71" s="1094" t="inlineStr">
        <is>
          <t>À classer</t>
        </is>
      </c>
      <c r="C71" s="1094" t="inlineStr">
        <is>
          <t>achat?</t>
        </is>
      </c>
      <c r="D71" s="1094" t="inlineStr">
        <is>
          <t>Coriandre Moulue</t>
        </is>
      </c>
      <c r="E71" s="1094" t="n">
        <v>0</v>
      </c>
      <c r="F71" s="1094" t="n">
        <v>0</v>
      </c>
      <c r="G71" s="1094" t="n">
        <v>2.48</v>
      </c>
      <c r="H71" s="1094" t="n">
        <v>2.5</v>
      </c>
      <c r="I71" s="1094" t="n">
        <v>3.72</v>
      </c>
      <c r="J71" s="1094" t="n">
        <v>3.7</v>
      </c>
      <c r="K71" s="1094" t="inlineStr"/>
      <c r="L71" s="1094" t="inlineStr">
        <is>
          <t>À rattacher manuellement</t>
        </is>
      </c>
    </row>
    <row r="72">
      <c r="A72" s="1094" t="inlineStr">
        <is>
          <t>Poivre Blanc</t>
        </is>
      </c>
      <c r="B72" s="1094" t="inlineStr">
        <is>
          <t>À classer</t>
        </is>
      </c>
      <c r="C72" s="1094" t="inlineStr">
        <is>
          <t>achat?</t>
        </is>
      </c>
      <c r="D72" s="1094" t="inlineStr">
        <is>
          <t>Poivre Blanc</t>
        </is>
      </c>
      <c r="E72" s="1094" t="n">
        <v>0</v>
      </c>
      <c r="F72" s="1094" t="n">
        <v>0</v>
      </c>
      <c r="G72" s="1094" t="n">
        <v>0</v>
      </c>
      <c r="H72" s="1094" t="n">
        <v>0</v>
      </c>
      <c r="I72" s="1094" t="n">
        <v>0.26</v>
      </c>
      <c r="J72" s="1094" t="n">
        <v>0.3</v>
      </c>
      <c r="K72" s="1094" t="inlineStr"/>
      <c r="L72" s="1094" t="inlineStr">
        <is>
          <t>À rattacher manuellement</t>
        </is>
      </c>
    </row>
    <row r="73">
      <c r="A73" s="1095" t="inlineStr">
        <is>
          <t>Eau</t>
        </is>
      </c>
      <c r="B73" s="1095" t="inlineStr">
        <is>
          <t>Site</t>
        </is>
      </c>
      <c r="C73" s="1095" t="inlineStr">
        <is>
          <t>site</t>
        </is>
      </c>
      <c r="D73" s="1095" t="inlineStr">
        <is>
          <t>Eau</t>
        </is>
      </c>
      <c r="E73" s="1095" t="n">
        <v>190.22</v>
      </c>
      <c r="F73" s="1095" t="n">
        <v>190.2</v>
      </c>
      <c r="G73" s="1095" t="n">
        <v>407.2</v>
      </c>
      <c r="H73" s="1095" t="n">
        <v>407.2</v>
      </c>
      <c r="I73" s="1095" t="n">
        <v>495.88</v>
      </c>
      <c r="J73" s="1095" t="n">
        <v>495.9</v>
      </c>
      <c r="K73" s="1095" t="inlineStr"/>
      <c r="L73" s="1095" t="inlineStr">
        <is>
          <t>Eau du site — hors surface culture</t>
        </is>
      </c>
    </row>
    <row r="74">
      <c r="A74" s="1095" t="inlineStr">
        <is>
          <t>Sucre Blanc</t>
        </is>
      </c>
      <c r="B74" s="1095" t="inlineStr">
        <is>
          <t>Achat</t>
        </is>
      </c>
      <c r="C74" s="1095" t="inlineStr">
        <is>
          <t>achat</t>
        </is>
      </c>
      <c r="D74" s="1095" t="inlineStr">
        <is>
          <t>Sucre Blanc</t>
        </is>
      </c>
      <c r="E74" s="1095" t="n">
        <v>102.83</v>
      </c>
      <c r="F74" s="1095" t="n">
        <v>102.8</v>
      </c>
      <c r="G74" s="1095" t="n">
        <v>238.85</v>
      </c>
      <c r="H74" s="1095" t="n">
        <v>238.9</v>
      </c>
      <c r="I74" s="1095" t="n">
        <v>293.02</v>
      </c>
      <c r="J74" s="1095" t="n">
        <v>293</v>
      </c>
      <c r="K74" s="1095" t="inlineStr"/>
      <c r="L74" s="1095" t="inlineStr">
        <is>
          <t>Import</t>
        </is>
      </c>
    </row>
    <row r="75">
      <c r="A75" s="1095" t="inlineStr">
        <is>
          <t>Sel</t>
        </is>
      </c>
      <c r="B75" s="1095" t="inlineStr">
        <is>
          <t>Achat</t>
        </is>
      </c>
      <c r="C75" s="1095" t="inlineStr">
        <is>
          <t>achat</t>
        </is>
      </c>
      <c r="D75" s="1095" t="inlineStr">
        <is>
          <t>Sel</t>
        </is>
      </c>
      <c r="E75" s="1095" t="n">
        <v>43.43</v>
      </c>
      <c r="F75" s="1095" t="n">
        <v>43.4</v>
      </c>
      <c r="G75" s="1095" t="n">
        <v>77.52</v>
      </c>
      <c r="H75" s="1095" t="n">
        <v>77.5</v>
      </c>
      <c r="I75" s="1095" t="n">
        <v>95.54000000000001</v>
      </c>
      <c r="J75" s="1095" t="n">
        <v>95.5</v>
      </c>
      <c r="K75" s="1095" t="inlineStr"/>
      <c r="L75" s="1095" t="inlineStr">
        <is>
          <t>Import — non cultivable</t>
        </is>
      </c>
    </row>
    <row r="76">
      <c r="A76" s="1095" t="inlineStr">
        <is>
          <t>Vinaigre De Cidre</t>
        </is>
      </c>
      <c r="B76" s="1095" t="inlineStr">
        <is>
          <t>Achat / transform</t>
        </is>
      </c>
      <c r="C76" s="1095" t="inlineStr">
        <is>
          <t>achat An1</t>
        </is>
      </c>
      <c r="D76" s="1095" t="inlineStr">
        <is>
          <t>Vinaigre De Cidre</t>
        </is>
      </c>
      <c r="E76" s="1095" t="n">
        <v>39.33</v>
      </c>
      <c r="F76" s="1095" t="n">
        <v>39.3</v>
      </c>
      <c r="G76" s="1095" t="n">
        <v>111.09</v>
      </c>
      <c r="H76" s="1095" t="n">
        <v>111.1</v>
      </c>
      <c r="I76" s="1095" t="n">
        <v>141.73</v>
      </c>
      <c r="J76" s="1095" t="n">
        <v>141.7</v>
      </c>
      <c r="K76" s="1095" t="inlineStr"/>
      <c r="L76" s="1095" t="inlineStr">
        <is>
          <t>Achat An1 ; production possible plus tard</t>
        </is>
      </c>
    </row>
    <row r="77">
      <c r="A77" s="1095" t="inlineStr">
        <is>
          <t>Poivre Noir</t>
        </is>
      </c>
      <c r="B77" s="1095" t="inlineStr">
        <is>
          <t>Achat</t>
        </is>
      </c>
      <c r="C77" s="1095" t="inlineStr">
        <is>
          <t>achat</t>
        </is>
      </c>
      <c r="D77" s="1095" t="inlineStr">
        <is>
          <t>Poivre Noir</t>
        </is>
      </c>
      <c r="E77" s="1095" t="n">
        <v>2.41</v>
      </c>
      <c r="F77" s="1095" t="n">
        <v>2.4</v>
      </c>
      <c r="G77" s="1095" t="n">
        <v>3.93</v>
      </c>
      <c r="H77" s="1095" t="n">
        <v>3.9</v>
      </c>
      <c r="I77" s="1095" t="n">
        <v>7.97</v>
      </c>
      <c r="J77" s="1095" t="n">
        <v>8</v>
      </c>
      <c r="K77" s="1095" t="inlineStr"/>
      <c r="L77" s="1095" t="inlineStr">
        <is>
          <t>Non cultivable 🔴</t>
        </is>
      </c>
    </row>
    <row r="79">
      <c r="A79" t="inlineStr">
        <is>
          <t>* m² N3 = kg sec N3 / rendement indicatif (kg sec/ha) × 10 000 — ordre de grandeur, pas un plan parcellaire.</t>
        </is>
      </c>
    </row>
    <row r="80">
      <c r="A80" t="inlineStr">
        <is>
          <t>Vert = besoin dès An1 (ferme). Orange = achat / non cultivable.</t>
        </is>
      </c>
    </row>
  </sheetData>
  <autoFilter ref="A3:L77"/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5" customWidth="1" min="4" max="4"/>
    <col width="18" customWidth="1" min="5" max="5"/>
    <col width="18" customWidth="1" min="6" max="6"/>
    <col width="18" customWidth="1" min="7" max="7"/>
    <col width="25" customWidth="1" min="8" max="8"/>
    <col width="28" customWidth="1" min="9" max="9"/>
    <col width="28" customWidth="1" min="10" max="10"/>
    <col width="17" customWidth="1" min="11" max="11"/>
    <col width="17" customWidth="1" min="12" max="12"/>
    <col width="28" customWidth="1" min="13" max="13"/>
    <col width="40" customWidth="1" min="14" max="14"/>
  </cols>
  <sheetData>
    <row r="1">
      <c r="A1" s="1090" t="inlineStr">
        <is>
          <t>Planning culture An 1–3 — calé 15 refs labo + montée progressive</t>
        </is>
      </c>
    </row>
    <row r="2" ht="40" customHeight="1">
      <c r="A2" s="1091" t="inlineStr">
        <is>
          <t>Surfaces An1 = 0,5 ha drainé + tunnel + maraîchage + grande culture. Objectif : couvrir au max les besoins verts (Besoins plantes), le reste en achat BIO temporaire.</t>
        </is>
      </c>
    </row>
    <row r="3">
      <c r="A3" s="1092" t="inlineStr">
        <is>
          <t>Espèce</t>
        </is>
      </c>
      <c r="B3" s="1092" t="inlineStr">
        <is>
          <t>Espace</t>
        </is>
      </c>
      <c r="C3" s="1092" t="inlineStr">
        <is>
          <t>Type</t>
        </is>
      </c>
      <c r="D3" s="1092" t="inlineStr">
        <is>
          <t>An plantation</t>
        </is>
      </c>
      <c r="E3" s="1092" t="inlineStr">
        <is>
          <t>Surface An1 (m²)</t>
        </is>
      </c>
      <c r="F3" s="1092" t="inlineStr">
        <is>
          <t>Surface An2 (m²)</t>
        </is>
      </c>
      <c r="G3" s="1092" t="inlineStr">
        <is>
          <t>Surface An3 (m²)</t>
        </is>
      </c>
      <c r="H3" s="1092" t="inlineStr">
        <is>
          <t>Densité (pl/ha ou note)</t>
        </is>
      </c>
      <c r="I3" s="1092" t="inlineStr">
        <is>
          <t>Semis / plantation</t>
        </is>
      </c>
      <c r="J3" s="1092" t="inlineStr">
        <is>
          <t>Récolte</t>
        </is>
      </c>
      <c r="K3" s="1092" t="inlineStr">
        <is>
          <t>kg sec cible N1</t>
        </is>
      </c>
      <c r="L3" s="1092" t="inlineStr">
        <is>
          <t>kg sec cible N3</t>
        </is>
      </c>
      <c r="M3" s="1092" t="inlineStr">
        <is>
          <t>Priorité labo</t>
        </is>
      </c>
      <c r="N3" s="1092" t="inlineStr">
        <is>
          <t>Notes</t>
        </is>
      </c>
    </row>
    <row r="4">
      <c r="A4" s="1094" t="inlineStr">
        <is>
          <t>Thym</t>
        </is>
      </c>
      <c r="B4" s="1094" t="inlineStr">
        <is>
          <t>Drainé PPAM</t>
        </is>
      </c>
      <c r="C4" s="1094" t="inlineStr">
        <is>
          <t>Vivace</t>
        </is>
      </c>
      <c r="D4" s="1094" t="n">
        <v>1</v>
      </c>
      <c r="E4" s="1093" t="n">
        <v>1500</v>
      </c>
      <c r="F4" s="1094" t="n">
        <v>2000</v>
      </c>
      <c r="G4" s="1094" t="n">
        <v>2500</v>
      </c>
      <c r="H4" s="1094" t="inlineStr">
        <is>
          <t>2 000 pl/ha</t>
        </is>
      </c>
      <c r="I4" s="1094" t="inlineStr">
        <is>
          <t>Mars–avr (plants) / boutures</t>
        </is>
      </c>
      <c r="J4" s="1094" t="inlineStr">
        <is>
          <t>Juin–juil (+sept)</t>
        </is>
      </c>
      <c r="K4" s="1094" t="n">
        <v>18</v>
      </c>
      <c r="L4" s="1094" t="n">
        <v>38</v>
      </c>
      <c r="M4" s="1094" t="inlineStr">
        <is>
          <t>P1 — HdP, zaatar, sel, tisane</t>
        </is>
      </c>
      <c r="N4" s="1094" t="inlineStr">
        <is>
          <t>Socle An1 — 0,15 ha</t>
        </is>
      </c>
    </row>
    <row r="5">
      <c r="A5" s="1094" t="inlineStr">
        <is>
          <t>Lavande</t>
        </is>
      </c>
      <c r="B5" s="1094" t="inlineStr">
        <is>
          <t>Drainé PPAM</t>
        </is>
      </c>
      <c r="C5" s="1094" t="inlineStr">
        <is>
          <t>Vivace</t>
        </is>
      </c>
      <c r="D5" s="1094" t="n">
        <v>1</v>
      </c>
      <c r="E5" s="1093" t="n">
        <v>2000</v>
      </c>
      <c r="F5" s="1094" t="n">
        <v>2500</v>
      </c>
      <c r="G5" s="1094" t="n">
        <v>3000</v>
      </c>
      <c r="H5" s="1094" t="inlineStr">
        <is>
          <t>1 500 pl/ha</t>
        </is>
      </c>
      <c r="I5" s="1094" t="inlineStr">
        <is>
          <t>Mars–avr plants</t>
        </is>
      </c>
      <c r="J5" s="1094" t="inlineStr">
        <is>
          <t>Juill–août (fleurs An2+)</t>
        </is>
      </c>
      <c r="K5" s="1094" t="n">
        <v>0.2</v>
      </c>
      <c r="L5" s="1094" t="n">
        <v>2</v>
      </c>
      <c r="M5" s="1094" t="inlineStr">
        <is>
          <t>P2 — sucre fleurs</t>
        </is>
      </c>
      <c r="N5" s="1094" t="inlineStr">
        <is>
          <t>0,2 ha An1 — peu de récolte An1</t>
        </is>
      </c>
    </row>
    <row r="6">
      <c r="A6" s="1094" t="inlineStr">
        <is>
          <t>Hélichryse</t>
        </is>
      </c>
      <c r="B6" s="1094" t="inlineStr">
        <is>
          <t>Drainé PPAM</t>
        </is>
      </c>
      <c r="C6" s="1094" t="inlineStr">
        <is>
          <t>Vivace</t>
        </is>
      </c>
      <c r="D6" s="1094" t="n">
        <v>1</v>
      </c>
      <c r="E6" s="1093" t="n">
        <v>1000</v>
      </c>
      <c r="F6" s="1094" t="n">
        <v>1500</v>
      </c>
      <c r="G6" s="1094" t="n">
        <v>1500</v>
      </c>
      <c r="H6" s="1094" t="inlineStr">
        <is>
          <t>1 500 pl/ha</t>
        </is>
      </c>
      <c r="I6" s="1094" t="inlineStr">
        <is>
          <t>Avr plants</t>
        </is>
      </c>
      <c r="J6" s="1094" t="inlineStr">
        <is>
          <t>Juil–août fleurs</t>
        </is>
      </c>
      <c r="K6" s="1094" t="n">
        <v>0.2</v>
      </c>
      <c r="L6" s="1094" t="n">
        <v>1.2</v>
      </c>
      <c r="M6" s="1094" t="inlineStr">
        <is>
          <t>P2 — sucre / vinaigre</t>
        </is>
      </c>
      <c r="N6" s="1094" t="inlineStr">
        <is>
          <t>0,1 ha An1</t>
        </is>
      </c>
    </row>
    <row r="7">
      <c r="A7" s="1094" t="inlineStr">
        <is>
          <t>Romarin</t>
        </is>
      </c>
      <c r="B7" s="1094" t="inlineStr">
        <is>
          <t>Drainé PPAM</t>
        </is>
      </c>
      <c r="C7" s="1094" t="inlineStr">
        <is>
          <t>Vivace</t>
        </is>
      </c>
      <c r="D7" s="1094" t="n">
        <v>2</v>
      </c>
      <c r="E7" s="1094" t="n">
        <v>0</v>
      </c>
      <c r="F7" s="1096" t="n">
        <v>1500</v>
      </c>
      <c r="G7" s="1094" t="n">
        <v>2000</v>
      </c>
      <c r="H7" s="1094" t="inlineStr">
        <is>
          <t>1 200 pl/ha</t>
        </is>
      </c>
      <c r="I7" s="1094" t="inlineStr">
        <is>
          <t>Mars plants</t>
        </is>
      </c>
      <c r="J7" s="1094" t="inlineStr">
        <is>
          <t>Juin–sept</t>
        </is>
      </c>
      <c r="K7" s="1094" t="n">
        <v>0</v>
      </c>
      <c r="L7" s="1094" t="n">
        <v>24</v>
      </c>
      <c r="M7" s="1094" t="inlineStr">
        <is>
          <t>P1 — HdP</t>
        </is>
      </c>
      <c r="N7" s="1094" t="inlineStr">
        <is>
          <t>Acheter sec An1</t>
        </is>
      </c>
    </row>
    <row r="8">
      <c r="A8" s="1094" t="inlineStr">
        <is>
          <t>Sarriette</t>
        </is>
      </c>
      <c r="B8" s="1094" t="inlineStr">
        <is>
          <t>Drainé PPAM</t>
        </is>
      </c>
      <c r="C8" s="1094" t="inlineStr">
        <is>
          <t>Vivace</t>
        </is>
      </c>
      <c r="D8" s="1094" t="n">
        <v>2</v>
      </c>
      <c r="E8" s="1094" t="n">
        <v>0</v>
      </c>
      <c r="F8" s="1096" t="n">
        <v>1000</v>
      </c>
      <c r="G8" s="1094" t="n">
        <v>1500</v>
      </c>
      <c r="H8" s="1094" t="inlineStr">
        <is>
          <t>2 000 pl/ha</t>
        </is>
      </c>
      <c r="I8" s="1094" t="inlineStr">
        <is>
          <t>Avr plants</t>
        </is>
      </c>
      <c r="J8" s="1094" t="inlineStr">
        <is>
          <t>Juil–août</t>
        </is>
      </c>
      <c r="K8" s="1094" t="n">
        <v>0</v>
      </c>
      <c r="L8" s="1094" t="n">
        <v>24</v>
      </c>
      <c r="M8" s="1094" t="inlineStr">
        <is>
          <t>P1 — HdP</t>
        </is>
      </c>
      <c r="N8" s="1094" t="inlineStr">
        <is>
          <t>Acheter sec An1</t>
        </is>
      </c>
    </row>
    <row r="9">
      <c r="A9" s="1094" t="inlineStr">
        <is>
          <t>Origan</t>
        </is>
      </c>
      <c r="B9" s="1094" t="inlineStr">
        <is>
          <t>Drainé PPAM</t>
        </is>
      </c>
      <c r="C9" s="1094" t="inlineStr">
        <is>
          <t>Vivace</t>
        </is>
      </c>
      <c r="D9" s="1094" t="n">
        <v>3</v>
      </c>
      <c r="E9" s="1094" t="n">
        <v>0</v>
      </c>
      <c r="F9" s="1094" t="n">
        <v>0</v>
      </c>
      <c r="G9" s="1097" t="n">
        <v>1500</v>
      </c>
      <c r="H9" s="1094" t="inlineStr">
        <is>
          <t>2 000 pl/ha</t>
        </is>
      </c>
      <c r="I9" s="1094" t="inlineStr">
        <is>
          <t>Avr plants</t>
        </is>
      </c>
      <c r="J9" s="1094" t="inlineStr">
        <is>
          <t>Juil–août</t>
        </is>
      </c>
      <c r="K9" s="1094" t="n">
        <v>0</v>
      </c>
      <c r="L9" s="1094" t="n">
        <v>35</v>
      </c>
      <c r="M9" s="1094" t="inlineStr">
        <is>
          <t>P1 — HdP, viandes</t>
        </is>
      </c>
      <c r="N9" s="1094" t="inlineStr">
        <is>
          <t>Acheter An1-2</t>
        </is>
      </c>
    </row>
    <row r="10">
      <c r="A10" s="1094" t="inlineStr">
        <is>
          <t>Sauge</t>
        </is>
      </c>
      <c r="B10" s="1094" t="inlineStr">
        <is>
          <t>Drainé PPAM</t>
        </is>
      </c>
      <c r="C10" s="1094" t="inlineStr">
        <is>
          <t>Vivace</t>
        </is>
      </c>
      <c r="D10" s="1094" t="n">
        <v>2</v>
      </c>
      <c r="E10" s="1094" t="n">
        <v>0</v>
      </c>
      <c r="F10" s="1096" t="n">
        <v>500</v>
      </c>
      <c r="G10" s="1094" t="n">
        <v>800</v>
      </c>
      <c r="H10" s="1094" t="inlineStr">
        <is>
          <t>1 500 pl/ha</t>
        </is>
      </c>
      <c r="I10" s="1094" t="inlineStr">
        <is>
          <t>Avr plants</t>
        </is>
      </c>
      <c r="J10" s="1094" t="inlineStr">
        <is>
          <t>Juin–juil</t>
        </is>
      </c>
      <c r="K10" s="1094" t="n">
        <v>0</v>
      </c>
      <c r="L10" s="1094" t="n">
        <v>2</v>
      </c>
      <c r="M10" s="1094" t="inlineStr">
        <is>
          <t>P2 — tisane hiver</t>
        </is>
      </c>
      <c r="N10" s="1094" t="inlineStr"/>
    </row>
    <row r="11">
      <c r="A11" s="1094" t="inlineStr">
        <is>
          <t>Moutarde (graine)</t>
        </is>
      </c>
      <c r="B11" s="1094" t="inlineStr">
        <is>
          <t>Grande culture</t>
        </is>
      </c>
      <c r="C11" s="1094" t="inlineStr">
        <is>
          <t>Annuelle</t>
        </is>
      </c>
      <c r="D11" s="1094" t="n">
        <v>1</v>
      </c>
      <c r="E11" s="1093" t="n">
        <v>2000</v>
      </c>
      <c r="F11" s="1094" t="n">
        <v>2500</v>
      </c>
      <c r="G11" s="1094" t="n">
        <v>3000</v>
      </c>
      <c r="H11" s="1094" t="inlineStr">
        <is>
          <t>Semis dense</t>
        </is>
      </c>
      <c r="I11" s="1094" t="inlineStr">
        <is>
          <t>Mars–avr semis</t>
        </is>
      </c>
      <c r="J11" s="1094" t="inlineStr">
        <is>
          <t>Juil–août graines</t>
        </is>
      </c>
      <c r="K11" s="1094" t="n">
        <v>161</v>
      </c>
      <c r="L11" s="1094" t="n">
        <v>285</v>
      </c>
      <c r="M11" s="1094" t="inlineStr">
        <is>
          <t>P1 — moutardes</t>
        </is>
      </c>
      <c r="N11" s="1094" t="inlineStr">
        <is>
          <t>~0,2–0,3 ha</t>
        </is>
      </c>
    </row>
    <row r="12">
      <c r="A12" s="1094" t="inlineStr">
        <is>
          <t>Cumin</t>
        </is>
      </c>
      <c r="B12" s="1094" t="inlineStr">
        <is>
          <t>Grande culture</t>
        </is>
      </c>
      <c r="C12" s="1094" t="inlineStr">
        <is>
          <t>Annuelle</t>
        </is>
      </c>
      <c r="D12" s="1094" t="n">
        <v>1</v>
      </c>
      <c r="E12" s="1093" t="n">
        <v>800</v>
      </c>
      <c r="F12" s="1094" t="n">
        <v>1000</v>
      </c>
      <c r="G12" s="1094" t="n">
        <v>1200</v>
      </c>
      <c r="H12" s="1094" t="inlineStr">
        <is>
          <t>Semis</t>
        </is>
      </c>
      <c r="I12" s="1094" t="inlineStr">
        <is>
          <t>Avr semis</t>
        </is>
      </c>
      <c r="J12" s="1094" t="inlineStr">
        <is>
          <t>Août–sept</t>
        </is>
      </c>
      <c r="K12" s="1094" t="n">
        <v>55</v>
      </c>
      <c r="L12" s="1094" t="n">
        <v>103</v>
      </c>
      <c r="M12" s="1094" t="inlineStr">
        <is>
          <t>P1 — cumin g/m</t>
        </is>
      </c>
      <c r="N12" s="1094" t="inlineStr">
        <is>
          <t>Culture délicate — filets oiseaux</t>
        </is>
      </c>
    </row>
    <row r="13">
      <c r="A13" s="1094" t="inlineStr">
        <is>
          <t>Carvi</t>
        </is>
      </c>
      <c r="B13" s="1094" t="inlineStr">
        <is>
          <t>Grande culture</t>
        </is>
      </c>
      <c r="C13" s="1094" t="inlineStr">
        <is>
          <t>Bisannuelle</t>
        </is>
      </c>
      <c r="D13" s="1094" t="n">
        <v>1</v>
      </c>
      <c r="E13" s="1093" t="n">
        <v>400</v>
      </c>
      <c r="F13" s="1094" t="n">
        <v>600</v>
      </c>
      <c r="G13" s="1094" t="n">
        <v>800</v>
      </c>
      <c r="H13" s="1094" t="inlineStr">
        <is>
          <t>Semis</t>
        </is>
      </c>
      <c r="I13" s="1094" t="inlineStr">
        <is>
          <t>Mai–juin An1</t>
        </is>
      </c>
      <c r="J13" s="1094" t="inlineStr">
        <is>
          <t>Juil An2 graines</t>
        </is>
      </c>
      <c r="K13" s="1094" t="n">
        <v>5</v>
      </c>
      <c r="L13" s="1094" t="n">
        <v>30</v>
      </c>
      <c r="M13" s="1094" t="inlineStr">
        <is>
          <t>P1 — carvi</t>
        </is>
      </c>
      <c r="N13" s="1094" t="inlineStr">
        <is>
          <t>Semis An1 → récolte An2</t>
        </is>
      </c>
    </row>
    <row r="14">
      <c r="A14" s="1094" t="inlineStr">
        <is>
          <t>Coriandre</t>
        </is>
      </c>
      <c r="B14" s="1094" t="inlineStr">
        <is>
          <t>Grande culture</t>
        </is>
      </c>
      <c r="C14" s="1094" t="inlineStr">
        <is>
          <t>Annuelle</t>
        </is>
      </c>
      <c r="D14" s="1094" t="n">
        <v>1</v>
      </c>
      <c r="E14" s="1093" t="n">
        <v>100</v>
      </c>
      <c r="F14" s="1094" t="n">
        <v>150</v>
      </c>
      <c r="G14" s="1094" t="n">
        <v>200</v>
      </c>
      <c r="H14" s="1094" t="inlineStr">
        <is>
          <t>Semis</t>
        </is>
      </c>
      <c r="I14" s="1094" t="inlineStr">
        <is>
          <t>Mars–sept successions</t>
        </is>
      </c>
      <c r="J14" s="1094" t="inlineStr">
        <is>
          <t>Juin–oct graines</t>
        </is>
      </c>
      <c r="K14" s="1094" t="n">
        <v>2.5</v>
      </c>
      <c r="L14" s="1094" t="n">
        <v>8</v>
      </c>
      <c r="M14" s="1094" t="inlineStr">
        <is>
          <t>P2 — curry</t>
        </is>
      </c>
      <c r="N14" s="1094" t="inlineStr"/>
    </row>
    <row r="15">
      <c r="A15" s="1094" t="inlineStr">
        <is>
          <t>Fenugrec</t>
        </is>
      </c>
      <c r="B15" s="1094" t="inlineStr">
        <is>
          <t>Grande culture</t>
        </is>
      </c>
      <c r="C15" s="1094" t="inlineStr">
        <is>
          <t>Annuelle</t>
        </is>
      </c>
      <c r="D15" s="1094" t="n">
        <v>1</v>
      </c>
      <c r="E15" s="1093" t="n">
        <v>50</v>
      </c>
      <c r="F15" s="1094" t="n">
        <v>80</v>
      </c>
      <c r="G15" s="1094" t="n">
        <v>100</v>
      </c>
      <c r="H15" s="1094" t="inlineStr">
        <is>
          <t>Semis</t>
        </is>
      </c>
      <c r="I15" s="1094" t="inlineStr">
        <is>
          <t>Avr</t>
        </is>
      </c>
      <c r="J15" s="1094" t="inlineStr">
        <is>
          <t>Juil–août</t>
        </is>
      </c>
      <c r="K15" s="1094" t="n">
        <v>0.8</v>
      </c>
      <c r="L15" s="1094" t="n">
        <v>1.5</v>
      </c>
      <c r="M15" s="1094" t="inlineStr">
        <is>
          <t>P2 — curry Madras</t>
        </is>
      </c>
      <c r="N15" s="1094" t="inlineStr"/>
    </row>
    <row r="16">
      <c r="A16" s="1094" t="inlineStr">
        <is>
          <t>Fenouil</t>
        </is>
      </c>
      <c r="B16" s="1094" t="inlineStr">
        <is>
          <t>Grande culture</t>
        </is>
      </c>
      <c r="C16" s="1094" t="inlineStr">
        <is>
          <t>Annuelle/bis.</t>
        </is>
      </c>
      <c r="D16" s="1094" t="n">
        <v>1</v>
      </c>
      <c r="E16" s="1093" t="n">
        <v>50</v>
      </c>
      <c r="F16" s="1094" t="n">
        <v>100</v>
      </c>
      <c r="G16" s="1094" t="n">
        <v>150</v>
      </c>
      <c r="H16" s="1094" t="inlineStr">
        <is>
          <t>Semis</t>
        </is>
      </c>
      <c r="I16" s="1094" t="inlineStr">
        <is>
          <t>Avr</t>
        </is>
      </c>
      <c r="J16" s="1094" t="inlineStr">
        <is>
          <t>Sept–oct graines</t>
        </is>
      </c>
      <c r="K16" s="1094" t="n">
        <v>0</v>
      </c>
      <c r="L16" s="1094" t="n">
        <v>2</v>
      </c>
      <c r="M16" s="1094" t="inlineStr">
        <is>
          <t>P2 — tisane dig.</t>
        </is>
      </c>
      <c r="N16" s="1094" t="inlineStr">
        <is>
          <t>An2+ tisanes</t>
        </is>
      </c>
    </row>
    <row r="17">
      <c r="A17" s="1094" t="inlineStr">
        <is>
          <t>Camomille</t>
        </is>
      </c>
      <c r="B17" s="1094" t="inlineStr">
        <is>
          <t>Grande culture</t>
        </is>
      </c>
      <c r="C17" s="1094" t="inlineStr">
        <is>
          <t>Annuelle</t>
        </is>
      </c>
      <c r="D17" s="1094" t="n">
        <v>1</v>
      </c>
      <c r="E17" s="1093" t="n">
        <v>50</v>
      </c>
      <c r="F17" s="1094" t="n">
        <v>100</v>
      </c>
      <c r="G17" s="1094" t="n">
        <v>150</v>
      </c>
      <c r="H17" s="1094" t="inlineStr">
        <is>
          <t>Semis</t>
        </is>
      </c>
      <c r="I17" s="1094" t="inlineStr">
        <is>
          <t>Mars–avr</t>
        </is>
      </c>
      <c r="J17" s="1094" t="inlineStr">
        <is>
          <t>Juin–juil fleurs</t>
        </is>
      </c>
      <c r="K17" s="1094" t="n">
        <v>0.2</v>
      </c>
      <c r="L17" s="1094" t="n">
        <v>2</v>
      </c>
      <c r="M17" s="1094" t="inlineStr">
        <is>
          <t>P2 — sucre/tisane</t>
        </is>
      </c>
      <c r="N17" s="1094" t="inlineStr"/>
    </row>
    <row r="18">
      <c r="A18" s="1094" t="inlineStr">
        <is>
          <t>Souci</t>
        </is>
      </c>
      <c r="B18" s="1094" t="inlineStr">
        <is>
          <t>Grande culture</t>
        </is>
      </c>
      <c r="C18" s="1094" t="inlineStr">
        <is>
          <t>Annuelle</t>
        </is>
      </c>
      <c r="D18" s="1094" t="n">
        <v>1</v>
      </c>
      <c r="E18" s="1093" t="n">
        <v>50</v>
      </c>
      <c r="F18" s="1094" t="n">
        <v>80</v>
      </c>
      <c r="G18" s="1094" t="n">
        <v>100</v>
      </c>
      <c r="H18" s="1094" t="inlineStr">
        <is>
          <t>Semis</t>
        </is>
      </c>
      <c r="I18" s="1094" t="inlineStr">
        <is>
          <t>Mars–juin</t>
        </is>
      </c>
      <c r="J18" s="1094" t="inlineStr">
        <is>
          <t>Juin–oct fleurs</t>
        </is>
      </c>
      <c r="K18" s="1094" t="n">
        <v>0.2</v>
      </c>
      <c r="L18" s="1094" t="n">
        <v>0.5</v>
      </c>
      <c r="M18" s="1094" t="inlineStr">
        <is>
          <t>P2 — sucre fleurs</t>
        </is>
      </c>
      <c r="N18" s="1094" t="inlineStr"/>
    </row>
    <row r="19">
      <c r="A19" s="1094" t="inlineStr">
        <is>
          <t>Bleuet</t>
        </is>
      </c>
      <c r="B19" s="1094" t="inlineStr">
        <is>
          <t>Grande culture</t>
        </is>
      </c>
      <c r="C19" s="1094" t="inlineStr">
        <is>
          <t>Annuelle</t>
        </is>
      </c>
      <c r="D19" s="1094" t="n">
        <v>1</v>
      </c>
      <c r="E19" s="1093" t="n">
        <v>30</v>
      </c>
      <c r="F19" s="1094" t="n">
        <v>50</v>
      </c>
      <c r="G19" s="1094" t="n">
        <v>80</v>
      </c>
      <c r="H19" s="1094" t="inlineStr">
        <is>
          <t>Semis</t>
        </is>
      </c>
      <c r="I19" s="1094" t="inlineStr">
        <is>
          <t>Mars–avr</t>
        </is>
      </c>
      <c r="J19" s="1094" t="inlineStr">
        <is>
          <t>Juil–août</t>
        </is>
      </c>
      <c r="K19" s="1094" t="n">
        <v>0.2</v>
      </c>
      <c r="L19" s="1094" t="n">
        <v>0.3</v>
      </c>
      <c r="M19" s="1094" t="inlineStr">
        <is>
          <t>P3 — sucre</t>
        </is>
      </c>
      <c r="N19" s="1094" t="inlineStr"/>
    </row>
    <row r="20">
      <c r="A20" s="1094" t="inlineStr">
        <is>
          <t>Ail</t>
        </is>
      </c>
      <c r="B20" s="1094" t="inlineStr">
        <is>
          <t>Maraîchage</t>
        </is>
      </c>
      <c r="C20" s="1094" t="inlineStr">
        <is>
          <t>Bulbe</t>
        </is>
      </c>
      <c r="D20" s="1094" t="n">
        <v>1</v>
      </c>
      <c r="E20" s="1093" t="n">
        <v>100</v>
      </c>
      <c r="F20" s="1094" t="n">
        <v>150</v>
      </c>
      <c r="G20" s="1094" t="n">
        <v>200</v>
      </c>
      <c r="H20" s="1094" t="inlineStr">
        <is>
          <t>Plant. densité potagère</t>
        </is>
      </c>
      <c r="I20" s="1094" t="inlineStr">
        <is>
          <t>Oct–nov plantation</t>
        </is>
      </c>
      <c r="J20" s="1094" t="inlineStr">
        <is>
          <t>Juin–juil</t>
        </is>
      </c>
      <c r="K20" s="1094" t="n">
        <v>21</v>
      </c>
      <c r="L20" s="1094" t="n">
        <v>38</v>
      </c>
      <c r="M20" s="1094" t="inlineStr">
        <is>
          <t>P1 — ail semoule</t>
        </is>
      </c>
      <c r="N20" s="1094" t="inlineStr">
        <is>
          <t>Puis séchage + broyage</t>
        </is>
      </c>
    </row>
    <row r="21">
      <c r="A21" s="1094" t="inlineStr">
        <is>
          <t>Chou cabus</t>
        </is>
      </c>
      <c r="B21" s="1094" t="inlineStr">
        <is>
          <t>Maraîchage</t>
        </is>
      </c>
      <c r="C21" s="1094" t="inlineStr">
        <is>
          <t>Annuelle</t>
        </is>
      </c>
      <c r="D21" s="1094" t="n">
        <v>1</v>
      </c>
      <c r="E21" s="1093" t="n">
        <v>300</v>
      </c>
      <c r="F21" s="1094" t="n">
        <v>400</v>
      </c>
      <c r="G21" s="1094" t="n">
        <v>500</v>
      </c>
      <c r="H21" s="1094" t="inlineStr">
        <is>
          <t>Espac. 50×50</t>
        </is>
      </c>
      <c r="I21" s="1094" t="inlineStr">
        <is>
          <t>Mai–juin plants</t>
        </is>
      </c>
      <c r="J21" s="1094" t="inlineStr">
        <is>
          <t>Sept–nov</t>
        </is>
      </c>
      <c r="K21" s="1094" t="n">
        <v>439</v>
      </c>
      <c r="L21" s="1094" t="n">
        <v>768</v>
      </c>
      <c r="M21" s="1094" t="inlineStr">
        <is>
          <t>P1 — choucroute</t>
        </is>
      </c>
      <c r="N21" s="1094" t="inlineStr">
        <is>
          <t>Volume frais ! ~0,03–0,05 ha</t>
        </is>
      </c>
    </row>
    <row r="22">
      <c r="A22" s="1094" t="inlineStr">
        <is>
          <t>Estragon</t>
        </is>
      </c>
      <c r="B22" s="1094" t="inlineStr">
        <is>
          <t>Maraîchage</t>
        </is>
      </c>
      <c r="C22" s="1094" t="inlineStr">
        <is>
          <t>Vivace</t>
        </is>
      </c>
      <c r="D22" s="1094" t="n">
        <v>1</v>
      </c>
      <c r="E22" s="1093" t="n">
        <v>30</v>
      </c>
      <c r="F22" s="1094" t="n">
        <v>40</v>
      </c>
      <c r="G22" s="1094" t="n">
        <v>50</v>
      </c>
      <c r="H22" s="1094" t="inlineStr">
        <is>
          <t>Plants</t>
        </is>
      </c>
      <c r="I22" s="1094" t="inlineStr">
        <is>
          <t>Avr plants</t>
        </is>
      </c>
      <c r="J22" s="1094" t="inlineStr">
        <is>
          <t>Juin–sept</t>
        </is>
      </c>
      <c r="K22" s="1094" t="n">
        <v>3</v>
      </c>
      <c r="L22" s="1094" t="n">
        <v>5</v>
      </c>
      <c r="M22" s="1094" t="inlineStr">
        <is>
          <t>P1 — moutarde estragon</t>
        </is>
      </c>
      <c r="N22" s="1094" t="inlineStr"/>
    </row>
    <row r="23">
      <c r="A23" s="1094" t="inlineStr">
        <is>
          <t>Menthe</t>
        </is>
      </c>
      <c r="B23" s="1094" t="inlineStr">
        <is>
          <t>Espace frais</t>
        </is>
      </c>
      <c r="C23" s="1094" t="inlineStr">
        <is>
          <t>Vivace</t>
        </is>
      </c>
      <c r="D23" s="1094" t="n">
        <v>1</v>
      </c>
      <c r="E23" s="1093" t="n">
        <v>40</v>
      </c>
      <c r="F23" s="1094" t="n">
        <v>60</v>
      </c>
      <c r="G23" s="1094" t="n">
        <v>80</v>
      </c>
      <c r="H23" s="1094" t="inlineStr">
        <is>
          <t>Stolons / bac</t>
        </is>
      </c>
      <c r="I23" s="1094" t="inlineStr">
        <is>
          <t>Mars–avr</t>
        </is>
      </c>
      <c r="J23" s="1094" t="inlineStr">
        <is>
          <t>Mai–sept (plusieurs coupes)</t>
        </is>
      </c>
      <c r="K23" s="1094" t="n">
        <v>12</v>
      </c>
      <c r="L23" s="1094" t="n">
        <v>20</v>
      </c>
      <c r="M23" s="1094" t="inlineStr">
        <is>
          <t>P1 — sirop menthe</t>
        </is>
      </c>
      <c r="N23" s="1094" t="inlineStr">
        <is>
          <t>Contenir (bac/bordure)</t>
        </is>
      </c>
    </row>
    <row r="24">
      <c r="A24" s="1094" t="inlineStr">
        <is>
          <t>Mélisse</t>
        </is>
      </c>
      <c r="B24" s="1094" t="inlineStr">
        <is>
          <t>Espace frais</t>
        </is>
      </c>
      <c r="C24" s="1094" t="inlineStr">
        <is>
          <t>Vivace</t>
        </is>
      </c>
      <c r="D24" s="1094" t="n">
        <v>1</v>
      </c>
      <c r="E24" s="1093" t="n">
        <v>20</v>
      </c>
      <c r="F24" s="1094" t="n">
        <v>40</v>
      </c>
      <c r="G24" s="1094" t="n">
        <v>60</v>
      </c>
      <c r="H24" s="1094" t="inlineStr">
        <is>
          <t>Plants</t>
        </is>
      </c>
      <c r="I24" s="1094" t="inlineStr">
        <is>
          <t>Avr</t>
        </is>
      </c>
      <c r="J24" s="1094" t="inlineStr">
        <is>
          <t>Juin–sept</t>
        </is>
      </c>
      <c r="K24" s="1094" t="n">
        <v>0</v>
      </c>
      <c r="L24" s="1094" t="n">
        <v>2</v>
      </c>
      <c r="M24" s="1094" t="inlineStr">
        <is>
          <t>P2 — tisane dig.</t>
        </is>
      </c>
      <c r="N24" s="1094" t="inlineStr"/>
    </row>
    <row r="25">
      <c r="A25" s="1094" t="inlineStr">
        <is>
          <t>Sureau</t>
        </is>
      </c>
      <c r="B25" s="1094" t="inlineStr">
        <is>
          <t>Espace frais</t>
        </is>
      </c>
      <c r="C25" s="1094" t="inlineStr">
        <is>
          <t>Arbuste</t>
        </is>
      </c>
      <c r="D25" s="1094" t="n">
        <v>1</v>
      </c>
      <c r="E25" s="1093" t="n">
        <v>50</v>
      </c>
      <c r="F25" s="1094" t="n">
        <v>100</v>
      </c>
      <c r="G25" s="1094" t="n">
        <v>150</v>
      </c>
      <c r="H25" s="1094" t="inlineStr">
        <is>
          <t>5–10 sujets</t>
        </is>
      </c>
      <c r="I25" s="1094" t="inlineStr">
        <is>
          <t>Nov–mars plants</t>
        </is>
      </c>
      <c r="J25" s="1094" t="inlineStr">
        <is>
          <t>Mai–juin fleurs (An2+)</t>
        </is>
      </c>
      <c r="K25" s="1094" t="n">
        <v>0.2</v>
      </c>
      <c r="L25" s="1094" t="n">
        <v>3</v>
      </c>
      <c r="M25" s="1094" t="inlineStr">
        <is>
          <t>P2 — tisane/vinaigre</t>
        </is>
      </c>
      <c r="N25" s="1094" t="inlineStr">
        <is>
          <t>Planter An1, fleurs An2+</t>
        </is>
      </c>
    </row>
    <row r="26">
      <c r="A26" s="1094" t="inlineStr">
        <is>
          <t>Piment doux paprika</t>
        </is>
      </c>
      <c r="B26" s="1094" t="inlineStr">
        <is>
          <t>Tunnel</t>
        </is>
      </c>
      <c r="C26" s="1094" t="inlineStr">
        <is>
          <t>Annuelle</t>
        </is>
      </c>
      <c r="D26" s="1094" t="n">
        <v>1</v>
      </c>
      <c r="E26" s="1093" t="n">
        <v>80</v>
      </c>
      <c r="F26" s="1094" t="n">
        <v>100</v>
      </c>
      <c r="G26" s="1094" t="n">
        <v>120</v>
      </c>
      <c r="H26" s="1094" t="inlineStr">
        <is>
          <t>2–3 pl/m²</t>
        </is>
      </c>
      <c r="I26" s="1094" t="inlineStr">
        <is>
          <t>Mars semis chauffé → mai tunnel</t>
        </is>
      </c>
      <c r="J26" s="1094" t="inlineStr">
        <is>
          <t>Août–oct</t>
        </is>
      </c>
      <c r="K26" s="1094" t="n">
        <v>62</v>
      </c>
      <c r="L26" s="1094" t="n">
        <v>109</v>
      </c>
      <c r="M26" s="1094" t="inlineStr">
        <is>
          <t>P1 — paprika / fumé</t>
        </is>
      </c>
      <c r="N26" s="1094" t="inlineStr">
        <is>
          <t>Sécher + fumer une part</t>
        </is>
      </c>
    </row>
    <row r="27">
      <c r="A27" s="1094" t="inlineStr">
        <is>
          <t>Basilic / basilic thaï</t>
        </is>
      </c>
      <c r="B27" s="1094" t="inlineStr">
        <is>
          <t>Tunnel</t>
        </is>
      </c>
      <c r="C27" s="1094" t="inlineStr">
        <is>
          <t>Annuelle</t>
        </is>
      </c>
      <c r="D27" s="1094" t="n">
        <v>1</v>
      </c>
      <c r="E27" s="1093" t="n">
        <v>20</v>
      </c>
      <c r="F27" s="1094" t="n">
        <v>40</v>
      </c>
      <c r="G27" s="1094" t="n">
        <v>50</v>
      </c>
      <c r="H27" s="1094" t="inlineStr">
        <is>
          <t>Successions</t>
        </is>
      </c>
      <c r="I27" s="1094" t="inlineStr">
        <is>
          <t>Mars–août semis</t>
        </is>
      </c>
      <c r="J27" s="1094" t="inlineStr">
        <is>
          <t>Mai–oct</t>
        </is>
      </c>
      <c r="K27" s="1094" t="n">
        <v>1.6</v>
      </c>
      <c r="L27" s="1094" t="n">
        <v>8</v>
      </c>
      <c r="M27" s="1094" t="inlineStr">
        <is>
          <t>P2 — sirop basilic An2</t>
        </is>
      </c>
      <c r="N27" s="1094" t="inlineStr"/>
    </row>
    <row r="28">
      <c r="A28" s="1094" t="inlineStr">
        <is>
          <t>Piment fort</t>
        </is>
      </c>
      <c r="B28" s="1094" t="inlineStr">
        <is>
          <t>Tunnel</t>
        </is>
      </c>
      <c r="C28" s="1094" t="inlineStr">
        <is>
          <t>Annuelle</t>
        </is>
      </c>
      <c r="D28" s="1094" t="n">
        <v>1</v>
      </c>
      <c r="E28" s="1093" t="n">
        <v>10</v>
      </c>
      <c r="F28" s="1094" t="n">
        <v>20</v>
      </c>
      <c r="G28" s="1094" t="n">
        <v>30</v>
      </c>
      <c r="H28" s="1094" t="inlineStr">
        <is>
          <t>Plants</t>
        </is>
      </c>
      <c r="I28" s="1094" t="inlineStr">
        <is>
          <t>Mars→mai</t>
        </is>
      </c>
      <c r="J28" s="1094" t="inlineStr">
        <is>
          <t>Août–oct</t>
        </is>
      </c>
      <c r="K28" s="1094" t="n">
        <v>0.8</v>
      </c>
      <c r="L28" s="1094" t="n">
        <v>2</v>
      </c>
      <c r="M28" s="1094" t="inlineStr">
        <is>
          <t>P3 — curry</t>
        </is>
      </c>
      <c r="N28" s="1094" t="inlineStr"/>
    </row>
    <row r="29">
      <c r="A29" s="1094" t="inlineStr">
        <is>
          <t>Gingembre</t>
        </is>
      </c>
      <c r="B29" s="1094" t="inlineStr">
        <is>
          <t>Tunnel</t>
        </is>
      </c>
      <c r="C29" s="1094" t="inlineStr">
        <is>
          <t>Rhizome</t>
        </is>
      </c>
      <c r="D29" s="1094" t="n">
        <v>1</v>
      </c>
      <c r="E29" s="1093" t="n">
        <v>10</v>
      </c>
      <c r="F29" s="1094" t="n">
        <v>20</v>
      </c>
      <c r="G29" s="1094" t="n">
        <v>30</v>
      </c>
      <c r="H29" s="1094" t="inlineStr">
        <is>
          <t>Bacs</t>
        </is>
      </c>
      <c r="I29" s="1094" t="inlineStr">
        <is>
          <t>Mars rhizomes</t>
        </is>
      </c>
      <c r="J29" s="1094" t="inlineStr">
        <is>
          <t>Oct–nov</t>
        </is>
      </c>
      <c r="K29" s="1094" t="n">
        <v>0.5</v>
      </c>
      <c r="L29" s="1094" t="n">
        <v>18</v>
      </c>
      <c r="M29" s="1094" t="inlineStr">
        <is>
          <t>P2 — achat+essai</t>
        </is>
      </c>
      <c r="N29" s="1094" t="inlineStr">
        <is>
          <t>Compléter par achat</t>
        </is>
      </c>
    </row>
    <row r="30">
      <c r="A30" s="1094" t="inlineStr">
        <is>
          <t>Curcuma</t>
        </is>
      </c>
      <c r="B30" s="1094" t="inlineStr">
        <is>
          <t>Tunnel</t>
        </is>
      </c>
      <c r="C30" s="1094" t="inlineStr">
        <is>
          <t>Rhizome</t>
        </is>
      </c>
      <c r="D30" s="1094" t="n">
        <v>1</v>
      </c>
      <c r="E30" s="1093" t="n">
        <v>10</v>
      </c>
      <c r="F30" s="1094" t="n">
        <v>20</v>
      </c>
      <c r="G30" s="1094" t="n">
        <v>30</v>
      </c>
      <c r="H30" s="1094" t="inlineStr">
        <is>
          <t>Bacs</t>
        </is>
      </c>
      <c r="I30" s="1094" t="inlineStr">
        <is>
          <t>Mars rhizomes</t>
        </is>
      </c>
      <c r="J30" s="1094" t="inlineStr">
        <is>
          <t>Oct–nov</t>
        </is>
      </c>
      <c r="K30" s="1094" t="n">
        <v>1</v>
      </c>
      <c r="L30" s="1094" t="n">
        <v>23</v>
      </c>
      <c r="M30" s="1094" t="inlineStr">
        <is>
          <t>P2 — achat+essai</t>
        </is>
      </c>
      <c r="N30" s="1094" t="inlineStr">
        <is>
          <t>Compléter par achat</t>
        </is>
      </c>
    </row>
    <row r="31">
      <c r="A31" s="1094" t="inlineStr">
        <is>
          <t>Verveine citronnelle</t>
        </is>
      </c>
      <c r="B31" s="1094" t="inlineStr">
        <is>
          <t>Tunnel / Pot</t>
        </is>
      </c>
      <c r="C31" s="1094" t="inlineStr">
        <is>
          <t>Vivace gélive</t>
        </is>
      </c>
      <c r="D31" s="1094" t="n">
        <v>1</v>
      </c>
      <c r="E31" s="1093" t="n">
        <v>5</v>
      </c>
      <c r="F31" s="1094" t="n">
        <v>10</v>
      </c>
      <c r="G31" s="1094" t="n">
        <v>15</v>
      </c>
      <c r="H31" s="1094" t="inlineStr">
        <is>
          <t>Pots</t>
        </is>
      </c>
      <c r="I31" s="1094" t="inlineStr">
        <is>
          <t>Avr</t>
        </is>
      </c>
      <c r="J31" s="1094" t="inlineStr">
        <is>
          <t>Juin–sept</t>
        </is>
      </c>
      <c r="K31" s="1094" t="n">
        <v>0</v>
      </c>
      <c r="L31" s="1094" t="n">
        <v>2</v>
      </c>
      <c r="M31" s="1094" t="inlineStr">
        <is>
          <t>P2 — tisane</t>
        </is>
      </c>
      <c r="N31" s="1094" t="inlineStr">
        <is>
          <t>Rentrer l'hiver</t>
        </is>
      </c>
    </row>
    <row r="33">
      <c r="A33" s="1098" t="inlineStr">
        <is>
          <t>TOTAL surfaces culture (m²)</t>
        </is>
      </c>
      <c r="E33" t="n">
        <v>8705</v>
      </c>
      <c r="F33" t="n">
        <v>14660</v>
      </c>
      <c r="G33" t="n">
        <v>19895</v>
      </c>
    </row>
    <row r="34">
      <c r="A34" t="inlineStr">
        <is>
          <t>Dont Drainé PPAM cible vault : 5 000 m² An1 → 10 000 An2 → 15 000 An3 (0,5 ha/an).</t>
        </is>
      </c>
    </row>
    <row r="35">
      <c r="A35" t="inlineStr">
        <is>
          <t>Légende priorités : P1 = 15 refs An1 · P2 = montée An2 · P3 = variété An3+</t>
        </is>
      </c>
    </row>
    <row r="36">
      <c r="A36" t="inlineStr">
        <is>
          <t>Vert = surface An1 · Jaune = An2 · Bleu = An3</t>
        </is>
      </c>
    </row>
  </sheetData>
  <autoFilter ref="A3:N31"/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090" t="inlineStr">
        <is>
          <t>Calendrier cultural mensuel (An 1 type — Aveyron)</t>
        </is>
      </c>
    </row>
    <row r="2">
      <c r="A2" t="inlineStr">
        <is>
          <t>S = semis · P = plantation/plants · R = récolte · T = travaux (taille, paillage, faux-semis) · D = séchage. Adapter selon météo.</t>
        </is>
      </c>
    </row>
    <row r="3">
      <c r="A3" s="1092" t="inlineStr">
        <is>
          <t>Espèce</t>
        </is>
      </c>
      <c r="B3" s="1092" t="inlineStr">
        <is>
          <t>Espace</t>
        </is>
      </c>
      <c r="C3" s="1092" t="inlineStr">
        <is>
          <t>Jan</t>
        </is>
      </c>
      <c r="D3" s="1092" t="inlineStr">
        <is>
          <t>Fév</t>
        </is>
      </c>
      <c r="E3" s="1092" t="inlineStr">
        <is>
          <t>Mar</t>
        </is>
      </c>
      <c r="F3" s="1092" t="inlineStr">
        <is>
          <t>Avr</t>
        </is>
      </c>
      <c r="G3" s="1092" t="inlineStr">
        <is>
          <t>Mai</t>
        </is>
      </c>
      <c r="H3" s="1092" t="inlineStr">
        <is>
          <t>Juin</t>
        </is>
      </c>
      <c r="I3" s="1092" t="inlineStr">
        <is>
          <t>Juil</t>
        </is>
      </c>
      <c r="J3" s="1092" t="inlineStr">
        <is>
          <t>Août</t>
        </is>
      </c>
      <c r="K3" s="1092" t="inlineStr">
        <is>
          <t>Sept</t>
        </is>
      </c>
      <c r="L3" s="1092" t="inlineStr">
        <is>
          <t>Oct</t>
        </is>
      </c>
      <c r="M3" s="1092" t="inlineStr">
        <is>
          <t>Nov</t>
        </is>
      </c>
      <c r="N3" s="1092" t="inlineStr">
        <is>
          <t>Déc</t>
        </is>
      </c>
    </row>
    <row r="4">
      <c r="A4" s="1099" t="inlineStr">
        <is>
          <t>Thym</t>
        </is>
      </c>
      <c r="B4" s="1099" t="inlineStr">
        <is>
          <t>Drainé</t>
        </is>
      </c>
      <c r="E4" s="1100" t="inlineStr">
        <is>
          <t>P</t>
        </is>
      </c>
      <c r="F4" s="1100" t="inlineStr">
        <is>
          <t>P/T</t>
        </is>
      </c>
      <c r="H4" s="1101" t="inlineStr">
        <is>
          <t>R</t>
        </is>
      </c>
      <c r="I4" s="1101" t="inlineStr">
        <is>
          <t>R/D</t>
        </is>
      </c>
      <c r="K4" s="1101" t="inlineStr">
        <is>
          <t>R</t>
        </is>
      </c>
      <c r="L4" s="1102" t="inlineStr">
        <is>
          <t>T</t>
        </is>
      </c>
    </row>
    <row r="5">
      <c r="A5" s="1099" t="inlineStr">
        <is>
          <t>Lavande</t>
        </is>
      </c>
      <c r="B5" s="1099" t="inlineStr">
        <is>
          <t>Drainé</t>
        </is>
      </c>
      <c r="E5" s="1100" t="inlineStr">
        <is>
          <t>P</t>
        </is>
      </c>
      <c r="F5" s="1100" t="inlineStr">
        <is>
          <t>P/T</t>
        </is>
      </c>
      <c r="I5" s="1101" t="inlineStr">
        <is>
          <t>R/D</t>
        </is>
      </c>
      <c r="J5" s="1101" t="inlineStr">
        <is>
          <t>R/D</t>
        </is>
      </c>
      <c r="L5" s="1102" t="inlineStr">
        <is>
          <t>T</t>
        </is>
      </c>
    </row>
    <row r="6">
      <c r="A6" s="1099" t="inlineStr">
        <is>
          <t>Hélichryse</t>
        </is>
      </c>
      <c r="B6" s="1099" t="inlineStr">
        <is>
          <t>Drainé</t>
        </is>
      </c>
      <c r="F6" s="1100" t="inlineStr">
        <is>
          <t>P</t>
        </is>
      </c>
      <c r="I6" s="1101" t="inlineStr">
        <is>
          <t>R/D</t>
        </is>
      </c>
      <c r="J6" s="1101" t="inlineStr">
        <is>
          <t>R/D</t>
        </is>
      </c>
    </row>
    <row r="7">
      <c r="A7" s="1099" t="inlineStr">
        <is>
          <t>Romarin</t>
        </is>
      </c>
      <c r="B7" s="1099" t="inlineStr">
        <is>
          <t>Drainé</t>
        </is>
      </c>
      <c r="E7" s="1100" t="inlineStr">
        <is>
          <t>P*</t>
        </is>
      </c>
      <c r="H7" s="1101" t="inlineStr">
        <is>
          <t>R</t>
        </is>
      </c>
      <c r="I7" s="1101" t="inlineStr">
        <is>
          <t>R/D</t>
        </is>
      </c>
      <c r="K7" s="1101" t="inlineStr">
        <is>
          <t>R</t>
        </is>
      </c>
    </row>
    <row r="8">
      <c r="A8" s="1099" t="inlineStr">
        <is>
          <t>Sarriette</t>
        </is>
      </c>
      <c r="B8" s="1099" t="inlineStr">
        <is>
          <t>Drainé</t>
        </is>
      </c>
      <c r="F8" s="1100" t="inlineStr">
        <is>
          <t>P*</t>
        </is>
      </c>
      <c r="I8" s="1101" t="inlineStr">
        <is>
          <t>R/D</t>
        </is>
      </c>
      <c r="J8" s="1101" t="inlineStr">
        <is>
          <t>R/D</t>
        </is>
      </c>
    </row>
    <row r="9">
      <c r="A9" s="1099" t="inlineStr">
        <is>
          <t>Origan</t>
        </is>
      </c>
      <c r="B9" s="1099" t="inlineStr">
        <is>
          <t>Drainé</t>
        </is>
      </c>
      <c r="F9" s="1100" t="inlineStr">
        <is>
          <t>P**</t>
        </is>
      </c>
      <c r="I9" s="1101" t="inlineStr">
        <is>
          <t>R/D</t>
        </is>
      </c>
      <c r="J9" s="1101" t="inlineStr">
        <is>
          <t>R/D</t>
        </is>
      </c>
    </row>
    <row r="10">
      <c r="A10" s="1099" t="inlineStr">
        <is>
          <t>Moutarde graine</t>
        </is>
      </c>
      <c r="B10" s="1099" t="inlineStr">
        <is>
          <t>GC</t>
        </is>
      </c>
      <c r="E10" s="1103" t="inlineStr">
        <is>
          <t>S</t>
        </is>
      </c>
      <c r="F10" s="1103" t="inlineStr">
        <is>
          <t>S</t>
        </is>
      </c>
      <c r="I10" s="1101" t="inlineStr">
        <is>
          <t>R</t>
        </is>
      </c>
      <c r="J10" s="1101" t="inlineStr">
        <is>
          <t>R/D</t>
        </is>
      </c>
    </row>
    <row r="11">
      <c r="A11" s="1099" t="inlineStr">
        <is>
          <t>Cumin</t>
        </is>
      </c>
      <c r="B11" s="1099" t="inlineStr">
        <is>
          <t>GC</t>
        </is>
      </c>
      <c r="F11" s="1103" t="inlineStr">
        <is>
          <t>S</t>
        </is>
      </c>
      <c r="G11" s="1102" t="inlineStr">
        <is>
          <t>T</t>
        </is>
      </c>
      <c r="J11" s="1101" t="inlineStr">
        <is>
          <t>R</t>
        </is>
      </c>
      <c r="K11" s="1101" t="inlineStr">
        <is>
          <t>R/D</t>
        </is>
      </c>
    </row>
    <row r="12">
      <c r="A12" s="1099" t="inlineStr">
        <is>
          <t>Carvi</t>
        </is>
      </c>
      <c r="B12" s="1099" t="inlineStr">
        <is>
          <t>GC</t>
        </is>
      </c>
      <c r="G12" s="1103" t="inlineStr">
        <is>
          <t>S</t>
        </is>
      </c>
      <c r="H12" s="1103" t="inlineStr">
        <is>
          <t>S</t>
        </is>
      </c>
      <c r="I12" s="1101" t="inlineStr">
        <is>
          <t>R†</t>
        </is>
      </c>
      <c r="J12" s="1101" t="inlineStr">
        <is>
          <t>R†/D</t>
        </is>
      </c>
    </row>
    <row r="13">
      <c r="A13" s="1099" t="inlineStr">
        <is>
          <t>Coriandre</t>
        </is>
      </c>
      <c r="B13" s="1099" t="inlineStr">
        <is>
          <t>GC</t>
        </is>
      </c>
      <c r="E13" s="1103" t="inlineStr">
        <is>
          <t>S</t>
        </is>
      </c>
      <c r="F13" s="1103" t="inlineStr">
        <is>
          <t>S</t>
        </is>
      </c>
      <c r="H13" s="1101" t="inlineStr">
        <is>
          <t>R</t>
        </is>
      </c>
      <c r="I13" s="1101" t="inlineStr">
        <is>
          <t>S/R</t>
        </is>
      </c>
      <c r="J13" s="1101" t="inlineStr">
        <is>
          <t>R</t>
        </is>
      </c>
      <c r="K13" s="1103" t="inlineStr">
        <is>
          <t>S</t>
        </is>
      </c>
    </row>
    <row r="14">
      <c r="A14" s="1099" t="inlineStr">
        <is>
          <t>Ail</t>
        </is>
      </c>
      <c r="B14" s="1099" t="inlineStr">
        <is>
          <t>Maraîch.</t>
        </is>
      </c>
      <c r="H14" s="1101" t="inlineStr">
        <is>
          <t>R/D</t>
        </is>
      </c>
      <c r="I14" s="1104" t="inlineStr">
        <is>
          <t>D</t>
        </is>
      </c>
      <c r="L14" s="1100" t="inlineStr">
        <is>
          <t>P</t>
        </is>
      </c>
      <c r="M14" s="1100" t="inlineStr">
        <is>
          <t>P</t>
        </is>
      </c>
    </row>
    <row r="15">
      <c r="A15" s="1099" t="inlineStr">
        <is>
          <t>Chou choucroute</t>
        </is>
      </c>
      <c r="B15" s="1099" t="inlineStr">
        <is>
          <t>Maraîch.</t>
        </is>
      </c>
      <c r="G15" s="1103" t="inlineStr">
        <is>
          <t>S/P</t>
        </is>
      </c>
      <c r="H15" s="1100" t="inlineStr">
        <is>
          <t>P</t>
        </is>
      </c>
      <c r="K15" s="1101" t="inlineStr">
        <is>
          <t>R</t>
        </is>
      </c>
      <c r="L15" s="1101" t="inlineStr">
        <is>
          <t>R</t>
        </is>
      </c>
      <c r="M15" s="1101" t="inlineStr">
        <is>
          <t>R</t>
        </is>
      </c>
    </row>
    <row r="16">
      <c r="A16" s="1099" t="inlineStr">
        <is>
          <t>Estragon</t>
        </is>
      </c>
      <c r="B16" s="1099" t="inlineStr">
        <is>
          <t>Maraîch.</t>
        </is>
      </c>
      <c r="F16" s="1100" t="inlineStr">
        <is>
          <t>P</t>
        </is>
      </c>
      <c r="H16" s="1101" t="inlineStr">
        <is>
          <t>R</t>
        </is>
      </c>
      <c r="I16" s="1101" t="inlineStr">
        <is>
          <t>R/D</t>
        </is>
      </c>
      <c r="J16" s="1101" t="inlineStr">
        <is>
          <t>R</t>
        </is>
      </c>
    </row>
    <row r="17">
      <c r="A17" s="1099" t="inlineStr">
        <is>
          <t>Menthe</t>
        </is>
      </c>
      <c r="B17" s="1099" t="inlineStr">
        <is>
          <t>Frais</t>
        </is>
      </c>
      <c r="E17" s="1100" t="inlineStr">
        <is>
          <t>P</t>
        </is>
      </c>
      <c r="G17" s="1101" t="inlineStr">
        <is>
          <t>R</t>
        </is>
      </c>
      <c r="H17" s="1101" t="inlineStr">
        <is>
          <t>R/D</t>
        </is>
      </c>
      <c r="I17" s="1101" t="inlineStr">
        <is>
          <t>R/D</t>
        </is>
      </c>
      <c r="J17" s="1101" t="inlineStr">
        <is>
          <t>R</t>
        </is>
      </c>
      <c r="K17" s="1101" t="inlineStr">
        <is>
          <t>R</t>
        </is>
      </c>
    </row>
    <row r="18">
      <c r="A18" s="1099" t="inlineStr">
        <is>
          <t>Sureau</t>
        </is>
      </c>
      <c r="B18" s="1099" t="inlineStr">
        <is>
          <t>Frais</t>
        </is>
      </c>
      <c r="C18" s="1100" t="inlineStr">
        <is>
          <t>P</t>
        </is>
      </c>
      <c r="D18" s="1100" t="inlineStr">
        <is>
          <t>P</t>
        </is>
      </c>
      <c r="G18" s="1101" t="inlineStr">
        <is>
          <t>R‡</t>
        </is>
      </c>
      <c r="H18" s="1101" t="inlineStr">
        <is>
          <t>R‡/D</t>
        </is>
      </c>
      <c r="M18" s="1100" t="inlineStr">
        <is>
          <t>P</t>
        </is>
      </c>
    </row>
    <row r="19">
      <c r="A19" s="1099" t="inlineStr">
        <is>
          <t>Piment paprika</t>
        </is>
      </c>
      <c r="B19" s="1099" t="inlineStr">
        <is>
          <t>Tunnel</t>
        </is>
      </c>
      <c r="C19" s="1103" t="inlineStr">
        <is>
          <t>S°</t>
        </is>
      </c>
      <c r="D19" s="1103" t="inlineStr">
        <is>
          <t>S°</t>
        </is>
      </c>
      <c r="E19" s="1103" t="inlineStr">
        <is>
          <t>S°</t>
        </is>
      </c>
      <c r="G19" s="1100" t="inlineStr">
        <is>
          <t>P</t>
        </is>
      </c>
      <c r="J19" s="1101" t="inlineStr">
        <is>
          <t>R</t>
        </is>
      </c>
      <c r="K19" s="1101" t="inlineStr">
        <is>
          <t>R/D</t>
        </is>
      </c>
      <c r="L19" s="1101" t="inlineStr">
        <is>
          <t>R/D</t>
        </is>
      </c>
    </row>
    <row r="20">
      <c r="A20" s="1099" t="inlineStr">
        <is>
          <t>Basilic</t>
        </is>
      </c>
      <c r="B20" s="1099" t="inlineStr">
        <is>
          <t>Tunnel</t>
        </is>
      </c>
      <c r="E20" s="1103" t="inlineStr">
        <is>
          <t>S°</t>
        </is>
      </c>
      <c r="F20" s="1103" t="inlineStr">
        <is>
          <t>S/P</t>
        </is>
      </c>
      <c r="G20" s="1101" t="inlineStr">
        <is>
          <t>R</t>
        </is>
      </c>
      <c r="H20" s="1101" t="inlineStr">
        <is>
          <t>R/D</t>
        </is>
      </c>
      <c r="I20" s="1101" t="inlineStr">
        <is>
          <t>S/R</t>
        </is>
      </c>
      <c r="J20" s="1101" t="inlineStr">
        <is>
          <t>R</t>
        </is>
      </c>
      <c r="K20" s="1101" t="inlineStr">
        <is>
          <t>R</t>
        </is>
      </c>
    </row>
    <row r="21">
      <c r="A21" s="1099" t="inlineStr">
        <is>
          <t>Gingembre/Curcuma</t>
        </is>
      </c>
      <c r="B21" s="1099" t="inlineStr">
        <is>
          <t>Tunnel</t>
        </is>
      </c>
      <c r="E21" s="1100" t="inlineStr">
        <is>
          <t>P</t>
        </is>
      </c>
      <c r="F21" s="1102" t="inlineStr">
        <is>
          <t>T</t>
        </is>
      </c>
      <c r="L21" s="1101" t="inlineStr">
        <is>
          <t>R</t>
        </is>
      </c>
      <c r="M21" s="1101" t="inlineStr">
        <is>
          <t>R/D</t>
        </is>
      </c>
    </row>
    <row r="22">
      <c r="A22" s="1099" t="inlineStr">
        <is>
          <t>Camomille / Souci / Bleuet</t>
        </is>
      </c>
      <c r="B22" s="1099" t="inlineStr">
        <is>
          <t>GC</t>
        </is>
      </c>
      <c r="E22" s="1103" t="inlineStr">
        <is>
          <t>S</t>
        </is>
      </c>
      <c r="F22" s="1103" t="inlineStr">
        <is>
          <t>S</t>
        </is>
      </c>
      <c r="H22" s="1101" t="inlineStr">
        <is>
          <t>R/D</t>
        </is>
      </c>
      <c r="I22" s="1101" t="inlineStr">
        <is>
          <t>R/D</t>
        </is>
      </c>
      <c r="J22" s="1101" t="inlineStr">
        <is>
          <t>R</t>
        </is>
      </c>
    </row>
    <row r="23">
      <c r="A23" s="1099" t="inlineStr">
        <is>
          <t>Faux-semis / BRF / Keyline</t>
        </is>
      </c>
      <c r="B23" s="1099" t="inlineStr">
        <is>
          <t>Drainé</t>
        </is>
      </c>
      <c r="D23" s="1102" t="inlineStr">
        <is>
          <t>T</t>
        </is>
      </c>
      <c r="E23" s="1102" t="inlineStr">
        <is>
          <t>T</t>
        </is>
      </c>
      <c r="F23" s="1102" t="inlineStr">
        <is>
          <t>T</t>
        </is>
      </c>
      <c r="L23" s="1102" t="inlineStr">
        <is>
          <t>T</t>
        </is>
      </c>
      <c r="M23" s="1102" t="inlineStr">
        <is>
          <t>T</t>
        </is>
      </c>
    </row>
    <row r="26">
      <c r="A26" t="inlineStr">
        <is>
          <t>Légende : S=semis · P=plantation · R=récolte · T=travaux · D=séchage · °=serre semis chauffée · *=An2 · **=An3 · †=récolte An2 (bisannuelle) · ‡=fleurs An2+</t>
        </is>
      </c>
    </row>
    <row r="28">
      <c r="A28" t="inlineStr">
        <is>
          <t>Pic charge culture : juin–août (récolte + séchage). Pic labo : oct–mars (transformation) → compatible 1 UTH.</t>
        </is>
      </c>
    </row>
  </sheetData>
  <mergeCells count="4">
    <mergeCell ref="A28:N28"/>
    <mergeCell ref="A26:N26"/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Feuil6">
    <outlinePr summaryBelow="1" summaryRight="1"/>
    <pageSetUpPr/>
  </sheetPr>
  <dimension ref="A1:J300"/>
  <sheetViews>
    <sheetView workbookViewId="0">
      <pane ySplit="1" topLeftCell="A58" activePane="bottomLeft" state="frozen"/>
      <selection pane="bottomLeft" activeCell="K1" sqref="K1:L1048576"/>
    </sheetView>
  </sheetViews>
  <sheetFormatPr baseColWidth="10" defaultColWidth="11" defaultRowHeight="16"/>
  <cols>
    <col width="31.6640625" customWidth="1" min="1" max="1"/>
    <col width="13.1640625" customWidth="1" min="2" max="10"/>
  </cols>
  <sheetData>
    <row r="1" ht="57" customHeight="1">
      <c r="A1" s="4" t="inlineStr">
        <is>
          <t>Produit</t>
        </is>
      </c>
      <c r="B1" s="4" t="inlineStr">
        <is>
          <t>annee 1</t>
        </is>
      </c>
      <c r="C1" s="4" t="inlineStr">
        <is>
          <t>annee 2</t>
        </is>
      </c>
      <c r="D1" s="4" t="inlineStr">
        <is>
          <t>annee 3</t>
        </is>
      </c>
      <c r="E1" s="4" t="inlineStr">
        <is>
          <t>annee 4</t>
        </is>
      </c>
      <c r="F1" s="4" t="inlineStr">
        <is>
          <t>annee 5</t>
        </is>
      </c>
      <c r="G1" s="4" t="inlineStr">
        <is>
          <t>annee 6</t>
        </is>
      </c>
      <c r="H1" s="4" t="inlineStr">
        <is>
          <t>annee 7</t>
        </is>
      </c>
      <c r="I1" s="4" t="inlineStr">
        <is>
          <t>annee 8</t>
        </is>
      </c>
      <c r="J1" s="4" t="inlineStr">
        <is>
          <t>annee 9</t>
        </is>
      </c>
    </row>
    <row r="2">
      <c r="A2" s="346" t="inlineStr">
        <is>
          <t>vinaigre de cidre</t>
        </is>
      </c>
      <c r="B2" s="979" t="n">
        <v>203.7757848519914</v>
      </c>
      <c r="C2" s="347" t="n">
        <v>203.7757848519914</v>
      </c>
      <c r="D2" s="347" t="n">
        <v>0</v>
      </c>
      <c r="E2" s="347" t="n">
        <v>0</v>
      </c>
      <c r="F2" s="347" t="n">
        <v>0</v>
      </c>
      <c r="G2" s="347" t="n">
        <v>0</v>
      </c>
      <c r="H2" s="347" t="n">
        <v>0</v>
      </c>
      <c r="I2" s="347" t="n">
        <v>0</v>
      </c>
      <c r="J2" s="347" t="n">
        <v>0</v>
      </c>
    </row>
    <row r="3">
      <c r="A3" s="650" t="inlineStr">
        <is>
          <t>cornichon</t>
        </is>
      </c>
      <c r="B3" s="980" t="n">
        <v>201.4208222410447</v>
      </c>
      <c r="C3" s="652" t="n">
        <v>201.4208222410447</v>
      </c>
      <c r="D3" s="652" t="n">
        <v>0</v>
      </c>
      <c r="E3" s="652" t="n">
        <v>0</v>
      </c>
      <c r="F3" s="652" t="n">
        <v>0</v>
      </c>
      <c r="G3" s="652" t="n">
        <v>0</v>
      </c>
      <c r="H3" s="652" t="n">
        <v>0</v>
      </c>
      <c r="I3" s="652" t="n">
        <v>0</v>
      </c>
      <c r="J3" s="652" t="n">
        <v>0</v>
      </c>
    </row>
    <row r="4">
      <c r="A4" s="132" t="inlineStr">
        <is>
          <t>graine cumin</t>
        </is>
      </c>
      <c r="B4" s="981" t="n">
        <v>37.60834275160971</v>
      </c>
      <c r="C4" s="257" t="n">
        <v>37.60834275160971</v>
      </c>
      <c r="D4" s="257" t="n">
        <v>0</v>
      </c>
      <c r="E4" s="257" t="n">
        <v>0</v>
      </c>
      <c r="F4" s="257" t="n">
        <v>0</v>
      </c>
      <c r="G4" s="257" t="n">
        <v>0</v>
      </c>
      <c r="H4" s="257" t="n">
        <v>0</v>
      </c>
      <c r="I4" s="257" t="n">
        <v>0</v>
      </c>
      <c r="J4" s="257" t="n">
        <v>0</v>
      </c>
    </row>
    <row r="5">
      <c r="A5" s="340" t="inlineStr">
        <is>
          <t>sel</t>
        </is>
      </c>
      <c r="B5" s="982" t="n">
        <v>34.27621509735141</v>
      </c>
      <c r="C5" s="341" t="n">
        <v>34.27621509735141</v>
      </c>
      <c r="D5" s="341" t="n">
        <v>0</v>
      </c>
      <c r="E5" s="341" t="n">
        <v>0</v>
      </c>
      <c r="F5" s="341" t="n">
        <v>0</v>
      </c>
      <c r="G5" s="341" t="n">
        <v>0</v>
      </c>
      <c r="H5" s="341" t="n">
        <v>0</v>
      </c>
      <c r="I5" s="341" t="n">
        <v>0</v>
      </c>
      <c r="J5" s="341" t="n">
        <v>0</v>
      </c>
    </row>
    <row r="6">
      <c r="A6" s="131" t="inlineStr">
        <is>
          <t>gingembre</t>
        </is>
      </c>
      <c r="B6" s="983" t="n">
        <v>23.51369056908756</v>
      </c>
      <c r="C6" s="256" t="n">
        <v>23.51369056908756</v>
      </c>
      <c r="D6" s="256" t="n">
        <v>0</v>
      </c>
      <c r="E6" s="256" t="n">
        <v>0</v>
      </c>
      <c r="F6" s="256" t="n">
        <v>0</v>
      </c>
      <c r="G6" s="256" t="n">
        <v>0</v>
      </c>
      <c r="H6" s="256" t="n">
        <v>0</v>
      </c>
      <c r="I6" s="256" t="n">
        <v>0</v>
      </c>
      <c r="J6" s="256" t="n">
        <v>0</v>
      </c>
    </row>
    <row r="7">
      <c r="A7" s="308" t="inlineStr">
        <is>
          <t>eau</t>
        </is>
      </c>
      <c r="B7" s="984" t="n">
        <v>23.4201008604774</v>
      </c>
      <c r="C7" s="309" t="n">
        <v>23.4201008604774</v>
      </c>
      <c r="D7" s="309" t="n">
        <v>0</v>
      </c>
      <c r="E7" s="309" t="n">
        <v>0</v>
      </c>
      <c r="F7" s="309" t="n">
        <v>0</v>
      </c>
      <c r="G7" s="309" t="n">
        <v>0</v>
      </c>
      <c r="H7" s="309" t="n">
        <v>0</v>
      </c>
      <c r="I7" s="309" t="n">
        <v>0</v>
      </c>
      <c r="J7" s="309" t="n">
        <v>0</v>
      </c>
    </row>
    <row r="8">
      <c r="A8" s="127" t="inlineStr">
        <is>
          <t>curcuma</t>
        </is>
      </c>
      <c r="B8" s="985" t="n">
        <v>14.98443732233432</v>
      </c>
      <c r="C8" s="252" t="n">
        <v>14.98443732233432</v>
      </c>
      <c r="D8" s="252" t="n">
        <v>0</v>
      </c>
      <c r="E8" s="252" t="n">
        <v>0</v>
      </c>
      <c r="F8" s="252" t="n">
        <v>0</v>
      </c>
      <c r="G8" s="252" t="n">
        <v>0</v>
      </c>
      <c r="H8" s="252" t="n">
        <v>0</v>
      </c>
      <c r="I8" s="252" t="n">
        <v>0</v>
      </c>
      <c r="J8" s="252" t="n">
        <v>0</v>
      </c>
    </row>
    <row r="9">
      <c r="A9" s="160" t="inlineStr">
        <is>
          <t>piment jalapeno vert</t>
        </is>
      </c>
      <c r="B9" s="986" t="n">
        <v>12.76595744680851</v>
      </c>
      <c r="C9" s="287" t="n">
        <v>12.76595744680851</v>
      </c>
      <c r="D9" s="287" t="n">
        <v>0</v>
      </c>
      <c r="E9" s="287" t="n">
        <v>0</v>
      </c>
      <c r="F9" s="287" t="n">
        <v>0</v>
      </c>
      <c r="G9" s="287" t="n">
        <v>0</v>
      </c>
      <c r="H9" s="287" t="n">
        <v>0</v>
      </c>
      <c r="I9" s="287" t="n">
        <v>0</v>
      </c>
      <c r="J9" s="287" t="n">
        <v>0</v>
      </c>
    </row>
    <row r="10">
      <c r="A10" s="138" t="inlineStr">
        <is>
          <t>graine de moutarde</t>
        </is>
      </c>
      <c r="B10" s="987" t="n">
        <v>12.28728757979917</v>
      </c>
      <c r="C10" s="263" t="n">
        <v>12.28728757979917</v>
      </c>
      <c r="D10" s="263" t="n">
        <v>0</v>
      </c>
      <c r="E10" s="263" t="n">
        <v>0</v>
      </c>
      <c r="F10" s="263" t="n">
        <v>0</v>
      </c>
      <c r="G10" s="263" t="n">
        <v>0</v>
      </c>
      <c r="H10" s="263" t="n">
        <v>0</v>
      </c>
      <c r="I10" s="263" t="n">
        <v>0</v>
      </c>
      <c r="J10" s="263" t="n">
        <v>0</v>
      </c>
    </row>
    <row r="11">
      <c r="A11" s="126" t="inlineStr">
        <is>
          <t>coriandre graine</t>
        </is>
      </c>
      <c r="B11" s="988" t="n">
        <v>11.89276685404558</v>
      </c>
      <c r="C11" s="251" t="n">
        <v>11.89276685404558</v>
      </c>
      <c r="D11" s="251" t="n">
        <v>0</v>
      </c>
      <c r="E11" s="251" t="n">
        <v>0</v>
      </c>
      <c r="F11" s="251" t="n">
        <v>0</v>
      </c>
      <c r="G11" s="251" t="n">
        <v>0</v>
      </c>
      <c r="H11" s="251" t="n">
        <v>0</v>
      </c>
      <c r="I11" s="251" t="n">
        <v>0</v>
      </c>
      <c r="J11" s="251" t="n">
        <v>0</v>
      </c>
    </row>
    <row r="12">
      <c r="A12" s="468" t="inlineStr">
        <is>
          <t>piment doux rouge</t>
        </is>
      </c>
      <c r="B12" s="989" t="n">
        <v>9.213469697021022</v>
      </c>
      <c r="C12" s="285" t="n">
        <v>9.213469697021022</v>
      </c>
      <c r="D12" s="285" t="n">
        <v>0</v>
      </c>
      <c r="E12" s="285" t="n">
        <v>0</v>
      </c>
      <c r="F12" s="285" t="n">
        <v>0</v>
      </c>
      <c r="G12" s="285" t="n">
        <v>0</v>
      </c>
      <c r="H12" s="285" t="n">
        <v>0</v>
      </c>
      <c r="I12" s="285" t="n">
        <v>0</v>
      </c>
      <c r="J12" s="285" t="n">
        <v>0</v>
      </c>
    </row>
    <row r="13">
      <c r="A13" s="157" t="inlineStr">
        <is>
          <t>piment de cayenne jaune</t>
        </is>
      </c>
      <c r="B13" s="990" t="n">
        <v>6.716417910447761</v>
      </c>
      <c r="C13" s="283" t="n">
        <v>6.716417910447761</v>
      </c>
      <c r="D13" s="283" t="n">
        <v>0</v>
      </c>
      <c r="E13" s="283" t="n">
        <v>0</v>
      </c>
      <c r="F13" s="283" t="n">
        <v>0</v>
      </c>
      <c r="G13" s="283" t="n">
        <v>0</v>
      </c>
      <c r="H13" s="283" t="n">
        <v>0</v>
      </c>
      <c r="I13" s="283" t="n">
        <v>0</v>
      </c>
      <c r="J13" s="283" t="n">
        <v>0</v>
      </c>
    </row>
    <row r="14">
      <c r="A14" s="163" t="inlineStr">
        <is>
          <t>piments rouge - thunder mountain longhorn</t>
        </is>
      </c>
      <c r="B14" s="991" t="n">
        <v>6.338028169014084</v>
      </c>
      <c r="C14" s="290" t="n">
        <v>6.338028169014084</v>
      </c>
      <c r="D14" s="290" t="n">
        <v>0</v>
      </c>
      <c r="E14" s="290" t="n">
        <v>0</v>
      </c>
      <c r="F14" s="290" t="n">
        <v>0</v>
      </c>
      <c r="G14" s="290" t="n">
        <v>0</v>
      </c>
      <c r="H14" s="290" t="n">
        <v>0</v>
      </c>
      <c r="I14" s="290" t="n">
        <v>0</v>
      </c>
      <c r="J14" s="290" t="n">
        <v>0</v>
      </c>
    </row>
    <row r="15">
      <c r="A15" s="135" t="inlineStr">
        <is>
          <t>graine de carvi</t>
        </is>
      </c>
      <c r="B15" s="992" t="n">
        <v>5.669999999999999</v>
      </c>
      <c r="C15" s="260" t="n">
        <v>5.669999999999999</v>
      </c>
      <c r="D15" s="260" t="n">
        <v>0</v>
      </c>
      <c r="E15" s="260" t="n">
        <v>0</v>
      </c>
      <c r="F15" s="260" t="n">
        <v>0</v>
      </c>
      <c r="G15" s="260" t="n">
        <v>0</v>
      </c>
      <c r="H15" s="260" t="n">
        <v>0</v>
      </c>
      <c r="I15" s="260" t="n">
        <v>0</v>
      </c>
      <c r="J15" s="260" t="n">
        <v>0</v>
      </c>
    </row>
    <row r="16">
      <c r="A16" s="653" t="inlineStr">
        <is>
          <t>oignon rocambole</t>
        </is>
      </c>
      <c r="B16" s="993" t="n">
        <v>5.542359461599367</v>
      </c>
      <c r="C16" s="655" t="n">
        <v>5.542359461599367</v>
      </c>
      <c r="D16" s="655" t="n">
        <v>0</v>
      </c>
      <c r="E16" s="655" t="n">
        <v>0</v>
      </c>
      <c r="F16" s="655" t="n">
        <v>0</v>
      </c>
      <c r="G16" s="655" t="n">
        <v>0</v>
      </c>
      <c r="H16" s="655" t="n">
        <v>0</v>
      </c>
      <c r="I16" s="655" t="n">
        <v>0</v>
      </c>
      <c r="J16" s="655" t="n">
        <v>0</v>
      </c>
    </row>
    <row r="17">
      <c r="A17" s="153" t="inlineStr">
        <is>
          <t>oignon</t>
        </is>
      </c>
      <c r="B17" s="994" t="n">
        <v>3.098448423152443</v>
      </c>
      <c r="C17" s="279" t="n">
        <v>3.098448423152443</v>
      </c>
      <c r="D17" s="279" t="n">
        <v>0</v>
      </c>
      <c r="E17" s="279" t="n">
        <v>0</v>
      </c>
      <c r="F17" s="279" t="n">
        <v>0</v>
      </c>
      <c r="G17" s="279" t="n">
        <v>0</v>
      </c>
      <c r="H17" s="279" t="n">
        <v>0</v>
      </c>
      <c r="I17" s="279" t="n">
        <v>0</v>
      </c>
      <c r="J17" s="279" t="n">
        <v>0</v>
      </c>
    </row>
    <row r="18">
      <c r="A18" s="174" t="inlineStr">
        <is>
          <t>thym</t>
        </is>
      </c>
      <c r="B18" s="995" t="n">
        <v>2.43646408839779</v>
      </c>
      <c r="C18" s="301" t="n">
        <v>2.43646408839779</v>
      </c>
      <c r="D18" s="301" t="n">
        <v>0</v>
      </c>
      <c r="E18" s="301" t="n">
        <v>0</v>
      </c>
      <c r="F18" s="301" t="n">
        <v>0</v>
      </c>
      <c r="G18" s="301" t="n">
        <v>0</v>
      </c>
      <c r="H18" s="301" t="n">
        <v>0</v>
      </c>
      <c r="I18" s="301" t="n">
        <v>0</v>
      </c>
      <c r="J18" s="301" t="n">
        <v>0</v>
      </c>
    </row>
    <row r="19">
      <c r="A19" s="173" t="inlineStr">
        <is>
          <t>sumac</t>
        </is>
      </c>
      <c r="B19" s="996" t="n">
        <v>1.8</v>
      </c>
      <c r="C19" s="300" t="n">
        <v>1.8</v>
      </c>
      <c r="D19" s="300" t="n">
        <v>0</v>
      </c>
      <c r="E19" s="300" t="n">
        <v>0</v>
      </c>
      <c r="F19" s="300" t="n">
        <v>0</v>
      </c>
      <c r="G19" s="300" t="n">
        <v>0</v>
      </c>
      <c r="H19" s="300" t="n">
        <v>0</v>
      </c>
      <c r="I19" s="300" t="n">
        <v>0</v>
      </c>
      <c r="J19" s="300" t="n">
        <v>0</v>
      </c>
    </row>
    <row r="20">
      <c r="A20" s="117" t="inlineStr">
        <is>
          <t>basilic thaï</t>
        </is>
      </c>
      <c r="B20" s="997" t="n">
        <v>1.659574468085106</v>
      </c>
      <c r="C20" s="241" t="n">
        <v>1.659574468085106</v>
      </c>
      <c r="D20" s="241" t="n">
        <v>0</v>
      </c>
      <c r="E20" s="241" t="n">
        <v>0</v>
      </c>
      <c r="F20" s="241" t="n">
        <v>0</v>
      </c>
      <c r="G20" s="241" t="n">
        <v>0</v>
      </c>
      <c r="H20" s="241" t="n">
        <v>0</v>
      </c>
      <c r="I20" s="241" t="n">
        <v>0</v>
      </c>
      <c r="J20" s="241" t="n">
        <v>0</v>
      </c>
    </row>
    <row r="21">
      <c r="A21" s="647" t="inlineStr">
        <is>
          <t>estragon</t>
        </is>
      </c>
      <c r="B21" s="998" t="n">
        <v>1.330166270783848</v>
      </c>
      <c r="C21" s="649" t="n">
        <v>1.330166270783848</v>
      </c>
      <c r="D21" s="649" t="n">
        <v>0</v>
      </c>
      <c r="E21" s="649" t="n">
        <v>0</v>
      </c>
      <c r="F21" s="649" t="n">
        <v>0</v>
      </c>
      <c r="G21" s="649" t="n">
        <v>0</v>
      </c>
      <c r="H21" s="649" t="n">
        <v>0</v>
      </c>
      <c r="I21" s="649" t="n">
        <v>0</v>
      </c>
      <c r="J21" s="649" t="n">
        <v>0</v>
      </c>
    </row>
    <row r="22">
      <c r="A22" s="159" t="inlineStr">
        <is>
          <t>piment habanero violet</t>
        </is>
      </c>
      <c r="B22" s="999" t="n">
        <v>1.140845070422535</v>
      </c>
      <c r="C22" s="286" t="n">
        <v>1.140845070422535</v>
      </c>
      <c r="D22" s="286" t="n">
        <v>0</v>
      </c>
      <c r="E22" s="286" t="n">
        <v>0</v>
      </c>
      <c r="F22" s="286" t="n">
        <v>0</v>
      </c>
      <c r="G22" s="286" t="n">
        <v>0</v>
      </c>
      <c r="H22" s="286" t="n">
        <v>0</v>
      </c>
      <c r="I22" s="286" t="n">
        <v>0</v>
      </c>
      <c r="J22" s="286" t="n">
        <v>0</v>
      </c>
    </row>
    <row r="23">
      <c r="A23" s="154" t="inlineStr">
        <is>
          <t>origan</t>
        </is>
      </c>
      <c r="B23" s="1000" t="n">
        <v>0.9540883977900553</v>
      </c>
      <c r="C23" s="280" t="n">
        <v>0.9540883977900553</v>
      </c>
      <c r="D23" s="280" t="n">
        <v>0</v>
      </c>
      <c r="E23" s="280" t="n">
        <v>0</v>
      </c>
      <c r="F23" s="280" t="n">
        <v>0</v>
      </c>
      <c r="G23" s="280" t="n">
        <v>0</v>
      </c>
      <c r="H23" s="280" t="n">
        <v>0</v>
      </c>
      <c r="I23" s="280" t="n">
        <v>0</v>
      </c>
      <c r="J23" s="280" t="n">
        <v>0</v>
      </c>
    </row>
    <row r="24">
      <c r="A24" s="111" t="inlineStr">
        <is>
          <t>ail</t>
        </is>
      </c>
      <c r="B24" s="1001" t="n">
        <v>0.8593231027958798</v>
      </c>
      <c r="C24" s="234" t="n">
        <v>0.8593231027958798</v>
      </c>
      <c r="D24" s="234" t="n">
        <v>0</v>
      </c>
      <c r="E24" s="234" t="n">
        <v>0</v>
      </c>
      <c r="F24" s="234" t="n">
        <v>0</v>
      </c>
      <c r="G24" s="234" t="n">
        <v>0</v>
      </c>
      <c r="H24" s="234" t="n">
        <v>0</v>
      </c>
      <c r="I24" s="234" t="n">
        <v>0</v>
      </c>
      <c r="J24" s="234" t="n">
        <v>0</v>
      </c>
    </row>
    <row r="25">
      <c r="A25" s="129" t="inlineStr">
        <is>
          <t>figue</t>
        </is>
      </c>
      <c r="B25" s="1002" t="n">
        <v>0.7605633802816902</v>
      </c>
      <c r="C25" s="254" t="n">
        <v>0.7605633802816902</v>
      </c>
      <c r="D25" s="254" t="n">
        <v>0</v>
      </c>
      <c r="E25" s="254" t="n">
        <v>0</v>
      </c>
      <c r="F25" s="254" t="n">
        <v>0</v>
      </c>
      <c r="G25" s="254" t="n">
        <v>0</v>
      </c>
      <c r="H25" s="254" t="n">
        <v>0</v>
      </c>
      <c r="I25" s="254" t="n">
        <v>0</v>
      </c>
      <c r="J25" s="254" t="n">
        <v>0</v>
      </c>
    </row>
    <row r="26">
      <c r="A26" s="168" t="inlineStr">
        <is>
          <t>poivre noir</t>
        </is>
      </c>
      <c r="B26" s="1003" t="n">
        <v>0.4176201159355666</v>
      </c>
      <c r="C26" s="295" t="n">
        <v>0.4176201159355666</v>
      </c>
      <c r="D26" s="295" t="n">
        <v>0</v>
      </c>
      <c r="E26" s="295" t="n">
        <v>0</v>
      </c>
      <c r="F26" s="295" t="n">
        <v>0</v>
      </c>
      <c r="G26" s="295" t="n">
        <v>0</v>
      </c>
      <c r="H26" s="295" t="n">
        <v>0</v>
      </c>
      <c r="I26" s="295" t="n">
        <v>0</v>
      </c>
      <c r="J26" s="295" t="n">
        <v>0</v>
      </c>
    </row>
    <row r="27">
      <c r="A27" s="161" t="inlineStr">
        <is>
          <t>piment œil d'oiseau</t>
        </is>
      </c>
      <c r="B27" s="1004" t="n">
        <v>0.3214285714285714</v>
      </c>
      <c r="C27" s="288" t="n">
        <v>0.3214285714285714</v>
      </c>
      <c r="D27" s="288" t="n">
        <v>0</v>
      </c>
      <c r="E27" s="288" t="n">
        <v>0</v>
      </c>
      <c r="F27" s="288" t="n">
        <v>0</v>
      </c>
      <c r="G27" s="288" t="n">
        <v>0</v>
      </c>
      <c r="H27" s="288" t="n">
        <v>0</v>
      </c>
      <c r="I27" s="288" t="n">
        <v>0</v>
      </c>
      <c r="J27" s="288" t="n">
        <v>0</v>
      </c>
    </row>
    <row r="28">
      <c r="A28" s="128" t="inlineStr">
        <is>
          <t>feuilles de laurier</t>
        </is>
      </c>
      <c r="B28" s="1005" t="n">
        <v>0.2910465144383683</v>
      </c>
      <c r="C28" s="253" t="n">
        <v>0.2910465144383683</v>
      </c>
      <c r="D28" s="253" t="n">
        <v>0</v>
      </c>
      <c r="E28" s="253" t="n">
        <v>0</v>
      </c>
      <c r="F28" s="253" t="n">
        <v>0</v>
      </c>
      <c r="G28" s="253" t="n">
        <v>0</v>
      </c>
      <c r="H28" s="253" t="n">
        <v>0</v>
      </c>
      <c r="I28" s="253" t="n">
        <v>0</v>
      </c>
      <c r="J28" s="253" t="n">
        <v>0</v>
      </c>
    </row>
    <row r="29">
      <c r="A29" s="137" t="inlineStr">
        <is>
          <t>graine de fenugrec</t>
        </is>
      </c>
      <c r="B29" s="1006" t="n">
        <v>0.2892857142857143</v>
      </c>
      <c r="C29" s="262" t="n">
        <v>0.2892857142857143</v>
      </c>
      <c r="D29" s="262" t="n">
        <v>0</v>
      </c>
      <c r="E29" s="262" t="n">
        <v>0</v>
      </c>
      <c r="F29" s="262" t="n">
        <v>0</v>
      </c>
      <c r="G29" s="262" t="n">
        <v>0</v>
      </c>
      <c r="H29" s="262" t="n">
        <v>0</v>
      </c>
      <c r="I29" s="262" t="n">
        <v>0</v>
      </c>
      <c r="J29" s="262" t="n">
        <v>0</v>
      </c>
    </row>
    <row r="30">
      <c r="A30" s="330" t="inlineStr">
        <is>
          <t>piment violet fort - purple delight</t>
        </is>
      </c>
      <c r="B30" s="1007" t="n">
        <v>0.1267605633802817</v>
      </c>
      <c r="C30" s="331" t="n">
        <v>0.1267605633802817</v>
      </c>
      <c r="D30" s="331" t="n">
        <v>0</v>
      </c>
      <c r="E30" s="331" t="n">
        <v>0</v>
      </c>
      <c r="F30" s="331" t="n">
        <v>0</v>
      </c>
      <c r="G30" s="331" t="n">
        <v>0</v>
      </c>
      <c r="H30" s="331" t="n">
        <v>0</v>
      </c>
      <c r="I30" s="331" t="n">
        <v>0</v>
      </c>
      <c r="J30" s="331" t="n">
        <v>0</v>
      </c>
    </row>
    <row r="31">
      <c r="A31" s="165" t="inlineStr">
        <is>
          <t>poivre de sichuan</t>
        </is>
      </c>
      <c r="B31" s="1008" t="n">
        <v>0.1132170412613217</v>
      </c>
      <c r="C31" s="292" t="n">
        <v>0.1132170412613217</v>
      </c>
      <c r="D31" s="292" t="n">
        <v>0</v>
      </c>
      <c r="E31" s="292" t="n">
        <v>0</v>
      </c>
      <c r="F31" s="292" t="n">
        <v>0</v>
      </c>
      <c r="G31" s="292" t="n">
        <v>0</v>
      </c>
      <c r="H31" s="292" t="n">
        <v>0</v>
      </c>
      <c r="I31" s="292" t="n">
        <v>0</v>
      </c>
      <c r="J31" s="292" t="n">
        <v>0</v>
      </c>
    </row>
    <row r="32">
      <c r="A32" s="344" t="inlineStr">
        <is>
          <t>timut</t>
        </is>
      </c>
      <c r="B32" s="1009" t="n">
        <v>0.1132170412613217</v>
      </c>
      <c r="C32" s="345" t="n">
        <v>0.1132170412613217</v>
      </c>
      <c r="D32" s="345" t="n">
        <v>0</v>
      </c>
      <c r="E32" s="345" t="n">
        <v>0</v>
      </c>
      <c r="F32" s="345" t="n">
        <v>0</v>
      </c>
      <c r="G32" s="345" t="n">
        <v>0</v>
      </c>
      <c r="H32" s="345" t="n">
        <v>0</v>
      </c>
      <c r="I32" s="345" t="n">
        <v>0</v>
      </c>
      <c r="J32" s="345" t="n">
        <v>0</v>
      </c>
    </row>
    <row r="33">
      <c r="A33" s="177" t="inlineStr">
        <is>
          <t>aneth</t>
        </is>
      </c>
      <c r="B33" s="1010" t="n">
        <v>0.04528681650452868</v>
      </c>
      <c r="C33" s="237" t="n">
        <v>0.04528681650452868</v>
      </c>
      <c r="D33" s="237" t="n">
        <v>0</v>
      </c>
      <c r="E33" s="237" t="n">
        <v>0</v>
      </c>
      <c r="F33" s="237" t="n">
        <v>0</v>
      </c>
      <c r="G33" s="237" t="n">
        <v>0</v>
      </c>
      <c r="H33" s="237" t="n">
        <v>0</v>
      </c>
      <c r="I33" s="237" t="n">
        <v>0</v>
      </c>
      <c r="J33" s="237" t="n">
        <v>0</v>
      </c>
    </row>
    <row r="34">
      <c r="A34" s="119" t="inlineStr">
        <is>
          <t>cannelle</t>
        </is>
      </c>
      <c r="B34" s="1011" t="n">
        <v>0.0386266094420601</v>
      </c>
      <c r="C34" s="243" t="n">
        <v>0.0386266094420601</v>
      </c>
      <c r="D34" s="243" t="n">
        <v>0</v>
      </c>
      <c r="E34" s="243" t="n">
        <v>0</v>
      </c>
      <c r="F34" s="243" t="n">
        <v>0</v>
      </c>
      <c r="G34" s="243" t="n">
        <v>0</v>
      </c>
      <c r="H34" s="243" t="n">
        <v>0</v>
      </c>
      <c r="I34" s="243" t="n">
        <v>0</v>
      </c>
      <c r="J34" s="243" t="n">
        <v>0</v>
      </c>
    </row>
    <row r="35">
      <c r="A35" s="134" t="inlineStr">
        <is>
          <t>graine de cardamone</t>
        </is>
      </c>
      <c r="B35" s="1012" t="n">
        <v>0.03090128755364807</v>
      </c>
      <c r="C35" s="259" t="n">
        <v>0.03090128755364807</v>
      </c>
      <c r="D35" s="259" t="n">
        <v>0</v>
      </c>
      <c r="E35" s="259" t="n">
        <v>0</v>
      </c>
      <c r="F35" s="259" t="n">
        <v>0</v>
      </c>
      <c r="G35" s="259" t="n">
        <v>0</v>
      </c>
      <c r="H35" s="259" t="n">
        <v>0</v>
      </c>
      <c r="I35" s="259" t="n">
        <v>0</v>
      </c>
      <c r="J35" s="259" t="n">
        <v>0</v>
      </c>
    </row>
    <row r="36">
      <c r="A36" s="124" t="inlineStr">
        <is>
          <t>clous de girofle</t>
        </is>
      </c>
      <c r="B36" s="1013" t="n">
        <v>0.01931330472103005</v>
      </c>
      <c r="C36" s="249" t="n">
        <v>0.01931330472103005</v>
      </c>
      <c r="D36" s="249" t="n">
        <v>0</v>
      </c>
      <c r="E36" s="249" t="n">
        <v>0</v>
      </c>
      <c r="F36" s="249" t="n">
        <v>0</v>
      </c>
      <c r="G36" s="249" t="n">
        <v>0</v>
      </c>
      <c r="H36" s="249" t="n">
        <v>0</v>
      </c>
      <c r="I36" s="249" t="n">
        <v>0</v>
      </c>
      <c r="J36" s="249" t="n">
        <v>0</v>
      </c>
    </row>
    <row r="37">
      <c r="A37" s="175" t="inlineStr">
        <is>
          <t>tomate rouge</t>
        </is>
      </c>
      <c r="B37" s="1014" t="n">
        <v>0</v>
      </c>
      <c r="C37" s="302" t="n">
        <v>0</v>
      </c>
      <c r="D37" s="302" t="n">
        <v>0</v>
      </c>
      <c r="E37" s="302" t="n">
        <v>0</v>
      </c>
      <c r="F37" s="302" t="n">
        <v>0</v>
      </c>
      <c r="G37" s="302" t="n">
        <v>0</v>
      </c>
      <c r="H37" s="302" t="n">
        <v>0</v>
      </c>
      <c r="I37" s="302" t="n">
        <v>0</v>
      </c>
      <c r="J37" s="302" t="n">
        <v>0</v>
      </c>
    </row>
    <row r="38">
      <c r="A38" s="166" t="inlineStr">
        <is>
          <t>poivre de timut</t>
        </is>
      </c>
      <c r="B38" s="1015" t="n">
        <v>0</v>
      </c>
      <c r="C38" s="293" t="n">
        <v>0</v>
      </c>
      <c r="D38" s="293" t="n">
        <v>0</v>
      </c>
      <c r="E38" s="293" t="n">
        <v>0</v>
      </c>
      <c r="F38" s="293" t="n">
        <v>0</v>
      </c>
      <c r="G38" s="293" t="n">
        <v>0</v>
      </c>
      <c r="H38" s="293" t="n">
        <v>0</v>
      </c>
      <c r="I38" s="293" t="n">
        <v>0</v>
      </c>
      <c r="J38" s="293" t="n">
        <v>0</v>
      </c>
    </row>
    <row r="39">
      <c r="A39" s="167" t="inlineStr">
        <is>
          <t>poivre des moines</t>
        </is>
      </c>
      <c r="B39" s="1016" t="n">
        <v>0</v>
      </c>
      <c r="C39" s="294" t="n">
        <v>0</v>
      </c>
      <c r="D39" s="294" t="n">
        <v>0</v>
      </c>
      <c r="E39" s="294" t="n">
        <v>0</v>
      </c>
      <c r="F39" s="294" t="n">
        <v>0</v>
      </c>
      <c r="G39" s="294" t="n">
        <v>0</v>
      </c>
      <c r="H39" s="294" t="n">
        <v>0</v>
      </c>
      <c r="I39" s="294" t="n">
        <v>0</v>
      </c>
      <c r="J39" s="294" t="n">
        <v>0</v>
      </c>
    </row>
    <row r="40">
      <c r="A40" s="112" t="inlineStr">
        <is>
          <t>amande douce</t>
        </is>
      </c>
      <c r="B40" s="1017" t="n">
        <v>0</v>
      </c>
      <c r="C40" s="235" t="n">
        <v>0</v>
      </c>
      <c r="D40" s="235" t="n">
        <v>0</v>
      </c>
      <c r="E40" s="235" t="n">
        <v>0</v>
      </c>
      <c r="F40" s="235" t="n">
        <v>0</v>
      </c>
      <c r="G40" s="235" t="n">
        <v>0</v>
      </c>
      <c r="H40" s="235" t="n">
        <v>0</v>
      </c>
      <c r="I40" s="235" t="n">
        <v>0</v>
      </c>
      <c r="J40" s="235" t="n">
        <v>0</v>
      </c>
    </row>
    <row r="41">
      <c r="A41" s="113" t="inlineStr">
        <is>
          <t>amchur</t>
        </is>
      </c>
      <c r="B41" s="1018" t="n">
        <v>0</v>
      </c>
      <c r="C41" s="236" t="n">
        <v>0</v>
      </c>
      <c r="D41" s="236" t="n">
        <v>0</v>
      </c>
      <c r="E41" s="236" t="n">
        <v>0</v>
      </c>
      <c r="F41" s="236" t="n">
        <v>0</v>
      </c>
      <c r="G41" s="236" t="n">
        <v>0</v>
      </c>
      <c r="H41" s="236" t="n">
        <v>0</v>
      </c>
      <c r="I41" s="236" t="n">
        <v>0</v>
      </c>
      <c r="J41" s="236" t="n">
        <v>0</v>
      </c>
    </row>
    <row r="42">
      <c r="A42" s="114" t="inlineStr">
        <is>
          <t>anis etoile</t>
        </is>
      </c>
      <c r="B42" s="1019" t="n">
        <v>0</v>
      </c>
      <c r="C42" s="238" t="n">
        <v>0</v>
      </c>
      <c r="D42" s="238" t="n">
        <v>0</v>
      </c>
      <c r="E42" s="238" t="n">
        <v>0</v>
      </c>
      <c r="F42" s="238" t="n">
        <v>0</v>
      </c>
      <c r="G42" s="238" t="n">
        <v>0</v>
      </c>
      <c r="H42" s="238" t="n">
        <v>0</v>
      </c>
      <c r="I42" s="238" t="n">
        <v>0</v>
      </c>
      <c r="J42" s="238" t="n">
        <v>0</v>
      </c>
    </row>
    <row r="43">
      <c r="A43" s="115" t="inlineStr">
        <is>
          <t>asafoetida</t>
        </is>
      </c>
      <c r="B43" s="1020" t="n">
        <v>0</v>
      </c>
      <c r="C43" s="239" t="n">
        <v>0</v>
      </c>
      <c r="D43" s="239" t="n">
        <v>0</v>
      </c>
      <c r="E43" s="239" t="n">
        <v>0</v>
      </c>
      <c r="F43" s="239" t="n">
        <v>0</v>
      </c>
      <c r="G43" s="239" t="n">
        <v>0</v>
      </c>
      <c r="H43" s="239" t="n">
        <v>0</v>
      </c>
      <c r="I43" s="239" t="n">
        <v>0</v>
      </c>
      <c r="J43" s="239" t="n">
        <v>0</v>
      </c>
    </row>
    <row r="44">
      <c r="A44" s="116" t="inlineStr">
        <is>
          <t>basilic</t>
        </is>
      </c>
      <c r="B44" s="1021" t="n">
        <v>0</v>
      </c>
      <c r="C44" s="240" t="n">
        <v>0</v>
      </c>
      <c r="D44" s="240" t="n">
        <v>0</v>
      </c>
      <c r="E44" s="240" t="n">
        <v>0</v>
      </c>
      <c r="F44" s="240" t="n">
        <v>0</v>
      </c>
      <c r="G44" s="240" t="n">
        <v>0</v>
      </c>
      <c r="H44" s="240" t="n">
        <v>0</v>
      </c>
      <c r="I44" s="240" t="n">
        <v>0</v>
      </c>
      <c r="J44" s="240" t="n">
        <v>0</v>
      </c>
    </row>
    <row r="45">
      <c r="A45" s="118" t="inlineStr">
        <is>
          <t>cacahuètes grillees</t>
        </is>
      </c>
      <c r="B45" s="1022" t="n">
        <v>0</v>
      </c>
      <c r="C45" s="242" t="n">
        <v>0</v>
      </c>
      <c r="D45" s="242" t="n">
        <v>0</v>
      </c>
      <c r="E45" s="242" t="n">
        <v>0</v>
      </c>
      <c r="F45" s="242" t="n">
        <v>0</v>
      </c>
      <c r="G45" s="242" t="n">
        <v>0</v>
      </c>
      <c r="H45" s="242" t="n">
        <v>0</v>
      </c>
      <c r="I45" s="242" t="n">
        <v>0</v>
      </c>
      <c r="J45" s="242" t="n">
        <v>0</v>
      </c>
    </row>
    <row r="46">
      <c r="A46" s="120" t="inlineStr">
        <is>
          <t>casse</t>
        </is>
      </c>
      <c r="B46" s="1023" t="n">
        <v>0</v>
      </c>
      <c r="C46" s="244" t="n">
        <v>0</v>
      </c>
      <c r="D46" s="244" t="n">
        <v>0</v>
      </c>
      <c r="E46" s="244" t="n">
        <v>0</v>
      </c>
      <c r="F46" s="244" t="n">
        <v>0</v>
      </c>
      <c r="G46" s="244" t="n">
        <v>0</v>
      </c>
      <c r="H46" s="244" t="n">
        <v>0</v>
      </c>
      <c r="I46" s="244" t="n">
        <v>0</v>
      </c>
      <c r="J46" s="244" t="n">
        <v>0</v>
      </c>
    </row>
    <row r="47">
      <c r="A47" s="304" t="inlineStr">
        <is>
          <t>cassonade</t>
        </is>
      </c>
      <c r="B47" s="1024" t="n">
        <v>0</v>
      </c>
      <c r="C47" s="305" t="n">
        <v>0</v>
      </c>
      <c r="D47" s="305" t="n">
        <v>0</v>
      </c>
      <c r="E47" s="305" t="n">
        <v>0</v>
      </c>
      <c r="F47" s="305" t="n">
        <v>0</v>
      </c>
      <c r="G47" s="305" t="n">
        <v>0</v>
      </c>
      <c r="H47" s="305" t="n">
        <v>0</v>
      </c>
      <c r="I47" s="305" t="n">
        <v>0</v>
      </c>
      <c r="J47" s="305" t="n">
        <v>0</v>
      </c>
    </row>
    <row r="48">
      <c r="A48" s="176" t="inlineStr">
        <is>
          <t>celeri</t>
        </is>
      </c>
      <c r="B48" s="1025" t="n">
        <v>0</v>
      </c>
      <c r="C48" s="245" t="n">
        <v>0</v>
      </c>
      <c r="D48" s="245" t="n">
        <v>0</v>
      </c>
      <c r="E48" s="245" t="n">
        <v>0</v>
      </c>
      <c r="F48" s="245" t="n">
        <v>0</v>
      </c>
      <c r="G48" s="245" t="n">
        <v>0</v>
      </c>
      <c r="H48" s="245" t="n">
        <v>0</v>
      </c>
      <c r="I48" s="245" t="n">
        <v>0</v>
      </c>
      <c r="J48" s="245" t="n">
        <v>0</v>
      </c>
    </row>
    <row r="49">
      <c r="A49" s="306" t="inlineStr">
        <is>
          <t>celeri en poudre</t>
        </is>
      </c>
      <c r="B49" s="1026" t="n">
        <v>0</v>
      </c>
      <c r="C49" s="307" t="n">
        <v>0</v>
      </c>
      <c r="D49" s="307" t="n">
        <v>0</v>
      </c>
      <c r="E49" s="307" t="n">
        <v>0</v>
      </c>
      <c r="F49" s="307" t="n">
        <v>0</v>
      </c>
      <c r="G49" s="307" t="n">
        <v>0</v>
      </c>
      <c r="H49" s="307" t="n">
        <v>0</v>
      </c>
      <c r="I49" s="307" t="n">
        <v>0</v>
      </c>
      <c r="J49" s="307" t="n">
        <v>0</v>
      </c>
    </row>
    <row r="50">
      <c r="A50" s="121" t="inlineStr">
        <is>
          <t>chenpi (peau de mandarine sechee)</t>
        </is>
      </c>
      <c r="B50" s="1027" t="n">
        <v>0</v>
      </c>
      <c r="C50" s="246" t="n">
        <v>0</v>
      </c>
      <c r="D50" s="246" t="n">
        <v>0</v>
      </c>
      <c r="E50" s="246" t="n">
        <v>0</v>
      </c>
      <c r="F50" s="246" t="n">
        <v>0</v>
      </c>
      <c r="G50" s="246" t="n">
        <v>0</v>
      </c>
      <c r="H50" s="246" t="n">
        <v>0</v>
      </c>
      <c r="I50" s="246" t="n">
        <v>0</v>
      </c>
      <c r="J50" s="246" t="n">
        <v>0</v>
      </c>
    </row>
    <row r="51">
      <c r="A51" s="122" t="inlineStr">
        <is>
          <t>citron jaune</t>
        </is>
      </c>
      <c r="B51" s="1028" t="n">
        <v>0</v>
      </c>
      <c r="C51" s="247" t="n">
        <v>0</v>
      </c>
      <c r="D51" s="247" t="n">
        <v>0</v>
      </c>
      <c r="E51" s="247" t="n">
        <v>0</v>
      </c>
      <c r="F51" s="247" t="n">
        <v>0</v>
      </c>
      <c r="G51" s="247" t="n">
        <v>0</v>
      </c>
      <c r="H51" s="247" t="n">
        <v>0</v>
      </c>
      <c r="I51" s="247" t="n">
        <v>0</v>
      </c>
      <c r="J51" s="247" t="n">
        <v>0</v>
      </c>
    </row>
    <row r="52">
      <c r="A52" s="123" t="inlineStr">
        <is>
          <t>citron vert</t>
        </is>
      </c>
      <c r="B52" s="1029" t="n">
        <v>0</v>
      </c>
      <c r="C52" s="248" t="n">
        <v>0</v>
      </c>
      <c r="D52" s="248" t="n">
        <v>0</v>
      </c>
      <c r="E52" s="248" t="n">
        <v>0</v>
      </c>
      <c r="F52" s="248" t="n">
        <v>0</v>
      </c>
      <c r="G52" s="248" t="n">
        <v>0</v>
      </c>
      <c r="H52" s="248" t="n">
        <v>0</v>
      </c>
      <c r="I52" s="248" t="n">
        <v>0</v>
      </c>
      <c r="J52" s="248" t="n">
        <v>0</v>
      </c>
    </row>
    <row r="53">
      <c r="A53" s="125" t="inlineStr">
        <is>
          <t>coriandre feuille</t>
        </is>
      </c>
      <c r="B53" s="1030" t="n">
        <v>0</v>
      </c>
      <c r="C53" s="250" t="n">
        <v>0</v>
      </c>
      <c r="D53" s="250" t="n">
        <v>0</v>
      </c>
      <c r="E53" s="250" t="n">
        <v>0</v>
      </c>
      <c r="F53" s="250" t="n">
        <v>0</v>
      </c>
      <c r="G53" s="250" t="n">
        <v>0</v>
      </c>
      <c r="H53" s="250" t="n">
        <v>0</v>
      </c>
      <c r="I53" s="250" t="n">
        <v>0</v>
      </c>
      <c r="J53" s="250" t="n">
        <v>0</v>
      </c>
    </row>
    <row r="54">
      <c r="A54" s="310" t="inlineStr">
        <is>
          <t>feuille de 4 epices</t>
        </is>
      </c>
      <c r="B54" s="1031" t="n">
        <v>0</v>
      </c>
      <c r="C54" s="311" t="n">
        <v>0</v>
      </c>
      <c r="D54" s="311" t="n">
        <v>0</v>
      </c>
      <c r="E54" s="311" t="n">
        <v>0</v>
      </c>
      <c r="F54" s="311" t="n">
        <v>0</v>
      </c>
      <c r="G54" s="311" t="n">
        <v>0</v>
      </c>
      <c r="H54" s="311" t="n">
        <v>0</v>
      </c>
      <c r="I54" s="311" t="n">
        <v>0</v>
      </c>
      <c r="J54" s="311" t="n">
        <v>0</v>
      </c>
    </row>
    <row r="55">
      <c r="A55" s="312" t="inlineStr">
        <is>
          <t>feuilles de cannelier</t>
        </is>
      </c>
      <c r="B55" s="1032" t="n">
        <v>0</v>
      </c>
      <c r="C55" s="313" t="n">
        <v>0</v>
      </c>
      <c r="D55" s="313" t="n">
        <v>0</v>
      </c>
      <c r="E55" s="313" t="n">
        <v>0</v>
      </c>
      <c r="F55" s="313" t="n">
        <v>0</v>
      </c>
      <c r="G55" s="313" t="n">
        <v>0</v>
      </c>
      <c r="H55" s="313" t="n">
        <v>0</v>
      </c>
      <c r="I55" s="313" t="n">
        <v>0</v>
      </c>
      <c r="J55" s="313" t="n">
        <v>0</v>
      </c>
    </row>
    <row r="56">
      <c r="A56" s="314" t="inlineStr">
        <is>
          <t>feuilles de curry</t>
        </is>
      </c>
      <c r="B56" s="1033" t="n">
        <v>0</v>
      </c>
      <c r="C56" s="315" t="n">
        <v>0</v>
      </c>
      <c r="D56" s="315" t="n">
        <v>0</v>
      </c>
      <c r="E56" s="315" t="n">
        <v>0</v>
      </c>
      <c r="F56" s="315" t="n">
        <v>0</v>
      </c>
      <c r="G56" s="315" t="n">
        <v>0</v>
      </c>
      <c r="H56" s="315" t="n">
        <v>0</v>
      </c>
      <c r="I56" s="315" t="n">
        <v>0</v>
      </c>
      <c r="J56" s="315" t="n">
        <v>0</v>
      </c>
    </row>
    <row r="57">
      <c r="A57" s="130" t="inlineStr">
        <is>
          <t>gaultheria procumbens leaf oil</t>
        </is>
      </c>
      <c r="B57" s="1034" t="n">
        <v>0</v>
      </c>
      <c r="C57" s="255" t="n">
        <v>0</v>
      </c>
      <c r="D57" s="255" t="n">
        <v>0</v>
      </c>
      <c r="E57" s="255" t="n">
        <v>0</v>
      </c>
      <c r="F57" s="255" t="n">
        <v>0</v>
      </c>
      <c r="G57" s="255" t="n">
        <v>0</v>
      </c>
      <c r="H57" s="255" t="n">
        <v>0</v>
      </c>
      <c r="I57" s="255" t="n">
        <v>0</v>
      </c>
      <c r="J57" s="255" t="n">
        <v>0</v>
      </c>
    </row>
    <row r="58">
      <c r="A58" s="133" t="inlineStr">
        <is>
          <t>graine cumin noir</t>
        </is>
      </c>
      <c r="B58" s="1035" t="n">
        <v>0</v>
      </c>
      <c r="C58" s="258" t="n">
        <v>0</v>
      </c>
      <c r="D58" s="258" t="n">
        <v>0</v>
      </c>
      <c r="E58" s="258" t="n">
        <v>0</v>
      </c>
      <c r="F58" s="258" t="n">
        <v>0</v>
      </c>
      <c r="G58" s="258" t="n">
        <v>0</v>
      </c>
      <c r="H58" s="258" t="n">
        <v>0</v>
      </c>
      <c r="I58" s="258" t="n">
        <v>0</v>
      </c>
      <c r="J58" s="258" t="n">
        <v>0</v>
      </c>
    </row>
    <row r="59">
      <c r="A59" s="136" t="inlineStr">
        <is>
          <t>graine de fenouil</t>
        </is>
      </c>
      <c r="B59" s="1036" t="n">
        <v>0</v>
      </c>
      <c r="C59" s="261" t="n">
        <v>0</v>
      </c>
      <c r="D59" s="261" t="n">
        <v>0</v>
      </c>
      <c r="E59" s="261" t="n">
        <v>0</v>
      </c>
      <c r="F59" s="261" t="n">
        <v>0</v>
      </c>
      <c r="G59" s="261" t="n">
        <v>0</v>
      </c>
      <c r="H59" s="261" t="n">
        <v>0</v>
      </c>
      <c r="I59" s="261" t="n">
        <v>0</v>
      </c>
      <c r="J59" s="261" t="n">
        <v>0</v>
      </c>
    </row>
    <row r="60">
      <c r="A60" s="139" t="inlineStr">
        <is>
          <t>graine de moutarde noire</t>
        </is>
      </c>
      <c r="B60" s="1037" t="n">
        <v>0</v>
      </c>
      <c r="C60" s="264" t="n">
        <v>0</v>
      </c>
      <c r="D60" s="264" t="n">
        <v>0</v>
      </c>
      <c r="E60" s="264" t="n">
        <v>0</v>
      </c>
      <c r="F60" s="264" t="n">
        <v>0</v>
      </c>
      <c r="G60" s="264" t="n">
        <v>0</v>
      </c>
      <c r="H60" s="264" t="n">
        <v>0</v>
      </c>
      <c r="I60" s="264" t="n">
        <v>0</v>
      </c>
      <c r="J60" s="264" t="n">
        <v>0</v>
      </c>
    </row>
    <row r="61">
      <c r="A61" s="140" t="inlineStr">
        <is>
          <t>graine de nigelle</t>
        </is>
      </c>
      <c r="B61" s="1038" t="n">
        <v>0</v>
      </c>
      <c r="C61" s="265" t="n">
        <v>0</v>
      </c>
      <c r="D61" s="265" t="n">
        <v>0</v>
      </c>
      <c r="E61" s="265" t="n">
        <v>0</v>
      </c>
      <c r="F61" s="265" t="n">
        <v>0</v>
      </c>
      <c r="G61" s="265" t="n">
        <v>0</v>
      </c>
      <c r="H61" s="265" t="n">
        <v>0</v>
      </c>
      <c r="I61" s="265" t="n">
        <v>0</v>
      </c>
      <c r="J61" s="265" t="n">
        <v>0</v>
      </c>
    </row>
    <row r="62">
      <c r="A62" s="141" t="inlineStr">
        <is>
          <t>graine de sesame</t>
        </is>
      </c>
      <c r="B62" s="1039" t="n">
        <v>0</v>
      </c>
      <c r="C62" s="266" t="n">
        <v>0</v>
      </c>
      <c r="D62" s="266" t="n">
        <v>0</v>
      </c>
      <c r="E62" s="266" t="n">
        <v>0</v>
      </c>
      <c r="F62" s="266" t="n">
        <v>0</v>
      </c>
      <c r="G62" s="266" t="n">
        <v>0</v>
      </c>
      <c r="H62" s="266" t="n">
        <v>0</v>
      </c>
      <c r="I62" s="266" t="n">
        <v>0</v>
      </c>
      <c r="J62" s="266" t="n">
        <v>0</v>
      </c>
    </row>
    <row r="63">
      <c r="A63" s="316" t="inlineStr">
        <is>
          <t>graines de pavot</t>
        </is>
      </c>
      <c r="B63" s="1040" t="n">
        <v>0</v>
      </c>
      <c r="C63" s="317" t="n">
        <v>0</v>
      </c>
      <c r="D63" s="317" t="n">
        <v>0</v>
      </c>
      <c r="E63" s="317" t="n">
        <v>0</v>
      </c>
      <c r="F63" s="317" t="n">
        <v>0</v>
      </c>
      <c r="G63" s="317" t="n">
        <v>0</v>
      </c>
      <c r="H63" s="317" t="n">
        <v>0</v>
      </c>
      <c r="I63" s="317" t="n">
        <v>0</v>
      </c>
      <c r="J63" s="317" t="n">
        <v>0</v>
      </c>
    </row>
    <row r="64">
      <c r="A64" s="318" t="inlineStr">
        <is>
          <t>graines de sesame</t>
        </is>
      </c>
      <c r="B64" s="1041" t="n">
        <v>0</v>
      </c>
      <c r="C64" s="319" t="n">
        <v>0</v>
      </c>
      <c r="D64" s="319" t="n">
        <v>0</v>
      </c>
      <c r="E64" s="319" t="n">
        <v>0</v>
      </c>
      <c r="F64" s="319" t="n">
        <v>0</v>
      </c>
      <c r="G64" s="319" t="n">
        <v>0</v>
      </c>
      <c r="H64" s="319" t="n">
        <v>0</v>
      </c>
      <c r="I64" s="319" t="n">
        <v>0</v>
      </c>
      <c r="J64" s="319" t="n">
        <v>0</v>
      </c>
    </row>
    <row r="65">
      <c r="A65" s="142" t="inlineStr">
        <is>
          <t>grande ortie</t>
        </is>
      </c>
      <c r="B65" s="1042" t="n">
        <v>0</v>
      </c>
      <c r="C65" s="267" t="n">
        <v>0</v>
      </c>
      <c r="D65" s="267" t="n">
        <v>0</v>
      </c>
      <c r="E65" s="267" t="n">
        <v>0</v>
      </c>
      <c r="F65" s="267" t="n">
        <v>0</v>
      </c>
      <c r="G65" s="267" t="n">
        <v>0</v>
      </c>
      <c r="H65" s="267" t="n">
        <v>0</v>
      </c>
      <c r="I65" s="267" t="n">
        <v>0</v>
      </c>
      <c r="J65" s="267" t="n">
        <v>0</v>
      </c>
    </row>
    <row r="66">
      <c r="A66" s="143" t="inlineStr">
        <is>
          <t>harpagophytum procumbens</t>
        </is>
      </c>
      <c r="B66" s="1043" t="n">
        <v>0</v>
      </c>
      <c r="C66" s="268" t="n">
        <v>0</v>
      </c>
      <c r="D66" s="268" t="n">
        <v>0</v>
      </c>
      <c r="E66" s="268" t="n">
        <v>0</v>
      </c>
      <c r="F66" s="268" t="n">
        <v>0</v>
      </c>
      <c r="G66" s="268" t="n">
        <v>0</v>
      </c>
      <c r="H66" s="268" t="n">
        <v>0</v>
      </c>
      <c r="I66" s="268" t="n">
        <v>0</v>
      </c>
      <c r="J66" s="268" t="n">
        <v>0</v>
      </c>
    </row>
    <row r="67">
      <c r="A67" s="144" t="inlineStr">
        <is>
          <t>helichryse</t>
        </is>
      </c>
      <c r="B67" s="1044" t="n">
        <v>0</v>
      </c>
      <c r="C67" s="269" t="n">
        <v>0</v>
      </c>
      <c r="D67" s="269" t="n">
        <v>0</v>
      </c>
      <c r="E67" s="269" t="n">
        <v>0</v>
      </c>
      <c r="F67" s="269" t="n">
        <v>0</v>
      </c>
      <c r="G67" s="269" t="n">
        <v>0</v>
      </c>
      <c r="H67" s="269" t="n">
        <v>0</v>
      </c>
      <c r="I67" s="269" t="n">
        <v>0</v>
      </c>
      <c r="J67" s="269" t="n">
        <v>0</v>
      </c>
    </row>
    <row r="68">
      <c r="A68" s="320" t="inlineStr">
        <is>
          <t>huile d'olive</t>
        </is>
      </c>
      <c r="B68" s="1045" t="n">
        <v>0</v>
      </c>
      <c r="C68" s="321" t="n">
        <v>0</v>
      </c>
      <c r="D68" s="321" t="n">
        <v>0</v>
      </c>
      <c r="E68" s="321" t="n">
        <v>0</v>
      </c>
      <c r="F68" s="321" t="n">
        <v>0</v>
      </c>
      <c r="G68" s="321" t="n">
        <v>0</v>
      </c>
      <c r="H68" s="321" t="n">
        <v>0</v>
      </c>
      <c r="I68" s="321" t="n">
        <v>0</v>
      </c>
      <c r="J68" s="321" t="n">
        <v>0</v>
      </c>
    </row>
    <row r="69">
      <c r="A69" s="145" t="inlineStr">
        <is>
          <t>huile de sesame grille</t>
        </is>
      </c>
      <c r="B69" s="1046" t="n">
        <v>0</v>
      </c>
      <c r="C69" s="270" t="n">
        <v>0</v>
      </c>
      <c r="D69" s="270" t="n">
        <v>0</v>
      </c>
      <c r="E69" s="270" t="n">
        <v>0</v>
      </c>
      <c r="F69" s="270" t="n">
        <v>0</v>
      </c>
      <c r="G69" s="270" t="n">
        <v>0</v>
      </c>
      <c r="H69" s="270" t="n">
        <v>0</v>
      </c>
      <c r="I69" s="270" t="n">
        <v>0</v>
      </c>
      <c r="J69" s="270" t="n">
        <v>0</v>
      </c>
    </row>
    <row r="70">
      <c r="A70" s="322" t="inlineStr">
        <is>
          <t>huile de tournesol</t>
        </is>
      </c>
      <c r="B70" s="1047" t="n">
        <v>0</v>
      </c>
      <c r="C70" s="323" t="n">
        <v>0</v>
      </c>
      <c r="D70" s="323" t="n">
        <v>0</v>
      </c>
      <c r="E70" s="323" t="n">
        <v>0</v>
      </c>
      <c r="F70" s="323" t="n">
        <v>0</v>
      </c>
      <c r="G70" s="323" t="n">
        <v>0</v>
      </c>
      <c r="H70" s="323" t="n">
        <v>0</v>
      </c>
      <c r="I70" s="323" t="n">
        <v>0</v>
      </c>
      <c r="J70" s="323" t="n">
        <v>0</v>
      </c>
    </row>
    <row r="71">
      <c r="A71" s="146" t="inlineStr">
        <is>
          <t>jaggery</t>
        </is>
      </c>
      <c r="B71" s="1048" t="n">
        <v>0</v>
      </c>
      <c r="C71" s="271" t="n">
        <v>0</v>
      </c>
      <c r="D71" s="271" t="n">
        <v>0</v>
      </c>
      <c r="E71" s="271" t="n">
        <v>0</v>
      </c>
      <c r="F71" s="271" t="n">
        <v>0</v>
      </c>
      <c r="G71" s="271" t="n">
        <v>0</v>
      </c>
      <c r="H71" s="271" t="n">
        <v>0</v>
      </c>
      <c r="I71" s="271" t="n">
        <v>0</v>
      </c>
      <c r="J71" s="271" t="n">
        <v>0</v>
      </c>
    </row>
    <row r="72">
      <c r="A72" s="147" t="inlineStr">
        <is>
          <t>kala namak</t>
        </is>
      </c>
      <c r="B72" s="1049" t="n">
        <v>0</v>
      </c>
      <c r="C72" s="272" t="n">
        <v>0</v>
      </c>
      <c r="D72" s="272" t="n">
        <v>0</v>
      </c>
      <c r="E72" s="272" t="n">
        <v>0</v>
      </c>
      <c r="F72" s="272" t="n">
        <v>0</v>
      </c>
      <c r="G72" s="272" t="n">
        <v>0</v>
      </c>
      <c r="H72" s="272" t="n">
        <v>0</v>
      </c>
      <c r="I72" s="272" t="n">
        <v>0</v>
      </c>
      <c r="J72" s="272" t="n">
        <v>0</v>
      </c>
    </row>
    <row r="73">
      <c r="A73" s="148" t="inlineStr">
        <is>
          <t>lavande</t>
        </is>
      </c>
      <c r="B73" s="1050" t="n">
        <v>0</v>
      </c>
      <c r="C73" s="273" t="n">
        <v>0</v>
      </c>
      <c r="D73" s="273" t="n">
        <v>0</v>
      </c>
      <c r="E73" s="273" t="n">
        <v>0</v>
      </c>
      <c r="F73" s="273" t="n">
        <v>0</v>
      </c>
      <c r="G73" s="273" t="n">
        <v>0</v>
      </c>
      <c r="H73" s="273" t="n">
        <v>0</v>
      </c>
      <c r="I73" s="273" t="n">
        <v>0</v>
      </c>
      <c r="J73" s="273" t="n">
        <v>0</v>
      </c>
    </row>
    <row r="74">
      <c r="A74" s="149" t="inlineStr">
        <is>
          <t>macie</t>
        </is>
      </c>
      <c r="B74" s="1051" t="n">
        <v>0</v>
      </c>
      <c r="C74" s="274" t="n">
        <v>0</v>
      </c>
      <c r="D74" s="274" t="n">
        <v>0</v>
      </c>
      <c r="E74" s="274" t="n">
        <v>0</v>
      </c>
      <c r="F74" s="274" t="n">
        <v>0</v>
      </c>
      <c r="G74" s="274" t="n">
        <v>0</v>
      </c>
      <c r="H74" s="274" t="n">
        <v>0</v>
      </c>
      <c r="I74" s="274" t="n">
        <v>0</v>
      </c>
      <c r="J74" s="274" t="n">
        <v>0</v>
      </c>
    </row>
    <row r="75">
      <c r="A75" s="178" t="inlineStr">
        <is>
          <t>marjolaine</t>
        </is>
      </c>
      <c r="B75" s="1052" t="n">
        <v>0</v>
      </c>
      <c r="C75" s="275" t="n">
        <v>0</v>
      </c>
      <c r="D75" s="275" t="n">
        <v>0</v>
      </c>
      <c r="E75" s="275" t="n">
        <v>0</v>
      </c>
      <c r="F75" s="275" t="n">
        <v>0</v>
      </c>
      <c r="G75" s="275" t="n">
        <v>0</v>
      </c>
      <c r="H75" s="275" t="n">
        <v>0</v>
      </c>
      <c r="I75" s="275" t="n">
        <v>0</v>
      </c>
      <c r="J75" s="275" t="n">
        <v>0</v>
      </c>
    </row>
    <row r="76">
      <c r="A76" s="150" t="inlineStr">
        <is>
          <t>menthe verte</t>
        </is>
      </c>
      <c r="B76" s="1053" t="n">
        <v>0</v>
      </c>
      <c r="C76" s="276" t="n">
        <v>0</v>
      </c>
      <c r="D76" s="276" t="n">
        <v>0</v>
      </c>
      <c r="E76" s="276" t="n">
        <v>0</v>
      </c>
      <c r="F76" s="276" t="n">
        <v>0</v>
      </c>
      <c r="G76" s="276" t="n">
        <v>0</v>
      </c>
      <c r="H76" s="276" t="n">
        <v>0</v>
      </c>
      <c r="I76" s="276" t="n">
        <v>0</v>
      </c>
      <c r="J76" s="276" t="n">
        <v>0</v>
      </c>
    </row>
    <row r="77">
      <c r="A77" s="324" t="inlineStr">
        <is>
          <t>miel</t>
        </is>
      </c>
      <c r="B77" s="1054" t="n">
        <v>0</v>
      </c>
      <c r="C77" s="325" t="n">
        <v>0</v>
      </c>
      <c r="D77" s="325" t="n">
        <v>0</v>
      </c>
      <c r="E77" s="325" t="n">
        <v>0</v>
      </c>
      <c r="F77" s="325" t="n">
        <v>0</v>
      </c>
      <c r="G77" s="325" t="n">
        <v>0</v>
      </c>
      <c r="H77" s="325" t="n">
        <v>0</v>
      </c>
      <c r="I77" s="325" t="n">
        <v>0</v>
      </c>
      <c r="J77" s="325" t="n">
        <v>0</v>
      </c>
    </row>
    <row r="78">
      <c r="A78" s="151" t="inlineStr">
        <is>
          <t>muscade</t>
        </is>
      </c>
      <c r="B78" s="1055" t="n">
        <v>0</v>
      </c>
      <c r="C78" s="277" t="n">
        <v>0</v>
      </c>
      <c r="D78" s="277" t="n">
        <v>0</v>
      </c>
      <c r="E78" s="277" t="n">
        <v>0</v>
      </c>
      <c r="F78" s="277" t="n">
        <v>0</v>
      </c>
      <c r="G78" s="277" t="n">
        <v>0</v>
      </c>
      <c r="H78" s="277" t="n">
        <v>0</v>
      </c>
      <c r="I78" s="277" t="n">
        <v>0</v>
      </c>
      <c r="J78" s="277" t="n">
        <v>0</v>
      </c>
    </row>
    <row r="79">
      <c r="A79" s="152" t="inlineStr">
        <is>
          <t>noisette</t>
        </is>
      </c>
      <c r="B79" s="1056" t="n">
        <v>0</v>
      </c>
      <c r="C79" s="278" t="n">
        <v>0</v>
      </c>
      <c r="D79" s="278" t="n">
        <v>0</v>
      </c>
      <c r="E79" s="278" t="n">
        <v>0</v>
      </c>
      <c r="F79" s="278" t="n">
        <v>0</v>
      </c>
      <c r="G79" s="278" t="n">
        <v>0</v>
      </c>
      <c r="H79" s="278" t="n">
        <v>0</v>
      </c>
      <c r="I79" s="278" t="n">
        <v>0</v>
      </c>
      <c r="J79" s="278" t="n">
        <v>0</v>
      </c>
    </row>
    <row r="80">
      <c r="A80" s="326" t="inlineStr">
        <is>
          <t>nuoc-mâm</t>
        </is>
      </c>
      <c r="B80" s="1057" t="n">
        <v>0</v>
      </c>
      <c r="C80" s="327" t="n">
        <v>0</v>
      </c>
      <c r="D80" s="327" t="n">
        <v>0</v>
      </c>
      <c r="E80" s="327" t="n">
        <v>0</v>
      </c>
      <c r="F80" s="327" t="n">
        <v>0</v>
      </c>
      <c r="G80" s="327" t="n">
        <v>0</v>
      </c>
      <c r="H80" s="327" t="n">
        <v>0</v>
      </c>
      <c r="I80" s="327" t="n">
        <v>0</v>
      </c>
      <c r="J80" s="327" t="n">
        <v>0</v>
      </c>
    </row>
    <row r="81">
      <c r="A81" s="155" t="inlineStr">
        <is>
          <t>persil</t>
        </is>
      </c>
      <c r="B81" s="1058" t="n">
        <v>0</v>
      </c>
      <c r="C81" s="281" t="n">
        <v>0</v>
      </c>
      <c r="D81" s="281" t="n">
        <v>0</v>
      </c>
      <c r="E81" s="281" t="n">
        <v>0</v>
      </c>
      <c r="F81" s="281" t="n">
        <v>0</v>
      </c>
      <c r="G81" s="281" t="n">
        <v>0</v>
      </c>
      <c r="H81" s="281" t="n">
        <v>0</v>
      </c>
      <c r="I81" s="281" t="n">
        <v>0</v>
      </c>
      <c r="J81" s="281" t="n">
        <v>0</v>
      </c>
    </row>
    <row r="82">
      <c r="A82" s="156" t="inlineStr">
        <is>
          <t>petale de rose</t>
        </is>
      </c>
      <c r="B82" s="1059" t="n">
        <v>0</v>
      </c>
      <c r="C82" s="282" t="n">
        <v>0</v>
      </c>
      <c r="D82" s="282" t="n">
        <v>0</v>
      </c>
      <c r="E82" s="282" t="n">
        <v>0</v>
      </c>
      <c r="F82" s="282" t="n">
        <v>0</v>
      </c>
      <c r="G82" s="282" t="n">
        <v>0</v>
      </c>
      <c r="H82" s="282" t="n">
        <v>0</v>
      </c>
      <c r="I82" s="282" t="n">
        <v>0</v>
      </c>
      <c r="J82" s="282" t="n">
        <v>0</v>
      </c>
    </row>
    <row r="83">
      <c r="A83" s="328" t="inlineStr">
        <is>
          <t>piment ancho</t>
        </is>
      </c>
      <c r="B83" s="1060" t="n">
        <v>0</v>
      </c>
      <c r="C83" s="329" t="n">
        <v>0</v>
      </c>
      <c r="D83" s="329" t="n">
        <v>0</v>
      </c>
      <c r="E83" s="329" t="n">
        <v>0</v>
      </c>
      <c r="F83" s="329" t="n">
        <v>0</v>
      </c>
      <c r="G83" s="329" t="n">
        <v>0</v>
      </c>
      <c r="H83" s="329" t="n">
        <v>0</v>
      </c>
      <c r="I83" s="329" t="n">
        <v>0</v>
      </c>
      <c r="J83" s="329" t="n">
        <v>0</v>
      </c>
    </row>
    <row r="84">
      <c r="A84" s="158" t="inlineStr">
        <is>
          <t>piment de cayenne rouge</t>
        </is>
      </c>
      <c r="B84" s="1061" t="n">
        <v>0</v>
      </c>
      <c r="C84" s="284" t="n">
        <v>0</v>
      </c>
      <c r="D84" s="284" t="n">
        <v>0</v>
      </c>
      <c r="E84" s="284" t="n">
        <v>0</v>
      </c>
      <c r="F84" s="284" t="n">
        <v>0</v>
      </c>
      <c r="G84" s="284" t="n">
        <v>0</v>
      </c>
      <c r="H84" s="284" t="n">
        <v>0</v>
      </c>
      <c r="I84" s="284" t="n">
        <v>0</v>
      </c>
      <c r="J84" s="284" t="n">
        <v>0</v>
      </c>
    </row>
    <row r="85">
      <c r="A85" s="162" t="inlineStr">
        <is>
          <t>piments kashmiri</t>
        </is>
      </c>
      <c r="B85" s="1062" t="n">
        <v>0</v>
      </c>
      <c r="C85" s="289" t="n">
        <v>0</v>
      </c>
      <c r="D85" s="289" t="n">
        <v>0</v>
      </c>
      <c r="E85" s="289" t="n">
        <v>0</v>
      </c>
      <c r="F85" s="289" t="n">
        <v>0</v>
      </c>
      <c r="G85" s="289" t="n">
        <v>0</v>
      </c>
      <c r="H85" s="289" t="n">
        <v>0</v>
      </c>
      <c r="I85" s="289" t="n">
        <v>0</v>
      </c>
      <c r="J85" s="289" t="n">
        <v>0</v>
      </c>
    </row>
    <row r="86">
      <c r="A86" s="164" t="inlineStr">
        <is>
          <t>piments verts</t>
        </is>
      </c>
      <c r="B86" s="1063" t="n">
        <v>0</v>
      </c>
      <c r="C86" s="291" t="n">
        <v>0</v>
      </c>
      <c r="D86" s="291" t="n">
        <v>0</v>
      </c>
      <c r="E86" s="291" t="n">
        <v>0</v>
      </c>
      <c r="F86" s="291" t="n">
        <v>0</v>
      </c>
      <c r="G86" s="291" t="n">
        <v>0</v>
      </c>
      <c r="H86" s="291" t="n">
        <v>0</v>
      </c>
      <c r="I86" s="291" t="n">
        <v>0</v>
      </c>
      <c r="J86" s="291" t="n">
        <v>0</v>
      </c>
    </row>
    <row r="87">
      <c r="A87" s="332" t="inlineStr">
        <is>
          <t>poivre blanc</t>
        </is>
      </c>
      <c r="B87" s="1064" t="n">
        <v>0</v>
      </c>
      <c r="C87" s="333" t="n">
        <v>0</v>
      </c>
      <c r="D87" s="333" t="n">
        <v>0</v>
      </c>
      <c r="E87" s="333" t="n">
        <v>0</v>
      </c>
      <c r="F87" s="333" t="n">
        <v>0</v>
      </c>
      <c r="G87" s="333" t="n">
        <v>0</v>
      </c>
      <c r="H87" s="333" t="n">
        <v>0</v>
      </c>
      <c r="I87" s="333" t="n">
        <v>0</v>
      </c>
      <c r="J87" s="333" t="n">
        <v>0</v>
      </c>
    </row>
    <row r="88">
      <c r="A88" s="334" t="inlineStr">
        <is>
          <t>poivre de jamaïque</t>
        </is>
      </c>
      <c r="B88" s="1065" t="n">
        <v>0</v>
      </c>
      <c r="C88" s="335" t="n">
        <v>0</v>
      </c>
      <c r="D88" s="335" t="n">
        <v>0</v>
      </c>
      <c r="E88" s="335" t="n">
        <v>0</v>
      </c>
      <c r="F88" s="335" t="n">
        <v>0</v>
      </c>
      <c r="G88" s="335" t="n">
        <v>0</v>
      </c>
      <c r="H88" s="335" t="n">
        <v>0</v>
      </c>
      <c r="I88" s="335" t="n">
        <v>0</v>
      </c>
      <c r="J88" s="335" t="n">
        <v>0</v>
      </c>
    </row>
    <row r="89">
      <c r="A89" s="336" t="inlineStr">
        <is>
          <t>quatre epices</t>
        </is>
      </c>
      <c r="B89" s="1066" t="n">
        <v>0</v>
      </c>
      <c r="C89" s="337" t="n">
        <v>0</v>
      </c>
      <c r="D89" s="337" t="n">
        <v>0</v>
      </c>
      <c r="E89" s="337" t="n">
        <v>0</v>
      </c>
      <c r="F89" s="337" t="n">
        <v>0</v>
      </c>
      <c r="G89" s="337" t="n">
        <v>0</v>
      </c>
      <c r="H89" s="337" t="n">
        <v>0</v>
      </c>
      <c r="I89" s="337" t="n">
        <v>0</v>
      </c>
      <c r="J89" s="337" t="n">
        <v>0</v>
      </c>
    </row>
    <row r="90">
      <c r="A90" s="169" t="inlineStr">
        <is>
          <t>romarin</t>
        </is>
      </c>
      <c r="B90" s="1067" t="n">
        <v>0</v>
      </c>
      <c r="C90" s="296" t="n">
        <v>0</v>
      </c>
      <c r="D90" s="296" t="n">
        <v>0</v>
      </c>
      <c r="E90" s="296" t="n">
        <v>0</v>
      </c>
      <c r="F90" s="296" t="n">
        <v>0</v>
      </c>
      <c r="G90" s="296" t="n">
        <v>0</v>
      </c>
      <c r="H90" s="296" t="n">
        <v>0</v>
      </c>
      <c r="I90" s="296" t="n">
        <v>0</v>
      </c>
      <c r="J90" s="296" t="n">
        <v>0</v>
      </c>
    </row>
    <row r="91">
      <c r="A91" s="338" t="inlineStr">
        <is>
          <t>safran</t>
        </is>
      </c>
      <c r="B91" s="1068" t="n">
        <v>0</v>
      </c>
      <c r="C91" s="339" t="n">
        <v>0</v>
      </c>
      <c r="D91" s="339" t="n">
        <v>0</v>
      </c>
      <c r="E91" s="339" t="n">
        <v>0</v>
      </c>
      <c r="F91" s="339" t="n">
        <v>0</v>
      </c>
      <c r="G91" s="339" t="n">
        <v>0</v>
      </c>
      <c r="H91" s="339" t="n">
        <v>0</v>
      </c>
      <c r="I91" s="339" t="n">
        <v>0</v>
      </c>
      <c r="J91" s="339" t="n">
        <v>0</v>
      </c>
    </row>
    <row r="92">
      <c r="A92" s="170" t="inlineStr">
        <is>
          <t>sarriette</t>
        </is>
      </c>
      <c r="B92" s="1069" t="n">
        <v>0</v>
      </c>
      <c r="C92" s="297" t="n">
        <v>0</v>
      </c>
      <c r="D92" s="297" t="n">
        <v>0</v>
      </c>
      <c r="E92" s="297" t="n">
        <v>0</v>
      </c>
      <c r="F92" s="297" t="n">
        <v>0</v>
      </c>
      <c r="G92" s="297" t="n">
        <v>0</v>
      </c>
      <c r="H92" s="297" t="n">
        <v>0</v>
      </c>
      <c r="I92" s="297" t="n">
        <v>0</v>
      </c>
      <c r="J92" s="297" t="n">
        <v>0</v>
      </c>
    </row>
    <row r="93">
      <c r="A93" s="171" t="inlineStr">
        <is>
          <t>sauce soja</t>
        </is>
      </c>
      <c r="B93" s="1070" t="n">
        <v>0</v>
      </c>
      <c r="C93" s="298" t="n">
        <v>0</v>
      </c>
      <c r="D93" s="298" t="n">
        <v>0</v>
      </c>
      <c r="E93" s="298" t="n">
        <v>0</v>
      </c>
      <c r="F93" s="298" t="n">
        <v>0</v>
      </c>
      <c r="G93" s="298" t="n">
        <v>0</v>
      </c>
      <c r="H93" s="298" t="n">
        <v>0</v>
      </c>
      <c r="I93" s="298" t="n">
        <v>0</v>
      </c>
      <c r="J93" s="298" t="n">
        <v>0</v>
      </c>
    </row>
    <row r="94">
      <c r="A94" s="172" t="inlineStr">
        <is>
          <t>sauge</t>
        </is>
      </c>
      <c r="B94" s="1071" t="n">
        <v>0</v>
      </c>
      <c r="C94" s="299" t="n">
        <v>0</v>
      </c>
      <c r="D94" s="299" t="n">
        <v>0</v>
      </c>
      <c r="E94" s="299" t="n">
        <v>0</v>
      </c>
      <c r="F94" s="299" t="n">
        <v>0</v>
      </c>
      <c r="G94" s="299" t="n">
        <v>0</v>
      </c>
      <c r="H94" s="299" t="n">
        <v>0</v>
      </c>
      <c r="I94" s="299" t="n">
        <v>0</v>
      </c>
      <c r="J94" s="299" t="n">
        <v>0</v>
      </c>
    </row>
    <row r="95">
      <c r="A95" s="342" t="inlineStr">
        <is>
          <t>sucre de palme</t>
        </is>
      </c>
      <c r="B95" s="1072" t="n">
        <v>0</v>
      </c>
      <c r="C95" s="343" t="n">
        <v>0</v>
      </c>
      <c r="D95" s="343" t="n">
        <v>0</v>
      </c>
      <c r="E95" s="343" t="n">
        <v>0</v>
      </c>
      <c r="F95" s="343" t="n">
        <v>0</v>
      </c>
      <c r="G95" s="343" t="n">
        <v>0</v>
      </c>
      <c r="H95" s="343" t="n">
        <v>0</v>
      </c>
      <c r="I95" s="343" t="n">
        <v>0</v>
      </c>
      <c r="J95" s="343" t="n">
        <v>0</v>
      </c>
    </row>
    <row r="96">
      <c r="A96" s="348" t="inlineStr">
        <is>
          <t>zeste d’orange seche</t>
        </is>
      </c>
      <c r="B96" s="1073" t="n">
        <v>0</v>
      </c>
      <c r="C96" s="349" t="n">
        <v>0</v>
      </c>
      <c r="D96" s="349" t="n">
        <v>0</v>
      </c>
      <c r="E96" s="349" t="n">
        <v>0</v>
      </c>
      <c r="F96" s="349" t="n">
        <v>0</v>
      </c>
      <c r="G96" s="349" t="n">
        <v>0</v>
      </c>
      <c r="H96" s="349" t="n">
        <v>0</v>
      </c>
      <c r="I96" s="349" t="n">
        <v>0</v>
      </c>
      <c r="J96" s="349" t="n">
        <v>0</v>
      </c>
    </row>
    <row r="97">
      <c r="A97" s="469" t="inlineStr">
        <is>
          <t>monarde</t>
        </is>
      </c>
      <c r="B97" s="1074" t="n">
        <v>0</v>
      </c>
      <c r="C97" s="471" t="n">
        <v>0</v>
      </c>
      <c r="D97" s="471" t="n">
        <v>0</v>
      </c>
      <c r="E97" s="471" t="n">
        <v>0</v>
      </c>
      <c r="F97" s="471" t="n">
        <v>0</v>
      </c>
      <c r="G97" s="471" t="n">
        <v>0</v>
      </c>
      <c r="H97" s="471" t="n">
        <v>0</v>
      </c>
      <c r="I97" s="471" t="n">
        <v>0</v>
      </c>
      <c r="J97" s="471" t="n">
        <v>0</v>
      </c>
    </row>
    <row r="98">
      <c r="A98" s="472" t="inlineStr">
        <is>
          <t>mauve</t>
        </is>
      </c>
      <c r="B98" s="1075" t="n">
        <v>0</v>
      </c>
      <c r="C98" s="474" t="n">
        <v>0</v>
      </c>
      <c r="D98" s="474" t="n">
        <v>0</v>
      </c>
      <c r="E98" s="474" t="n">
        <v>0</v>
      </c>
      <c r="F98" s="474" t="n">
        <v>0</v>
      </c>
      <c r="G98" s="474" t="n">
        <v>0</v>
      </c>
      <c r="H98" s="474" t="n">
        <v>0</v>
      </c>
      <c r="I98" s="474" t="n">
        <v>0</v>
      </c>
      <c r="J98" s="474" t="n">
        <v>0</v>
      </c>
    </row>
    <row r="99">
      <c r="A99" s="475" t="inlineStr">
        <is>
          <t>sureau</t>
        </is>
      </c>
      <c r="B99" s="1076" t="n">
        <v>0</v>
      </c>
      <c r="C99" s="477" t="n">
        <v>0</v>
      </c>
      <c r="D99" s="477" t="n">
        <v>0</v>
      </c>
      <c r="E99" s="477" t="n">
        <v>0</v>
      </c>
      <c r="F99" s="477" t="n">
        <v>0</v>
      </c>
      <c r="G99" s="477" t="n">
        <v>0</v>
      </c>
      <c r="H99" s="477" t="n">
        <v>0</v>
      </c>
      <c r="I99" s="477" t="n">
        <v>0</v>
      </c>
      <c r="J99" s="477" t="n">
        <v>0</v>
      </c>
    </row>
    <row r="100">
      <c r="A100" s="478" t="inlineStr">
        <is>
          <t>camomille romaine</t>
        </is>
      </c>
      <c r="B100" s="1077" t="n">
        <v>0</v>
      </c>
      <c r="C100" s="480" t="n">
        <v>0</v>
      </c>
      <c r="D100" s="480" t="n">
        <v>0</v>
      </c>
      <c r="E100" s="480" t="n">
        <v>0</v>
      </c>
      <c r="F100" s="480" t="n">
        <v>0</v>
      </c>
      <c r="G100" s="480" t="n">
        <v>0</v>
      </c>
      <c r="H100" s="480" t="n">
        <v>0</v>
      </c>
      <c r="I100" s="480" t="n">
        <v>0</v>
      </c>
      <c r="J100" s="480" t="n">
        <v>0</v>
      </c>
    </row>
    <row r="101">
      <c r="A101" s="481" t="inlineStr">
        <is>
          <t>bleuet</t>
        </is>
      </c>
      <c r="B101" s="1078" t="n">
        <v>0</v>
      </c>
      <c r="C101" s="483" t="n">
        <v>0</v>
      </c>
      <c r="D101" s="483" t="n">
        <v>0</v>
      </c>
      <c r="E101" s="483" t="n">
        <v>0</v>
      </c>
      <c r="F101" s="483" t="n">
        <v>0</v>
      </c>
      <c r="G101" s="483" t="n">
        <v>0</v>
      </c>
      <c r="H101" s="483" t="n">
        <v>0</v>
      </c>
      <c r="I101" s="483" t="n">
        <v>0</v>
      </c>
      <c r="J101" s="483" t="n">
        <v>0</v>
      </c>
    </row>
    <row r="102">
      <c r="A102" s="484" t="inlineStr">
        <is>
          <t>pensee</t>
        </is>
      </c>
      <c r="B102" s="1079" t="n">
        <v>0</v>
      </c>
      <c r="C102" s="486" t="n">
        <v>0</v>
      </c>
      <c r="D102" s="486" t="n">
        <v>0</v>
      </c>
      <c r="E102" s="486" t="n">
        <v>0</v>
      </c>
      <c r="F102" s="486" t="n">
        <v>0</v>
      </c>
      <c r="G102" s="486" t="n">
        <v>0</v>
      </c>
      <c r="H102" s="486" t="n">
        <v>0</v>
      </c>
      <c r="I102" s="486" t="n">
        <v>0</v>
      </c>
      <c r="J102" s="486" t="n">
        <v>0</v>
      </c>
    </row>
    <row r="103">
      <c r="A103" s="487" t="inlineStr">
        <is>
          <t>fleure helichrysum</t>
        </is>
      </c>
      <c r="B103" s="1080" t="n">
        <v>0</v>
      </c>
      <c r="C103" s="489" t="n">
        <v>0</v>
      </c>
      <c r="D103" s="489" t="n">
        <v>0</v>
      </c>
      <c r="E103" s="489" t="n">
        <v>0</v>
      </c>
      <c r="F103" s="489" t="n">
        <v>0</v>
      </c>
      <c r="G103" s="489" t="n">
        <v>0</v>
      </c>
      <c r="H103" s="489" t="n">
        <v>0</v>
      </c>
      <c r="I103" s="489" t="n">
        <v>0</v>
      </c>
      <c r="J103" s="489" t="n">
        <v>0</v>
      </c>
    </row>
    <row r="104">
      <c r="A104" s="490" t="inlineStr">
        <is>
          <t>hemerocalle</t>
        </is>
      </c>
      <c r="B104" s="1081" t="n">
        <v>0</v>
      </c>
      <c r="C104" s="492" t="n">
        <v>0</v>
      </c>
      <c r="D104" s="492" t="n">
        <v>0</v>
      </c>
      <c r="E104" s="492" t="n">
        <v>0</v>
      </c>
      <c r="F104" s="492" t="n">
        <v>0</v>
      </c>
      <c r="G104" s="492" t="n">
        <v>0</v>
      </c>
      <c r="H104" s="492" t="n">
        <v>0</v>
      </c>
      <c r="I104" s="492" t="n">
        <v>0</v>
      </c>
      <c r="J104" s="492" t="n">
        <v>0</v>
      </c>
    </row>
    <row r="105">
      <c r="A105" s="493" t="inlineStr">
        <is>
          <t>souci</t>
        </is>
      </c>
      <c r="B105" s="1082" t="n">
        <v>0</v>
      </c>
      <c r="C105" s="495" t="n">
        <v>0</v>
      </c>
      <c r="D105" s="495" t="n">
        <v>0</v>
      </c>
      <c r="E105" s="495" t="n">
        <v>0</v>
      </c>
      <c r="F105" s="495" t="n">
        <v>0</v>
      </c>
      <c r="G105" s="495" t="n">
        <v>0</v>
      </c>
      <c r="H105" s="495" t="n">
        <v>0</v>
      </c>
      <c r="I105" s="495" t="n">
        <v>0</v>
      </c>
      <c r="J105" s="495" t="n">
        <v>0</v>
      </c>
    </row>
    <row r="106">
      <c r="A106" s="496" t="inlineStr">
        <is>
          <t>rose</t>
        </is>
      </c>
      <c r="B106" s="1083" t="n">
        <v>0</v>
      </c>
      <c r="C106" s="498" t="n">
        <v>0</v>
      </c>
      <c r="D106" s="498" t="n">
        <v>0</v>
      </c>
      <c r="E106" s="498" t="n">
        <v>0</v>
      </c>
      <c r="F106" s="498" t="n">
        <v>0</v>
      </c>
      <c r="G106" s="498" t="n">
        <v>0</v>
      </c>
      <c r="H106" s="498" t="n">
        <v>0</v>
      </c>
      <c r="I106" s="498" t="n">
        <v>0</v>
      </c>
      <c r="J106" s="498" t="n">
        <v>0</v>
      </c>
    </row>
    <row r="107">
      <c r="A107" s="499" t="inlineStr">
        <is>
          <t>pelargonium geranium</t>
        </is>
      </c>
      <c r="B107" s="1084" t="n">
        <v>0</v>
      </c>
      <c r="C107" s="501" t="n">
        <v>0</v>
      </c>
      <c r="D107" s="501" t="n">
        <v>0</v>
      </c>
      <c r="E107" s="501" t="n">
        <v>0</v>
      </c>
      <c r="F107" s="501" t="n">
        <v>0</v>
      </c>
      <c r="G107" s="501" t="n">
        <v>0</v>
      </c>
      <c r="H107" s="501" t="n">
        <v>0</v>
      </c>
      <c r="I107" s="501" t="n">
        <v>0</v>
      </c>
      <c r="J107" s="501" t="n">
        <v>0</v>
      </c>
    </row>
    <row r="108">
      <c r="A108" s="502" t="inlineStr">
        <is>
          <t>oeillet d’inde</t>
        </is>
      </c>
      <c r="B108" s="1085" t="n">
        <v>0</v>
      </c>
      <c r="C108" s="504" t="n">
        <v>0</v>
      </c>
      <c r="D108" s="504" t="n">
        <v>0</v>
      </c>
      <c r="E108" s="504" t="n">
        <v>0</v>
      </c>
      <c r="F108" s="504" t="n">
        <v>0</v>
      </c>
      <c r="G108" s="504" t="n">
        <v>0</v>
      </c>
      <c r="H108" s="504" t="n">
        <v>0</v>
      </c>
      <c r="I108" s="504" t="n">
        <v>0</v>
      </c>
      <c r="J108" s="504" t="n">
        <v>0</v>
      </c>
    </row>
    <row r="109">
      <c r="A109" s="505" t="inlineStr">
        <is>
          <t>hibiscus</t>
        </is>
      </c>
      <c r="B109" s="1086" t="n">
        <v>0</v>
      </c>
      <c r="C109" s="507" t="n">
        <v>0</v>
      </c>
      <c r="D109" s="507" t="n">
        <v>0</v>
      </c>
      <c r="E109" s="507" t="n">
        <v>0</v>
      </c>
      <c r="F109" s="507" t="n">
        <v>0</v>
      </c>
      <c r="G109" s="507" t="n">
        <v>0</v>
      </c>
      <c r="H109" s="507" t="n">
        <v>0</v>
      </c>
      <c r="I109" s="507" t="n">
        <v>0</v>
      </c>
      <c r="J109" s="507" t="n">
        <v>0</v>
      </c>
    </row>
    <row r="110">
      <c r="A110" s="508" t="inlineStr">
        <is>
          <t>agastache</t>
        </is>
      </c>
      <c r="B110" s="1087" t="n">
        <v>0</v>
      </c>
      <c r="C110" s="510" t="n">
        <v>0</v>
      </c>
      <c r="D110" s="510" t="n">
        <v>0</v>
      </c>
      <c r="E110" s="510" t="n">
        <v>0</v>
      </c>
      <c r="F110" s="510" t="n">
        <v>0</v>
      </c>
      <c r="G110" s="510" t="n">
        <v>0</v>
      </c>
      <c r="H110" s="510" t="n">
        <v>0</v>
      </c>
      <c r="I110" s="510" t="n">
        <v>0</v>
      </c>
      <c r="J110" s="510" t="n">
        <v>0</v>
      </c>
    </row>
    <row r="111">
      <c r="A111" s="644" t="inlineStr">
        <is>
          <t>lilas</t>
        </is>
      </c>
      <c r="B111" s="1088" t="n">
        <v>0</v>
      </c>
      <c r="C111" s="646" t="n">
        <v>0</v>
      </c>
      <c r="D111" s="646" t="n">
        <v>0</v>
      </c>
      <c r="E111" s="646" t="n">
        <v>0</v>
      </c>
      <c r="F111" s="646" t="n">
        <v>0</v>
      </c>
      <c r="G111" s="646" t="n">
        <v>0</v>
      </c>
      <c r="H111" s="646" t="n">
        <v>0</v>
      </c>
      <c r="I111" s="646" t="n">
        <v>0</v>
      </c>
      <c r="J111" s="646" t="n">
        <v>0</v>
      </c>
    </row>
    <row r="112">
      <c r="A112" s="138" t="inlineStr">
        <is>
          <t>choux</t>
        </is>
      </c>
      <c r="B112" s="987" t="n">
        <v>0</v>
      </c>
      <c r="C112" s="263" t="n">
        <v>0</v>
      </c>
      <c r="D112" s="263" t="n">
        <v>0</v>
      </c>
      <c r="E112" s="263" t="n">
        <v>0</v>
      </c>
      <c r="F112" s="263" t="n">
        <v>0</v>
      </c>
      <c r="G112" s="263" t="n">
        <v>0</v>
      </c>
      <c r="H112" s="263" t="n">
        <v>0</v>
      </c>
      <c r="I112" s="263" t="n">
        <v>0</v>
      </c>
      <c r="J112" s="263" t="n">
        <v>0</v>
      </c>
    </row>
    <row r="113">
      <c r="A113" s="653" t="n"/>
      <c r="B113" s="653" t="n"/>
      <c r="C113" s="653" t="n"/>
      <c r="D113" s="653" t="n"/>
      <c r="E113" s="653" t="n"/>
      <c r="F113" s="653" t="n"/>
      <c r="G113" s="653" t="n"/>
      <c r="H113" s="653" t="n"/>
      <c r="I113" s="653" t="n"/>
      <c r="J113" s="653" t="n"/>
    </row>
    <row r="114">
      <c r="A114" s="653" t="n"/>
      <c r="B114" s="653" t="n"/>
      <c r="C114" s="653" t="n"/>
      <c r="D114" s="653" t="n"/>
      <c r="E114" s="653" t="n"/>
      <c r="F114" s="653" t="n"/>
      <c r="G114" s="653" t="n"/>
      <c r="H114" s="653" t="n"/>
      <c r="I114" s="653" t="n"/>
      <c r="J114" s="653" t="n"/>
    </row>
    <row r="115">
      <c r="A115" s="653" t="n"/>
      <c r="B115" s="653" t="n"/>
      <c r="C115" s="653" t="n"/>
      <c r="D115" s="653" t="n"/>
      <c r="E115" s="653" t="n"/>
      <c r="F115" s="653" t="n"/>
      <c r="G115" s="653" t="n"/>
      <c r="H115" s="653" t="n"/>
      <c r="I115" s="653" t="n"/>
      <c r="J115" s="653" t="n"/>
    </row>
    <row r="116">
      <c r="A116" s="653" t="n"/>
      <c r="B116" s="653" t="n"/>
      <c r="C116" s="653" t="n"/>
      <c r="D116" s="653" t="n"/>
      <c r="E116" s="653" t="n"/>
      <c r="F116" s="653" t="n"/>
      <c r="G116" s="653" t="n"/>
      <c r="H116" s="653" t="n"/>
      <c r="I116" s="653" t="n"/>
      <c r="J116" s="653" t="n"/>
    </row>
    <row r="117">
      <c r="A117" s="653" t="n"/>
      <c r="B117" s="653" t="n"/>
      <c r="C117" s="653" t="n"/>
      <c r="D117" s="653" t="n"/>
      <c r="E117" s="653" t="n"/>
      <c r="F117" s="653" t="n"/>
      <c r="G117" s="653" t="n"/>
      <c r="H117" s="653" t="n"/>
      <c r="I117" s="653" t="n"/>
      <c r="J117" s="653" t="n"/>
    </row>
    <row r="118">
      <c r="A118" s="653" t="n"/>
      <c r="B118" s="653" t="n"/>
      <c r="C118" s="653" t="n"/>
      <c r="D118" s="653" t="n"/>
      <c r="E118" s="653" t="n"/>
      <c r="F118" s="653" t="n"/>
      <c r="G118" s="653" t="n"/>
      <c r="H118" s="653" t="n"/>
      <c r="I118" s="653" t="n"/>
      <c r="J118" s="653" t="n"/>
    </row>
    <row r="119">
      <c r="A119" s="653" t="n"/>
      <c r="B119" s="653" t="n"/>
      <c r="C119" s="653" t="n"/>
      <c r="D119" s="653" t="n"/>
      <c r="E119" s="653" t="n"/>
      <c r="F119" s="653" t="n"/>
      <c r="G119" s="653" t="n"/>
      <c r="H119" s="653" t="n"/>
      <c r="I119" s="653" t="n"/>
      <c r="J119" s="653" t="n"/>
    </row>
    <row r="120">
      <c r="A120" s="653" t="n"/>
      <c r="B120" s="653" t="n"/>
      <c r="C120" s="653" t="n"/>
      <c r="D120" s="653" t="n"/>
      <c r="E120" s="653" t="n"/>
      <c r="F120" s="653" t="n"/>
      <c r="G120" s="653" t="n"/>
      <c r="H120" s="653" t="n"/>
      <c r="I120" s="653" t="n"/>
      <c r="J120" s="653" t="n"/>
    </row>
    <row r="121">
      <c r="A121" s="653" t="n"/>
      <c r="B121" s="653" t="n"/>
      <c r="C121" s="653" t="n"/>
      <c r="D121" s="653" t="n"/>
      <c r="E121" s="653" t="n"/>
      <c r="F121" s="653" t="n"/>
      <c r="G121" s="653" t="n"/>
      <c r="H121" s="653" t="n"/>
      <c r="I121" s="653" t="n"/>
      <c r="J121" s="653" t="n"/>
    </row>
    <row r="122">
      <c r="A122" s="653" t="n"/>
      <c r="B122" s="653" t="n"/>
      <c r="C122" s="653" t="n"/>
      <c r="D122" s="653" t="n"/>
      <c r="E122" s="653" t="n"/>
      <c r="F122" s="653" t="n"/>
      <c r="G122" s="653" t="n"/>
      <c r="H122" s="653" t="n"/>
      <c r="I122" s="653" t="n"/>
      <c r="J122" s="653" t="n"/>
    </row>
    <row r="123">
      <c r="A123" s="653" t="n"/>
      <c r="B123" s="653" t="n"/>
      <c r="C123" s="653" t="n"/>
      <c r="D123" s="653" t="n"/>
      <c r="E123" s="653" t="n"/>
      <c r="F123" s="653" t="n"/>
      <c r="G123" s="653" t="n"/>
      <c r="H123" s="653" t="n"/>
      <c r="I123" s="653" t="n"/>
      <c r="J123" s="653" t="n"/>
    </row>
    <row r="124">
      <c r="A124" s="653" t="n"/>
      <c r="B124" s="653" t="n"/>
      <c r="C124" s="653" t="n"/>
      <c r="D124" s="653" t="n"/>
      <c r="E124" s="653" t="n"/>
      <c r="F124" s="653" t="n"/>
      <c r="G124" s="653" t="n"/>
      <c r="H124" s="653" t="n"/>
      <c r="I124" s="653" t="n"/>
      <c r="J124" s="653" t="n"/>
    </row>
    <row r="125">
      <c r="A125" s="653" t="n"/>
      <c r="B125" s="653" t="n"/>
      <c r="C125" s="653" t="n"/>
      <c r="D125" s="653" t="n"/>
      <c r="E125" s="653" t="n"/>
      <c r="F125" s="653" t="n"/>
      <c r="G125" s="653" t="n"/>
      <c r="H125" s="653" t="n"/>
      <c r="I125" s="653" t="n"/>
      <c r="J125" s="653" t="n"/>
    </row>
    <row r="126">
      <c r="A126" s="653" t="n"/>
      <c r="B126" s="653" t="n"/>
      <c r="C126" s="653" t="n"/>
      <c r="D126" s="653" t="n"/>
      <c r="E126" s="653" t="n"/>
      <c r="F126" s="653" t="n"/>
      <c r="G126" s="653" t="n"/>
      <c r="H126" s="653" t="n"/>
      <c r="I126" s="653" t="n"/>
      <c r="J126" s="653" t="n"/>
    </row>
    <row r="127">
      <c r="A127" s="653" t="n"/>
      <c r="B127" s="653" t="n"/>
      <c r="C127" s="653" t="n"/>
      <c r="D127" s="653" t="n"/>
      <c r="E127" s="653" t="n"/>
      <c r="F127" s="653" t="n"/>
      <c r="G127" s="653" t="n"/>
      <c r="H127" s="653" t="n"/>
      <c r="I127" s="653" t="n"/>
      <c r="J127" s="653" t="n"/>
    </row>
    <row r="128">
      <c r="A128" s="653" t="n"/>
      <c r="B128" s="653" t="n"/>
      <c r="C128" s="653" t="n"/>
      <c r="D128" s="653" t="n"/>
      <c r="E128" s="653" t="n"/>
      <c r="F128" s="653" t="n"/>
      <c r="G128" s="653" t="n"/>
      <c r="H128" s="653" t="n"/>
      <c r="I128" s="653" t="n"/>
      <c r="J128" s="653" t="n"/>
    </row>
    <row r="129">
      <c r="A129" s="653" t="n"/>
      <c r="B129" s="653" t="n"/>
      <c r="C129" s="653" t="n"/>
      <c r="D129" s="653" t="n"/>
      <c r="E129" s="653" t="n"/>
      <c r="F129" s="653" t="n"/>
      <c r="G129" s="653" t="n"/>
      <c r="H129" s="653" t="n"/>
      <c r="I129" s="653" t="n"/>
      <c r="J129" s="653" t="n"/>
    </row>
    <row r="130">
      <c r="A130" s="653" t="n"/>
      <c r="B130" s="653" t="n"/>
      <c r="C130" s="653" t="n"/>
      <c r="D130" s="653" t="n"/>
      <c r="E130" s="653" t="n"/>
      <c r="F130" s="653" t="n"/>
      <c r="G130" s="653" t="n"/>
      <c r="H130" s="653" t="n"/>
      <c r="I130" s="653" t="n"/>
      <c r="J130" s="653" t="n"/>
    </row>
    <row r="131">
      <c r="A131" s="653" t="n"/>
      <c r="B131" s="653" t="n"/>
      <c r="C131" s="653" t="n"/>
      <c r="D131" s="653" t="n"/>
      <c r="E131" s="653" t="n"/>
      <c r="F131" s="653" t="n"/>
      <c r="G131" s="653" t="n"/>
      <c r="H131" s="653" t="n"/>
      <c r="I131" s="653" t="n"/>
      <c r="J131" s="653" t="n"/>
    </row>
    <row r="132">
      <c r="A132" s="653" t="n"/>
      <c r="B132" s="653" t="n"/>
      <c r="C132" s="653" t="n"/>
      <c r="D132" s="653" t="n"/>
      <c r="E132" s="653" t="n"/>
      <c r="F132" s="653" t="n"/>
      <c r="G132" s="653" t="n"/>
      <c r="H132" s="653" t="n"/>
      <c r="I132" s="653" t="n"/>
      <c r="J132" s="653" t="n"/>
    </row>
    <row r="133">
      <c r="A133" s="653" t="n"/>
      <c r="B133" s="653" t="n"/>
      <c r="C133" s="653" t="n"/>
      <c r="D133" s="653" t="n"/>
      <c r="E133" s="653" t="n"/>
      <c r="F133" s="653" t="n"/>
      <c r="G133" s="653" t="n"/>
      <c r="H133" s="653" t="n"/>
      <c r="I133" s="653" t="n"/>
      <c r="J133" s="653" t="n"/>
    </row>
    <row r="134">
      <c r="A134" s="653" t="n"/>
      <c r="B134" s="653" t="n"/>
      <c r="C134" s="653" t="n"/>
      <c r="D134" s="653" t="n"/>
      <c r="E134" s="653" t="n"/>
      <c r="F134" s="653" t="n"/>
      <c r="G134" s="653" t="n"/>
      <c r="H134" s="653" t="n"/>
      <c r="I134" s="653" t="n"/>
      <c r="J134" s="653" t="n"/>
    </row>
    <row r="135">
      <c r="A135" s="653" t="n"/>
      <c r="B135" s="653" t="n"/>
      <c r="C135" s="653" t="n"/>
      <c r="D135" s="653" t="n"/>
      <c r="E135" s="653" t="n"/>
      <c r="F135" s="653" t="n"/>
      <c r="G135" s="653" t="n"/>
      <c r="H135" s="653" t="n"/>
      <c r="I135" s="653" t="n"/>
      <c r="J135" s="653" t="n"/>
    </row>
    <row r="136">
      <c r="A136" s="653" t="n"/>
      <c r="B136" s="653" t="n"/>
      <c r="C136" s="653" t="n"/>
      <c r="D136" s="653" t="n"/>
      <c r="E136" s="653" t="n"/>
      <c r="F136" s="653" t="n"/>
      <c r="G136" s="653" t="n"/>
      <c r="H136" s="653" t="n"/>
      <c r="I136" s="653" t="n"/>
      <c r="J136" s="653" t="n"/>
    </row>
    <row r="137">
      <c r="A137" s="653" t="n"/>
      <c r="B137" s="653" t="n"/>
      <c r="C137" s="653" t="n"/>
      <c r="D137" s="653" t="n"/>
      <c r="E137" s="653" t="n"/>
      <c r="F137" s="653" t="n"/>
      <c r="G137" s="653" t="n"/>
      <c r="H137" s="653" t="n"/>
      <c r="I137" s="653" t="n"/>
      <c r="J137" s="653" t="n"/>
    </row>
    <row r="138">
      <c r="A138" s="653" t="n"/>
      <c r="B138" s="653" t="n"/>
      <c r="C138" s="653" t="n"/>
      <c r="D138" s="653" t="n"/>
      <c r="E138" s="653" t="n"/>
      <c r="F138" s="653" t="n"/>
      <c r="G138" s="653" t="n"/>
      <c r="H138" s="653" t="n"/>
      <c r="I138" s="653" t="n"/>
      <c r="J138" s="653" t="n"/>
    </row>
    <row r="139">
      <c r="A139" s="653" t="n"/>
      <c r="B139" s="653" t="n"/>
      <c r="C139" s="653" t="n"/>
      <c r="D139" s="653" t="n"/>
      <c r="E139" s="653" t="n"/>
      <c r="F139" s="653" t="n"/>
      <c r="G139" s="653" t="n"/>
      <c r="H139" s="653" t="n"/>
      <c r="I139" s="653" t="n"/>
      <c r="J139" s="653" t="n"/>
    </row>
    <row r="140">
      <c r="A140" s="653" t="n"/>
      <c r="B140" s="653" t="n"/>
      <c r="C140" s="653" t="n"/>
      <c r="D140" s="653" t="n"/>
      <c r="E140" s="653" t="n"/>
      <c r="F140" s="653" t="n"/>
      <c r="G140" s="653" t="n"/>
      <c r="H140" s="653" t="n"/>
      <c r="I140" s="653" t="n"/>
      <c r="J140" s="653" t="n"/>
    </row>
    <row r="141">
      <c r="A141" s="653" t="n"/>
      <c r="B141" s="653" t="n"/>
      <c r="C141" s="653" t="n"/>
      <c r="D141" s="653" t="n"/>
      <c r="E141" s="653" t="n"/>
      <c r="F141" s="653" t="n"/>
      <c r="G141" s="653" t="n"/>
      <c r="H141" s="653" t="n"/>
      <c r="I141" s="653" t="n"/>
      <c r="J141" s="653" t="n"/>
    </row>
    <row r="142">
      <c r="A142" s="653" t="n"/>
      <c r="B142" s="653" t="n"/>
      <c r="C142" s="653" t="n"/>
      <c r="D142" s="653" t="n"/>
      <c r="E142" s="653" t="n"/>
      <c r="F142" s="653" t="n"/>
      <c r="G142" s="653" t="n"/>
      <c r="H142" s="653" t="n"/>
      <c r="I142" s="653" t="n"/>
      <c r="J142" s="653" t="n"/>
    </row>
    <row r="143">
      <c r="A143" s="653" t="n"/>
      <c r="B143" s="653" t="n"/>
      <c r="C143" s="653" t="n"/>
      <c r="D143" s="653" t="n"/>
      <c r="E143" s="653" t="n"/>
      <c r="F143" s="653" t="n"/>
      <c r="G143" s="653" t="n"/>
      <c r="H143" s="653" t="n"/>
      <c r="I143" s="653" t="n"/>
      <c r="J143" s="653" t="n"/>
    </row>
    <row r="144">
      <c r="A144" s="653" t="n"/>
      <c r="B144" s="653" t="n"/>
      <c r="C144" s="653" t="n"/>
      <c r="D144" s="653" t="n"/>
      <c r="E144" s="653" t="n"/>
      <c r="F144" s="653" t="n"/>
      <c r="G144" s="653" t="n"/>
      <c r="H144" s="653" t="n"/>
      <c r="I144" s="653" t="n"/>
      <c r="J144" s="653" t="n"/>
    </row>
    <row r="145">
      <c r="A145" s="653" t="n"/>
      <c r="B145" s="653" t="n"/>
      <c r="C145" s="653" t="n"/>
      <c r="D145" s="653" t="n"/>
      <c r="E145" s="653" t="n"/>
      <c r="F145" s="653" t="n"/>
      <c r="G145" s="653" t="n"/>
      <c r="H145" s="653" t="n"/>
      <c r="I145" s="653" t="n"/>
      <c r="J145" s="653" t="n"/>
    </row>
    <row r="146">
      <c r="A146" s="653" t="n"/>
      <c r="B146" s="653" t="n"/>
      <c r="C146" s="653" t="n"/>
      <c r="D146" s="653" t="n"/>
      <c r="E146" s="653" t="n"/>
      <c r="F146" s="653" t="n"/>
      <c r="G146" s="653" t="n"/>
      <c r="H146" s="653" t="n"/>
      <c r="I146" s="653" t="n"/>
      <c r="J146" s="653" t="n"/>
    </row>
    <row r="147">
      <c r="A147" s="653" t="n"/>
      <c r="B147" s="653" t="n"/>
      <c r="C147" s="653" t="n"/>
      <c r="D147" s="653" t="n"/>
      <c r="E147" s="653" t="n"/>
      <c r="F147" s="653" t="n"/>
      <c r="G147" s="653" t="n"/>
      <c r="H147" s="653" t="n"/>
      <c r="I147" s="653" t="n"/>
      <c r="J147" s="653" t="n"/>
    </row>
    <row r="148">
      <c r="A148" s="653" t="n"/>
      <c r="B148" s="653" t="n"/>
      <c r="C148" s="653" t="n"/>
      <c r="D148" s="653" t="n"/>
      <c r="E148" s="653" t="n"/>
      <c r="F148" s="653" t="n"/>
      <c r="G148" s="653" t="n"/>
      <c r="H148" s="653" t="n"/>
      <c r="I148" s="653" t="n"/>
      <c r="J148" s="653" t="n"/>
    </row>
    <row r="149">
      <c r="A149" s="653" t="n"/>
      <c r="B149" s="653" t="n"/>
      <c r="C149" s="653" t="n"/>
      <c r="D149" s="653" t="n"/>
      <c r="E149" s="653" t="n"/>
      <c r="F149" s="653" t="n"/>
      <c r="G149" s="653" t="n"/>
      <c r="H149" s="653" t="n"/>
      <c r="I149" s="653" t="n"/>
      <c r="J149" s="653" t="n"/>
    </row>
    <row r="150">
      <c r="A150" s="653" t="n"/>
      <c r="B150" s="653" t="n"/>
      <c r="C150" s="653" t="n"/>
      <c r="D150" s="653" t="n"/>
      <c r="E150" s="653" t="n"/>
      <c r="F150" s="653" t="n"/>
      <c r="G150" s="653" t="n"/>
      <c r="H150" s="653" t="n"/>
      <c r="I150" s="653" t="n"/>
      <c r="J150" s="653" t="n"/>
    </row>
    <row r="151">
      <c r="A151" s="653" t="n"/>
      <c r="B151" s="653" t="n"/>
      <c r="C151" s="653" t="n"/>
      <c r="D151" s="653" t="n"/>
      <c r="E151" s="653" t="n"/>
      <c r="F151" s="653" t="n"/>
      <c r="G151" s="653" t="n"/>
      <c r="H151" s="653" t="n"/>
      <c r="I151" s="653" t="n"/>
      <c r="J151" s="653" t="n"/>
    </row>
    <row r="152">
      <c r="A152" s="653" t="n"/>
      <c r="B152" s="653" t="n"/>
      <c r="C152" s="653" t="n"/>
      <c r="D152" s="653" t="n"/>
      <c r="E152" s="653" t="n"/>
      <c r="F152" s="653" t="n"/>
      <c r="G152" s="653" t="n"/>
      <c r="H152" s="653" t="n"/>
      <c r="I152" s="653" t="n"/>
      <c r="J152" s="653" t="n"/>
    </row>
    <row r="153">
      <c r="A153" s="653" t="n"/>
      <c r="B153" s="653" t="n"/>
      <c r="C153" s="653" t="n"/>
      <c r="D153" s="653" t="n"/>
      <c r="E153" s="653" t="n"/>
      <c r="F153" s="653" t="n"/>
      <c r="G153" s="653" t="n"/>
      <c r="H153" s="653" t="n"/>
      <c r="I153" s="653" t="n"/>
      <c r="J153" s="653" t="n"/>
    </row>
    <row r="154">
      <c r="A154" s="653" t="n"/>
      <c r="B154" s="653" t="n"/>
      <c r="C154" s="653" t="n"/>
      <c r="D154" s="653" t="n"/>
      <c r="E154" s="653" t="n"/>
      <c r="F154" s="653" t="n"/>
      <c r="G154" s="653" t="n"/>
      <c r="H154" s="653" t="n"/>
      <c r="I154" s="653" t="n"/>
      <c r="J154" s="653" t="n"/>
    </row>
    <row r="155">
      <c r="A155" s="653" t="n"/>
      <c r="B155" s="653" t="n"/>
      <c r="C155" s="653" t="n"/>
      <c r="D155" s="653" t="n"/>
      <c r="E155" s="653" t="n"/>
      <c r="F155" s="653" t="n"/>
      <c r="G155" s="653" t="n"/>
      <c r="H155" s="653" t="n"/>
      <c r="I155" s="653" t="n"/>
      <c r="J155" s="653" t="n"/>
    </row>
    <row r="156">
      <c r="A156" s="653" t="n"/>
      <c r="B156" s="653" t="n"/>
      <c r="C156" s="653" t="n"/>
      <c r="D156" s="653" t="n"/>
      <c r="E156" s="653" t="n"/>
      <c r="F156" s="653" t="n"/>
      <c r="G156" s="653" t="n"/>
      <c r="H156" s="653" t="n"/>
      <c r="I156" s="653" t="n"/>
      <c r="J156" s="653" t="n"/>
    </row>
    <row r="157">
      <c r="A157" s="653" t="n"/>
      <c r="B157" s="653" t="n"/>
      <c r="C157" s="653" t="n"/>
      <c r="D157" s="653" t="n"/>
      <c r="E157" s="653" t="n"/>
      <c r="F157" s="653" t="n"/>
      <c r="G157" s="653" t="n"/>
      <c r="H157" s="653" t="n"/>
      <c r="I157" s="653" t="n"/>
      <c r="J157" s="653" t="n"/>
    </row>
    <row r="158">
      <c r="A158" s="653" t="n"/>
      <c r="B158" s="653" t="n"/>
      <c r="C158" s="653" t="n"/>
      <c r="D158" s="653" t="n"/>
      <c r="E158" s="653" t="n"/>
      <c r="F158" s="653" t="n"/>
      <c r="G158" s="653" t="n"/>
      <c r="H158" s="653" t="n"/>
      <c r="I158" s="653" t="n"/>
      <c r="J158" s="653" t="n"/>
    </row>
    <row r="159">
      <c r="A159" s="653" t="n"/>
      <c r="B159" s="653" t="n"/>
      <c r="C159" s="653" t="n"/>
      <c r="D159" s="653" t="n"/>
      <c r="E159" s="653" t="n"/>
      <c r="F159" s="653" t="n"/>
      <c r="G159" s="653" t="n"/>
      <c r="H159" s="653" t="n"/>
      <c r="I159" s="653" t="n"/>
      <c r="J159" s="653" t="n"/>
    </row>
    <row r="160">
      <c r="A160" s="653" t="n"/>
      <c r="B160" s="653" t="n"/>
      <c r="C160" s="653" t="n"/>
      <c r="D160" s="653" t="n"/>
      <c r="E160" s="653" t="n"/>
      <c r="F160" s="653" t="n"/>
      <c r="G160" s="653" t="n"/>
      <c r="H160" s="653" t="n"/>
      <c r="I160" s="653" t="n"/>
      <c r="J160" s="653" t="n"/>
    </row>
    <row r="161">
      <c r="A161" s="653" t="n"/>
      <c r="B161" s="653" t="n"/>
      <c r="C161" s="653" t="n"/>
      <c r="D161" s="653" t="n"/>
      <c r="E161" s="653" t="n"/>
      <c r="F161" s="653" t="n"/>
      <c r="G161" s="653" t="n"/>
      <c r="H161" s="653" t="n"/>
      <c r="I161" s="653" t="n"/>
      <c r="J161" s="653" t="n"/>
    </row>
    <row r="162">
      <c r="A162" s="653" t="n"/>
      <c r="B162" s="653" t="n"/>
      <c r="C162" s="653" t="n"/>
      <c r="D162" s="653" t="n"/>
      <c r="E162" s="653" t="n"/>
      <c r="F162" s="653" t="n"/>
      <c r="G162" s="653" t="n"/>
      <c r="H162" s="653" t="n"/>
      <c r="I162" s="653" t="n"/>
      <c r="J162" s="653" t="n"/>
    </row>
    <row r="163">
      <c r="A163" s="653" t="n"/>
      <c r="B163" s="653" t="n"/>
      <c r="C163" s="653" t="n"/>
      <c r="D163" s="653" t="n"/>
      <c r="E163" s="653" t="n"/>
      <c r="F163" s="653" t="n"/>
      <c r="G163" s="653" t="n"/>
      <c r="H163" s="653" t="n"/>
      <c r="I163" s="653" t="n"/>
      <c r="J163" s="653" t="n"/>
    </row>
    <row r="164">
      <c r="A164" s="653" t="n"/>
      <c r="B164" s="653" t="n"/>
      <c r="C164" s="653" t="n"/>
      <c r="D164" s="653" t="n"/>
      <c r="E164" s="653" t="n"/>
      <c r="F164" s="653" t="n"/>
      <c r="G164" s="653" t="n"/>
      <c r="H164" s="653" t="n"/>
      <c r="I164" s="653" t="n"/>
      <c r="J164" s="653" t="n"/>
    </row>
    <row r="165">
      <c r="A165" s="653" t="n"/>
      <c r="B165" s="653" t="n"/>
      <c r="C165" s="653" t="n"/>
      <c r="D165" s="653" t="n"/>
      <c r="E165" s="653" t="n"/>
      <c r="F165" s="653" t="n"/>
      <c r="G165" s="653" t="n"/>
      <c r="H165" s="653" t="n"/>
      <c r="I165" s="653" t="n"/>
      <c r="J165" s="653" t="n"/>
    </row>
    <row r="166">
      <c r="A166" s="653" t="n"/>
      <c r="B166" s="653" t="n"/>
      <c r="C166" s="653" t="n"/>
      <c r="D166" s="653" t="n"/>
      <c r="E166" s="653" t="n"/>
      <c r="F166" s="653" t="n"/>
      <c r="G166" s="653" t="n"/>
      <c r="H166" s="653" t="n"/>
      <c r="I166" s="653" t="n"/>
      <c r="J166" s="653" t="n"/>
    </row>
    <row r="167">
      <c r="A167" s="653" t="n"/>
      <c r="B167" s="653" t="n"/>
      <c r="C167" s="653" t="n"/>
      <c r="D167" s="653" t="n"/>
      <c r="E167" s="653" t="n"/>
      <c r="F167" s="653" t="n"/>
      <c r="G167" s="653" t="n"/>
      <c r="H167" s="653" t="n"/>
      <c r="I167" s="653" t="n"/>
      <c r="J167" s="653" t="n"/>
    </row>
    <row r="168">
      <c r="A168" s="653" t="n"/>
      <c r="B168" s="653" t="n"/>
      <c r="C168" s="653" t="n"/>
      <c r="D168" s="653" t="n"/>
      <c r="E168" s="653" t="n"/>
      <c r="F168" s="653" t="n"/>
      <c r="G168" s="653" t="n"/>
      <c r="H168" s="653" t="n"/>
      <c r="I168" s="653" t="n"/>
      <c r="J168" s="653" t="n"/>
    </row>
    <row r="169">
      <c r="A169" s="653" t="n"/>
      <c r="B169" s="653" t="n"/>
      <c r="C169" s="653" t="n"/>
      <c r="D169" s="653" t="n"/>
      <c r="E169" s="653" t="n"/>
      <c r="F169" s="653" t="n"/>
      <c r="G169" s="653" t="n"/>
      <c r="H169" s="653" t="n"/>
      <c r="I169" s="653" t="n"/>
      <c r="J169" s="653" t="n"/>
    </row>
    <row r="170">
      <c r="A170" s="653" t="n"/>
      <c r="B170" s="653" t="n"/>
      <c r="C170" s="653" t="n"/>
      <c r="D170" s="653" t="n"/>
      <c r="E170" s="653" t="n"/>
      <c r="F170" s="653" t="n"/>
      <c r="G170" s="653" t="n"/>
      <c r="H170" s="653" t="n"/>
      <c r="I170" s="653" t="n"/>
      <c r="J170" s="653" t="n"/>
    </row>
    <row r="171">
      <c r="A171" s="653" t="n"/>
      <c r="B171" s="653" t="n"/>
      <c r="C171" s="653" t="n"/>
      <c r="D171" s="653" t="n"/>
      <c r="E171" s="653" t="n"/>
      <c r="F171" s="653" t="n"/>
      <c r="G171" s="653" t="n"/>
      <c r="H171" s="653" t="n"/>
      <c r="I171" s="653" t="n"/>
      <c r="J171" s="653" t="n"/>
    </row>
    <row r="172">
      <c r="A172" s="653" t="n"/>
      <c r="B172" s="653" t="n"/>
      <c r="C172" s="653" t="n"/>
      <c r="D172" s="653" t="n"/>
      <c r="E172" s="653" t="n"/>
      <c r="F172" s="653" t="n"/>
      <c r="G172" s="653" t="n"/>
      <c r="H172" s="653" t="n"/>
      <c r="I172" s="653" t="n"/>
      <c r="J172" s="653" t="n"/>
    </row>
    <row r="173">
      <c r="A173" s="653" t="n"/>
      <c r="B173" s="653" t="n"/>
      <c r="C173" s="653" t="n"/>
      <c r="D173" s="653" t="n"/>
      <c r="E173" s="653" t="n"/>
      <c r="F173" s="653" t="n"/>
      <c r="G173" s="653" t="n"/>
      <c r="H173" s="653" t="n"/>
      <c r="I173" s="653" t="n"/>
      <c r="J173" s="653" t="n"/>
    </row>
    <row r="174">
      <c r="A174" s="653" t="n"/>
      <c r="B174" s="653" t="n"/>
      <c r="C174" s="653" t="n"/>
      <c r="D174" s="653" t="n"/>
      <c r="E174" s="653" t="n"/>
      <c r="F174" s="653" t="n"/>
      <c r="G174" s="653" t="n"/>
      <c r="H174" s="653" t="n"/>
      <c r="I174" s="653" t="n"/>
      <c r="J174" s="653" t="n"/>
    </row>
    <row r="175">
      <c r="A175" s="653" t="n"/>
      <c r="B175" s="653" t="n"/>
      <c r="C175" s="653" t="n"/>
      <c r="D175" s="653" t="n"/>
      <c r="E175" s="653" t="n"/>
      <c r="F175" s="653" t="n"/>
      <c r="G175" s="653" t="n"/>
      <c r="H175" s="653" t="n"/>
      <c r="I175" s="653" t="n"/>
      <c r="J175" s="653" t="n"/>
    </row>
    <row r="176">
      <c r="A176" s="653" t="n"/>
      <c r="B176" s="653" t="n"/>
      <c r="C176" s="653" t="n"/>
      <c r="D176" s="653" t="n"/>
      <c r="E176" s="653" t="n"/>
      <c r="F176" s="653" t="n"/>
      <c r="G176" s="653" t="n"/>
      <c r="H176" s="653" t="n"/>
      <c r="I176" s="653" t="n"/>
      <c r="J176" s="653" t="n"/>
    </row>
    <row r="177">
      <c r="A177" s="653" t="n"/>
      <c r="B177" s="653" t="n"/>
      <c r="C177" s="653" t="n"/>
      <c r="D177" s="653" t="n"/>
      <c r="E177" s="653" t="n"/>
      <c r="F177" s="653" t="n"/>
      <c r="G177" s="653" t="n"/>
      <c r="H177" s="653" t="n"/>
      <c r="I177" s="653" t="n"/>
      <c r="J177" s="653" t="n"/>
    </row>
    <row r="178">
      <c r="A178" s="653" t="n"/>
      <c r="B178" s="653" t="n"/>
      <c r="C178" s="653" t="n"/>
      <c r="D178" s="653" t="n"/>
      <c r="E178" s="653" t="n"/>
      <c r="F178" s="653" t="n"/>
      <c r="G178" s="653" t="n"/>
      <c r="H178" s="653" t="n"/>
      <c r="I178" s="653" t="n"/>
      <c r="J178" s="653" t="n"/>
    </row>
    <row r="179">
      <c r="A179" s="653" t="n"/>
      <c r="B179" s="653" t="n"/>
      <c r="C179" s="653" t="n"/>
      <c r="D179" s="653" t="n"/>
      <c r="E179" s="653" t="n"/>
      <c r="F179" s="653" t="n"/>
      <c r="G179" s="653" t="n"/>
      <c r="H179" s="653" t="n"/>
      <c r="I179" s="653" t="n"/>
      <c r="J179" s="653" t="n"/>
    </row>
    <row r="180">
      <c r="A180" s="653" t="n"/>
      <c r="B180" s="653" t="n"/>
      <c r="C180" s="653" t="n"/>
      <c r="D180" s="653" t="n"/>
      <c r="E180" s="653" t="n"/>
      <c r="F180" s="653" t="n"/>
      <c r="G180" s="653" t="n"/>
      <c r="H180" s="653" t="n"/>
      <c r="I180" s="653" t="n"/>
      <c r="J180" s="653" t="n"/>
    </row>
    <row r="181">
      <c r="A181" s="653" t="n"/>
      <c r="B181" s="653" t="n"/>
      <c r="C181" s="653" t="n"/>
      <c r="D181" s="653" t="n"/>
      <c r="E181" s="653" t="n"/>
      <c r="F181" s="653" t="n"/>
      <c r="G181" s="653" t="n"/>
      <c r="H181" s="653" t="n"/>
      <c r="I181" s="653" t="n"/>
      <c r="J181" s="653" t="n"/>
    </row>
    <row r="182">
      <c r="A182" s="653" t="n"/>
      <c r="B182" s="653" t="n"/>
      <c r="C182" s="653" t="n"/>
      <c r="D182" s="653" t="n"/>
      <c r="E182" s="653" t="n"/>
      <c r="F182" s="653" t="n"/>
      <c r="G182" s="653" t="n"/>
      <c r="H182" s="653" t="n"/>
      <c r="I182" s="653" t="n"/>
      <c r="J182" s="653" t="n"/>
    </row>
    <row r="183">
      <c r="A183" s="653" t="n"/>
      <c r="B183" s="653" t="n"/>
      <c r="C183" s="653" t="n"/>
      <c r="D183" s="653" t="n"/>
      <c r="E183" s="653" t="n"/>
      <c r="F183" s="653" t="n"/>
      <c r="G183" s="653" t="n"/>
      <c r="H183" s="653" t="n"/>
      <c r="I183" s="653" t="n"/>
      <c r="J183" s="653" t="n"/>
    </row>
    <row r="184">
      <c r="A184" s="653" t="n"/>
      <c r="B184" s="653" t="n"/>
      <c r="C184" s="653" t="n"/>
      <c r="D184" s="653" t="n"/>
      <c r="E184" s="653" t="n"/>
      <c r="F184" s="653" t="n"/>
      <c r="G184" s="653" t="n"/>
      <c r="H184" s="653" t="n"/>
      <c r="I184" s="653" t="n"/>
      <c r="J184" s="653" t="n"/>
    </row>
    <row r="185">
      <c r="A185" s="653" t="n"/>
      <c r="B185" s="653" t="n"/>
      <c r="C185" s="653" t="n"/>
      <c r="D185" s="653" t="n"/>
      <c r="E185" s="653" t="n"/>
      <c r="F185" s="653" t="n"/>
      <c r="G185" s="653" t="n"/>
      <c r="H185" s="653" t="n"/>
      <c r="I185" s="653" t="n"/>
      <c r="J185" s="653" t="n"/>
    </row>
    <row r="186">
      <c r="A186" s="653" t="n"/>
      <c r="B186" s="653" t="n"/>
      <c r="C186" s="653" t="n"/>
      <c r="D186" s="653" t="n"/>
      <c r="E186" s="653" t="n"/>
      <c r="F186" s="653" t="n"/>
      <c r="G186" s="653" t="n"/>
      <c r="H186" s="653" t="n"/>
      <c r="I186" s="653" t="n"/>
      <c r="J186" s="653" t="n"/>
    </row>
    <row r="187">
      <c r="A187" s="653" t="n"/>
      <c r="B187" s="653" t="n"/>
      <c r="C187" s="653" t="n"/>
      <c r="D187" s="653" t="n"/>
      <c r="E187" s="653" t="n"/>
      <c r="F187" s="653" t="n"/>
      <c r="G187" s="653" t="n"/>
      <c r="H187" s="653" t="n"/>
      <c r="I187" s="653" t="n"/>
      <c r="J187" s="653" t="n"/>
    </row>
    <row r="188">
      <c r="A188" s="653" t="n"/>
      <c r="B188" s="653" t="n"/>
      <c r="C188" s="653" t="n"/>
      <c r="D188" s="653" t="n"/>
      <c r="E188" s="653" t="n"/>
      <c r="F188" s="653" t="n"/>
      <c r="G188" s="653" t="n"/>
      <c r="H188" s="653" t="n"/>
      <c r="I188" s="653" t="n"/>
      <c r="J188" s="653" t="n"/>
    </row>
    <row r="189">
      <c r="A189" s="653" t="n"/>
      <c r="B189" s="653" t="n"/>
      <c r="C189" s="653" t="n"/>
      <c r="D189" s="653" t="n"/>
      <c r="E189" s="653" t="n"/>
      <c r="F189" s="653" t="n"/>
      <c r="G189" s="653" t="n"/>
      <c r="H189" s="653" t="n"/>
      <c r="I189" s="653" t="n"/>
      <c r="J189" s="653" t="n"/>
    </row>
    <row r="190">
      <c r="A190" s="653" t="n"/>
      <c r="B190" s="653" t="n"/>
      <c r="C190" s="653" t="n"/>
      <c r="D190" s="653" t="n"/>
      <c r="E190" s="653" t="n"/>
      <c r="F190" s="653" t="n"/>
      <c r="G190" s="653" t="n"/>
      <c r="H190" s="653" t="n"/>
      <c r="I190" s="653" t="n"/>
      <c r="J190" s="653" t="n"/>
    </row>
    <row r="191">
      <c r="A191" s="653" t="n"/>
      <c r="B191" s="653" t="n"/>
      <c r="C191" s="653" t="n"/>
      <c r="D191" s="653" t="n"/>
      <c r="E191" s="653" t="n"/>
      <c r="F191" s="653" t="n"/>
      <c r="G191" s="653" t="n"/>
      <c r="H191" s="653" t="n"/>
      <c r="I191" s="653" t="n"/>
      <c r="J191" s="653" t="n"/>
    </row>
    <row r="192">
      <c r="A192" s="653" t="n"/>
      <c r="B192" s="653" t="n"/>
      <c r="C192" s="653" t="n"/>
      <c r="D192" s="653" t="n"/>
      <c r="E192" s="653" t="n"/>
      <c r="F192" s="653" t="n"/>
      <c r="G192" s="653" t="n"/>
      <c r="H192" s="653" t="n"/>
      <c r="I192" s="653" t="n"/>
      <c r="J192" s="653" t="n"/>
    </row>
    <row r="193">
      <c r="A193" s="653" t="n"/>
      <c r="B193" s="653" t="n"/>
      <c r="C193" s="653" t="n"/>
      <c r="D193" s="653" t="n"/>
      <c r="E193" s="653" t="n"/>
      <c r="F193" s="653" t="n"/>
      <c r="G193" s="653" t="n"/>
      <c r="H193" s="653" t="n"/>
      <c r="I193" s="653" t="n"/>
      <c r="J193" s="653" t="n"/>
    </row>
    <row r="194">
      <c r="A194" s="653" t="n"/>
      <c r="B194" s="653" t="n"/>
      <c r="C194" s="653" t="n"/>
      <c r="D194" s="653" t="n"/>
      <c r="E194" s="653" t="n"/>
      <c r="F194" s="653" t="n"/>
      <c r="G194" s="653" t="n"/>
      <c r="H194" s="653" t="n"/>
      <c r="I194" s="653" t="n"/>
      <c r="J194" s="653" t="n"/>
    </row>
    <row r="195">
      <c r="A195" s="653" t="n"/>
      <c r="B195" s="653" t="n"/>
      <c r="C195" s="653" t="n"/>
      <c r="D195" s="653" t="n"/>
      <c r="E195" s="653" t="n"/>
      <c r="F195" s="653" t="n"/>
      <c r="G195" s="653" t="n"/>
      <c r="H195" s="653" t="n"/>
      <c r="I195" s="653" t="n"/>
      <c r="J195" s="653" t="n"/>
    </row>
    <row r="196">
      <c r="A196" s="653" t="n"/>
      <c r="B196" s="653" t="n"/>
      <c r="C196" s="653" t="n"/>
      <c r="D196" s="653" t="n"/>
      <c r="E196" s="653" t="n"/>
      <c r="F196" s="653" t="n"/>
      <c r="G196" s="653" t="n"/>
      <c r="H196" s="653" t="n"/>
      <c r="I196" s="653" t="n"/>
      <c r="J196" s="653" t="n"/>
    </row>
    <row r="197">
      <c r="A197" s="653" t="n"/>
      <c r="B197" s="653" t="n"/>
      <c r="C197" s="653" t="n"/>
      <c r="D197" s="653" t="n"/>
      <c r="E197" s="653" t="n"/>
      <c r="F197" s="653" t="n"/>
      <c r="G197" s="653" t="n"/>
      <c r="H197" s="653" t="n"/>
      <c r="I197" s="653" t="n"/>
      <c r="J197" s="653" t="n"/>
    </row>
    <row r="198">
      <c r="A198" s="653" t="n"/>
      <c r="B198" s="653" t="n"/>
      <c r="C198" s="653" t="n"/>
      <c r="D198" s="653" t="n"/>
      <c r="E198" s="653" t="n"/>
      <c r="F198" s="653" t="n"/>
      <c r="G198" s="653" t="n"/>
      <c r="H198" s="653" t="n"/>
      <c r="I198" s="653" t="n"/>
      <c r="J198" s="653" t="n"/>
    </row>
    <row r="199">
      <c r="A199" s="653" t="n"/>
      <c r="B199" s="653" t="n"/>
      <c r="C199" s="653" t="n"/>
      <c r="D199" s="653" t="n"/>
      <c r="E199" s="653" t="n"/>
      <c r="F199" s="653" t="n"/>
      <c r="G199" s="653" t="n"/>
      <c r="H199" s="653" t="n"/>
      <c r="I199" s="653" t="n"/>
      <c r="J199" s="653" t="n"/>
    </row>
    <row r="200">
      <c r="A200" s="653" t="n"/>
      <c r="B200" s="653" t="n"/>
      <c r="C200" s="653" t="n"/>
      <c r="D200" s="653" t="n"/>
      <c r="E200" s="653" t="n"/>
      <c r="F200" s="653" t="n"/>
      <c r="G200" s="653" t="n"/>
      <c r="H200" s="653" t="n"/>
      <c r="I200" s="653" t="n"/>
      <c r="J200" s="653" t="n"/>
    </row>
    <row r="201">
      <c r="A201" s="653" t="n"/>
      <c r="B201" s="653" t="n"/>
      <c r="C201" s="653" t="n"/>
      <c r="D201" s="653" t="n"/>
      <c r="E201" s="653" t="n"/>
      <c r="F201" s="653" t="n"/>
      <c r="G201" s="653" t="n"/>
      <c r="H201" s="653" t="n"/>
      <c r="I201" s="653" t="n"/>
      <c r="J201" s="653" t="n"/>
    </row>
    <row r="202">
      <c r="A202" s="653" t="n"/>
      <c r="B202" s="653" t="n"/>
      <c r="C202" s="653" t="n"/>
      <c r="D202" s="653" t="n"/>
      <c r="E202" s="653" t="n"/>
      <c r="F202" s="653" t="n"/>
      <c r="G202" s="653" t="n"/>
      <c r="H202" s="653" t="n"/>
      <c r="I202" s="653" t="n"/>
      <c r="J202" s="653" t="n"/>
    </row>
    <row r="203">
      <c r="A203" s="653" t="n"/>
      <c r="B203" s="653" t="n"/>
      <c r="C203" s="653" t="n"/>
      <c r="D203" s="653" t="n"/>
      <c r="E203" s="653" t="n"/>
      <c r="F203" s="653" t="n"/>
      <c r="G203" s="653" t="n"/>
      <c r="H203" s="653" t="n"/>
      <c r="I203" s="653" t="n"/>
      <c r="J203" s="653" t="n"/>
    </row>
    <row r="204">
      <c r="A204" s="653" t="n"/>
      <c r="B204" s="653" t="n"/>
      <c r="C204" s="653" t="n"/>
      <c r="D204" s="653" t="n"/>
      <c r="E204" s="653" t="n"/>
      <c r="F204" s="653" t="n"/>
      <c r="G204" s="653" t="n"/>
      <c r="H204" s="653" t="n"/>
      <c r="I204" s="653" t="n"/>
      <c r="J204" s="653" t="n"/>
    </row>
    <row r="205">
      <c r="A205" s="653" t="n"/>
      <c r="B205" s="653" t="n"/>
      <c r="C205" s="653" t="n"/>
      <c r="D205" s="653" t="n"/>
      <c r="E205" s="653" t="n"/>
      <c r="F205" s="653" t="n"/>
      <c r="G205" s="653" t="n"/>
      <c r="H205" s="653" t="n"/>
      <c r="I205" s="653" t="n"/>
      <c r="J205" s="653" t="n"/>
    </row>
    <row r="206">
      <c r="A206" s="653" t="n"/>
      <c r="B206" s="653" t="n"/>
      <c r="C206" s="653" t="n"/>
      <c r="D206" s="653" t="n"/>
      <c r="E206" s="653" t="n"/>
      <c r="F206" s="653" t="n"/>
      <c r="G206" s="653" t="n"/>
      <c r="H206" s="653" t="n"/>
      <c r="I206" s="653" t="n"/>
      <c r="J206" s="653" t="n"/>
    </row>
    <row r="207">
      <c r="A207" s="653" t="n"/>
      <c r="B207" s="653" t="n"/>
      <c r="C207" s="653" t="n"/>
      <c r="D207" s="653" t="n"/>
      <c r="E207" s="653" t="n"/>
      <c r="F207" s="653" t="n"/>
      <c r="G207" s="653" t="n"/>
      <c r="H207" s="653" t="n"/>
      <c r="I207" s="653" t="n"/>
      <c r="J207" s="653" t="n"/>
    </row>
    <row r="208">
      <c r="A208" s="653" t="n"/>
      <c r="B208" s="653" t="n"/>
      <c r="C208" s="653" t="n"/>
      <c r="D208" s="653" t="n"/>
      <c r="E208" s="653" t="n"/>
      <c r="F208" s="653" t="n"/>
      <c r="G208" s="653" t="n"/>
      <c r="H208" s="653" t="n"/>
      <c r="I208" s="653" t="n"/>
      <c r="J208" s="653" t="n"/>
    </row>
    <row r="209">
      <c r="A209" s="653" t="n"/>
      <c r="B209" s="653" t="n"/>
      <c r="C209" s="653" t="n"/>
      <c r="D209" s="653" t="n"/>
      <c r="E209" s="653" t="n"/>
      <c r="F209" s="653" t="n"/>
      <c r="G209" s="653" t="n"/>
      <c r="H209" s="653" t="n"/>
      <c r="I209" s="653" t="n"/>
      <c r="J209" s="653" t="n"/>
    </row>
    <row r="210">
      <c r="A210" s="653" t="n"/>
      <c r="B210" s="653" t="n"/>
      <c r="C210" s="653" t="n"/>
      <c r="D210" s="653" t="n"/>
      <c r="E210" s="653" t="n"/>
      <c r="F210" s="653" t="n"/>
      <c r="G210" s="653" t="n"/>
      <c r="H210" s="653" t="n"/>
      <c r="I210" s="653" t="n"/>
      <c r="J210" s="653" t="n"/>
    </row>
    <row r="211">
      <c r="A211" s="653" t="n"/>
      <c r="B211" s="653" t="n"/>
      <c r="C211" s="653" t="n"/>
      <c r="D211" s="653" t="n"/>
      <c r="E211" s="653" t="n"/>
      <c r="F211" s="653" t="n"/>
      <c r="G211" s="653" t="n"/>
      <c r="H211" s="653" t="n"/>
      <c r="I211" s="653" t="n"/>
      <c r="J211" s="653" t="n"/>
    </row>
    <row r="212">
      <c r="A212" s="653" t="n"/>
      <c r="B212" s="653" t="n"/>
      <c r="C212" s="653" t="n"/>
      <c r="D212" s="653" t="n"/>
      <c r="E212" s="653" t="n"/>
      <c r="F212" s="653" t="n"/>
      <c r="G212" s="653" t="n"/>
      <c r="H212" s="653" t="n"/>
      <c r="I212" s="653" t="n"/>
      <c r="J212" s="653" t="n"/>
    </row>
    <row r="213">
      <c r="A213" s="653" t="n"/>
      <c r="B213" s="653" t="n"/>
      <c r="C213" s="653" t="n"/>
      <c r="D213" s="653" t="n"/>
      <c r="E213" s="653" t="n"/>
      <c r="F213" s="653" t="n"/>
      <c r="G213" s="653" t="n"/>
      <c r="H213" s="653" t="n"/>
      <c r="I213" s="653" t="n"/>
      <c r="J213" s="653" t="n"/>
    </row>
    <row r="214">
      <c r="A214" s="653" t="n"/>
      <c r="B214" s="653" t="n"/>
      <c r="C214" s="653" t="n"/>
      <c r="D214" s="653" t="n"/>
      <c r="E214" s="653" t="n"/>
      <c r="F214" s="653" t="n"/>
      <c r="G214" s="653" t="n"/>
      <c r="H214" s="653" t="n"/>
      <c r="I214" s="653" t="n"/>
      <c r="J214" s="653" t="n"/>
    </row>
    <row r="215">
      <c r="A215" s="653" t="n"/>
      <c r="B215" s="653" t="n"/>
      <c r="C215" s="653" t="n"/>
      <c r="D215" s="653" t="n"/>
      <c r="E215" s="653" t="n"/>
      <c r="F215" s="653" t="n"/>
      <c r="G215" s="653" t="n"/>
      <c r="H215" s="653" t="n"/>
      <c r="I215" s="653" t="n"/>
      <c r="J215" s="653" t="n"/>
    </row>
    <row r="216">
      <c r="A216" s="653" t="n"/>
      <c r="B216" s="653" t="n"/>
      <c r="C216" s="653" t="n"/>
      <c r="D216" s="653" t="n"/>
      <c r="E216" s="653" t="n"/>
      <c r="F216" s="653" t="n"/>
      <c r="G216" s="653" t="n"/>
      <c r="H216" s="653" t="n"/>
      <c r="I216" s="653" t="n"/>
      <c r="J216" s="653" t="n"/>
    </row>
    <row r="217">
      <c r="A217" s="653" t="n"/>
      <c r="B217" s="653" t="n"/>
      <c r="C217" s="653" t="n"/>
      <c r="D217" s="653" t="n"/>
      <c r="E217" s="653" t="n"/>
      <c r="F217" s="653" t="n"/>
      <c r="G217" s="653" t="n"/>
      <c r="H217" s="653" t="n"/>
      <c r="I217" s="653" t="n"/>
      <c r="J217" s="653" t="n"/>
    </row>
    <row r="218">
      <c r="A218" s="653" t="n"/>
      <c r="B218" s="653" t="n"/>
      <c r="C218" s="653" t="n"/>
      <c r="D218" s="653" t="n"/>
      <c r="E218" s="653" t="n"/>
      <c r="F218" s="653" t="n"/>
      <c r="G218" s="653" t="n"/>
      <c r="H218" s="653" t="n"/>
      <c r="I218" s="653" t="n"/>
      <c r="J218" s="653" t="n"/>
    </row>
    <row r="219">
      <c r="A219" s="653" t="n"/>
      <c r="B219" s="653" t="n"/>
      <c r="C219" s="653" t="n"/>
      <c r="D219" s="653" t="n"/>
      <c r="E219" s="653" t="n"/>
      <c r="F219" s="653" t="n"/>
      <c r="G219" s="653" t="n"/>
      <c r="H219" s="653" t="n"/>
      <c r="I219" s="653" t="n"/>
      <c r="J219" s="653" t="n"/>
    </row>
    <row r="220">
      <c r="A220" s="653" t="n"/>
      <c r="B220" s="653" t="n"/>
      <c r="C220" s="653" t="n"/>
      <c r="D220" s="653" t="n"/>
      <c r="E220" s="653" t="n"/>
      <c r="F220" s="653" t="n"/>
      <c r="G220" s="653" t="n"/>
      <c r="H220" s="653" t="n"/>
      <c r="I220" s="653" t="n"/>
      <c r="J220" s="653" t="n"/>
    </row>
    <row r="221">
      <c r="A221" t="inlineStr">
        <is>
          <t>Herbes de Provence</t>
        </is>
      </c>
      <c r="B221" t="n">
        <v>750</v>
      </c>
      <c r="C221" t="n">
        <v>1125</v>
      </c>
      <c r="D221" t="n">
        <v>1312</v>
      </c>
      <c r="E221" t="n">
        <v>1425</v>
      </c>
      <c r="F221" t="n">
        <v>1500</v>
      </c>
      <c r="G221" t="n">
        <v>1500</v>
      </c>
      <c r="H221" t="n">
        <v>1500</v>
      </c>
    </row>
    <row r="222">
      <c r="A222" t="inlineStr">
        <is>
          <t>Moutarde à l'ancienne</t>
        </is>
      </c>
      <c r="B222" t="n">
        <v>750</v>
      </c>
      <c r="C222" t="n">
        <v>1125</v>
      </c>
      <c r="D222" t="n">
        <v>1312</v>
      </c>
      <c r="E222" t="n">
        <v>1425</v>
      </c>
      <c r="F222" t="n">
        <v>1500</v>
      </c>
      <c r="G222" t="n">
        <v>1500</v>
      </c>
      <c r="H222" t="n">
        <v>1500</v>
      </c>
    </row>
    <row r="223">
      <c r="A223" t="inlineStr">
        <is>
          <t>Choucroute</t>
        </is>
      </c>
      <c r="B223" t="n">
        <v>450</v>
      </c>
      <c r="C223" t="n">
        <v>675</v>
      </c>
      <c r="D223" t="n">
        <v>788</v>
      </c>
      <c r="E223" t="n">
        <v>855</v>
      </c>
      <c r="F223" t="n">
        <v>900</v>
      </c>
      <c r="G223" t="n">
        <v>900</v>
      </c>
      <c r="H223" t="n">
        <v>900</v>
      </c>
    </row>
    <row r="224">
      <c r="A224" t="inlineStr">
        <is>
          <t>Cumin graine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Cumin moulu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Épices viandes rouges</t>
        </is>
      </c>
      <c r="B226" t="n">
        <v>550</v>
      </c>
      <c r="C226" t="n">
        <v>825</v>
      </c>
      <c r="D226" t="n">
        <v>962</v>
      </c>
      <c r="E226" t="n">
        <v>1045</v>
      </c>
      <c r="F226" t="n">
        <v>1100</v>
      </c>
      <c r="G226" t="n">
        <v>1100</v>
      </c>
      <c r="H226" t="n">
        <v>1100</v>
      </c>
    </row>
    <row r="227">
      <c r="A227" t="inlineStr">
        <is>
          <t>Gingembre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Moutarde à l'estragon</t>
        </is>
      </c>
      <c r="B228" t="n">
        <v>550</v>
      </c>
      <c r="C228" t="n">
        <v>825</v>
      </c>
      <c r="D228" t="n">
        <v>962</v>
      </c>
      <c r="E228" t="n">
        <v>1045</v>
      </c>
      <c r="F228" t="n">
        <v>1100</v>
      </c>
      <c r="G228" t="n">
        <v>1100</v>
      </c>
      <c r="H228" t="n">
        <v>1100</v>
      </c>
    </row>
    <row r="229">
      <c r="A229" t="inlineStr">
        <is>
          <t>Paprika fumé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Sirop de menthe classique</t>
        </is>
      </c>
      <c r="B230" t="n">
        <v>280</v>
      </c>
      <c r="C230" t="n">
        <v>420</v>
      </c>
      <c r="D230" t="n">
        <v>490</v>
      </c>
      <c r="E230" t="n">
        <v>532</v>
      </c>
      <c r="F230" t="n">
        <v>560</v>
      </c>
      <c r="G230" t="n">
        <v>560</v>
      </c>
      <c r="H230" t="n">
        <v>560</v>
      </c>
    </row>
    <row r="231">
      <c r="A231" t="inlineStr">
        <is>
          <t>Sucre aux fleurs</t>
        </is>
      </c>
      <c r="B231" t="n">
        <v>450</v>
      </c>
      <c r="C231" t="n">
        <v>675</v>
      </c>
      <c r="D231" t="n">
        <v>788</v>
      </c>
      <c r="E231" t="n">
        <v>855</v>
      </c>
      <c r="F231" t="n">
        <v>900</v>
      </c>
      <c r="G231" t="n">
        <v>900</v>
      </c>
      <c r="H231" t="n">
        <v>900</v>
      </c>
    </row>
    <row r="232">
      <c r="A232" t="inlineStr">
        <is>
          <t>Curry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Ail semoule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Carvi graine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Curcuma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Paprika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Sirop aux fleurs</t>
        </is>
      </c>
      <c r="B237" t="n">
        <v>0</v>
      </c>
      <c r="C237" t="n">
        <v>0</v>
      </c>
      <c r="D237" t="n">
        <v>120</v>
      </c>
      <c r="E237" t="n">
        <v>156</v>
      </c>
      <c r="F237" t="n">
        <v>174</v>
      </c>
      <c r="G237" t="n">
        <v>180</v>
      </c>
      <c r="H237" t="n">
        <v>180</v>
      </c>
    </row>
    <row r="238">
      <c r="A238" t="inlineStr">
        <is>
          <t>Sirop de basilic</t>
        </is>
      </c>
      <c r="B238" t="n">
        <v>0</v>
      </c>
      <c r="C238" t="n">
        <v>0</v>
      </c>
      <c r="D238" t="n">
        <v>120</v>
      </c>
      <c r="E238" t="n">
        <v>156</v>
      </c>
      <c r="F238" t="n">
        <v>174</v>
      </c>
      <c r="G238" t="n">
        <v>180</v>
      </c>
      <c r="H238" t="n">
        <v>180</v>
      </c>
    </row>
    <row r="239">
      <c r="A239" t="inlineStr">
        <is>
          <t>Sirop de thym</t>
        </is>
      </c>
      <c r="B239" t="n">
        <v>300</v>
      </c>
      <c r="C239" t="n">
        <v>450</v>
      </c>
      <c r="D239" t="n">
        <v>525</v>
      </c>
      <c r="E239" t="n">
        <v>570</v>
      </c>
      <c r="F239" t="n">
        <v>600</v>
      </c>
      <c r="G239" t="n">
        <v>600</v>
      </c>
      <c r="H239" t="n">
        <v>600</v>
      </c>
    </row>
    <row r="240">
      <c r="A240" t="inlineStr">
        <is>
          <t>Sucre à l'hibiscus</t>
        </is>
      </c>
      <c r="B240" t="n">
        <v>0</v>
      </c>
      <c r="C240" t="n">
        <v>0</v>
      </c>
      <c r="D240" t="n">
        <v>120</v>
      </c>
      <c r="E240" t="n">
        <v>156</v>
      </c>
      <c r="F240" t="n">
        <v>174</v>
      </c>
      <c r="G240" t="n">
        <v>180</v>
      </c>
      <c r="H240" t="n">
        <v>180</v>
      </c>
    </row>
    <row r="241">
      <c r="A241" t="inlineStr">
        <is>
          <t>Vinaigre du soleil</t>
        </is>
      </c>
      <c r="B241" t="n">
        <v>0</v>
      </c>
      <c r="C241" t="n">
        <v>120</v>
      </c>
      <c r="D241" t="n">
        <v>168</v>
      </c>
      <c r="E241" t="n">
        <v>192</v>
      </c>
      <c r="F241" t="n">
        <v>204</v>
      </c>
      <c r="G241" t="n">
        <v>204</v>
      </c>
      <c r="H241" t="n">
        <v>204</v>
      </c>
    </row>
    <row r="242">
      <c r="A242" t="inlineStr">
        <is>
          <t>Vinaigre du sureau</t>
        </is>
      </c>
      <c r="B242" t="n">
        <v>0</v>
      </c>
      <c r="C242" t="n">
        <v>100</v>
      </c>
      <c r="D242" t="n">
        <v>140</v>
      </c>
      <c r="E242" t="n">
        <v>160</v>
      </c>
      <c r="F242" t="n">
        <v>170</v>
      </c>
      <c r="G242" t="n">
        <v>170</v>
      </c>
      <c r="H242" t="n">
        <v>170</v>
      </c>
    </row>
    <row r="243">
      <c r="A243" t="inlineStr">
        <is>
          <t>Zaatar</t>
        </is>
      </c>
      <c r="B243" t="n">
        <v>450</v>
      </c>
      <c r="C243" t="n">
        <v>675</v>
      </c>
      <c r="D243" t="n">
        <v>788</v>
      </c>
      <c r="E243" t="n">
        <v>855</v>
      </c>
      <c r="F243" t="n">
        <v>900</v>
      </c>
      <c r="G243" t="n">
        <v>900</v>
      </c>
      <c r="H243" t="n">
        <v>900</v>
      </c>
    </row>
    <row r="244">
      <c r="A244" t="inlineStr">
        <is>
          <t>Tabasco Rouge moyen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Tabasco jalapeno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Tabasco cayenne jaune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Épices tandoori</t>
        </is>
      </c>
      <c r="B247" t="n">
        <v>0</v>
      </c>
      <c r="C247" t="n">
        <v>0</v>
      </c>
      <c r="D247" t="n">
        <v>120</v>
      </c>
      <c r="E247" t="n">
        <v>156</v>
      </c>
      <c r="F247" t="n">
        <v>180</v>
      </c>
      <c r="G247" t="n">
        <v>192</v>
      </c>
      <c r="H247" t="n">
        <v>192</v>
      </c>
    </row>
    <row r="248">
      <c r="A248" t="inlineStr">
        <is>
          <t>Curry Madras</t>
        </is>
      </c>
      <c r="B248" t="n">
        <v>500</v>
      </c>
      <c r="C248" t="n">
        <v>750</v>
      </c>
      <c r="D248" t="n">
        <v>875</v>
      </c>
      <c r="E248" t="n">
        <v>950</v>
      </c>
      <c r="F248" t="n">
        <v>1000</v>
      </c>
      <c r="G248" t="n">
        <v>1000</v>
      </c>
      <c r="H248" t="n">
        <v>1000</v>
      </c>
    </row>
    <row r="249">
      <c r="A249" t="inlineStr">
        <is>
          <t>Tabasco violet fort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Panch phoron</t>
        </is>
      </c>
      <c r="B250" t="n">
        <v>0</v>
      </c>
      <c r="C250" t="n">
        <v>0</v>
      </c>
      <c r="D250" t="n">
        <v>0</v>
      </c>
      <c r="E250" t="n">
        <v>50</v>
      </c>
      <c r="F250" t="n">
        <v>60</v>
      </c>
      <c r="G250" t="n">
        <v>65</v>
      </c>
      <c r="H250" t="n">
        <v>68</v>
      </c>
    </row>
    <row r="251">
      <c r="A251" t="inlineStr">
        <is>
          <t>Sans sel</t>
        </is>
      </c>
      <c r="B251" t="n">
        <v>0</v>
      </c>
      <c r="C251" t="n">
        <v>0</v>
      </c>
      <c r="D251" t="n">
        <v>0</v>
      </c>
      <c r="E251" t="n">
        <v>50</v>
      </c>
      <c r="F251" t="n">
        <v>60</v>
      </c>
      <c r="G251" t="n">
        <v>65</v>
      </c>
      <c r="H251" t="n">
        <v>68</v>
      </c>
    </row>
    <row r="252">
      <c r="A252" t="inlineStr">
        <is>
          <t>Shichimi togarashi</t>
        </is>
      </c>
      <c r="B252" t="n">
        <v>0</v>
      </c>
      <c r="C252" t="n">
        <v>0</v>
      </c>
      <c r="D252" t="n">
        <v>0</v>
      </c>
      <c r="E252" t="n">
        <v>80</v>
      </c>
      <c r="F252" t="n">
        <v>96</v>
      </c>
      <c r="G252" t="n">
        <v>104</v>
      </c>
      <c r="H252" t="n">
        <v>104</v>
      </c>
    </row>
    <row r="253">
      <c r="A253" t="inlineStr">
        <is>
          <t>Ketchup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Gomasio maison</t>
        </is>
      </c>
      <c r="B254" t="n">
        <v>0</v>
      </c>
      <c r="C254" t="n">
        <v>0</v>
      </c>
      <c r="D254" t="n">
        <v>70</v>
      </c>
      <c r="E254" t="n">
        <v>88</v>
      </c>
      <c r="F254" t="n">
        <v>98</v>
      </c>
      <c r="G254" t="n">
        <v>102</v>
      </c>
      <c r="H254" t="n">
        <v>102</v>
      </c>
    </row>
    <row r="255">
      <c r="A255" t="inlineStr">
        <is>
          <t>Timur ko chhop</t>
        </is>
      </c>
      <c r="B255" t="n">
        <v>0</v>
      </c>
      <c r="C255" t="n">
        <v>0</v>
      </c>
      <c r="D255" t="n">
        <v>0</v>
      </c>
      <c r="E255" t="n">
        <v>80</v>
      </c>
      <c r="F255" t="n">
        <v>96</v>
      </c>
      <c r="G255" t="n">
        <v>104</v>
      </c>
      <c r="H255" t="n">
        <v>104</v>
      </c>
    </row>
    <row r="256">
      <c r="A256" t="inlineStr">
        <is>
          <t>Harissa</t>
        </is>
      </c>
      <c r="B256" t="n">
        <v>0</v>
      </c>
      <c r="C256" t="n">
        <v>0</v>
      </c>
      <c r="D256" t="n">
        <v>100</v>
      </c>
      <c r="E256" t="n">
        <v>130</v>
      </c>
      <c r="F256" t="n">
        <v>150</v>
      </c>
      <c r="G256" t="n">
        <v>160</v>
      </c>
      <c r="H256" t="n">
        <v>160</v>
      </c>
    </row>
    <row r="257">
      <c r="A257" t="inlineStr">
        <is>
          <t>Épices cajun</t>
        </is>
      </c>
      <c r="B257" t="n">
        <v>0</v>
      </c>
      <c r="C257" t="n">
        <v>0</v>
      </c>
      <c r="D257" t="n">
        <v>100</v>
      </c>
      <c r="E257" t="n">
        <v>130</v>
      </c>
      <c r="F257" t="n">
        <v>150</v>
      </c>
      <c r="G257" t="n">
        <v>160</v>
      </c>
      <c r="H257" t="n">
        <v>160</v>
      </c>
    </row>
    <row r="258">
      <c r="A258" t="inlineStr">
        <is>
          <t>Taklia</t>
        </is>
      </c>
      <c r="B258" t="n">
        <v>0</v>
      </c>
      <c r="C258" t="n">
        <v>0</v>
      </c>
      <c r="D258" t="n">
        <v>0</v>
      </c>
      <c r="E258" t="n">
        <v>50</v>
      </c>
      <c r="F258" t="n">
        <v>60</v>
      </c>
      <c r="G258" t="n">
        <v>65</v>
      </c>
      <c r="H258" t="n">
        <v>68</v>
      </c>
    </row>
    <row r="259">
      <c r="A259" t="inlineStr">
        <is>
          <t>Dukkah</t>
        </is>
      </c>
      <c r="B259" t="n">
        <v>0</v>
      </c>
      <c r="C259" t="n">
        <v>0</v>
      </c>
      <c r="D259" t="n">
        <v>100</v>
      </c>
      <c r="E259" t="n">
        <v>130</v>
      </c>
      <c r="F259" t="n">
        <v>150</v>
      </c>
      <c r="G259" t="n">
        <v>160</v>
      </c>
      <c r="H259" t="n">
        <v>160</v>
      </c>
    </row>
    <row r="260">
      <c r="A260" t="inlineStr">
        <is>
          <t>Tabel ou Tabil tunisien</t>
        </is>
      </c>
      <c r="B260" t="n">
        <v>0</v>
      </c>
      <c r="C260" t="n">
        <v>0</v>
      </c>
      <c r="D260" t="n">
        <v>0</v>
      </c>
      <c r="E260" t="n">
        <v>50</v>
      </c>
      <c r="F260" t="n">
        <v>60</v>
      </c>
      <c r="G260" t="n">
        <v>65</v>
      </c>
      <c r="H260" t="n">
        <v>68</v>
      </c>
    </row>
    <row r="261">
      <c r="A261" t="inlineStr">
        <is>
          <t>Zhug</t>
        </is>
      </c>
      <c r="B261" t="n">
        <v>0</v>
      </c>
      <c r="C261" t="n">
        <v>0</v>
      </c>
      <c r="D261" t="n">
        <v>0</v>
      </c>
      <c r="E261" t="n">
        <v>50</v>
      </c>
      <c r="F261" t="n">
        <v>60</v>
      </c>
      <c r="G261" t="n">
        <v>65</v>
      </c>
      <c r="H261" t="n">
        <v>68</v>
      </c>
    </row>
    <row r="262">
      <c r="A262" t="inlineStr">
        <is>
          <t>Épices pour marinade</t>
        </is>
      </c>
      <c r="B262" t="n">
        <v>0</v>
      </c>
      <c r="C262" t="n">
        <v>0</v>
      </c>
      <c r="D262" t="n">
        <v>100</v>
      </c>
      <c r="E262" t="n">
        <v>130</v>
      </c>
      <c r="F262" t="n">
        <v>150</v>
      </c>
      <c r="G262" t="n">
        <v>160</v>
      </c>
      <c r="H262" t="n">
        <v>160</v>
      </c>
    </row>
    <row r="263">
      <c r="A263" t="inlineStr">
        <is>
          <t>Épices poissons et fruits de mer</t>
        </is>
      </c>
      <c r="B263" t="n">
        <v>0</v>
      </c>
      <c r="C263" t="n">
        <v>0</v>
      </c>
      <c r="D263" t="n">
        <v>80</v>
      </c>
      <c r="E263" t="n">
        <v>104</v>
      </c>
      <c r="F263" t="n">
        <v>120</v>
      </c>
      <c r="G263" t="n">
        <v>128</v>
      </c>
      <c r="H263" t="n">
        <v>128</v>
      </c>
    </row>
    <row r="264">
      <c r="A264" t="inlineStr">
        <is>
          <t>Suya ghanéen</t>
        </is>
      </c>
      <c r="B264" t="n">
        <v>0</v>
      </c>
      <c r="C264" t="n">
        <v>0</v>
      </c>
      <c r="D264" t="n">
        <v>0</v>
      </c>
      <c r="E264" t="n">
        <v>50</v>
      </c>
      <c r="F264" t="n">
        <v>60</v>
      </c>
      <c r="G264" t="n">
        <v>65</v>
      </c>
      <c r="H264" t="n">
        <v>68</v>
      </c>
    </row>
    <row r="265">
      <c r="A265" t="inlineStr">
        <is>
          <t>Steak de Montréal</t>
        </is>
      </c>
      <c r="B265" t="n">
        <v>0</v>
      </c>
      <c r="C265" t="n">
        <v>0</v>
      </c>
      <c r="D265" t="n">
        <v>0</v>
      </c>
      <c r="E265" t="n">
        <v>50</v>
      </c>
      <c r="F265" t="n">
        <v>60</v>
      </c>
      <c r="G265" t="n">
        <v>65</v>
      </c>
      <c r="H265" t="n">
        <v>68</v>
      </c>
    </row>
    <row r="266">
      <c r="A266" t="inlineStr">
        <is>
          <t>Colombo</t>
        </is>
      </c>
      <c r="B266" t="n">
        <v>0</v>
      </c>
      <c r="C266" t="n">
        <v>0</v>
      </c>
      <c r="D266" t="n">
        <v>100</v>
      </c>
      <c r="E266" t="n">
        <v>130</v>
      </c>
      <c r="F266" t="n">
        <v>150</v>
      </c>
      <c r="G266" t="n">
        <v>160</v>
      </c>
      <c r="H266" t="n">
        <v>160</v>
      </c>
    </row>
    <row r="267">
      <c r="A267" t="inlineStr">
        <is>
          <t>Vindaloo masala</t>
        </is>
      </c>
      <c r="B267" t="n">
        <v>0</v>
      </c>
      <c r="C267" t="n">
        <v>0</v>
      </c>
      <c r="D267" t="n">
        <v>0</v>
      </c>
      <c r="E267" t="n">
        <v>50</v>
      </c>
      <c r="F267" t="n">
        <v>60</v>
      </c>
      <c r="G267" t="n">
        <v>65</v>
      </c>
      <c r="H267" t="n">
        <v>68</v>
      </c>
    </row>
    <row r="268">
      <c r="A268" t="inlineStr">
        <is>
          <t>Nuoc cham</t>
        </is>
      </c>
      <c r="B268" t="n">
        <v>0</v>
      </c>
      <c r="C268" t="n">
        <v>0</v>
      </c>
      <c r="D268" t="n">
        <v>0</v>
      </c>
      <c r="E268" t="n">
        <v>50</v>
      </c>
      <c r="F268" t="n">
        <v>60</v>
      </c>
      <c r="G268" t="n">
        <v>65</v>
      </c>
      <c r="H268" t="n">
        <v>68</v>
      </c>
    </row>
    <row r="269">
      <c r="A269" t="inlineStr">
        <is>
          <t>Épices guacamole</t>
        </is>
      </c>
      <c r="B269" t="n">
        <v>0</v>
      </c>
      <c r="C269" t="n">
        <v>0</v>
      </c>
      <c r="D269" t="n">
        <v>0</v>
      </c>
      <c r="E269" t="n">
        <v>50</v>
      </c>
      <c r="F269" t="n">
        <v>60</v>
      </c>
      <c r="G269" t="n">
        <v>65</v>
      </c>
      <c r="H269" t="n">
        <v>68</v>
      </c>
    </row>
    <row r="270">
      <c r="A270" t="inlineStr">
        <is>
          <t>Huile massage anti-arthrite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Sriracha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Ras el hanout</t>
        </is>
      </c>
      <c r="B272" t="n">
        <v>0</v>
      </c>
      <c r="C272" t="n">
        <v>0</v>
      </c>
      <c r="D272" t="n">
        <v>100</v>
      </c>
      <c r="E272" t="n">
        <v>130</v>
      </c>
      <c r="F272" t="n">
        <v>150</v>
      </c>
      <c r="G272" t="n">
        <v>160</v>
      </c>
      <c r="H272" t="n">
        <v>160</v>
      </c>
    </row>
    <row r="273">
      <c r="A273" t="inlineStr">
        <is>
          <t>Jamaican Jerk</t>
        </is>
      </c>
      <c r="B273" t="n">
        <v>0</v>
      </c>
      <c r="C273" t="n">
        <v>0</v>
      </c>
      <c r="D273" t="n">
        <v>0</v>
      </c>
      <c r="E273" t="n">
        <v>50</v>
      </c>
      <c r="F273" t="n">
        <v>60</v>
      </c>
      <c r="G273" t="n">
        <v>65</v>
      </c>
      <c r="H273" t="n">
        <v>68</v>
      </c>
    </row>
    <row r="274">
      <c r="A274" t="inlineStr">
        <is>
          <t>Durban masala</t>
        </is>
      </c>
      <c r="B274" t="n">
        <v>0</v>
      </c>
      <c r="C274" t="n">
        <v>0</v>
      </c>
      <c r="D274" t="n">
        <v>0</v>
      </c>
      <c r="E274" t="n">
        <v>50</v>
      </c>
      <c r="F274" t="n">
        <v>60</v>
      </c>
      <c r="G274" t="n">
        <v>65</v>
      </c>
      <c r="H274" t="n">
        <v>68</v>
      </c>
    </row>
    <row r="275">
      <c r="A275" t="inlineStr">
        <is>
          <t>Curry japonais</t>
        </is>
      </c>
      <c r="B275" t="n">
        <v>0</v>
      </c>
      <c r="C275" t="n">
        <v>0</v>
      </c>
      <c r="D275" t="n">
        <v>0</v>
      </c>
      <c r="E275" t="n">
        <v>50</v>
      </c>
      <c r="F275" t="n">
        <v>60</v>
      </c>
      <c r="G275" t="n">
        <v>65</v>
      </c>
      <c r="H275" t="n">
        <v>68</v>
      </c>
    </row>
    <row r="276">
      <c r="A276" t="inlineStr">
        <is>
          <t>Chaat masala</t>
        </is>
      </c>
      <c r="B276" t="n">
        <v>0</v>
      </c>
      <c r="C276" t="n">
        <v>0</v>
      </c>
      <c r="D276" t="n">
        <v>0</v>
      </c>
      <c r="E276" t="n">
        <v>50</v>
      </c>
      <c r="F276" t="n">
        <v>60</v>
      </c>
      <c r="G276" t="n">
        <v>65</v>
      </c>
      <c r="H276" t="n">
        <v>68</v>
      </c>
    </row>
    <row r="277">
      <c r="A277" t="inlineStr">
        <is>
          <t>Hawaij</t>
        </is>
      </c>
      <c r="B277" t="n">
        <v>0</v>
      </c>
      <c r="C277" t="n">
        <v>0</v>
      </c>
      <c r="D277" t="n">
        <v>0</v>
      </c>
      <c r="E277" t="n">
        <v>50</v>
      </c>
      <c r="F277" t="n">
        <v>60</v>
      </c>
      <c r="G277" t="n">
        <v>65</v>
      </c>
      <c r="H277" t="n">
        <v>68</v>
      </c>
    </row>
    <row r="278">
      <c r="A278" t="inlineStr">
        <is>
          <t>Carvi moulu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Baharat arabe</t>
        </is>
      </c>
      <c r="B279" t="n">
        <v>0</v>
      </c>
      <c r="C279" t="n">
        <v>0</v>
      </c>
      <c r="D279" t="n">
        <v>100</v>
      </c>
      <c r="E279" t="n">
        <v>130</v>
      </c>
      <c r="F279" t="n">
        <v>150</v>
      </c>
      <c r="G279" t="n">
        <v>160</v>
      </c>
      <c r="H279" t="n">
        <v>160</v>
      </c>
    </row>
    <row r="280">
      <c r="A280" t="inlineStr">
        <is>
          <t>Pâte vindaloo</t>
        </is>
      </c>
      <c r="B280" t="n">
        <v>0</v>
      </c>
      <c r="C280" t="n">
        <v>0</v>
      </c>
      <c r="D280" t="n">
        <v>0</v>
      </c>
      <c r="E280" t="n">
        <v>50</v>
      </c>
      <c r="F280" t="n">
        <v>60</v>
      </c>
      <c r="G280" t="n">
        <v>65</v>
      </c>
      <c r="H280" t="n">
        <v>68</v>
      </c>
    </row>
    <row r="281">
      <c r="A281" t="inlineStr">
        <is>
          <t>Baharat turc</t>
        </is>
      </c>
      <c r="B281" t="n">
        <v>0</v>
      </c>
      <c r="C281" t="n">
        <v>0</v>
      </c>
      <c r="D281" t="n">
        <v>0</v>
      </c>
      <c r="E281" t="n">
        <v>50</v>
      </c>
      <c r="F281" t="n">
        <v>60</v>
      </c>
      <c r="G281" t="n">
        <v>65</v>
      </c>
      <c r="H281" t="n">
        <v>68</v>
      </c>
    </row>
    <row r="282">
      <c r="A282" t="inlineStr">
        <is>
          <t>Advieh</t>
        </is>
      </c>
      <c r="B282" t="n">
        <v>0</v>
      </c>
      <c r="C282" t="n">
        <v>0</v>
      </c>
      <c r="D282" t="n">
        <v>0</v>
      </c>
      <c r="E282" t="n">
        <v>50</v>
      </c>
      <c r="F282" t="n">
        <v>60</v>
      </c>
      <c r="G282" t="n">
        <v>65</v>
      </c>
      <c r="H282" t="n">
        <v>68</v>
      </c>
    </row>
    <row r="283">
      <c r="A283" t="inlineStr">
        <is>
          <t>Garam masala birman</t>
        </is>
      </c>
      <c r="B283" t="n">
        <v>0</v>
      </c>
      <c r="C283" t="n">
        <v>0</v>
      </c>
      <c r="D283" t="n">
        <v>0</v>
      </c>
      <c r="E283" t="n">
        <v>50</v>
      </c>
      <c r="F283" t="n">
        <v>60</v>
      </c>
      <c r="G283" t="n">
        <v>65</v>
      </c>
      <c r="H283" t="n">
        <v>68</v>
      </c>
    </row>
    <row r="284">
      <c r="A284" t="inlineStr">
        <is>
          <t>Quatre épices</t>
        </is>
      </c>
      <c r="B284" t="n">
        <v>220</v>
      </c>
      <c r="C284" t="n">
        <v>330</v>
      </c>
      <c r="D284" t="n">
        <v>385</v>
      </c>
      <c r="E284" t="n">
        <v>418</v>
      </c>
      <c r="F284" t="n">
        <v>440</v>
      </c>
      <c r="G284" t="n">
        <v>440</v>
      </c>
      <c r="H284" t="n">
        <v>440</v>
      </c>
    </row>
    <row r="285">
      <c r="A285" t="inlineStr">
        <is>
          <t>Garam masala</t>
        </is>
      </c>
      <c r="B285" t="n">
        <v>0</v>
      </c>
      <c r="C285" t="n">
        <v>150</v>
      </c>
      <c r="D285" t="n">
        <v>210</v>
      </c>
      <c r="E285" t="n">
        <v>240</v>
      </c>
      <c r="F285" t="n">
        <v>255</v>
      </c>
      <c r="G285" t="n">
        <v>255</v>
      </c>
      <c r="H285" t="n">
        <v>255</v>
      </c>
    </row>
    <row r="286">
      <c r="A286" t="inlineStr">
        <is>
          <t>Garam masala entier</t>
        </is>
      </c>
      <c r="B286" t="n">
        <v>0</v>
      </c>
      <c r="C286" t="n">
        <v>0</v>
      </c>
      <c r="D286" t="n">
        <v>0</v>
      </c>
      <c r="E286" t="n">
        <v>50</v>
      </c>
      <c r="F286" t="n">
        <v>60</v>
      </c>
      <c r="G286" t="n">
        <v>65</v>
      </c>
      <c r="H286" t="n">
        <v>68</v>
      </c>
    </row>
    <row r="287">
      <c r="A287" t="inlineStr">
        <is>
          <t>Sucre de rose</t>
        </is>
      </c>
      <c r="B287" t="n">
        <v>0</v>
      </c>
      <c r="C287" t="n">
        <v>0</v>
      </c>
      <c r="D287" t="n">
        <v>100</v>
      </c>
      <c r="E287" t="n">
        <v>130</v>
      </c>
      <c r="F287" t="n">
        <v>145</v>
      </c>
      <c r="G287" t="n">
        <v>150</v>
      </c>
      <c r="H287" t="n">
        <v>150</v>
      </c>
    </row>
    <row r="288">
      <c r="A288" t="inlineStr">
        <is>
          <t>Huile massage musculaire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Sel de garrigue</t>
        </is>
      </c>
      <c r="B289" t="n">
        <v>350</v>
      </c>
      <c r="C289" t="n">
        <v>525</v>
      </c>
      <c r="D289" t="n">
        <v>612</v>
      </c>
      <c r="E289" t="n">
        <v>665</v>
      </c>
      <c r="F289" t="n">
        <v>700</v>
      </c>
      <c r="G289" t="n">
        <v>700</v>
      </c>
      <c r="H289" t="n">
        <v>700</v>
      </c>
    </row>
    <row r="290">
      <c r="A290" t="inlineStr">
        <is>
          <t>Tisane d'hiver</t>
        </is>
      </c>
      <c r="B290" t="n">
        <v>0</v>
      </c>
      <c r="C290" t="n">
        <v>160</v>
      </c>
      <c r="D290" t="n">
        <v>216</v>
      </c>
      <c r="E290" t="n">
        <v>248</v>
      </c>
      <c r="F290" t="n">
        <v>264</v>
      </c>
      <c r="G290" t="n">
        <v>264</v>
      </c>
      <c r="H290" t="n">
        <v>264</v>
      </c>
    </row>
    <row r="291">
      <c r="A291" t="inlineStr">
        <is>
          <t>Tisane digestive</t>
        </is>
      </c>
      <c r="B291" t="n">
        <v>0</v>
      </c>
      <c r="C291" t="n">
        <v>0</v>
      </c>
      <c r="D291" t="n">
        <v>120</v>
      </c>
      <c r="E291" t="n">
        <v>156</v>
      </c>
      <c r="F291" t="n">
        <v>180</v>
      </c>
      <c r="G291" t="n">
        <v>180</v>
      </c>
      <c r="H291" t="n">
        <v>180</v>
      </c>
    </row>
    <row r="292">
      <c r="A292" t="inlineStr">
        <is>
          <t>Cornichons lactofermentés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Faux-poivre de garrigue</t>
        </is>
      </c>
      <c r="B293" t="n">
        <v>0</v>
      </c>
      <c r="C293" t="n">
        <v>0</v>
      </c>
      <c r="D293" t="n">
        <v>100</v>
      </c>
      <c r="E293" t="n">
        <v>130</v>
      </c>
      <c r="F293" t="n">
        <v>150</v>
      </c>
      <c r="G293" t="n">
        <v>160</v>
      </c>
      <c r="H293" t="n">
        <v>160</v>
      </c>
    </row>
    <row r="294">
      <c r="A294" t="inlineStr">
        <is>
          <t>Mélange à poissons anisé</t>
        </is>
      </c>
      <c r="B294" t="n">
        <v>280</v>
      </c>
      <c r="C294" t="n">
        <v>420</v>
      </c>
      <c r="D294" t="n">
        <v>490</v>
      </c>
      <c r="E294" t="n">
        <v>532</v>
      </c>
      <c r="F294" t="n">
        <v>560</v>
      </c>
      <c r="G294" t="n">
        <v>560</v>
      </c>
      <c r="H294" t="n">
        <v>560</v>
      </c>
    </row>
    <row r="295">
      <c r="A295" t="inlineStr">
        <is>
          <t>Sel fumé</t>
        </is>
      </c>
      <c r="B295" t="n">
        <v>200</v>
      </c>
      <c r="C295" t="n">
        <v>300</v>
      </c>
      <c r="D295" t="n">
        <v>350</v>
      </c>
      <c r="E295" t="n">
        <v>380</v>
      </c>
      <c r="F295" t="n">
        <v>400</v>
      </c>
      <c r="G295" t="n">
        <v>400</v>
      </c>
      <c r="H295" t="n">
        <v>400</v>
      </c>
    </row>
    <row r="296">
      <c r="A296" t="inlineStr">
        <is>
          <t>Sirop de sureau</t>
        </is>
      </c>
      <c r="B296" t="n">
        <v>320</v>
      </c>
      <c r="C296" t="n">
        <v>480</v>
      </c>
      <c r="D296" t="n">
        <v>560</v>
      </c>
      <c r="E296" t="n">
        <v>608</v>
      </c>
      <c r="F296" t="n">
        <v>640</v>
      </c>
      <c r="G296" t="n">
        <v>640</v>
      </c>
      <c r="H296" t="n">
        <v>640</v>
      </c>
    </row>
    <row r="297">
      <c r="A297" t="inlineStr">
        <is>
          <t>Tisane du soir</t>
        </is>
      </c>
      <c r="B297" t="n">
        <v>180</v>
      </c>
      <c r="C297" t="n">
        <v>270</v>
      </c>
      <c r="D297" t="n">
        <v>315</v>
      </c>
      <c r="E297" t="n">
        <v>342</v>
      </c>
      <c r="F297" t="n">
        <v>360</v>
      </c>
      <c r="G297" t="n">
        <v>360</v>
      </c>
      <c r="H297" t="n">
        <v>360</v>
      </c>
    </row>
    <row r="298">
      <c r="A298" t="inlineStr">
        <is>
          <t>Tisane rafraîchissante</t>
        </is>
      </c>
      <c r="B298" t="n">
        <v>0</v>
      </c>
      <c r="C298" t="n">
        <v>0</v>
      </c>
      <c r="D298" t="n">
        <v>100</v>
      </c>
      <c r="E298" t="n">
        <v>130</v>
      </c>
      <c r="F298" t="n">
        <v>150</v>
      </c>
      <c r="G298" t="n">
        <v>150</v>
      </c>
      <c r="H298" t="n">
        <v>150</v>
      </c>
    </row>
    <row r="299">
      <c r="A299" t="inlineStr">
        <is>
          <t>Sirop de menthe chocolat</t>
        </is>
      </c>
      <c r="B299" t="n">
        <v>220</v>
      </c>
      <c r="C299" t="n">
        <v>330</v>
      </c>
      <c r="D299" t="n">
        <v>385</v>
      </c>
      <c r="E299" t="n">
        <v>418</v>
      </c>
      <c r="F299" t="n">
        <v>440</v>
      </c>
      <c r="G299" t="n">
        <v>440</v>
      </c>
      <c r="H299" t="n">
        <v>440</v>
      </c>
    </row>
    <row r="300">
      <c r="A300" t="inlineStr">
        <is>
          <t>Sirop de verveine</t>
        </is>
      </c>
      <c r="B300" t="n">
        <v>250</v>
      </c>
      <c r="C300" t="n">
        <v>375</v>
      </c>
      <c r="D300" t="n">
        <v>438</v>
      </c>
      <c r="E300" t="n">
        <v>475</v>
      </c>
      <c r="F300" t="n">
        <v>500</v>
      </c>
      <c r="G300" t="n">
        <v>500</v>
      </c>
      <c r="H300" t="n">
        <v>500</v>
      </c>
    </row>
  </sheetData>
  <conditionalFormatting sqref="A1:A1048576">
    <cfRule type="duplicateValues" priority="1" dxfId="4"/>
  </conditionalFormatting>
  <dataValidations count="1">
    <dataValidation sqref="A2:A47 A51:A56 A58:A60 A62:A70 A73 A75:A82 A84:A85 A87 A90 A92:A93" showDropDown="0" showInputMessage="1" showErrorMessage="1" allowBlank="1" type="list">
      <formula1>$A$2:$A$1048576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codeName="Feuil4"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2" sqref="A2:G21"/>
    </sheetView>
  </sheetViews>
  <sheetFormatPr baseColWidth="10" defaultColWidth="11" defaultRowHeight="16"/>
  <cols>
    <col width="19.1640625" customWidth="1" min="1" max="1"/>
    <col width="8.5" customWidth="1" min="2" max="2"/>
    <col width="7.5" customWidth="1" min="3" max="3"/>
    <col width="7.83203125" customWidth="1" style="554" min="4" max="4"/>
    <col width="10" customWidth="1" min="5" max="5"/>
    <col width="14.1640625" customWidth="1" min="6" max="6"/>
    <col width="11.33203125" customWidth="1" min="7" max="7"/>
  </cols>
  <sheetData>
    <row r="1">
      <c r="A1" t="inlineStr">
        <is>
          <t>Nom</t>
        </is>
      </c>
      <c r="B1" t="inlineStr">
        <is>
          <t>Bouchon</t>
        </is>
      </c>
      <c r="C1" t="inlineStr">
        <is>
          <t>Verre</t>
        </is>
      </c>
      <c r="D1" s="554" t="inlineStr">
        <is>
          <t>Total</t>
        </is>
      </c>
      <c r="E1" t="inlineStr">
        <is>
          <t>Contenance</t>
        </is>
      </c>
      <c r="F1" t="inlineStr">
        <is>
          <t>Lien bouchon</t>
        </is>
      </c>
      <c r="G1" t="inlineStr">
        <is>
          <t>Lien verre</t>
        </is>
      </c>
    </row>
    <row r="2">
      <c r="A2" t="inlineStr">
        <is>
          <t>Epice 100ml</t>
        </is>
      </c>
      <c r="B2" t="n">
        <v>0.44</v>
      </c>
      <c r="C2" t="n">
        <v>0.2</v>
      </c>
      <c r="D2" s="554">
        <f>C2+B2</f>
        <v/>
      </c>
      <c r="E2" t="inlineStr">
        <is>
          <t>100ml</t>
        </is>
      </c>
      <c r="F2" s="2" t="inlineStr">
        <is>
          <t>https://www.bouteilles-et-bocaux.com/bouchon-pour-pot-a-epices-distributeur-plastique-pp-rouge-pour-col-gpi-38-400-100000230?referralCode=344f636f14874df59416c60d47218b06&amp;utm_medium=sea&amp;utm_source=google&amp;gad_source=1&amp;gclid=CjwKCAiAopuvBhBCEiwAm8jaMRvkyaCkj4LfwgUmeOXFwEVybp5GM9cMjo6i2XXHdi_SmUDOQN4bRRoCVVAQAvD_BwE</t>
        </is>
      </c>
      <c r="G2" s="2" t="inlineStr">
        <is>
          <t>https://www.packari.com/fr/Produits/Flacons-en-verre-col-large/Flacons-en-verre-brun-sans-fermeture/Flacon-comprim-s-en-verre-marron-col-large-100-ml-38-400-sans-bouchon.html</t>
        </is>
      </c>
    </row>
    <row r="3">
      <c r="A3" t="inlineStr">
        <is>
          <t>Epice 200ml</t>
        </is>
      </c>
      <c r="B3" t="n">
        <v>0.44</v>
      </c>
      <c r="C3" t="n">
        <v>0.22</v>
      </c>
      <c r="D3" s="554">
        <f>C3+B3</f>
        <v/>
      </c>
      <c r="E3" t="inlineStr">
        <is>
          <t>200ml</t>
        </is>
      </c>
      <c r="F3" s="2" t="n"/>
      <c r="G3" s="2" t="n"/>
    </row>
    <row r="4">
      <c r="A4" t="inlineStr">
        <is>
          <t>Huile 1L</t>
        </is>
      </c>
      <c r="D4" s="554" t="n">
        <v>1.56</v>
      </c>
      <c r="E4" t="inlineStr">
        <is>
          <t>1000ml</t>
        </is>
      </c>
    </row>
    <row r="5">
      <c r="A5" t="inlineStr">
        <is>
          <t>Moulin 100ml</t>
        </is>
      </c>
      <c r="B5" t="n">
        <v>1.7</v>
      </c>
      <c r="C5" t="n">
        <v>0.2</v>
      </c>
      <c r="D5" s="554">
        <f>C5+B5</f>
        <v/>
      </c>
      <c r="E5" t="inlineStr">
        <is>
          <t>100ml</t>
        </is>
      </c>
      <c r="F5" s="2" t="inlineStr">
        <is>
          <t>https://www.bouteilles-et-bocaux.com/bouchon-pour-pot-a-epices-moulin-plastique-pp-noir-pour-col-gpi-38-400-100000220</t>
        </is>
      </c>
      <c r="G5" s="2" t="inlineStr">
        <is>
          <t>https://www.packari.com/fr/Produits/Flacons-en-verre-col-large/Flacons-en-verre-brun-sans-fermeture/Flacon-comprim-s-en-verre-marron-col-large-100-ml-38-400-sans-bouchon.html</t>
        </is>
      </c>
    </row>
    <row r="6">
      <c r="A6" t="inlineStr">
        <is>
          <t>Moutarde Pot en grès</t>
        </is>
      </c>
      <c r="D6" s="554" t="n">
        <v>2.1</v>
      </c>
      <c r="E6" t="inlineStr">
        <is>
          <t>270ml</t>
        </is>
      </c>
      <c r="F6" s="2" t="inlineStr">
        <is>
          <t>https://www.bouteilles-et-bocaux.com/pot-en-gres-270-ml-ceramique-blanc-col-couvercle-cloche-100035660?referralCode=344f636f14874df59416c60d47218b06&amp;utm_medium=sea&amp;utm_source=google&amp;gad_source=1&amp;gclid=CjwKCAiAopuvBhBCEiwAm8jaMYLe7_a0mGr35npPhJKfVuzxK0lpcyfagab4K3pMzvBsxnSqC3GYDhoCgu0QAvD_BwE</t>
        </is>
      </c>
    </row>
    <row r="7">
      <c r="A7" t="inlineStr">
        <is>
          <t>Moutarde verre 265 ml</t>
        </is>
      </c>
      <c r="D7" s="554" t="n">
        <v>0.79</v>
      </c>
      <c r="E7" t="inlineStr">
        <is>
          <t>265ml</t>
        </is>
      </c>
      <c r="F7" s="2" t="inlineStr">
        <is>
          <t>https://www.bouteilles-et-bocaux.com/bocal-cylindrique-haut-212-ml-col-twist-off-to-53-100012480</t>
        </is>
      </c>
    </row>
    <row r="8">
      <c r="A8" t="inlineStr">
        <is>
          <t>Moutarde verre 212 ml</t>
        </is>
      </c>
      <c r="D8" s="554" t="n">
        <v>0.74</v>
      </c>
      <c r="E8" t="inlineStr">
        <is>
          <t>212ml</t>
        </is>
      </c>
      <c r="F8" s="2" t="inlineStr">
        <is>
          <t>https://www.bouteilles-et-bocaux.com/bocal-cylindrique-haut-212-ml-col-twist-off-to-53-100012480</t>
        </is>
      </c>
    </row>
    <row r="9">
      <c r="A9" t="inlineStr">
        <is>
          <t>Piment liquide 100ml</t>
        </is>
      </c>
      <c r="B9" t="n">
        <v>1.69</v>
      </c>
      <c r="D9" s="554">
        <f>C9+B9</f>
        <v/>
      </c>
      <c r="E9" t="inlineStr">
        <is>
          <t>100ml</t>
        </is>
      </c>
      <c r="F9" s="2" t="inlineStr">
        <is>
          <t>https://www.bouteilles-et-bocaux.com/bouteille-en-verre-100-ml-tulipano-col-liege-100018170?referralCode=344f636f14874df59416c60d47218b06&amp;utm_medium=sea&amp;utm_source=google&amp;gad_source=1&amp;gclid=CjwKCAiAopuvBhBCEiwAm8jaMTskXVOIzZ5rIxKF0pqFc9jqHsHuFuUd6kJ7IRF1_elI1heMCZJ8WxoCAGwQAvD_BwE</t>
        </is>
      </c>
      <c r="G9" s="2" t="n"/>
    </row>
    <row r="10">
      <c r="A10" t="inlineStr">
        <is>
          <t>Piment liquide 250ml</t>
        </is>
      </c>
      <c r="B10" t="n">
        <v>1.68</v>
      </c>
      <c r="C10" t="n">
        <v>0</v>
      </c>
      <c r="D10" s="554">
        <f>C10+B10</f>
        <v/>
      </c>
      <c r="E10" t="inlineStr">
        <is>
          <t>250ml</t>
        </is>
      </c>
      <c r="F10" s="2" t="inlineStr">
        <is>
          <t>https://www.bouteilles-et-bocaux.com/bouteille-de-vinaigre-d-huile-250-ml-oleum-verre-vert-antique-col-dop-100034870?referralCode=344f636f14874df59416c60d47218b06&amp;utm_medium=sea&amp;utm_source=google&amp;gad_source=1&amp;gclid=CjwKCAiAopuvBhBCEiwAm8jaMeaR3q1S8hCLAwRtq5MXdAumMc4tNe8kzahJPqJxkQvjUHB9PdyHrRoCIKIQAvD_BwE</t>
        </is>
      </c>
    </row>
    <row r="11">
      <c r="A11" t="inlineStr">
        <is>
          <t>Recharge craft 100ml</t>
        </is>
      </c>
      <c r="D11" s="554" t="n">
        <v>0.18</v>
      </c>
      <c r="E11" t="inlineStr">
        <is>
          <t>100ml</t>
        </is>
      </c>
      <c r="F11" t="inlineStr">
        <is>
          <t>https://www.bizay.fr/sacs-en-papier?id=3797240&amp;wv=true&amp;shopptop=1&amp;campaignid=21040153090&amp;adgroupid=&amp;creative=&amp;keyword=&amp;matchtype=&amp;adposition=&amp;network=x&amp;placement=&amp;target=&amp;targetid=&amp;device=c&amp;year=&amp;week=&amp;gad_source=1&amp;gclid=CjwKCAiAopuvBhBCEiwAm8jaMQLoYxZEqGndCNvys5KAnCm0suw9ZL0j9D7sh_t5VTgRlogsrF3lkxoCxQcQAvD_BwE&amp;gclsrc=aw.ds&amp;abandonNC=1</t>
        </is>
      </c>
    </row>
    <row r="12">
      <c r="A12" t="inlineStr">
        <is>
          <t>Recharge craft 250ml</t>
        </is>
      </c>
      <c r="D12" s="554" t="n">
        <v>0.18</v>
      </c>
      <c r="E12" t="inlineStr">
        <is>
          <t>250ml</t>
        </is>
      </c>
      <c r="F12" t="inlineStr">
        <is>
          <t>https://www.bizay.fr/sacs-en-papier?id=3797240&amp;wv=true&amp;shopptop=1&amp;campaignid=21040153090&amp;adgroupid=&amp;creative=&amp;keyword=&amp;matchtype=&amp;adposition=&amp;network=x&amp;placement=&amp;target=&amp;targetid=&amp;device=c&amp;year=&amp;week=&amp;gad_source=1&amp;gclid=CjwKCAiAopuvBhBCEiwAm8jaMQLoYxZEqGndCNvys5KAnCm0suw9ZL0j9D7sh_t5VTgRlogsrF3lkxoCxQcQAvD_BwE&amp;gclsrc=aw.ds&amp;abandonNC=1</t>
        </is>
      </c>
    </row>
    <row r="13">
      <c r="A13" t="inlineStr">
        <is>
          <t>Recharge craft 500ml</t>
        </is>
      </c>
      <c r="D13" s="554" t="n">
        <v>0.2</v>
      </c>
      <c r="E13" t="inlineStr">
        <is>
          <t>500ml</t>
        </is>
      </c>
      <c r="F13" t="inlineStr">
        <is>
          <t>https://www.bizay.fr/sacs-en-papier?id=3797240&amp;wv=true&amp;shopptop=1&amp;campaignid=21040153090&amp;adgroupid=&amp;creative=&amp;keyword=&amp;matchtype=&amp;adposition=&amp;network=x&amp;placement=&amp;target=&amp;targetid=&amp;device=c&amp;year=&amp;week=&amp;gad_source=1&amp;gclid=CjwKCAiAopuvBhBCEiwAm8jaMQLoYxZEqGndCNvys5KAnCm0suw9ZL0j9D7sh_t5VTgRlogsrF3lkxoCxQcQAvD_BwE&amp;gclsrc=aw.ds&amp;abandonNC=1</t>
        </is>
      </c>
    </row>
    <row r="14">
      <c r="A14" t="inlineStr">
        <is>
          <t>Seau 2,5 l, plastique</t>
        </is>
      </c>
      <c r="D14" s="554" t="n">
        <v>0.97</v>
      </c>
      <c r="E14" t="inlineStr">
        <is>
          <t>2500ml</t>
        </is>
      </c>
      <c r="F14" s="2" t="inlineStr">
        <is>
          <t>https://www.bouteilles-et-bocaux.com/seau-2-5-l-plastique-pp-blanc-100015070?referralCode=344f636f14874df59416c60d47218b06&amp;configurator=%255B%257B%2522productId%2522%253A%25220nolid%2522%252C%2522groupId%2522%253A%25220%2522%257D%252C%257B%2522productId%2522%253A%25221nolid%2522%252C%2522groupId%2522%253A%25221%2522%257D%255D&amp;utm_medium=sea&amp;utm_source=google&amp;galt=Cj0KCQjwlZixBhCoARIsAIC745BA22oQIFzXcivfuWmhgVWGHKmhHv_wy2W8_eDHTHF86yHAjltRI4MaAmbVEALw_wcB&amp;gad_source=1&amp;gclid=Cj0KCQjwlZixBhCoARIsAIC745BA22oQIFzXcivfuWmhgVWGHKmhHv_wy2W8_eDHTHF86yHAjltRI4MaAmbVEALw_wcB</t>
        </is>
      </c>
    </row>
    <row r="15">
      <c r="A15" t="inlineStr">
        <is>
          <t>Sirop 500 ml</t>
        </is>
      </c>
      <c r="D15" s="554" t="n">
        <v>1.46</v>
      </c>
      <c r="E15" t="inlineStr">
        <is>
          <t>500ml</t>
        </is>
      </c>
      <c r="F15" t="inlineStr">
        <is>
          <t>https://www.bouteilles-et-bocaux.com/bouteille-pichet-500-ml-verre-col-pp-28-100030600</t>
        </is>
      </c>
    </row>
    <row r="16">
      <c r="A16" t="inlineStr">
        <is>
          <t>Verrine haute</t>
        </is>
      </c>
      <c r="D16" s="554" t="n">
        <v>0.79</v>
      </c>
      <c r="E16" t="inlineStr">
        <is>
          <t>350 ml</t>
        </is>
      </c>
      <c r="F16" s="2" t="inlineStr">
        <is>
          <t>https://www.bouteilles-et-bocaux.com/verrine-haute-350-ml-col-twist-off-to-82-100036140</t>
        </is>
      </c>
    </row>
    <row r="17">
      <c r="A17" t="inlineStr">
        <is>
          <t>Verseur inox</t>
        </is>
      </c>
      <c r="D17" s="554" t="n">
        <v>2.3</v>
      </c>
      <c r="F17" s="2" t="inlineStr">
        <is>
          <t>https://de.aliexpress.com/item/1005005532498174.html1007.40000.327270.0&amp;scm-url=1007.40000.327270.0&amp;pvid=d7f30d2d-9c81-4a76-abd9-d1b5dab0f6ac&amp;_t=gps-id:pcDetailTopMoreOtherSeller,scm-url:1007.40000.327270.0,pvid:d7f30d2d-9c81-4a76-abd9-d1b5dab0f6ac,tpp_buckets:668%232846%238115%232000&amp;pdp_npi=4%40dis%21EUR%215.38%211.88%21%21%2141.12%2114.39%21%402103890117096883118564836e954f%2112000033437633735%21rec%21FR%212461724979%21&amp;utparam-url=scene%3ApcDetailTopMoreOtherSeller%7Cquery_from%3A</t>
        </is>
      </c>
    </row>
    <row r="18">
      <c r="A18" t="inlineStr">
        <is>
          <t>Vinaigre 250 ml</t>
        </is>
      </c>
      <c r="B18">
        <f>TableauConditionnement[[#This Row],[Total]]-TableauConditionnement[[#This Row],[Verre]]</f>
        <v/>
      </c>
      <c r="C18" t="n">
        <v>1.06</v>
      </c>
      <c r="D18" s="554" t="n">
        <v>1.68</v>
      </c>
      <c r="E18" t="inlineStr">
        <is>
          <t>250ml</t>
        </is>
      </c>
      <c r="F18" s="2" t="inlineStr">
        <is>
          <t>https://www.berlinpackaging.eu/fr/81/bouteilles-huile-d-olive/11010/bouteille-alex--olio-250-ml-bg-a-vis</t>
        </is>
      </c>
    </row>
    <row r="19">
      <c r="A19" t="inlineStr">
        <is>
          <t>Cornichon fin</t>
        </is>
      </c>
      <c r="D19" s="554" t="n">
        <v>1.12</v>
      </c>
      <c r="E19" t="inlineStr">
        <is>
          <t>262ml</t>
        </is>
      </c>
      <c r="F19" s="2" t="inlineStr">
        <is>
          <t>https://www.bouteilles-et-bocaux.com/bocal-cylindrique-262-ml-monza-col-deep-twist-off-dto-82-100033050</t>
        </is>
      </c>
    </row>
    <row r="20">
      <c r="A20" t="inlineStr">
        <is>
          <t>Cornichon doux</t>
        </is>
      </c>
      <c r="D20" s="554" t="n">
        <v>1.69</v>
      </c>
      <c r="E20" s="554" t="inlineStr">
        <is>
          <t>490ml</t>
        </is>
      </c>
      <c r="F20" t="inlineStr">
        <is>
          <t>https://www.bouteilles-et-bocaux.com/bocal-cylindrique-460-ml-monza-bouchage-deep-twist-off-dto-82-100033060</t>
        </is>
      </c>
    </row>
    <row r="21">
      <c r="A21" t="inlineStr">
        <is>
          <t>Tube kraft 50ml</t>
        </is>
      </c>
      <c r="D21" s="554">
        <f>1447.5/1500</f>
        <v/>
      </c>
      <c r="E21" t="inlineStr">
        <is>
          <t>50ml</t>
        </is>
      </c>
      <c r="F21" t="inlineStr">
        <is>
          <t>https://esytube.com/fr/products/50-ml-kraft-push-up-paper-deodorant-tube?variant=42952838250665</t>
        </is>
      </c>
    </row>
  </sheetData>
  <hyperlinks>
    <hyperlink xmlns:r="http://schemas.openxmlformats.org/officeDocument/2006/relationships" ref="F2" display="https://www.bouteilles-et-bocaux.com/bouchon-pour-pot-a-epices-distributeur-plastique-pp-rouge-pour-col-gpi-38-400-100000230?referralCode=344f636f14874df59416c60d47218b06&amp;utm_medium=sea&amp;utm_source=google&amp;gad_source=1&amp;gclid=CjwKCAiAopuvBhBCEiwAm8jaMRvkyaCkj4LfwgUmeOXFwEVybp5GM9cMjo6i2XXHdi_SmUDOQN4bRRoCVVAQAvD_BwE" r:id="rId1"/>
    <hyperlink xmlns:r="http://schemas.openxmlformats.org/officeDocument/2006/relationships" ref="G2" r:id="rId2"/>
    <hyperlink xmlns:r="http://schemas.openxmlformats.org/officeDocument/2006/relationships" ref="F5" r:id="rId3"/>
    <hyperlink xmlns:r="http://schemas.openxmlformats.org/officeDocument/2006/relationships" ref="G5" r:id="rId4"/>
    <hyperlink xmlns:r="http://schemas.openxmlformats.org/officeDocument/2006/relationships" ref="F6" display="https://www.bouteilles-et-bocaux.com/pot-en-gres-270-ml-ceramique-blanc-col-couvercle-cloche-100035660?referralCode=344f636f14874df59416c60d47218b06&amp;utm_medium=sea&amp;utm_source=google&amp;gad_source=1&amp;gclid=CjwKCAiAopuvBhBCEiwAm8jaMYLe7_a0mGr35npPhJKfVuzxK0lpcyfagab4K3pMzvBsxnSqC3GYDhoCgu0QAvD_BwE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display="https://www.bouteilles-et-bocaux.com/bouteille-en-verre-100-ml-tulipano-col-liege-100018170?referralCode=344f636f14874df59416c60d47218b06&amp;utm_medium=sea&amp;utm_source=google&amp;gad_source=1&amp;gclid=CjwKCAiAopuvBhBCEiwAm8jaMTskXVOIzZ5rIxKF0pqFc9jqHsHuFuUd6kJ7IRF1_elI1heMCZJ8WxoCAGwQAvD_BwE" r:id="rId8"/>
    <hyperlink xmlns:r="http://schemas.openxmlformats.org/officeDocument/2006/relationships" ref="F10" display="https://www.bouteilles-et-bocaux.com/bouteille-de-vinaigre-d-huile-250-ml-oleum-verre-vert-antique-col-dop-100034870?referralCode=344f636f14874df59416c60d47218b06&amp;utm_medium=sea&amp;utm_source=google&amp;gad_source=1&amp;gclid=CjwKCAiAopuvBhBCEiwAm8jaMeaR3q1S8hCLAwRtq5MXdAumMc4tNe8kzahJPqJxkQvjUHB9PdyHrRoCIKIQAvD_BwE" r:id="rId9"/>
    <hyperlink xmlns:r="http://schemas.openxmlformats.org/officeDocument/2006/relationships" ref="F14" display="https://www.bouteilles-et-bocaux.com/seau-2-5-l-plastique-pp-blanc-100015070?referralCode=344f636f14874df59416c60d47218b06&amp;configurator=%255B%257B%2522productId%2522%253A%25220nolid%2522%252C%2522groupId%2522%253A%25220%2522%257D%252C%257B%2522productId%2522%253A%25221nolid%2522%252C%2522groupId%2522%253A%25221%2522%257D%255D&amp;utm_medium=sea&amp;utm_source=google&amp;galt=Cj0KCQjwlZixBhCoARIsAIC745BA22oQIFzXcivfuWmhgVWGHKmhHv_wy2W8_eDHTHF86yHAjltRI4MaAmbVEALw_wcB&amp;gad_source=1&amp;gclid=Cj0KCQjwlZixBhCoARIsAIC745BA22oQIFzXcivfuWmhgVWGHKmhHv_wy2W8_eDHTHF86yHAjltRI4MaAmbVEALw_wcB" r:id="rId10"/>
    <hyperlink xmlns:r="http://schemas.openxmlformats.org/officeDocument/2006/relationships" ref="F16" r:id="rId11"/>
    <hyperlink xmlns:r="http://schemas.openxmlformats.org/officeDocument/2006/relationships" ref="F17" display="https://de.aliexpress.com/item/1005005532498174.html1007.40000.327270.0&amp;scm-url=1007.40000.327270.0&amp;pvid=d7f30d2d-9c81-4a76-abd9-d1b5dab0f6ac&amp;_t=gps-id:pcDetailTopMoreOtherSeller,scm-url:1007.40000.327270.0,pvid:d7f30d2d-9c81-4a76-abd9-d1b5dab0f6ac,tpp_buckets:668%232846%238115%232000&amp;pdp_npi=4%40dis%21EUR%215.38%211.88%21%21%2141.12%2114.39%21%402103890117096883118564836e954f%2112000033437633735%21rec%21FR%212461724979%21&amp;utparam-url=scene%3ApcDetailTopMoreOtherSeller%7Cquery_from%3A" r:id="rId12"/>
    <hyperlink xmlns:r="http://schemas.openxmlformats.org/officeDocument/2006/relationships" ref="F18" r:id="rId13"/>
    <hyperlink xmlns:r="http://schemas.openxmlformats.org/officeDocument/2006/relationships" ref="F19" r:id="rId14"/>
  </hyperlinks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5"/>
  </tableParts>
</worksheet>
</file>

<file path=xl/worksheets/sheet11.xml><?xml version="1.0" encoding="utf-8"?>
<worksheet xmlns="http://schemas.openxmlformats.org/spreadsheetml/2006/main">
  <sheetPr codeName="Feuil7">
    <outlinePr summaryBelow="1" summaryRight="1"/>
    <pageSetUpPr/>
  </sheetPr>
  <dimension ref="A1:G186"/>
  <sheetViews>
    <sheetView tabSelected="1" workbookViewId="0">
      <selection activeCell="A3" sqref="A3"/>
    </sheetView>
  </sheetViews>
  <sheetFormatPr baseColWidth="10" defaultColWidth="11" defaultRowHeight="16"/>
  <cols>
    <col width="22.1640625" customWidth="1" min="1" max="1"/>
    <col width="16.83203125" customWidth="1" min="2" max="2"/>
    <col width="39.33203125" customWidth="1" min="3" max="3"/>
    <col width="24.1640625" customWidth="1" min="4" max="4"/>
    <col width="13.6640625" customWidth="1" min="5" max="5"/>
  </cols>
  <sheetData>
    <row r="1">
      <c r="A1" t="inlineStr">
        <is>
          <t>PRODUIT</t>
        </is>
      </c>
      <c r="B1" t="inlineStr">
        <is>
          <t>DISTRIBUTION</t>
        </is>
      </c>
      <c r="C1" t="inlineStr">
        <is>
          <t>NOM</t>
        </is>
      </c>
      <c r="D1" t="inlineStr">
        <is>
          <t>MARQUE</t>
        </is>
      </c>
      <c r="E1" t="inlineStr">
        <is>
          <t>GRAMMAGE</t>
        </is>
      </c>
      <c r="F1" t="inlineStr">
        <is>
          <t>PRIX</t>
        </is>
      </c>
      <c r="G1" t="inlineStr">
        <is>
          <t>PRIX_KG</t>
        </is>
      </c>
    </row>
    <row r="2">
      <c r="A2" t="inlineStr">
        <is>
          <t>Advieh</t>
        </is>
      </c>
      <c r="B2" t="inlineStr">
        <is>
          <t>magasin BIO</t>
        </is>
      </c>
      <c r="C2" t="inlineStr">
        <is>
          <t>Melange d'epices Advieh Bio</t>
        </is>
      </c>
      <c r="D2" t="inlineStr">
        <is>
          <t>Cook</t>
        </is>
      </c>
      <c r="E2" t="inlineStr">
        <is>
          <t>50g</t>
        </is>
      </c>
      <c r="F2" t="n">
        <v>5</v>
      </c>
      <c r="G2" t="n">
        <v>100</v>
      </c>
    </row>
    <row r="3">
      <c r="A3" t="inlineStr">
        <is>
          <t>Advieh</t>
        </is>
      </c>
      <c r="B3" t="inlineStr">
        <is>
          <t>magasin NON BIO</t>
        </is>
      </c>
      <c r="C3" t="inlineStr">
        <is>
          <t>Advieh Persan</t>
        </is>
      </c>
      <c r="D3" t="inlineStr">
        <is>
          <t>Silk Road Spices</t>
        </is>
      </c>
      <c r="E3" t="inlineStr">
        <is>
          <t>100g</t>
        </is>
      </c>
      <c r="F3" t="n">
        <v>6.99</v>
      </c>
      <c r="G3" t="n">
        <v>69.90000000000001</v>
      </c>
    </row>
    <row r="4">
      <c r="A4" t="inlineStr">
        <is>
          <t>Advieh</t>
        </is>
      </c>
      <c r="B4" t="inlineStr">
        <is>
          <t>artisanale BIO</t>
        </is>
      </c>
      <c r="C4" t="inlineStr">
        <is>
          <t>Advieh artisanal bio</t>
        </is>
      </c>
      <c r="D4" t="inlineStr">
        <is>
          <t>Les Jardins de Gaïa</t>
        </is>
      </c>
      <c r="E4" t="inlineStr">
        <is>
          <t>100g</t>
        </is>
      </c>
      <c r="F4" t="n">
        <v>7.5</v>
      </c>
      <c r="G4" t="n">
        <v>75</v>
      </c>
    </row>
    <row r="5">
      <c r="A5" t="inlineStr">
        <is>
          <t>Advieh</t>
        </is>
      </c>
      <c r="B5" t="inlineStr">
        <is>
          <t>internet BIO</t>
        </is>
      </c>
      <c r="C5" t="inlineStr">
        <is>
          <t>Melange d'epices persan Advieh</t>
        </is>
      </c>
      <c r="D5" t="inlineStr">
        <is>
          <t>mesepices</t>
        </is>
      </c>
      <c r="E5" t="inlineStr">
        <is>
          <t>50g</t>
        </is>
      </c>
      <c r="F5" t="n">
        <v>5.85</v>
      </c>
      <c r="G5">
        <f>TableauConcurence[[#This Row],[PRIX]]/_xlfn.NUMBERVALUE(TableauConcurence[[#This Row],[GRAMMAGE]],"g")*1000</f>
        <v/>
      </c>
    </row>
    <row r="6">
      <c r="A6" t="inlineStr">
        <is>
          <t>Ail semoule</t>
        </is>
      </c>
      <c r="B6" t="inlineStr">
        <is>
          <t>magasin BIO</t>
        </is>
      </c>
      <c r="C6" t="inlineStr">
        <is>
          <t>Ail des ours en poudre</t>
        </is>
      </c>
      <c r="D6" t="inlineStr">
        <is>
          <t>Ethnoscience</t>
        </is>
      </c>
      <c r="E6" t="inlineStr">
        <is>
          <t>50g</t>
        </is>
      </c>
      <c r="F6" t="n">
        <v>4.9</v>
      </c>
      <c r="G6" t="n">
        <v>98</v>
      </c>
    </row>
    <row r="7">
      <c r="A7" t="inlineStr">
        <is>
          <t>Ail semoule</t>
        </is>
      </c>
      <c r="B7" t="inlineStr">
        <is>
          <t>magasin NON BIO</t>
        </is>
      </c>
      <c r="C7" t="inlineStr">
        <is>
          <t>Ail semoule</t>
        </is>
      </c>
      <c r="D7" t="inlineStr">
        <is>
          <t>Ducros</t>
        </is>
      </c>
      <c r="E7" t="inlineStr">
        <is>
          <t>38g</t>
        </is>
      </c>
      <c r="F7" t="n">
        <v>1.59</v>
      </c>
      <c r="G7" t="n">
        <v>41.84</v>
      </c>
    </row>
    <row r="8">
      <c r="A8" t="inlineStr">
        <is>
          <t>Ail semoule</t>
        </is>
      </c>
      <c r="B8" t="inlineStr">
        <is>
          <t>artisanale BIO</t>
        </is>
      </c>
      <c r="C8" t="inlineStr">
        <is>
          <t>Ail noir</t>
        </is>
      </c>
      <c r="D8" t="inlineStr">
        <is>
          <t>B par Maison Boutarin</t>
        </is>
      </c>
      <c r="E8" t="inlineStr">
        <is>
          <t>120g</t>
        </is>
      </c>
      <c r="F8" t="n">
        <v>14.5</v>
      </c>
      <c r="G8" t="n">
        <v>120.83</v>
      </c>
    </row>
    <row r="9">
      <c r="A9" t="inlineStr">
        <is>
          <t>Baharat arabe</t>
        </is>
      </c>
      <c r="B9" t="inlineStr">
        <is>
          <t>magasin BIO</t>
        </is>
      </c>
      <c r="C9" t="inlineStr">
        <is>
          <t>Melange d'epices Baharat Bio</t>
        </is>
      </c>
      <c r="D9" t="inlineStr">
        <is>
          <t>Cook</t>
        </is>
      </c>
      <c r="E9" t="inlineStr">
        <is>
          <t>50g</t>
        </is>
      </c>
      <c r="F9" t="n">
        <v>5.5</v>
      </c>
      <c r="G9" t="n">
        <v>110</v>
      </c>
    </row>
    <row r="10">
      <c r="A10" t="inlineStr">
        <is>
          <t>Baharat arabe</t>
        </is>
      </c>
      <c r="B10" t="inlineStr">
        <is>
          <t>magasin NON BIO</t>
        </is>
      </c>
      <c r="C10" t="inlineStr">
        <is>
          <t>Baharat Spice Blend</t>
        </is>
      </c>
      <c r="D10" t="inlineStr">
        <is>
          <t>Silk Road Spices</t>
        </is>
      </c>
      <c r="E10" t="inlineStr">
        <is>
          <t>100g</t>
        </is>
      </c>
      <c r="F10" t="n">
        <v>6.99</v>
      </c>
      <c r="G10" t="n">
        <v>69.90000000000001</v>
      </c>
    </row>
    <row r="11">
      <c r="A11" t="inlineStr">
        <is>
          <t>Baharat arabe</t>
        </is>
      </c>
      <c r="B11" t="inlineStr">
        <is>
          <t>artisanale BIO</t>
        </is>
      </c>
      <c r="C11" t="inlineStr">
        <is>
          <t>Baharat Artisanal Bio</t>
        </is>
      </c>
      <c r="D11" t="inlineStr">
        <is>
          <t>Les Jardins de Gaïa</t>
        </is>
      </c>
      <c r="E11" t="inlineStr">
        <is>
          <t>100g</t>
        </is>
      </c>
      <c r="F11" t="n">
        <v>7.5</v>
      </c>
      <c r="G11" t="n">
        <v>75</v>
      </c>
    </row>
    <row r="12">
      <c r="A12" t="inlineStr">
        <is>
          <t>Baharat turc</t>
        </is>
      </c>
      <c r="B12" t="inlineStr">
        <is>
          <t>magasin BIO</t>
        </is>
      </c>
      <c r="C12" t="inlineStr">
        <is>
          <t>Melange d'epices Baharat Bio</t>
        </is>
      </c>
      <c r="D12" t="inlineStr">
        <is>
          <t>Cook</t>
        </is>
      </c>
      <c r="E12" t="inlineStr">
        <is>
          <t>50g</t>
        </is>
      </c>
      <c r="F12" t="n">
        <v>5.5</v>
      </c>
      <c r="G12" t="n">
        <v>110</v>
      </c>
    </row>
    <row r="13">
      <c r="A13" t="inlineStr">
        <is>
          <t>Baharat turc</t>
        </is>
      </c>
      <c r="B13" t="inlineStr">
        <is>
          <t>magasin NON BIO</t>
        </is>
      </c>
      <c r="C13" t="inlineStr">
        <is>
          <t>Baharat Turkish Spice Blend</t>
        </is>
      </c>
      <c r="D13" t="inlineStr">
        <is>
          <t>Silk Road Spices</t>
        </is>
      </c>
      <c r="E13" t="inlineStr">
        <is>
          <t>100g</t>
        </is>
      </c>
      <c r="F13" t="n">
        <v>6.99</v>
      </c>
      <c r="G13" t="n">
        <v>69.90000000000001</v>
      </c>
    </row>
    <row r="14">
      <c r="A14" t="inlineStr">
        <is>
          <t>Baharat turc</t>
        </is>
      </c>
      <c r="B14" t="inlineStr">
        <is>
          <t>artisanale BIO</t>
        </is>
      </c>
      <c r="C14" t="inlineStr">
        <is>
          <t>Baharat Turc Artisanal Bio</t>
        </is>
      </c>
      <c r="D14" t="inlineStr">
        <is>
          <t>Les Jardins de Gaïa</t>
        </is>
      </c>
      <c r="E14" t="inlineStr">
        <is>
          <t>100g</t>
        </is>
      </c>
      <c r="F14" t="n">
        <v>7.5</v>
      </c>
      <c r="G14" t="n">
        <v>75</v>
      </c>
    </row>
    <row r="15">
      <c r="A15" t="inlineStr">
        <is>
          <t>Carvi graine</t>
        </is>
      </c>
      <c r="B15" t="inlineStr">
        <is>
          <t>magasin BIO</t>
        </is>
      </c>
      <c r="C15" t="inlineStr">
        <is>
          <t>Carvi Graine Bio</t>
        </is>
      </c>
      <c r="D15" t="inlineStr">
        <is>
          <t>Biocoop</t>
        </is>
      </c>
      <c r="E15" t="inlineStr">
        <is>
          <t>100g</t>
        </is>
      </c>
      <c r="F15" t="n">
        <v>2.95</v>
      </c>
      <c r="G15" t="n">
        <v>29.5</v>
      </c>
    </row>
    <row r="16">
      <c r="A16" t="inlineStr">
        <is>
          <t>Carvi graine</t>
        </is>
      </c>
      <c r="B16" t="inlineStr">
        <is>
          <t>magasin NON BIO</t>
        </is>
      </c>
      <c r="C16" t="inlineStr">
        <is>
          <t>Carvi graines</t>
        </is>
      </c>
      <c r="D16" t="inlineStr">
        <is>
          <t>Ducros</t>
        </is>
      </c>
      <c r="E16" t="inlineStr">
        <is>
          <t>28g</t>
        </is>
      </c>
      <c r="F16" t="n">
        <v>1.49</v>
      </c>
      <c r="G16" t="n">
        <v>53.21</v>
      </c>
    </row>
    <row r="17">
      <c r="A17" t="inlineStr">
        <is>
          <t>Carvi graine</t>
        </is>
      </c>
      <c r="B17" t="inlineStr">
        <is>
          <t>artisanale BIO</t>
        </is>
      </c>
      <c r="C17" t="inlineStr">
        <is>
          <t>Carvi Graine</t>
        </is>
      </c>
      <c r="D17" t="inlineStr">
        <is>
          <t>Ethnoscience</t>
        </is>
      </c>
      <c r="E17" t="inlineStr">
        <is>
          <t>50g</t>
        </is>
      </c>
      <c r="F17" t="n">
        <v>3.2</v>
      </c>
      <c r="G17" t="n">
        <v>64</v>
      </c>
    </row>
    <row r="18">
      <c r="A18" t="inlineStr">
        <is>
          <t>Carvi moulu</t>
        </is>
      </c>
      <c r="B18" t="inlineStr">
        <is>
          <t>magasin BIO</t>
        </is>
      </c>
      <c r="C18" t="inlineStr">
        <is>
          <t>Carvi moulu Bio</t>
        </is>
      </c>
      <c r="D18" t="inlineStr">
        <is>
          <t>Healing Nature</t>
        </is>
      </c>
      <c r="E18" t="inlineStr">
        <is>
          <t>100g</t>
        </is>
      </c>
      <c r="F18" t="n">
        <v>2.7</v>
      </c>
      <c r="G18" t="n">
        <v>27</v>
      </c>
    </row>
    <row r="19">
      <c r="A19" t="inlineStr">
        <is>
          <t>Carvi moulu</t>
        </is>
      </c>
      <c r="B19" t="inlineStr">
        <is>
          <t>magasin NON BIO</t>
        </is>
      </c>
      <c r="C19" t="inlineStr">
        <is>
          <t>Caraway ground</t>
        </is>
      </c>
      <c r="D19" t="inlineStr">
        <is>
          <t>Bulkfoods</t>
        </is>
      </c>
      <c r="E19" t="inlineStr">
        <is>
          <t>454g</t>
        </is>
      </c>
      <c r="F19" t="n">
        <v>9.390000000000001</v>
      </c>
      <c r="G19" t="n">
        <v>20.69</v>
      </c>
    </row>
    <row r="20">
      <c r="A20" t="inlineStr">
        <is>
          <t>Carvi moulu</t>
        </is>
      </c>
      <c r="B20" t="inlineStr">
        <is>
          <t>artisanale BIO</t>
        </is>
      </c>
      <c r="C20" t="inlineStr">
        <is>
          <t>Carvi moulu Bio</t>
        </is>
      </c>
      <c r="D20" t="inlineStr">
        <is>
          <t>Sonnentor</t>
        </is>
      </c>
      <c r="E20" t="inlineStr">
        <is>
          <t>60g</t>
        </is>
      </c>
      <c r="F20" t="n">
        <v>2.69</v>
      </c>
      <c r="G20" t="n">
        <v>44.8</v>
      </c>
    </row>
    <row r="21">
      <c r="A21" t="inlineStr">
        <is>
          <t>Cumin graine</t>
        </is>
      </c>
      <c r="B21" t="inlineStr">
        <is>
          <t>magasin BIO</t>
        </is>
      </c>
      <c r="C21" t="inlineStr">
        <is>
          <t>Cumin graines</t>
        </is>
      </c>
      <c r="D21" t="inlineStr">
        <is>
          <t>Cook</t>
        </is>
      </c>
      <c r="E21" t="inlineStr">
        <is>
          <t>500g</t>
        </is>
      </c>
      <c r="F21" t="n">
        <v>9.99</v>
      </c>
      <c r="G21" t="n">
        <v>19.98</v>
      </c>
    </row>
    <row r="22">
      <c r="A22" t="inlineStr">
        <is>
          <t>Cumin graine</t>
        </is>
      </c>
      <c r="B22" t="inlineStr">
        <is>
          <t>magasin NON BIO</t>
        </is>
      </c>
      <c r="C22" t="inlineStr">
        <is>
          <t>Cumin graines</t>
        </is>
      </c>
      <c r="D22" t="inlineStr">
        <is>
          <t>Ducros</t>
        </is>
      </c>
      <c r="E22" t="inlineStr">
        <is>
          <t>50g</t>
        </is>
      </c>
      <c r="F22" t="n">
        <v>2.3</v>
      </c>
      <c r="G22" t="n">
        <v>46</v>
      </c>
    </row>
    <row r="23">
      <c r="A23" t="inlineStr">
        <is>
          <t>Cumin graine</t>
        </is>
      </c>
      <c r="B23" t="inlineStr">
        <is>
          <t>artisanale BIO</t>
        </is>
      </c>
      <c r="C23" t="inlineStr">
        <is>
          <t>Cumin graine eco-recharge</t>
        </is>
      </c>
      <c r="D23" t="inlineStr">
        <is>
          <t>Arcadie</t>
        </is>
      </c>
      <c r="E23" t="inlineStr">
        <is>
          <t>40g</t>
        </is>
      </c>
      <c r="F23" t="n">
        <v>2.6</v>
      </c>
      <c r="G23" t="n">
        <v>65</v>
      </c>
    </row>
    <row r="24">
      <c r="A24" t="inlineStr">
        <is>
          <t>Cumin moulu</t>
        </is>
      </c>
      <c r="B24" t="inlineStr">
        <is>
          <t>magasin BIO</t>
        </is>
      </c>
      <c r="C24" t="inlineStr">
        <is>
          <t>Cumin moulu</t>
        </is>
      </c>
      <c r="D24" t="inlineStr">
        <is>
          <t>Cook</t>
        </is>
      </c>
      <c r="E24" t="inlineStr">
        <is>
          <t>100g</t>
        </is>
      </c>
      <c r="F24" t="n">
        <v>3.9</v>
      </c>
      <c r="G24" t="n">
        <v>39</v>
      </c>
    </row>
    <row r="25">
      <c r="A25" t="inlineStr">
        <is>
          <t>Cumin moulu</t>
        </is>
      </c>
      <c r="B25" t="inlineStr">
        <is>
          <t>magasin NON BIO</t>
        </is>
      </c>
      <c r="C25" t="inlineStr">
        <is>
          <t>Cumin moulu</t>
        </is>
      </c>
      <c r="D25" t="inlineStr">
        <is>
          <t>Ducros</t>
        </is>
      </c>
      <c r="E25" t="inlineStr">
        <is>
          <t>35g</t>
        </is>
      </c>
      <c r="F25" t="n">
        <v>1.89</v>
      </c>
      <c r="G25" t="n">
        <v>54</v>
      </c>
    </row>
    <row r="26">
      <c r="A26" t="inlineStr">
        <is>
          <t>Cumin moulu</t>
        </is>
      </c>
      <c r="B26" t="inlineStr">
        <is>
          <t>artisanale BIO</t>
        </is>
      </c>
      <c r="C26" t="inlineStr">
        <is>
          <t>Cumin moulu</t>
        </is>
      </c>
      <c r="D26" t="inlineStr">
        <is>
          <t>Arcadie</t>
        </is>
      </c>
      <c r="E26" t="inlineStr">
        <is>
          <t>40g</t>
        </is>
      </c>
      <c r="F26" t="n">
        <v>2.2</v>
      </c>
      <c r="G26" t="n">
        <v>55</v>
      </c>
    </row>
    <row r="27">
      <c r="A27" t="inlineStr">
        <is>
          <t>Curcuma</t>
        </is>
      </c>
      <c r="B27" t="inlineStr">
        <is>
          <t>magasin BIO</t>
        </is>
      </c>
      <c r="C27" t="inlineStr">
        <is>
          <t>Curcuma moulu</t>
        </is>
      </c>
      <c r="D27" t="inlineStr">
        <is>
          <t>Cook</t>
        </is>
      </c>
      <c r="E27" t="inlineStr">
        <is>
          <t>80g</t>
        </is>
      </c>
      <c r="F27" t="n">
        <v>3.5</v>
      </c>
      <c r="G27" t="n">
        <v>43.75</v>
      </c>
    </row>
    <row r="28">
      <c r="A28" t="inlineStr">
        <is>
          <t>Curcuma</t>
        </is>
      </c>
      <c r="B28" t="inlineStr">
        <is>
          <t>magasin NON BIO</t>
        </is>
      </c>
      <c r="C28" t="inlineStr">
        <is>
          <t>Curcuma moulu</t>
        </is>
      </c>
      <c r="D28" t="inlineStr">
        <is>
          <t>Ducros</t>
        </is>
      </c>
      <c r="E28" t="inlineStr">
        <is>
          <t>40g</t>
        </is>
      </c>
      <c r="F28" t="n">
        <v>2.05</v>
      </c>
      <c r="G28" t="n">
        <v>51.25</v>
      </c>
    </row>
    <row r="29">
      <c r="A29" t="inlineStr">
        <is>
          <t>Curcuma</t>
        </is>
      </c>
      <c r="B29" t="inlineStr">
        <is>
          <t>artisanale BIO</t>
        </is>
      </c>
      <c r="C29" t="inlineStr">
        <is>
          <t>Curcuma poudre</t>
        </is>
      </c>
      <c r="D29" t="inlineStr">
        <is>
          <t>Le Comptoir Colonial</t>
        </is>
      </c>
      <c r="E29" t="inlineStr">
        <is>
          <t>50g</t>
        </is>
      </c>
      <c r="F29" t="n">
        <v>4</v>
      </c>
      <c r="G29" t="n">
        <v>80</v>
      </c>
    </row>
    <row r="30">
      <c r="A30" t="inlineStr">
        <is>
          <t>Curry</t>
        </is>
      </c>
      <c r="B30" t="inlineStr">
        <is>
          <t>magasin BIO</t>
        </is>
      </c>
      <c r="C30" t="inlineStr">
        <is>
          <t>Curry poudre</t>
        </is>
      </c>
      <c r="D30" t="inlineStr">
        <is>
          <t>Cook</t>
        </is>
      </c>
      <c r="E30" t="inlineStr">
        <is>
          <t>100g</t>
        </is>
      </c>
      <c r="F30" t="n">
        <v>4.5</v>
      </c>
      <c r="G30" t="n">
        <v>45</v>
      </c>
    </row>
    <row r="31">
      <c r="A31" t="inlineStr">
        <is>
          <t>Curry</t>
        </is>
      </c>
      <c r="B31" t="inlineStr">
        <is>
          <t>magasin NON BIO</t>
        </is>
      </c>
      <c r="C31" t="inlineStr">
        <is>
          <t>Curry poudre</t>
        </is>
      </c>
      <c r="D31" t="inlineStr">
        <is>
          <t>Ducros</t>
        </is>
      </c>
      <c r="E31" t="inlineStr">
        <is>
          <t>45g</t>
        </is>
      </c>
      <c r="F31" t="n">
        <v>2.1</v>
      </c>
      <c r="G31" t="n">
        <v>46.67</v>
      </c>
    </row>
    <row r="32">
      <c r="A32" t="inlineStr">
        <is>
          <t>Curry</t>
        </is>
      </c>
      <c r="B32" t="inlineStr">
        <is>
          <t>artisanale BIO</t>
        </is>
      </c>
      <c r="C32" t="inlineStr">
        <is>
          <t>Curry poudre</t>
        </is>
      </c>
      <c r="D32" t="inlineStr">
        <is>
          <t>Arcadie</t>
        </is>
      </c>
      <c r="E32" t="inlineStr">
        <is>
          <t>50g</t>
        </is>
      </c>
      <c r="F32" t="n">
        <v>3</v>
      </c>
      <c r="G32" t="n">
        <v>60</v>
      </c>
    </row>
    <row r="33">
      <c r="A33" t="inlineStr">
        <is>
          <t>Curry Madras</t>
        </is>
      </c>
      <c r="B33" t="inlineStr">
        <is>
          <t>magasin BIO</t>
        </is>
      </c>
      <c r="C33" t="inlineStr">
        <is>
          <t>Curry Madras fort</t>
        </is>
      </c>
      <c r="D33" t="inlineStr">
        <is>
          <t>Cook</t>
        </is>
      </c>
      <c r="E33" t="inlineStr">
        <is>
          <t>50g</t>
        </is>
      </c>
      <c r="F33" t="n">
        <v>2.8</v>
      </c>
      <c r="G33" t="n">
        <v>56</v>
      </c>
    </row>
    <row r="34">
      <c r="A34" t="inlineStr">
        <is>
          <t>Curry Madras</t>
        </is>
      </c>
      <c r="B34" t="inlineStr">
        <is>
          <t>magasin NON BIO</t>
        </is>
      </c>
      <c r="C34" t="inlineStr">
        <is>
          <t>Curry Madras</t>
        </is>
      </c>
      <c r="D34" t="inlineStr">
        <is>
          <t>Ducros</t>
        </is>
      </c>
      <c r="E34" t="inlineStr">
        <is>
          <t>38g</t>
        </is>
      </c>
      <c r="F34" t="n">
        <v>1.95</v>
      </c>
      <c r="G34" t="n">
        <v>51.32</v>
      </c>
    </row>
    <row r="35">
      <c r="A35" t="inlineStr">
        <is>
          <t>Curry Madras</t>
        </is>
      </c>
      <c r="B35" t="inlineStr">
        <is>
          <t>artisanale BIO</t>
        </is>
      </c>
      <c r="C35" t="inlineStr">
        <is>
          <t>Curry Madras en poudre</t>
        </is>
      </c>
      <c r="D35" t="inlineStr">
        <is>
          <t>Les Jardins de Gaïa</t>
        </is>
      </c>
      <c r="E35" t="inlineStr">
        <is>
          <t>50g</t>
        </is>
      </c>
      <c r="F35" t="n">
        <v>4.5</v>
      </c>
      <c r="G35" t="n">
        <v>90</v>
      </c>
    </row>
    <row r="36">
      <c r="A36" t="inlineStr">
        <is>
          <t>epices Tandoori</t>
        </is>
      </c>
      <c r="B36" t="inlineStr">
        <is>
          <t>magasin BIO</t>
        </is>
      </c>
      <c r="C36" t="inlineStr">
        <is>
          <t>epices Tandoori</t>
        </is>
      </c>
      <c r="D36" t="inlineStr">
        <is>
          <t>Cook</t>
        </is>
      </c>
      <c r="E36" t="inlineStr">
        <is>
          <t>50g</t>
        </is>
      </c>
      <c r="F36" t="n">
        <v>3.5</v>
      </c>
      <c r="G36" t="n">
        <v>70</v>
      </c>
    </row>
    <row r="37">
      <c r="A37" t="inlineStr">
        <is>
          <t>epices Tandoori</t>
        </is>
      </c>
      <c r="B37" t="inlineStr">
        <is>
          <t>magasin NON BIO</t>
        </is>
      </c>
      <c r="C37" t="inlineStr">
        <is>
          <t>Tandoori</t>
        </is>
      </c>
      <c r="D37" t="inlineStr">
        <is>
          <t>Ducros</t>
        </is>
      </c>
      <c r="E37" t="inlineStr">
        <is>
          <t>39g</t>
        </is>
      </c>
      <c r="F37" t="n">
        <v>2.2</v>
      </c>
      <c r="G37" t="n">
        <v>56.41</v>
      </c>
    </row>
    <row r="38">
      <c r="A38" t="inlineStr">
        <is>
          <t>epices Tandoori</t>
        </is>
      </c>
      <c r="B38" t="inlineStr">
        <is>
          <t>artisanale BIO</t>
        </is>
      </c>
      <c r="C38" t="inlineStr">
        <is>
          <t>Tandoori Masala</t>
        </is>
      </c>
      <c r="D38" t="inlineStr">
        <is>
          <t>Les Jardins de Gaïa</t>
        </is>
      </c>
      <c r="E38" t="inlineStr">
        <is>
          <t>40g</t>
        </is>
      </c>
      <c r="F38" t="n">
        <v>4</v>
      </c>
      <c r="G38" t="n">
        <v>100</v>
      </c>
    </row>
    <row r="39">
      <c r="A39" t="inlineStr">
        <is>
          <t>Epices viandes rouges</t>
        </is>
      </c>
      <c r="B39" t="inlineStr">
        <is>
          <t>magasin BIO</t>
        </is>
      </c>
      <c r="C39" t="inlineStr">
        <is>
          <t>Melange epices viandes rouges</t>
        </is>
      </c>
      <c r="D39" t="inlineStr">
        <is>
          <t>Cook</t>
        </is>
      </c>
      <c r="E39" t="inlineStr">
        <is>
          <t>35g</t>
        </is>
      </c>
      <c r="F39" t="n">
        <v>2.8</v>
      </c>
      <c r="G39" t="n">
        <v>80</v>
      </c>
    </row>
    <row r="40">
      <c r="A40" t="inlineStr">
        <is>
          <t>Epices viandes rouges</t>
        </is>
      </c>
      <c r="B40" t="inlineStr">
        <is>
          <t>magasin NON BIO</t>
        </is>
      </c>
      <c r="C40" t="inlineStr">
        <is>
          <t>Melange d'epices pour viandes rouges</t>
        </is>
      </c>
      <c r="D40" t="inlineStr">
        <is>
          <t>Ducros</t>
        </is>
      </c>
      <c r="E40" t="inlineStr">
        <is>
          <t>39g</t>
        </is>
      </c>
      <c r="F40" t="n">
        <v>2.15</v>
      </c>
      <c r="G40" t="n">
        <v>55.13</v>
      </c>
    </row>
    <row r="41">
      <c r="A41" t="inlineStr">
        <is>
          <t>Epices viandes rouges</t>
        </is>
      </c>
      <c r="B41" t="inlineStr">
        <is>
          <t>artisanale BIO</t>
        </is>
      </c>
      <c r="C41" t="inlineStr">
        <is>
          <t>Melange epices grillades viandes rouges</t>
        </is>
      </c>
      <c r="D41" t="inlineStr">
        <is>
          <t>Arcadie</t>
        </is>
      </c>
      <c r="E41" t="inlineStr">
        <is>
          <t>35g</t>
        </is>
      </c>
      <c r="F41" t="n">
        <v>3</v>
      </c>
      <c r="G41" t="n">
        <v>85.70999999999999</v>
      </c>
    </row>
    <row r="42">
      <c r="A42" t="inlineStr">
        <is>
          <t>Gingembre sec</t>
        </is>
      </c>
      <c r="B42" t="inlineStr">
        <is>
          <t>magasin BIO</t>
        </is>
      </c>
      <c r="C42" t="inlineStr">
        <is>
          <t>Gingembre poudre</t>
        </is>
      </c>
      <c r="D42" t="inlineStr">
        <is>
          <t>Cook</t>
        </is>
      </c>
      <c r="E42" t="inlineStr">
        <is>
          <t>100g</t>
        </is>
      </c>
      <c r="F42" t="n">
        <v>3.9</v>
      </c>
      <c r="G42" t="n">
        <v>39</v>
      </c>
    </row>
    <row r="43">
      <c r="A43" t="inlineStr">
        <is>
          <t>Gingembre sec</t>
        </is>
      </c>
      <c r="B43" t="inlineStr">
        <is>
          <t>magasin NON BIO</t>
        </is>
      </c>
      <c r="C43" t="inlineStr">
        <is>
          <t>Gingembre moulu</t>
        </is>
      </c>
      <c r="D43" t="inlineStr">
        <is>
          <t>Ducros</t>
        </is>
      </c>
      <c r="E43" t="inlineStr">
        <is>
          <t>28g</t>
        </is>
      </c>
      <c r="F43" t="n">
        <v>2.15</v>
      </c>
      <c r="G43" t="n">
        <v>76.79000000000001</v>
      </c>
    </row>
    <row r="44">
      <c r="A44" t="inlineStr">
        <is>
          <t>Gingembre sec</t>
        </is>
      </c>
      <c r="B44" t="inlineStr">
        <is>
          <t>artisanale BIO</t>
        </is>
      </c>
      <c r="C44" t="inlineStr">
        <is>
          <t>Gingembre moulu</t>
        </is>
      </c>
      <c r="D44" t="inlineStr">
        <is>
          <t>Arcadie</t>
        </is>
      </c>
      <c r="E44" t="inlineStr">
        <is>
          <t>40g</t>
        </is>
      </c>
      <c r="F44" t="n">
        <v>2.6</v>
      </c>
      <c r="G44" t="n">
        <v>65</v>
      </c>
    </row>
    <row r="45">
      <c r="A45" t="inlineStr">
        <is>
          <t>Herbes de Provence</t>
        </is>
      </c>
      <c r="B45" t="inlineStr">
        <is>
          <t>magasin BIO</t>
        </is>
      </c>
      <c r="C45" t="inlineStr">
        <is>
          <t>Herbes de Provence</t>
        </is>
      </c>
      <c r="D45" t="inlineStr">
        <is>
          <t>Cook</t>
        </is>
      </c>
      <c r="E45" t="inlineStr">
        <is>
          <t>20g</t>
        </is>
      </c>
      <c r="F45" t="n">
        <v>2.79</v>
      </c>
      <c r="G45" t="n">
        <v>139.5</v>
      </c>
    </row>
    <row r="46">
      <c r="A46" t="inlineStr">
        <is>
          <t>Herbes de Provence</t>
        </is>
      </c>
      <c r="B46" t="inlineStr">
        <is>
          <t>magasin NON BIO</t>
        </is>
      </c>
      <c r="C46" t="inlineStr">
        <is>
          <t>Herbes de Provence</t>
        </is>
      </c>
      <c r="D46" t="inlineStr">
        <is>
          <t>Ducros</t>
        </is>
      </c>
      <c r="E46" t="inlineStr">
        <is>
          <t>25g</t>
        </is>
      </c>
      <c r="F46" t="n">
        <v>1.89</v>
      </c>
      <c r="G46" t="n">
        <v>75.59999999999999</v>
      </c>
    </row>
    <row r="47">
      <c r="A47" t="inlineStr">
        <is>
          <t>Herbes de Provence</t>
        </is>
      </c>
      <c r="B47" t="inlineStr">
        <is>
          <t>artisanale BIO</t>
        </is>
      </c>
      <c r="C47" t="inlineStr">
        <is>
          <t>Herbes de Provence</t>
        </is>
      </c>
      <c r="D47" t="inlineStr">
        <is>
          <t>Le champ de l'air</t>
        </is>
      </c>
      <c r="E47" t="inlineStr">
        <is>
          <t>25g</t>
        </is>
      </c>
      <c r="F47" t="n">
        <v>4.2</v>
      </c>
      <c r="G47" t="n">
        <v>168</v>
      </c>
    </row>
    <row r="48">
      <c r="A48" t="inlineStr">
        <is>
          <t>Ketchup</t>
        </is>
      </c>
      <c r="B48" t="inlineStr">
        <is>
          <t>magasin BIO</t>
        </is>
      </c>
      <c r="C48" t="inlineStr">
        <is>
          <t>L'Incroyable Ketchup</t>
        </is>
      </c>
      <c r="D48" t="inlineStr">
        <is>
          <t>Quintesens</t>
        </is>
      </c>
      <c r="E48" t="inlineStr">
        <is>
          <t>280g</t>
        </is>
      </c>
      <c r="F48" t="n">
        <v>4.5</v>
      </c>
      <c r="G48" t="n">
        <v>16.07</v>
      </c>
    </row>
    <row r="49">
      <c r="A49" t="inlineStr">
        <is>
          <t>Ketchup</t>
        </is>
      </c>
      <c r="B49" t="inlineStr">
        <is>
          <t>magasin BIO</t>
        </is>
      </c>
      <c r="C49" t="inlineStr">
        <is>
          <t>Ketchup tomate sans sucre ajoute</t>
        </is>
      </c>
      <c r="D49" t="inlineStr">
        <is>
          <t>Emilien</t>
        </is>
      </c>
      <c r="E49" t="inlineStr">
        <is>
          <t>360g</t>
        </is>
      </c>
      <c r="F49" t="n">
        <v>3.8</v>
      </c>
      <c r="G49" t="n">
        <v>10.56</v>
      </c>
    </row>
    <row r="50">
      <c r="A50" t="inlineStr">
        <is>
          <t>Ketchup</t>
        </is>
      </c>
      <c r="B50" t="inlineStr">
        <is>
          <t>magasin BIO</t>
        </is>
      </c>
      <c r="C50" t="inlineStr">
        <is>
          <t>Ketchup sucre canne squeezer bio</t>
        </is>
      </c>
      <c r="D50" t="inlineStr">
        <is>
          <t>Secrets du Midi</t>
        </is>
      </c>
      <c r="E50" t="inlineStr">
        <is>
          <t>340g</t>
        </is>
      </c>
      <c r="F50" t="n">
        <v>3.2</v>
      </c>
      <c r="G50" t="n">
        <v>9.41</v>
      </c>
    </row>
    <row r="51">
      <c r="A51" t="inlineStr">
        <is>
          <t>Ketchup</t>
        </is>
      </c>
      <c r="B51" t="inlineStr">
        <is>
          <t>magasin NON BIO</t>
        </is>
      </c>
      <c r="C51" t="inlineStr">
        <is>
          <t>Ketchup</t>
        </is>
      </c>
      <c r="D51" t="inlineStr">
        <is>
          <t>Heinz</t>
        </is>
      </c>
      <c r="E51" t="inlineStr">
        <is>
          <t>500g</t>
        </is>
      </c>
      <c r="F51" t="n">
        <v>2.5</v>
      </c>
      <c r="G51" t="n">
        <v>5</v>
      </c>
    </row>
    <row r="52">
      <c r="A52" t="inlineStr">
        <is>
          <t>Ketchup</t>
        </is>
      </c>
      <c r="B52" t="inlineStr">
        <is>
          <t>artisanale BIO</t>
        </is>
      </c>
      <c r="C52" t="inlineStr">
        <is>
          <t>Ketchup artisanal bio</t>
        </is>
      </c>
      <c r="D52" t="inlineStr">
        <is>
          <t>Bio Loire Ocean</t>
        </is>
      </c>
      <c r="E52" t="inlineStr">
        <is>
          <t>250g</t>
        </is>
      </c>
      <c r="F52" t="n">
        <v>4</v>
      </c>
      <c r="G52" t="n">
        <v>16</v>
      </c>
    </row>
    <row r="53">
      <c r="A53" t="inlineStr">
        <is>
          <t>Moutarde à l'ancienne</t>
        </is>
      </c>
      <c r="B53" t="inlineStr">
        <is>
          <t>magasin BIO</t>
        </is>
      </c>
      <c r="C53" t="inlineStr">
        <is>
          <t>Moutarde à l'ancienne aux graines françaises</t>
        </is>
      </c>
      <c r="D53" t="inlineStr">
        <is>
          <t>Bioster</t>
        </is>
      </c>
      <c r="E53" t="inlineStr">
        <is>
          <t>200g</t>
        </is>
      </c>
      <c r="F53" t="n">
        <v>3.65</v>
      </c>
      <c r="G53" t="n">
        <v>18.25</v>
      </c>
    </row>
    <row r="54">
      <c r="A54" t="inlineStr">
        <is>
          <t>Moutarde à l'ancienne</t>
        </is>
      </c>
      <c r="B54" t="inlineStr">
        <is>
          <t>magasin NON BIO</t>
        </is>
      </c>
      <c r="C54" t="inlineStr">
        <is>
          <t>Moutarde à l'ancienne</t>
        </is>
      </c>
      <c r="D54" t="inlineStr">
        <is>
          <t>Amora</t>
        </is>
      </c>
      <c r="E54" t="inlineStr">
        <is>
          <t>370g</t>
        </is>
      </c>
      <c r="F54" t="n">
        <v>2.15</v>
      </c>
      <c r="G54" t="n">
        <v>5.81</v>
      </c>
    </row>
    <row r="55">
      <c r="A55" t="inlineStr">
        <is>
          <t>Moutarde à l'ancienne</t>
        </is>
      </c>
      <c r="B55" t="inlineStr">
        <is>
          <t>artisanale BIO</t>
        </is>
      </c>
      <c r="C55" t="inlineStr">
        <is>
          <t>Moutarde à l'ancienne</t>
        </is>
      </c>
      <c r="D55" t="inlineStr">
        <is>
          <t>Bioster</t>
        </is>
      </c>
      <c r="E55" t="inlineStr">
        <is>
          <t>200g</t>
        </is>
      </c>
      <c r="F55" t="n">
        <v>5.9</v>
      </c>
      <c r="G55">
        <f>TableauConcurence[[#This Row],[PRIX]]/_xlfn.NUMBERVALUE(TableauConcurence[[#This Row],[GRAMMAGE]],"g")*1000</f>
        <v/>
      </c>
    </row>
    <row r="56">
      <c r="A56" t="inlineStr">
        <is>
          <t>Moutarde à l'estragon</t>
        </is>
      </c>
      <c r="B56" t="inlineStr">
        <is>
          <t>magasin BIO</t>
        </is>
      </c>
      <c r="C56" t="inlineStr">
        <is>
          <t>Moutarde à l'estragon</t>
        </is>
      </c>
      <c r="D56" t="inlineStr">
        <is>
          <t>Delouis</t>
        </is>
      </c>
      <c r="E56" t="inlineStr">
        <is>
          <t>200g</t>
        </is>
      </c>
      <c r="F56" t="n">
        <v>3.65</v>
      </c>
      <c r="G56" t="n">
        <v>18.25</v>
      </c>
    </row>
    <row r="57">
      <c r="A57" t="inlineStr">
        <is>
          <t>Moutarde à l'estragon</t>
        </is>
      </c>
      <c r="B57" t="inlineStr">
        <is>
          <t>magasin NON BIO</t>
        </is>
      </c>
      <c r="C57" t="inlineStr">
        <is>
          <t>Moutarde à l'estragon</t>
        </is>
      </c>
      <c r="D57" t="inlineStr">
        <is>
          <t>Amora</t>
        </is>
      </c>
      <c r="E57" t="inlineStr">
        <is>
          <t>260g</t>
        </is>
      </c>
      <c r="F57" t="n">
        <v>1.89</v>
      </c>
      <c r="G57" t="n">
        <v>7.27</v>
      </c>
    </row>
    <row r="58">
      <c r="A58" t="inlineStr">
        <is>
          <t>Moutarde à l'estragon</t>
        </is>
      </c>
      <c r="B58" t="inlineStr">
        <is>
          <t>artisanale BIO</t>
        </is>
      </c>
      <c r="C58" t="inlineStr">
        <is>
          <t>Moutarde à l'estragon</t>
        </is>
      </c>
      <c r="D58" t="inlineStr">
        <is>
          <t>Le champ de l'air</t>
        </is>
      </c>
      <c r="E58" t="inlineStr">
        <is>
          <t>200g</t>
        </is>
      </c>
      <c r="F58" t="n">
        <v>4.2</v>
      </c>
      <c r="G58" t="n">
        <v>21</v>
      </c>
    </row>
    <row r="59">
      <c r="A59" t="inlineStr">
        <is>
          <t>Paprika</t>
        </is>
      </c>
      <c r="B59" t="inlineStr">
        <is>
          <t>magasin BIO</t>
        </is>
      </c>
      <c r="C59" t="inlineStr">
        <is>
          <t>Paprika doux en poudre</t>
        </is>
      </c>
      <c r="D59" t="inlineStr">
        <is>
          <t>Arcadie</t>
        </is>
      </c>
      <c r="E59" t="inlineStr">
        <is>
          <t>50g</t>
        </is>
      </c>
      <c r="F59" t="n">
        <v>2.99</v>
      </c>
      <c r="G59" t="n">
        <v>59.8</v>
      </c>
    </row>
    <row r="60">
      <c r="A60" t="inlineStr">
        <is>
          <t>Paprika</t>
        </is>
      </c>
      <c r="B60" t="inlineStr">
        <is>
          <t>magasin NON BIO</t>
        </is>
      </c>
      <c r="C60" t="inlineStr">
        <is>
          <t>Paprika doux</t>
        </is>
      </c>
      <c r="D60" t="inlineStr">
        <is>
          <t>Ducros</t>
        </is>
      </c>
      <c r="E60" t="inlineStr">
        <is>
          <t>40g</t>
        </is>
      </c>
      <c r="F60" t="n">
        <v>2.1</v>
      </c>
      <c r="G60" t="n">
        <v>52.5</v>
      </c>
    </row>
    <row r="61">
      <c r="A61" t="inlineStr">
        <is>
          <t>Paprika</t>
        </is>
      </c>
      <c r="B61" t="inlineStr">
        <is>
          <t>artisanale BIO</t>
        </is>
      </c>
      <c r="C61" t="inlineStr">
        <is>
          <t>Paprika fume</t>
        </is>
      </c>
      <c r="D61" t="inlineStr">
        <is>
          <t>laplantation</t>
        </is>
      </c>
      <c r="E61" t="inlineStr">
        <is>
          <t>40g</t>
        </is>
      </c>
      <c r="F61" t="n">
        <v>8.27</v>
      </c>
      <c r="G61">
        <f>TableauConcurence[[#This Row],[PRIX]]/40*1000</f>
        <v/>
      </c>
    </row>
    <row r="62">
      <c r="A62" t="inlineStr">
        <is>
          <t>Paprika fumé</t>
        </is>
      </c>
      <c r="B62" t="inlineStr">
        <is>
          <t>magasin BIO</t>
        </is>
      </c>
      <c r="C62" t="inlineStr">
        <is>
          <t>Paprika fume</t>
        </is>
      </c>
      <c r="D62" t="inlineStr">
        <is>
          <t>Aromandise</t>
        </is>
      </c>
      <c r="E62" t="inlineStr">
        <is>
          <t>60g</t>
        </is>
      </c>
      <c r="F62" t="n">
        <v>4.2</v>
      </c>
      <c r="G62" t="n">
        <v>70</v>
      </c>
    </row>
    <row r="63">
      <c r="A63" t="inlineStr">
        <is>
          <t>Paprika fumé</t>
        </is>
      </c>
      <c r="B63" t="inlineStr">
        <is>
          <t>magasin NON BIO</t>
        </is>
      </c>
      <c r="C63" t="inlineStr">
        <is>
          <t>Paprika fume</t>
        </is>
      </c>
      <c r="D63" t="inlineStr">
        <is>
          <t>Ducros</t>
        </is>
      </c>
      <c r="E63" t="inlineStr">
        <is>
          <t>40g</t>
        </is>
      </c>
      <c r="F63" t="n">
        <v>2.3</v>
      </c>
      <c r="G63" t="n">
        <v>57.5</v>
      </c>
    </row>
    <row r="64">
      <c r="A64" t="inlineStr">
        <is>
          <t>Paprika fumé</t>
        </is>
      </c>
      <c r="B64" t="inlineStr">
        <is>
          <t>artisanale BIO</t>
        </is>
      </c>
      <c r="C64" t="inlineStr">
        <is>
          <t>Paprika fume</t>
        </is>
      </c>
      <c r="D64" t="inlineStr">
        <is>
          <t>Le Comptoir Colonial</t>
        </is>
      </c>
      <c r="E64" t="inlineStr">
        <is>
          <t>40g</t>
        </is>
      </c>
      <c r="F64" t="n">
        <v>3.5</v>
      </c>
      <c r="G64" t="n">
        <v>87.5</v>
      </c>
    </row>
    <row r="65">
      <c r="A65" t="inlineStr">
        <is>
          <t>Sirop aux fleurs</t>
        </is>
      </c>
      <c r="B65" t="inlineStr">
        <is>
          <t>magasin BIO</t>
        </is>
      </c>
      <c r="C65" t="inlineStr">
        <is>
          <t>Sirop hibiscus</t>
        </is>
      </c>
      <c r="D65" t="inlineStr">
        <is>
          <t>Maison Meneau</t>
        </is>
      </c>
      <c r="E65" t="inlineStr">
        <is>
          <t>50cl</t>
        </is>
      </c>
      <c r="F65" t="n">
        <v>5.9</v>
      </c>
      <c r="G65" t="n">
        <v>11.8</v>
      </c>
    </row>
    <row r="66">
      <c r="A66" t="inlineStr">
        <is>
          <t>Sirop aux fleurs</t>
        </is>
      </c>
      <c r="B66" t="inlineStr">
        <is>
          <t>magasin NON BIO</t>
        </is>
      </c>
      <c r="C66" t="inlineStr">
        <is>
          <t>Sirop de fleur de sureau</t>
        </is>
      </c>
      <c r="D66" t="inlineStr">
        <is>
          <t>Teisseire</t>
        </is>
      </c>
      <c r="E66" t="inlineStr">
        <is>
          <t>50cl</t>
        </is>
      </c>
      <c r="F66" t="n">
        <v>2.95</v>
      </c>
      <c r="G66" t="n">
        <v>5.9</v>
      </c>
    </row>
    <row r="67">
      <c r="A67" t="inlineStr">
        <is>
          <t>Sirop aux fleurs</t>
        </is>
      </c>
      <c r="B67" t="inlineStr">
        <is>
          <t>artisanale BIO</t>
        </is>
      </c>
      <c r="C67" t="inlineStr">
        <is>
          <t>Sirop de violette</t>
        </is>
      </c>
      <c r="D67" t="inlineStr">
        <is>
          <t>Maison Meneau</t>
        </is>
      </c>
      <c r="E67" t="inlineStr">
        <is>
          <t>50cl</t>
        </is>
      </c>
      <c r="F67" t="n">
        <v>6.5</v>
      </c>
      <c r="G67" t="n">
        <v>13</v>
      </c>
    </row>
    <row r="68">
      <c r="A68" t="inlineStr">
        <is>
          <t>Sirop de basilic</t>
        </is>
      </c>
      <c r="B68" t="inlineStr">
        <is>
          <t>magasin BIO</t>
        </is>
      </c>
      <c r="C68" t="inlineStr">
        <is>
          <t>Kombucha basilic bio</t>
        </is>
      </c>
      <c r="D68" t="inlineStr">
        <is>
          <t>Elixia</t>
        </is>
      </c>
      <c r="E68" t="inlineStr">
        <is>
          <t>75cl</t>
        </is>
      </c>
      <c r="F68" t="n">
        <v>4.5</v>
      </c>
      <c r="G68" t="n">
        <v>6</v>
      </c>
    </row>
    <row r="69">
      <c r="A69" t="inlineStr">
        <is>
          <t>Sirop de basilic</t>
        </is>
      </c>
      <c r="B69" t="inlineStr">
        <is>
          <t>magasin NON BIO</t>
        </is>
      </c>
      <c r="C69" t="inlineStr">
        <is>
          <t>Sirop de basilic</t>
        </is>
      </c>
      <c r="D69" t="inlineStr">
        <is>
          <t>Monin</t>
        </is>
      </c>
      <c r="E69" t="inlineStr">
        <is>
          <t>50cl</t>
        </is>
      </c>
      <c r="F69" t="n">
        <v>5.95</v>
      </c>
      <c r="G69" t="n">
        <v>11.9</v>
      </c>
    </row>
    <row r="70">
      <c r="A70" t="inlineStr">
        <is>
          <t>Sirop de basilic</t>
        </is>
      </c>
      <c r="B70" t="inlineStr">
        <is>
          <t>artisanale BIO</t>
        </is>
      </c>
      <c r="C70" t="inlineStr">
        <is>
          <t>Sirop de basilic bio</t>
        </is>
      </c>
      <c r="D70" t="inlineStr">
        <is>
          <t>Meneau</t>
        </is>
      </c>
      <c r="E70" t="inlineStr">
        <is>
          <t>50cl</t>
        </is>
      </c>
      <c r="F70" t="n">
        <v>6</v>
      </c>
      <c r="G70" t="n">
        <v>12</v>
      </c>
    </row>
    <row r="71">
      <c r="A71" t="inlineStr">
        <is>
          <t>Sirop de menthe classique</t>
        </is>
      </c>
      <c r="B71" t="inlineStr">
        <is>
          <t>magasin BIO</t>
        </is>
      </c>
      <c r="C71" t="inlineStr">
        <is>
          <t>Sirop de menthe au sucre de canne</t>
        </is>
      </c>
      <c r="D71" t="inlineStr">
        <is>
          <t>Maison Meneau</t>
        </is>
      </c>
      <c r="E71" t="inlineStr">
        <is>
          <t>1L</t>
        </is>
      </c>
      <c r="F71" t="n">
        <v>6.5</v>
      </c>
      <c r="G71" t="n">
        <v>6.5</v>
      </c>
    </row>
    <row r="72">
      <c r="A72" t="inlineStr">
        <is>
          <t>Sirop de menthe classique</t>
        </is>
      </c>
      <c r="B72" t="inlineStr">
        <is>
          <t>magasin NON BIO</t>
        </is>
      </c>
      <c r="C72" t="inlineStr">
        <is>
          <t>Sirop de menthe classique</t>
        </is>
      </c>
      <c r="D72" t="inlineStr">
        <is>
          <t>Teisseire</t>
        </is>
      </c>
      <c r="E72" t="inlineStr">
        <is>
          <t>70cl</t>
        </is>
      </c>
      <c r="F72" t="n">
        <v>2.45</v>
      </c>
      <c r="G72" t="n">
        <v>3.5</v>
      </c>
    </row>
    <row r="73">
      <c r="A73" t="inlineStr">
        <is>
          <t>Sirop de menthe classique</t>
        </is>
      </c>
      <c r="B73" t="inlineStr">
        <is>
          <t>artisanale BIO</t>
        </is>
      </c>
      <c r="C73" t="inlineStr">
        <is>
          <t>Sirop de menthe classique</t>
        </is>
      </c>
      <c r="D73" t="inlineStr">
        <is>
          <t>Meneau</t>
        </is>
      </c>
      <c r="E73" t="inlineStr">
        <is>
          <t>50cl</t>
        </is>
      </c>
      <c r="F73" t="n">
        <v>4</v>
      </c>
      <c r="G73" t="n">
        <v>8</v>
      </c>
    </row>
    <row r="74">
      <c r="A74" t="inlineStr">
        <is>
          <t>Sirop de thym</t>
        </is>
      </c>
      <c r="B74" t="inlineStr">
        <is>
          <t>magasin BIO</t>
        </is>
      </c>
      <c r="C74" t="inlineStr">
        <is>
          <t>Sirop de thym</t>
        </is>
      </c>
      <c r="D74" t="inlineStr">
        <is>
          <t>Les sirops du barbu</t>
        </is>
      </c>
      <c r="E74" t="inlineStr">
        <is>
          <t>50cl</t>
        </is>
      </c>
      <c r="F74" t="n">
        <v>5.9</v>
      </c>
      <c r="G74" t="n">
        <v>11.8</v>
      </c>
    </row>
    <row r="75">
      <c r="A75" t="inlineStr">
        <is>
          <t>Sirop de thym</t>
        </is>
      </c>
      <c r="B75" t="inlineStr">
        <is>
          <t>magasin NON BIO</t>
        </is>
      </c>
      <c r="C75" t="inlineStr">
        <is>
          <t>Sirop de thym</t>
        </is>
      </c>
      <c r="D75" t="inlineStr">
        <is>
          <t>Teisseire</t>
        </is>
      </c>
      <c r="E75" t="inlineStr">
        <is>
          <t>70cl</t>
        </is>
      </c>
      <c r="F75" t="n">
        <v>3.5</v>
      </c>
      <c r="G75" t="n">
        <v>5</v>
      </c>
    </row>
    <row r="76">
      <c r="A76" t="inlineStr">
        <is>
          <t>Sirop de thym</t>
        </is>
      </c>
      <c r="B76" t="inlineStr">
        <is>
          <t>artisanale BIO</t>
        </is>
      </c>
      <c r="C76" t="inlineStr">
        <is>
          <t>Sirop de thym bio</t>
        </is>
      </c>
      <c r="D76" t="inlineStr">
        <is>
          <t>Meneau</t>
        </is>
      </c>
      <c r="E76" t="inlineStr">
        <is>
          <t>50cl</t>
        </is>
      </c>
      <c r="F76" t="n">
        <v>6</v>
      </c>
      <c r="G76" t="n">
        <v>12</v>
      </c>
    </row>
    <row r="77">
      <c r="A77" t="inlineStr">
        <is>
          <t>Sucre à l'hibiscus</t>
        </is>
      </c>
      <c r="B77" t="inlineStr">
        <is>
          <t>magasin BIO</t>
        </is>
      </c>
      <c r="C77" t="inlineStr">
        <is>
          <t>Sirop d'hibiscus bio</t>
        </is>
      </c>
      <c r="D77" t="inlineStr">
        <is>
          <t>Maison Meneau</t>
        </is>
      </c>
      <c r="E77" t="inlineStr">
        <is>
          <t>50cl</t>
        </is>
      </c>
      <c r="F77" t="n">
        <v>7.2</v>
      </c>
      <c r="G77" t="n">
        <v>14.4</v>
      </c>
    </row>
    <row r="78">
      <c r="A78" t="inlineStr">
        <is>
          <t>Sucre à l'hibiscus</t>
        </is>
      </c>
      <c r="B78" t="inlineStr">
        <is>
          <t>magasin NON BIO</t>
        </is>
      </c>
      <c r="C78" t="inlineStr">
        <is>
          <t>Sirop à l'hibiscus bio</t>
        </is>
      </c>
      <c r="D78" t="inlineStr">
        <is>
          <t>epicerie de Provence</t>
        </is>
      </c>
      <c r="E78" t="inlineStr">
        <is>
          <t>250ml</t>
        </is>
      </c>
      <c r="F78" t="n">
        <v>6.95</v>
      </c>
      <c r="G78" t="n">
        <v>27.8</v>
      </c>
    </row>
    <row r="79">
      <c r="A79" t="inlineStr">
        <is>
          <t>Sucre à l'hibiscus</t>
        </is>
      </c>
      <c r="B79" t="inlineStr">
        <is>
          <t>artisanale BIO</t>
        </is>
      </c>
      <c r="C79" t="inlineStr">
        <is>
          <t>Fleurs d'hibiscus bio</t>
        </is>
      </c>
      <c r="D79" t="inlineStr">
        <is>
          <t>Cook - Herbier de France</t>
        </is>
      </c>
      <c r="E79" t="inlineStr">
        <is>
          <t>500g</t>
        </is>
      </c>
      <c r="F79" t="n">
        <v>19.45</v>
      </c>
      <c r="G79" t="n">
        <v>38.9</v>
      </c>
    </row>
    <row r="80">
      <c r="A80" t="inlineStr">
        <is>
          <t>Sucre aux fleurs</t>
        </is>
      </c>
      <c r="B80" t="inlineStr">
        <is>
          <t>magasin BIO</t>
        </is>
      </c>
      <c r="C80" t="inlineStr">
        <is>
          <t>Sucre fleur de Coco complet</t>
        </is>
      </c>
      <c r="D80" t="inlineStr">
        <is>
          <t>Biosagesse</t>
        </is>
      </c>
      <c r="E80" t="inlineStr">
        <is>
          <t>vrac</t>
        </is>
      </c>
      <c r="F80" t="n">
        <v>10.5</v>
      </c>
      <c r="G80" t="n">
        <v>10.5</v>
      </c>
    </row>
    <row r="81">
      <c r="A81" t="inlineStr">
        <is>
          <t>Sucre aux fleurs</t>
        </is>
      </c>
      <c r="B81" t="inlineStr">
        <is>
          <t>magasin NON BIO</t>
        </is>
      </c>
      <c r="C81" t="inlineStr">
        <is>
          <t>Sucre de fleur de coco</t>
        </is>
      </c>
      <c r="D81" t="inlineStr">
        <is>
          <t>Alter Eco</t>
        </is>
      </c>
      <c r="E81" t="inlineStr">
        <is>
          <t>250g</t>
        </is>
      </c>
      <c r="F81" t="n">
        <v>4.99</v>
      </c>
      <c r="G81" t="n">
        <v>19.96</v>
      </c>
    </row>
    <row r="82">
      <c r="A82" t="inlineStr">
        <is>
          <t>Sucre aux fleurs</t>
        </is>
      </c>
      <c r="B82" t="inlineStr">
        <is>
          <t>artisanale BIO</t>
        </is>
      </c>
      <c r="C82" t="inlineStr">
        <is>
          <t>Sucre aux fleurs</t>
        </is>
      </c>
      <c r="D82" t="inlineStr">
        <is>
          <t>Les Jardins de Gaïa</t>
        </is>
      </c>
      <c r="E82" t="inlineStr">
        <is>
          <t>150g</t>
        </is>
      </c>
      <c r="F82" t="n">
        <v>6</v>
      </c>
      <c r="G82" t="n">
        <v>40</v>
      </c>
    </row>
    <row r="83">
      <c r="A83" t="inlineStr">
        <is>
          <t>Tabasco cayenne jaune</t>
        </is>
      </c>
      <c r="B83" t="inlineStr">
        <is>
          <t>magasin BIO</t>
        </is>
      </c>
      <c r="C83" t="inlineStr">
        <is>
          <t>Sauce pimentee à base de Cayenne et Ail</t>
        </is>
      </c>
      <c r="D83" t="inlineStr">
        <is>
          <t>Cook - Herbier de France</t>
        </is>
      </c>
      <c r="E83" t="inlineStr">
        <is>
          <t>60ml</t>
        </is>
      </c>
      <c r="F83" t="n">
        <v>5</v>
      </c>
      <c r="G83" t="n">
        <v>83.33</v>
      </c>
    </row>
    <row r="84">
      <c r="A84" t="inlineStr">
        <is>
          <t>Tabasco cayenne jaune</t>
        </is>
      </c>
      <c r="B84" t="inlineStr">
        <is>
          <t>magasin NON BIO</t>
        </is>
      </c>
      <c r="C84" t="inlineStr">
        <is>
          <t>Tabasco Cayenne Garlic Pepper Sauce</t>
        </is>
      </c>
      <c r="D84" t="inlineStr">
        <is>
          <t>Tabasco</t>
        </is>
      </c>
      <c r="E84" t="inlineStr">
        <is>
          <t>60ml</t>
        </is>
      </c>
      <c r="F84" t="n">
        <v>2.49</v>
      </c>
      <c r="G84" t="n">
        <v>41.5</v>
      </c>
    </row>
    <row r="85">
      <c r="A85" t="inlineStr">
        <is>
          <t>Tabasco cayenne jaune</t>
        </is>
      </c>
      <c r="B85" t="inlineStr">
        <is>
          <t>artisanale BIO</t>
        </is>
      </c>
      <c r="C85" t="inlineStr">
        <is>
          <t>Sauce pimentee artisanale à base de Cayenne et Ail</t>
        </is>
      </c>
      <c r="D85" t="inlineStr">
        <is>
          <t>Le comptoir du piment</t>
        </is>
      </c>
      <c r="E85" t="inlineStr">
        <is>
          <t>50ml</t>
        </is>
      </c>
      <c r="F85" t="n">
        <v>6</v>
      </c>
      <c r="G85" t="n">
        <v>120</v>
      </c>
    </row>
    <row r="86">
      <c r="A86" t="inlineStr">
        <is>
          <t>Tabasco jalapeno</t>
        </is>
      </c>
      <c r="B86" t="inlineStr">
        <is>
          <t>magasin BIO</t>
        </is>
      </c>
      <c r="C86" t="inlineStr">
        <is>
          <t>Sauce Jalapeño verte bio</t>
        </is>
      </c>
      <c r="D86" t="inlineStr">
        <is>
          <t>Cook - Herbier de France</t>
        </is>
      </c>
      <c r="E86" t="inlineStr">
        <is>
          <t>60ml</t>
        </is>
      </c>
      <c r="F86" t="n">
        <v>4.5</v>
      </c>
      <c r="G86" t="n">
        <v>75</v>
      </c>
    </row>
    <row r="87">
      <c r="A87" t="inlineStr">
        <is>
          <t>Tabasco jalapeno</t>
        </is>
      </c>
      <c r="B87" t="inlineStr">
        <is>
          <t>magasin NON BIO</t>
        </is>
      </c>
      <c r="C87" t="inlineStr">
        <is>
          <t>Tabasco Jalapeño Green Pepper Sauce</t>
        </is>
      </c>
      <c r="D87" t="inlineStr">
        <is>
          <t>Tabasco</t>
        </is>
      </c>
      <c r="E87" t="inlineStr">
        <is>
          <t>60ml</t>
        </is>
      </c>
      <c r="F87" t="n">
        <v>4.29</v>
      </c>
      <c r="G87" t="n">
        <v>71.5</v>
      </c>
    </row>
    <row r="88">
      <c r="A88" t="inlineStr">
        <is>
          <t>Tabasco jalapeno</t>
        </is>
      </c>
      <c r="B88" t="inlineStr">
        <is>
          <t>artisanale BIO</t>
        </is>
      </c>
      <c r="C88" t="inlineStr">
        <is>
          <t>Sauce Jalapeño verte artisanale bio</t>
        </is>
      </c>
      <c r="D88" t="inlineStr">
        <is>
          <t>Le comptoir du piment</t>
        </is>
      </c>
      <c r="E88" t="inlineStr">
        <is>
          <t>50ml</t>
        </is>
      </c>
      <c r="F88" t="n">
        <v>5.5</v>
      </c>
      <c r="G88" t="n">
        <v>110</v>
      </c>
    </row>
    <row r="89">
      <c r="A89" t="inlineStr">
        <is>
          <t>Tabasco Rouge moyen</t>
        </is>
      </c>
      <c r="B89" t="inlineStr">
        <is>
          <t>magasin BIO</t>
        </is>
      </c>
      <c r="C89" t="inlineStr">
        <is>
          <t>Sauce pimentee rouge bio</t>
        </is>
      </c>
      <c r="D89" t="inlineStr">
        <is>
          <t>Cook - Herbier de France</t>
        </is>
      </c>
      <c r="E89" t="inlineStr">
        <is>
          <t>60ml</t>
        </is>
      </c>
      <c r="F89" t="n">
        <v>4</v>
      </c>
      <c r="G89" t="n">
        <v>66.67</v>
      </c>
    </row>
    <row r="90">
      <c r="A90" t="inlineStr">
        <is>
          <t>Tabasco Rouge moyen</t>
        </is>
      </c>
      <c r="B90" t="inlineStr">
        <is>
          <t>magasin NON BIO</t>
        </is>
      </c>
      <c r="C90" t="inlineStr">
        <is>
          <t>Tabasco Original Red Sauce</t>
        </is>
      </c>
      <c r="D90" t="inlineStr">
        <is>
          <t>Tabasco</t>
        </is>
      </c>
      <c r="E90" t="inlineStr">
        <is>
          <t>60ml</t>
        </is>
      </c>
      <c r="F90" t="n">
        <v>4.29</v>
      </c>
      <c r="G90" t="n">
        <v>71.5</v>
      </c>
    </row>
    <row r="91">
      <c r="A91" t="inlineStr">
        <is>
          <t>Tabasco Rouge moyen</t>
        </is>
      </c>
      <c r="B91" t="inlineStr">
        <is>
          <t>artisanale BIO</t>
        </is>
      </c>
      <c r="C91" t="inlineStr">
        <is>
          <t>Sauce pimentee artisanale rouge bio</t>
        </is>
      </c>
      <c r="D91" t="inlineStr">
        <is>
          <t>Le comptoir du piment</t>
        </is>
      </c>
      <c r="E91" t="inlineStr">
        <is>
          <t>50ml</t>
        </is>
      </c>
      <c r="F91" t="n">
        <v>5</v>
      </c>
      <c r="G91" t="n">
        <v>100</v>
      </c>
    </row>
    <row r="92">
      <c r="A92" t="inlineStr">
        <is>
          <t>Tabasco violet fort</t>
        </is>
      </c>
      <c r="B92" t="inlineStr">
        <is>
          <t>magasin BIO</t>
        </is>
      </c>
      <c r="C92" t="inlineStr">
        <is>
          <t>Sauce pimentee bio</t>
        </is>
      </c>
      <c r="D92" t="inlineStr">
        <is>
          <t>Cook - Herbier de France</t>
        </is>
      </c>
      <c r="E92" t="inlineStr">
        <is>
          <t>60ml</t>
        </is>
      </c>
      <c r="F92" t="n">
        <v>4</v>
      </c>
      <c r="G92" t="n">
        <v>66.67</v>
      </c>
    </row>
    <row r="93">
      <c r="A93" t="inlineStr">
        <is>
          <t>Tabasco violet fort</t>
        </is>
      </c>
      <c r="B93" t="inlineStr">
        <is>
          <t>magasin NON BIO</t>
        </is>
      </c>
      <c r="C93" t="inlineStr">
        <is>
          <t>Tabasco Original Red Sauce</t>
        </is>
      </c>
      <c r="D93" t="inlineStr">
        <is>
          <t>Tabasco</t>
        </is>
      </c>
      <c r="E93" t="inlineStr">
        <is>
          <t>60ml</t>
        </is>
      </c>
      <c r="F93" t="n">
        <v>4.29</v>
      </c>
      <c r="G93" t="n">
        <v>71.5</v>
      </c>
    </row>
    <row r="94">
      <c r="A94" t="inlineStr">
        <is>
          <t>Tabasco violet fort</t>
        </is>
      </c>
      <c r="B94" t="inlineStr">
        <is>
          <t>artisanale BIO</t>
        </is>
      </c>
      <c r="C94" t="inlineStr">
        <is>
          <t>Sauce pimentee artisanale bio</t>
        </is>
      </c>
      <c r="D94" t="inlineStr">
        <is>
          <t>Le Comptoir du Piment</t>
        </is>
      </c>
      <c r="E94" t="inlineStr">
        <is>
          <t>50ml</t>
        </is>
      </c>
      <c r="F94" t="n">
        <v>5</v>
      </c>
      <c r="G94" t="n">
        <v>100</v>
      </c>
    </row>
    <row r="95">
      <c r="A95" t="inlineStr">
        <is>
          <t>Vinaigre du soleil</t>
        </is>
      </c>
      <c r="B95" t="inlineStr">
        <is>
          <t>magasin BIO</t>
        </is>
      </c>
      <c r="C95" t="inlineStr">
        <is>
          <t>Vinaigre de Cidre Bio</t>
        </is>
      </c>
      <c r="D95" t="inlineStr">
        <is>
          <t>Côteaux Nantais</t>
        </is>
      </c>
      <c r="E95" t="inlineStr">
        <is>
          <t>75cl</t>
        </is>
      </c>
      <c r="F95" t="n">
        <v>4.3</v>
      </c>
      <c r="G95" t="n">
        <v>5.73</v>
      </c>
    </row>
    <row r="96">
      <c r="A96" t="inlineStr">
        <is>
          <t>Vinaigre du soleil</t>
        </is>
      </c>
      <c r="B96" t="inlineStr">
        <is>
          <t>magasin NON BIO</t>
        </is>
      </c>
      <c r="C96" t="inlineStr">
        <is>
          <t>Vinaigre de Cidre</t>
        </is>
      </c>
      <c r="D96" t="inlineStr">
        <is>
          <t>Jardin Bio</t>
        </is>
      </c>
      <c r="E96" t="inlineStr">
        <is>
          <t>75cl</t>
        </is>
      </c>
      <c r="F96" t="n">
        <v>2.5</v>
      </c>
      <c r="G96" t="n">
        <v>3.33</v>
      </c>
    </row>
    <row r="97">
      <c r="A97" t="inlineStr">
        <is>
          <t>Vinaigre du soleil</t>
        </is>
      </c>
      <c r="B97" t="inlineStr">
        <is>
          <t>artisanale BIO</t>
        </is>
      </c>
      <c r="C97" t="inlineStr">
        <is>
          <t>Vinaigre de Cidre Artisanal Bio</t>
        </is>
      </c>
      <c r="D97" t="inlineStr">
        <is>
          <t>Les Vergers de la Silve</t>
        </is>
      </c>
      <c r="E97" t="inlineStr">
        <is>
          <t>50cl</t>
        </is>
      </c>
      <c r="F97" t="n">
        <v>5.9</v>
      </c>
      <c r="G97" t="n">
        <v>11.8</v>
      </c>
    </row>
    <row r="98">
      <c r="A98" t="inlineStr">
        <is>
          <t>Vinaigre du sureau</t>
        </is>
      </c>
      <c r="B98" t="inlineStr">
        <is>
          <t>magasin BIO</t>
        </is>
      </c>
      <c r="C98" t="inlineStr">
        <is>
          <t>Vinaigre Larzamique à la Fleur de Sureau Bio</t>
        </is>
      </c>
      <c r="D98" t="inlineStr">
        <is>
          <t>Aromatiques du Larzac</t>
        </is>
      </c>
      <c r="E98" t="inlineStr">
        <is>
          <t>25cl</t>
        </is>
      </c>
      <c r="F98" t="n">
        <v>13.5</v>
      </c>
      <c r="G98" t="n">
        <v>54</v>
      </c>
    </row>
    <row r="99">
      <c r="A99" t="inlineStr">
        <is>
          <t>Vinaigre du sureau</t>
        </is>
      </c>
      <c r="B99" t="inlineStr">
        <is>
          <t>magasin NON BIO</t>
        </is>
      </c>
      <c r="C99" t="inlineStr">
        <is>
          <t>Vinaigre de Sureau Bio</t>
        </is>
      </c>
      <c r="D99" t="inlineStr">
        <is>
          <t>Baiser Acidule</t>
        </is>
      </c>
      <c r="E99" t="inlineStr">
        <is>
          <t>25cl</t>
        </is>
      </c>
      <c r="F99" t="n">
        <v>7.05</v>
      </c>
      <c r="G99" t="n">
        <v>28.2</v>
      </c>
    </row>
    <row r="100">
      <c r="A100" t="inlineStr">
        <is>
          <t>Vinaigre du sureau</t>
        </is>
      </c>
      <c r="B100" t="inlineStr">
        <is>
          <t>artisanale BIO</t>
        </is>
      </c>
      <c r="C100" t="inlineStr">
        <is>
          <t>Vinaigre de Sureau Artisanal Bio</t>
        </is>
      </c>
      <c r="D100" t="inlineStr">
        <is>
          <t>La Maison du Sureau</t>
        </is>
      </c>
      <c r="E100" t="inlineStr">
        <is>
          <t>50cl</t>
        </is>
      </c>
      <c r="F100" t="n">
        <v>9.9</v>
      </c>
      <c r="G100" t="n">
        <v>19.8</v>
      </c>
    </row>
    <row r="101">
      <c r="A101" t="inlineStr">
        <is>
          <t>Zaatar</t>
        </is>
      </c>
      <c r="B101" t="inlineStr">
        <is>
          <t>magasin BIO</t>
        </is>
      </c>
      <c r="C101" t="inlineStr">
        <is>
          <t>Melange Zaatar Bio</t>
        </is>
      </c>
      <c r="D101" t="inlineStr">
        <is>
          <t>Cook</t>
        </is>
      </c>
      <c r="E101" t="inlineStr">
        <is>
          <t>27g</t>
        </is>
      </c>
      <c r="F101" t="n">
        <v>2.95</v>
      </c>
      <c r="G101" t="n">
        <v>109.26</v>
      </c>
    </row>
    <row r="102">
      <c r="A102" t="inlineStr">
        <is>
          <t>Zaatar</t>
        </is>
      </c>
      <c r="B102" t="inlineStr">
        <is>
          <t>magasin NON BIO</t>
        </is>
      </c>
      <c r="C102" t="inlineStr">
        <is>
          <t>Melange Zaatar</t>
        </is>
      </c>
      <c r="D102" t="inlineStr">
        <is>
          <t>Ducros</t>
        </is>
      </c>
      <c r="E102" t="inlineStr">
        <is>
          <t>38g</t>
        </is>
      </c>
      <c r="F102" t="n">
        <v>3.25</v>
      </c>
      <c r="G102" t="n">
        <v>85.53</v>
      </c>
    </row>
    <row r="103">
      <c r="A103" t="inlineStr">
        <is>
          <t>Zaatar</t>
        </is>
      </c>
      <c r="B103" t="inlineStr">
        <is>
          <t>artisanale BIO</t>
        </is>
      </c>
      <c r="C103" t="inlineStr">
        <is>
          <t>Zaatar Artisanal Bio</t>
        </is>
      </c>
      <c r="D103" t="inlineStr">
        <is>
          <t>Les Jardins de Gaïa</t>
        </is>
      </c>
      <c r="E103" t="inlineStr">
        <is>
          <t>100g</t>
        </is>
      </c>
      <c r="F103" t="n">
        <v>7.5</v>
      </c>
      <c r="G103" t="n">
        <v>75</v>
      </c>
    </row>
    <row r="104">
      <c r="A104" t="inlineStr">
        <is>
          <t>Herbes de Provence</t>
        </is>
      </c>
      <c r="B104" t="inlineStr">
        <is>
          <t>internet BIO</t>
        </is>
      </c>
      <c r="C104" t="inlineStr">
        <is>
          <t>Herbes de Provence Bio</t>
        </is>
      </c>
      <c r="D104" t="inlineStr">
        <is>
          <t>placedesepices.com</t>
        </is>
      </c>
      <c r="E104" t="inlineStr">
        <is>
          <t>250g</t>
        </is>
      </c>
      <c r="F104" t="n">
        <v>15.85</v>
      </c>
      <c r="G104" s="1089" t="n">
        <v>63.4</v>
      </c>
    </row>
    <row r="105">
      <c r="A105" t="inlineStr">
        <is>
          <t>Moutarde à l'ancienne</t>
        </is>
      </c>
      <c r="B105" t="inlineStr">
        <is>
          <t>internet BIO</t>
        </is>
      </c>
      <c r="D105" t="inlineStr">
        <is>
          <t>placedesepices.com</t>
        </is>
      </c>
    </row>
    <row r="106">
      <c r="A106" t="inlineStr">
        <is>
          <t>Cumin graine</t>
        </is>
      </c>
      <c r="B106" t="inlineStr">
        <is>
          <t>internet BIO</t>
        </is>
      </c>
      <c r="D106" t="inlineStr">
        <is>
          <t>placedesepices.com</t>
        </is>
      </c>
      <c r="E106" t="inlineStr">
        <is>
          <t>60g</t>
        </is>
      </c>
      <c r="F106" t="n">
        <v>4.2</v>
      </c>
      <c r="G106" t="n">
        <v>38.2</v>
      </c>
    </row>
    <row r="107">
      <c r="A107" t="inlineStr">
        <is>
          <t>Cumin moulu</t>
        </is>
      </c>
      <c r="B107" t="inlineStr">
        <is>
          <t>internet BIO</t>
        </is>
      </c>
      <c r="D107" t="inlineStr">
        <is>
          <t>placedesepices.com</t>
        </is>
      </c>
    </row>
    <row r="108">
      <c r="A108" t="inlineStr">
        <is>
          <t>Curry</t>
        </is>
      </c>
      <c r="B108" t="inlineStr">
        <is>
          <t>internet BIO</t>
        </is>
      </c>
      <c r="D108" t="inlineStr">
        <is>
          <t>placedesepices.com</t>
        </is>
      </c>
    </row>
    <row r="109">
      <c r="A109" t="inlineStr">
        <is>
          <t>Épices viandes rouges</t>
        </is>
      </c>
      <c r="B109" t="inlineStr">
        <is>
          <t>internet BIO</t>
        </is>
      </c>
      <c r="D109" t="inlineStr">
        <is>
          <t>placedesepices.com</t>
        </is>
      </c>
    </row>
    <row r="110">
      <c r="A110" t="inlineStr">
        <is>
          <t>Gingembre</t>
        </is>
      </c>
      <c r="B110" t="inlineStr">
        <is>
          <t>internet BIO</t>
        </is>
      </c>
      <c r="D110" t="inlineStr">
        <is>
          <t>placedesepices.com</t>
        </is>
      </c>
    </row>
    <row r="111">
      <c r="A111" t="inlineStr">
        <is>
          <t>Moutarde à l'estragon</t>
        </is>
      </c>
      <c r="B111" t="inlineStr">
        <is>
          <t>internet BIO</t>
        </is>
      </c>
      <c r="D111" t="inlineStr">
        <is>
          <t>placedesepices.com</t>
        </is>
      </c>
    </row>
    <row r="112">
      <c r="A112" t="inlineStr">
        <is>
          <t>Paprika fumé</t>
        </is>
      </c>
      <c r="B112" t="inlineStr">
        <is>
          <t>internet BIO</t>
        </is>
      </c>
      <c r="D112" t="inlineStr">
        <is>
          <t>placedesepices.com</t>
        </is>
      </c>
    </row>
    <row r="113">
      <c r="A113" t="inlineStr">
        <is>
          <t>Sirop de menthe classique</t>
        </is>
      </c>
      <c r="B113" t="inlineStr">
        <is>
          <t>internet BIO</t>
        </is>
      </c>
      <c r="D113" t="inlineStr">
        <is>
          <t>placedesepices.com</t>
        </is>
      </c>
    </row>
    <row r="114">
      <c r="A114" t="inlineStr">
        <is>
          <t>Sucre aux fleurs</t>
        </is>
      </c>
      <c r="B114" t="inlineStr">
        <is>
          <t>internet BIO</t>
        </is>
      </c>
      <c r="D114" t="inlineStr">
        <is>
          <t>placedesepices.com</t>
        </is>
      </c>
    </row>
    <row r="115">
      <c r="A115" t="inlineStr">
        <is>
          <t>Ail semoule</t>
        </is>
      </c>
      <c r="B115" t="inlineStr">
        <is>
          <t>internet BIO</t>
        </is>
      </c>
      <c r="D115" t="inlineStr">
        <is>
          <t>placedesepices.com</t>
        </is>
      </c>
    </row>
    <row r="116">
      <c r="A116" t="inlineStr">
        <is>
          <t>Carvi graine</t>
        </is>
      </c>
      <c r="B116" t="inlineStr">
        <is>
          <t>internet BIO</t>
        </is>
      </c>
      <c r="D116" t="inlineStr">
        <is>
          <t>placedesepices.com</t>
        </is>
      </c>
    </row>
    <row r="117">
      <c r="A117" t="inlineStr">
        <is>
          <t>Curcuma</t>
        </is>
      </c>
      <c r="B117" t="inlineStr">
        <is>
          <t>internet BIO</t>
        </is>
      </c>
      <c r="D117" t="inlineStr">
        <is>
          <t>placedesepices.com</t>
        </is>
      </c>
    </row>
    <row r="118">
      <c r="A118" t="inlineStr">
        <is>
          <t>Curry Madras</t>
        </is>
      </c>
      <c r="B118" t="inlineStr">
        <is>
          <t>internet BIO</t>
        </is>
      </c>
      <c r="D118" t="inlineStr">
        <is>
          <t>placedesepices.com</t>
        </is>
      </c>
    </row>
    <row r="119">
      <c r="A119" t="inlineStr">
        <is>
          <t>Épices tandoori</t>
        </is>
      </c>
      <c r="B119" t="inlineStr">
        <is>
          <t>internet BIO</t>
        </is>
      </c>
      <c r="D119" t="inlineStr">
        <is>
          <t>placedesepices.com</t>
        </is>
      </c>
    </row>
    <row r="120">
      <c r="A120" t="inlineStr">
        <is>
          <t>Paprika</t>
        </is>
      </c>
      <c r="B120" t="inlineStr">
        <is>
          <t>internet BIO</t>
        </is>
      </c>
      <c r="D120" t="inlineStr">
        <is>
          <t>placedesepices.com</t>
        </is>
      </c>
    </row>
    <row r="121">
      <c r="A121" t="inlineStr">
        <is>
          <t>Sirop aux fleurs</t>
        </is>
      </c>
      <c r="B121" t="inlineStr">
        <is>
          <t>internet BIO</t>
        </is>
      </c>
      <c r="D121" t="inlineStr">
        <is>
          <t>placedesepices.com</t>
        </is>
      </c>
    </row>
    <row r="122">
      <c r="A122" t="inlineStr">
        <is>
          <t>Sirop de basilic</t>
        </is>
      </c>
      <c r="B122" t="inlineStr">
        <is>
          <t>internet BIO</t>
        </is>
      </c>
      <c r="D122" t="inlineStr">
        <is>
          <t>placedesepices.com</t>
        </is>
      </c>
    </row>
    <row r="123">
      <c r="A123" t="inlineStr">
        <is>
          <t>Sirop de thym</t>
        </is>
      </c>
      <c r="B123" t="inlineStr">
        <is>
          <t>internet BIO</t>
        </is>
      </c>
      <c r="D123" t="inlineStr">
        <is>
          <t>placedesepices.com</t>
        </is>
      </c>
    </row>
    <row r="124">
      <c r="A124" t="inlineStr">
        <is>
          <t>Sucre à l'hibiscus</t>
        </is>
      </c>
      <c r="B124" t="inlineStr">
        <is>
          <t>internet BIO</t>
        </is>
      </c>
      <c r="D124" t="inlineStr">
        <is>
          <t>placedesepices.com</t>
        </is>
      </c>
    </row>
    <row r="125">
      <c r="A125" t="inlineStr">
        <is>
          <t>Tabasco cayenne jaune</t>
        </is>
      </c>
      <c r="B125" t="inlineStr">
        <is>
          <t>internet BIO</t>
        </is>
      </c>
      <c r="D125" t="inlineStr">
        <is>
          <t>placedesepices.com</t>
        </is>
      </c>
    </row>
    <row r="126">
      <c r="A126" t="inlineStr">
        <is>
          <t>Tabasco jalapeno</t>
        </is>
      </c>
      <c r="B126" t="inlineStr">
        <is>
          <t>internet BIO</t>
        </is>
      </c>
      <c r="D126" t="inlineStr">
        <is>
          <t>placedesepices.com</t>
        </is>
      </c>
    </row>
    <row r="127">
      <c r="A127" t="inlineStr">
        <is>
          <t>Tabasco Rouge moyen</t>
        </is>
      </c>
      <c r="B127" t="inlineStr">
        <is>
          <t>internet BIO</t>
        </is>
      </c>
      <c r="D127" t="inlineStr">
        <is>
          <t>placedesepices.com</t>
        </is>
      </c>
    </row>
    <row r="128">
      <c r="A128" t="inlineStr">
        <is>
          <t>Vinaigre du soleil</t>
        </is>
      </c>
      <c r="B128" t="inlineStr">
        <is>
          <t>internet BIO</t>
        </is>
      </c>
      <c r="D128" t="inlineStr">
        <is>
          <t>placedesepices.com</t>
        </is>
      </c>
    </row>
    <row r="129">
      <c r="A129" t="inlineStr">
        <is>
          <t>Vinaigre du sureau</t>
        </is>
      </c>
      <c r="B129" t="inlineStr">
        <is>
          <t>internet BIO</t>
        </is>
      </c>
      <c r="D129" t="inlineStr">
        <is>
          <t>placedesepices.com</t>
        </is>
      </c>
    </row>
    <row r="130">
      <c r="A130" t="inlineStr">
        <is>
          <t>Zaatar</t>
        </is>
      </c>
      <c r="B130" t="inlineStr">
        <is>
          <t>internet BIO</t>
        </is>
      </c>
      <c r="D130" t="inlineStr">
        <is>
          <t>placedesepices.com</t>
        </is>
      </c>
    </row>
    <row r="131">
      <c r="A131" t="inlineStr">
        <is>
          <t>Tabasco violet fort</t>
        </is>
      </c>
      <c r="B131" t="inlineStr">
        <is>
          <t>internet BIO</t>
        </is>
      </c>
      <c r="D131" t="inlineStr">
        <is>
          <t>placedesepices.com</t>
        </is>
      </c>
    </row>
    <row r="132">
      <c r="A132" t="inlineStr">
        <is>
          <t>Ketchup</t>
        </is>
      </c>
      <c r="B132" t="inlineStr">
        <is>
          <t>internet BIO</t>
        </is>
      </c>
      <c r="D132" t="inlineStr">
        <is>
          <t>placedesepices.com</t>
        </is>
      </c>
    </row>
    <row r="133">
      <c r="A133" t="inlineStr">
        <is>
          <t>Advieh</t>
        </is>
      </c>
      <c r="B133" t="inlineStr">
        <is>
          <t>internet BIO</t>
        </is>
      </c>
      <c r="D133" t="inlineStr">
        <is>
          <t>placedesepices.com</t>
        </is>
      </c>
    </row>
    <row r="134">
      <c r="A134" t="inlineStr">
        <is>
          <t>Baharat arabe</t>
        </is>
      </c>
      <c r="B134" t="inlineStr">
        <is>
          <t>internet BIO</t>
        </is>
      </c>
      <c r="D134" t="inlineStr">
        <is>
          <t>placedesepices.com</t>
        </is>
      </c>
    </row>
    <row r="135">
      <c r="A135" t="inlineStr">
        <is>
          <t>Baharat turc</t>
        </is>
      </c>
      <c r="B135" t="inlineStr">
        <is>
          <t>internet BIO</t>
        </is>
      </c>
      <c r="D135" t="inlineStr">
        <is>
          <t>placedesepices.com</t>
        </is>
      </c>
    </row>
    <row r="136">
      <c r="A136" t="inlineStr">
        <is>
          <t>Carvi moulu</t>
        </is>
      </c>
      <c r="B136" t="inlineStr">
        <is>
          <t>internet BIO</t>
        </is>
      </c>
      <c r="D136" t="inlineStr">
        <is>
          <t>placedesepices.com</t>
        </is>
      </c>
    </row>
    <row r="137">
      <c r="A137" t="inlineStr">
        <is>
          <t>Chaat masala</t>
        </is>
      </c>
      <c r="B137" t="inlineStr">
        <is>
          <t>internet BIO</t>
        </is>
      </c>
      <c r="D137" t="inlineStr">
        <is>
          <t>placedesepices.com</t>
        </is>
      </c>
    </row>
    <row r="138">
      <c r="A138" t="inlineStr">
        <is>
          <t>Colombo</t>
        </is>
      </c>
      <c r="B138" t="inlineStr">
        <is>
          <t>internet BIO</t>
        </is>
      </c>
      <c r="D138" t="inlineStr">
        <is>
          <t>placedesepices.com</t>
        </is>
      </c>
    </row>
    <row r="139">
      <c r="A139" t="inlineStr">
        <is>
          <t>Curry japonais</t>
        </is>
      </c>
      <c r="B139" t="inlineStr">
        <is>
          <t>internet BIO</t>
        </is>
      </c>
      <c r="D139" t="inlineStr">
        <is>
          <t>placedesepices.com</t>
        </is>
      </c>
    </row>
    <row r="140">
      <c r="A140" t="inlineStr">
        <is>
          <t>Dukkah</t>
        </is>
      </c>
      <c r="B140" t="inlineStr">
        <is>
          <t>internet BIO</t>
        </is>
      </c>
      <c r="D140" t="inlineStr">
        <is>
          <t>placedesepices.com</t>
        </is>
      </c>
    </row>
    <row r="141">
      <c r="A141" t="inlineStr">
        <is>
          <t>Durban masala</t>
        </is>
      </c>
      <c r="B141" t="inlineStr">
        <is>
          <t>internet BIO</t>
        </is>
      </c>
      <c r="D141" t="inlineStr">
        <is>
          <t>placedesepices.com</t>
        </is>
      </c>
    </row>
    <row r="142">
      <c r="A142" t="inlineStr">
        <is>
          <t>Épices cajun</t>
        </is>
      </c>
      <c r="B142" t="inlineStr">
        <is>
          <t>internet BIO</t>
        </is>
      </c>
      <c r="D142" t="inlineStr">
        <is>
          <t>placedesepices.com</t>
        </is>
      </c>
    </row>
    <row r="143">
      <c r="A143" t="inlineStr">
        <is>
          <t>Épices guacamole</t>
        </is>
      </c>
      <c r="B143" t="inlineStr">
        <is>
          <t>internet BIO</t>
        </is>
      </c>
      <c r="D143" t="inlineStr">
        <is>
          <t>placedesepices.com</t>
        </is>
      </c>
    </row>
    <row r="144">
      <c r="A144" t="inlineStr">
        <is>
          <t>Épices poissons et fruits de mer</t>
        </is>
      </c>
      <c r="B144" t="inlineStr">
        <is>
          <t>internet BIO</t>
        </is>
      </c>
      <c r="D144" t="inlineStr">
        <is>
          <t>placedesepices.com</t>
        </is>
      </c>
    </row>
    <row r="145">
      <c r="A145" t="inlineStr">
        <is>
          <t>Épices pour marinade</t>
        </is>
      </c>
      <c r="B145" t="inlineStr">
        <is>
          <t>internet BIO</t>
        </is>
      </c>
      <c r="D145" t="inlineStr">
        <is>
          <t>placedesepices.com</t>
        </is>
      </c>
    </row>
    <row r="146">
      <c r="A146" t="inlineStr">
        <is>
          <t>Garam masala</t>
        </is>
      </c>
      <c r="B146" t="inlineStr">
        <is>
          <t>internet BIO</t>
        </is>
      </c>
      <c r="D146" t="inlineStr">
        <is>
          <t>placedesepices.com</t>
        </is>
      </c>
    </row>
    <row r="147">
      <c r="A147" t="inlineStr">
        <is>
          <t>Garam masala entier</t>
        </is>
      </c>
      <c r="B147" t="inlineStr">
        <is>
          <t>internet BIO</t>
        </is>
      </c>
      <c r="D147" t="inlineStr">
        <is>
          <t>placedesepices.com</t>
        </is>
      </c>
    </row>
    <row r="148">
      <c r="A148" t="inlineStr">
        <is>
          <t>Garam masala birman</t>
        </is>
      </c>
      <c r="B148" t="inlineStr">
        <is>
          <t>internet BIO</t>
        </is>
      </c>
      <c r="D148" t="inlineStr">
        <is>
          <t>placedesepices.com</t>
        </is>
      </c>
    </row>
    <row r="149">
      <c r="A149" t="inlineStr">
        <is>
          <t>Gomasio maison</t>
        </is>
      </c>
      <c r="B149" t="inlineStr">
        <is>
          <t>internet BIO</t>
        </is>
      </c>
      <c r="D149" t="inlineStr">
        <is>
          <t>placedesepices.com</t>
        </is>
      </c>
    </row>
    <row r="150">
      <c r="A150" t="inlineStr">
        <is>
          <t>Harissa</t>
        </is>
      </c>
      <c r="B150" t="inlineStr">
        <is>
          <t>internet BIO</t>
        </is>
      </c>
      <c r="D150" t="inlineStr">
        <is>
          <t>placedesepices.com</t>
        </is>
      </c>
    </row>
    <row r="151">
      <c r="A151" t="inlineStr">
        <is>
          <t>Hawaij</t>
        </is>
      </c>
      <c r="B151" t="inlineStr">
        <is>
          <t>internet BIO</t>
        </is>
      </c>
      <c r="D151" t="inlineStr">
        <is>
          <t>placedesepices.com</t>
        </is>
      </c>
    </row>
    <row r="152">
      <c r="A152" t="inlineStr">
        <is>
          <t>Huile massage anti-arthrite</t>
        </is>
      </c>
      <c r="B152" t="inlineStr">
        <is>
          <t>internet BIO</t>
        </is>
      </c>
      <c r="D152" t="inlineStr">
        <is>
          <t>placedesepices.com</t>
        </is>
      </c>
    </row>
    <row r="153">
      <c r="A153" t="inlineStr">
        <is>
          <t>Jamaican Jerk</t>
        </is>
      </c>
      <c r="B153" t="inlineStr">
        <is>
          <t>internet BIO</t>
        </is>
      </c>
      <c r="D153" t="inlineStr">
        <is>
          <t>placedesepices.com</t>
        </is>
      </c>
    </row>
    <row r="154">
      <c r="A154" t="inlineStr">
        <is>
          <t>Nuoc cham</t>
        </is>
      </c>
      <c r="B154" t="inlineStr">
        <is>
          <t>internet BIO</t>
        </is>
      </c>
      <c r="D154" t="inlineStr">
        <is>
          <t>placedesepices.com</t>
        </is>
      </c>
    </row>
    <row r="155">
      <c r="A155" t="inlineStr">
        <is>
          <t>Panch phoron</t>
        </is>
      </c>
      <c r="B155" t="inlineStr">
        <is>
          <t>internet BIO</t>
        </is>
      </c>
      <c r="D155" t="inlineStr">
        <is>
          <t>placedesepices.com</t>
        </is>
      </c>
    </row>
    <row r="156">
      <c r="A156" t="inlineStr">
        <is>
          <t>Pâte vindaloo</t>
        </is>
      </c>
      <c r="B156" t="inlineStr">
        <is>
          <t>internet BIO</t>
        </is>
      </c>
      <c r="D156" t="inlineStr">
        <is>
          <t>placedesepices.com</t>
        </is>
      </c>
    </row>
    <row r="157">
      <c r="A157" t="inlineStr">
        <is>
          <t>Quatre épices</t>
        </is>
      </c>
      <c r="B157" t="inlineStr">
        <is>
          <t>internet BIO</t>
        </is>
      </c>
      <c r="D157" t="inlineStr">
        <is>
          <t>placedesepices.com</t>
        </is>
      </c>
    </row>
    <row r="158">
      <c r="A158" t="inlineStr">
        <is>
          <t>Ras el hanout</t>
        </is>
      </c>
      <c r="B158" t="inlineStr">
        <is>
          <t>internet BIO</t>
        </is>
      </c>
      <c r="D158" t="inlineStr">
        <is>
          <t>placedesepices.com</t>
        </is>
      </c>
    </row>
    <row r="159">
      <c r="A159" t="inlineStr">
        <is>
          <t>Sans sel</t>
        </is>
      </c>
      <c r="B159" t="inlineStr">
        <is>
          <t>internet BIO</t>
        </is>
      </c>
      <c r="D159" t="inlineStr">
        <is>
          <t>placedesepices.com</t>
        </is>
      </c>
    </row>
    <row r="160">
      <c r="A160" t="inlineStr">
        <is>
          <t>Shichimi togarashi</t>
        </is>
      </c>
      <c r="B160" t="inlineStr">
        <is>
          <t>internet BIO</t>
        </is>
      </c>
      <c r="D160" t="inlineStr">
        <is>
          <t>placedesepices.com</t>
        </is>
      </c>
    </row>
    <row r="161">
      <c r="A161" t="inlineStr">
        <is>
          <t>Sriracha</t>
        </is>
      </c>
      <c r="B161" t="inlineStr">
        <is>
          <t>internet BIO</t>
        </is>
      </c>
      <c r="D161" t="inlineStr">
        <is>
          <t>placedesepices.com</t>
        </is>
      </c>
    </row>
    <row r="162">
      <c r="A162" t="inlineStr">
        <is>
          <t>Steak de Montréal</t>
        </is>
      </c>
      <c r="B162" t="inlineStr">
        <is>
          <t>internet BIO</t>
        </is>
      </c>
      <c r="D162" t="inlineStr">
        <is>
          <t>placedesepices.com</t>
        </is>
      </c>
    </row>
    <row r="163">
      <c r="A163" t="inlineStr">
        <is>
          <t>Suya ghanéen</t>
        </is>
      </c>
      <c r="B163" t="inlineStr">
        <is>
          <t>internet BIO</t>
        </is>
      </c>
      <c r="D163" t="inlineStr">
        <is>
          <t>placedesepices.com</t>
        </is>
      </c>
    </row>
    <row r="164">
      <c r="A164" t="inlineStr">
        <is>
          <t>Tabel ou Tabil tunisien</t>
        </is>
      </c>
      <c r="B164" t="inlineStr">
        <is>
          <t>internet BIO</t>
        </is>
      </c>
      <c r="D164" t="inlineStr">
        <is>
          <t>placedesepices.com</t>
        </is>
      </c>
    </row>
    <row r="165">
      <c r="A165" t="inlineStr">
        <is>
          <t>Taklia</t>
        </is>
      </c>
      <c r="B165" t="inlineStr">
        <is>
          <t>internet BIO</t>
        </is>
      </c>
      <c r="D165" t="inlineStr">
        <is>
          <t>placedesepices.com</t>
        </is>
      </c>
    </row>
    <row r="166">
      <c r="A166" t="inlineStr">
        <is>
          <t>Timur ko chhop</t>
        </is>
      </c>
      <c r="B166" t="inlineStr">
        <is>
          <t>internet BIO</t>
        </is>
      </c>
      <c r="D166" t="inlineStr">
        <is>
          <t>placedesepices.com</t>
        </is>
      </c>
    </row>
    <row r="167">
      <c r="A167" t="inlineStr">
        <is>
          <t>Vindaloo masala</t>
        </is>
      </c>
      <c r="B167" t="inlineStr">
        <is>
          <t>internet BIO</t>
        </is>
      </c>
      <c r="D167" t="inlineStr">
        <is>
          <t>placedesepices.com</t>
        </is>
      </c>
    </row>
    <row r="168">
      <c r="A168" t="inlineStr">
        <is>
          <t>Zhug</t>
        </is>
      </c>
      <c r="B168" t="inlineStr">
        <is>
          <t>internet BIO</t>
        </is>
      </c>
      <c r="D168" t="inlineStr">
        <is>
          <t>placedesepices.com</t>
        </is>
      </c>
    </row>
    <row r="169">
      <c r="A169" t="inlineStr">
        <is>
          <t>Choucroute</t>
        </is>
      </c>
      <c r="B169" t="inlineStr">
        <is>
          <t>magasin BIO</t>
        </is>
      </c>
      <c r="C169" t="inlineStr">
        <is>
          <t>Choucroute bio</t>
        </is>
      </c>
      <c r="D169" t="inlineStr">
        <is>
          <t>Biocoop</t>
        </is>
      </c>
      <c r="E169" t="inlineStr">
        <is>
          <t>500g</t>
        </is>
      </c>
      <c r="F169" t="n">
        <v>3.5</v>
      </c>
      <c r="G169" t="n">
        <v>7</v>
      </c>
    </row>
    <row r="170">
      <c r="A170" t="inlineStr">
        <is>
          <t>Choucroute</t>
        </is>
      </c>
      <c r="B170" t="inlineStr">
        <is>
          <t>magasin NON BIO</t>
        </is>
      </c>
      <c r="C170" t="inlineStr">
        <is>
          <t>Choucroute</t>
        </is>
      </c>
      <c r="D170" t="inlineStr">
        <is>
          <t>Auchan</t>
        </is>
      </c>
      <c r="E170" t="inlineStr">
        <is>
          <t>500g</t>
        </is>
      </c>
      <c r="F170" t="n">
        <v>2.2</v>
      </c>
      <c r="G170" t="n">
        <v>4.4</v>
      </c>
    </row>
    <row r="171">
      <c r="A171" t="inlineStr">
        <is>
          <t>Choucroute</t>
        </is>
      </c>
      <c r="B171" t="inlineStr">
        <is>
          <t>artisanale BIO</t>
        </is>
      </c>
      <c r="C171" t="inlineStr">
        <is>
          <t>Choucroute artisanale</t>
        </is>
      </c>
      <c r="D171" t="inlineStr">
        <is>
          <t>Local</t>
        </is>
      </c>
      <c r="E171" t="inlineStr">
        <is>
          <t>1000g</t>
        </is>
      </c>
      <c r="F171" t="n">
        <v>6</v>
      </c>
      <c r="G171" t="n">
        <v>6</v>
      </c>
    </row>
    <row r="172">
      <c r="A172" t="inlineStr">
        <is>
          <t>Huile massage musculaire</t>
        </is>
      </c>
      <c r="B172" t="inlineStr">
        <is>
          <t>magasin BIO</t>
        </is>
      </c>
      <c r="C172" t="inlineStr">
        <is>
          <t>Huile de massage bio</t>
        </is>
      </c>
      <c r="D172" t="inlineStr">
        <is>
          <t>Weleda</t>
        </is>
      </c>
      <c r="E172" t="inlineStr">
        <is>
          <t>100ml</t>
        </is>
      </c>
      <c r="F172" t="n">
        <v>12</v>
      </c>
      <c r="G172" t="n">
        <v>120</v>
      </c>
    </row>
    <row r="173">
      <c r="A173" t="inlineStr">
        <is>
          <t>Huile massage musculaire</t>
        </is>
      </c>
      <c r="B173" t="inlineStr">
        <is>
          <t>magasin NON BIO</t>
        </is>
      </c>
      <c r="C173" t="inlineStr">
        <is>
          <t>Huile massage musculaire</t>
        </is>
      </c>
      <c r="D173" t="inlineStr">
        <is>
          <t>Generic</t>
        </is>
      </c>
      <c r="E173" t="inlineStr">
        <is>
          <t>100ml</t>
        </is>
      </c>
      <c r="F173" t="n">
        <v>8</v>
      </c>
      <c r="G173" t="n">
        <v>80</v>
      </c>
    </row>
    <row r="174">
      <c r="A174" t="inlineStr">
        <is>
          <t>Huile massage musculaire</t>
        </is>
      </c>
      <c r="B174" t="inlineStr">
        <is>
          <t>artisanale BIO</t>
        </is>
      </c>
      <c r="C174" t="inlineStr">
        <is>
          <t>Huile massage artisanale</t>
        </is>
      </c>
      <c r="D174" t="inlineStr">
        <is>
          <t>Local</t>
        </is>
      </c>
      <c r="E174" t="inlineStr">
        <is>
          <t>100ml</t>
        </is>
      </c>
      <c r="F174" t="n">
        <v>18</v>
      </c>
      <c r="G174" t="n">
        <v>180</v>
      </c>
    </row>
    <row r="175">
      <c r="A175" t="inlineStr">
        <is>
          <t>Sucre de rose</t>
        </is>
      </c>
      <c r="B175" t="inlineStr">
        <is>
          <t>magasin BIO</t>
        </is>
      </c>
      <c r="C175" t="inlineStr">
        <is>
          <t>Sucre à la rose bio</t>
        </is>
      </c>
      <c r="D175" t="inlineStr">
        <is>
          <t>Cook</t>
        </is>
      </c>
      <c r="E175" t="inlineStr">
        <is>
          <t>100g</t>
        </is>
      </c>
      <c r="F175" t="n">
        <v>5</v>
      </c>
      <c r="G175" t="n">
        <v>50</v>
      </c>
    </row>
    <row r="176">
      <c r="A176" t="inlineStr">
        <is>
          <t>Sucre de rose</t>
        </is>
      </c>
      <c r="B176" t="inlineStr">
        <is>
          <t>magasin NON BIO</t>
        </is>
      </c>
      <c r="C176" t="inlineStr">
        <is>
          <t>Sucre parfumé rose</t>
        </is>
      </c>
      <c r="D176" t="inlineStr">
        <is>
          <t>Generic</t>
        </is>
      </c>
      <c r="E176" t="inlineStr">
        <is>
          <t>100g</t>
        </is>
      </c>
      <c r="F176" t="n">
        <v>3.5</v>
      </c>
      <c r="G176" t="n">
        <v>35</v>
      </c>
    </row>
    <row r="177">
      <c r="A177" t="inlineStr">
        <is>
          <t>Sucre de rose</t>
        </is>
      </c>
      <c r="B177" t="inlineStr">
        <is>
          <t>artisanale BIO</t>
        </is>
      </c>
      <c r="C177" t="inlineStr">
        <is>
          <t>Sucre de rose artisanal</t>
        </is>
      </c>
      <c r="D177" t="inlineStr">
        <is>
          <t>Local</t>
        </is>
      </c>
      <c r="E177" t="inlineStr">
        <is>
          <t>100g</t>
        </is>
      </c>
      <c r="F177" t="n">
        <v>7</v>
      </c>
      <c r="G177" t="n">
        <v>70</v>
      </c>
    </row>
    <row r="178">
      <c r="A178" t="inlineStr">
        <is>
          <t>Sel de garrigue</t>
        </is>
      </c>
      <c r="B178" t="inlineStr">
        <is>
          <t>magasin BIO</t>
        </is>
      </c>
      <c r="C178" t="inlineStr">
        <is>
          <t>Sel aux herbes de Provence bio</t>
        </is>
      </c>
      <c r="D178" t="inlineStr">
        <is>
          <t>Cook</t>
        </is>
      </c>
      <c r="E178" t="inlineStr">
        <is>
          <t>100g</t>
        </is>
      </c>
      <c r="F178" t="n">
        <v>3.5</v>
      </c>
      <c r="G178" t="n">
        <v>35</v>
      </c>
    </row>
    <row r="179">
      <c r="A179" t="inlineStr">
        <is>
          <t>Sel de garrigue</t>
        </is>
      </c>
      <c r="B179" t="inlineStr">
        <is>
          <t>magasin NON BIO</t>
        </is>
      </c>
      <c r="C179" t="inlineStr">
        <is>
          <t>Sel aromatisé herbes</t>
        </is>
      </c>
      <c r="D179" t="inlineStr">
        <is>
          <t>Ducros</t>
        </is>
      </c>
      <c r="E179" t="inlineStr">
        <is>
          <t>70g</t>
        </is>
      </c>
      <c r="F179" t="n">
        <v>2.2</v>
      </c>
      <c r="G179" t="n">
        <v>31.43</v>
      </c>
    </row>
    <row r="180">
      <c r="A180" t="inlineStr">
        <is>
          <t>Sel de garrigue</t>
        </is>
      </c>
      <c r="B180" t="inlineStr">
        <is>
          <t>artisanale BIO</t>
        </is>
      </c>
      <c r="C180" t="inlineStr">
        <is>
          <t>Sel de garrigue artisanal</t>
        </is>
      </c>
      <c r="D180" t="inlineStr">
        <is>
          <t>Local</t>
        </is>
      </c>
      <c r="E180" t="inlineStr">
        <is>
          <t>100g</t>
        </is>
      </c>
      <c r="F180" t="n">
        <v>5</v>
      </c>
      <c r="G180" t="n">
        <v>50</v>
      </c>
    </row>
    <row r="181">
      <c r="A181" t="inlineStr">
        <is>
          <t>Tisane d'hiver</t>
        </is>
      </c>
      <c r="B181" t="inlineStr">
        <is>
          <t>magasin BIO</t>
        </is>
      </c>
      <c r="C181" t="inlineStr">
        <is>
          <t>Infusion hiver bio</t>
        </is>
      </c>
      <c r="D181" t="inlineStr">
        <is>
          <t>Les Jardins de Gaïa</t>
        </is>
      </c>
      <c r="E181" t="inlineStr">
        <is>
          <t>50g</t>
        </is>
      </c>
      <c r="F181" t="n">
        <v>5.5</v>
      </c>
      <c r="G181" t="n">
        <v>110</v>
      </c>
    </row>
    <row r="182">
      <c r="A182" t="inlineStr">
        <is>
          <t>Tisane d'hiver</t>
        </is>
      </c>
      <c r="B182" t="inlineStr">
        <is>
          <t>magasin NON BIO</t>
        </is>
      </c>
      <c r="C182" t="inlineStr">
        <is>
          <t>Tisane thym sureau</t>
        </is>
      </c>
      <c r="D182" t="inlineStr">
        <is>
          <t>Elephant</t>
        </is>
      </c>
      <c r="E182" t="inlineStr">
        <is>
          <t>30g</t>
        </is>
      </c>
      <c r="F182" t="n">
        <v>2.8</v>
      </c>
      <c r="G182" t="n">
        <v>93.33</v>
      </c>
    </row>
    <row r="183">
      <c r="A183" t="inlineStr">
        <is>
          <t>Tisane d'hiver</t>
        </is>
      </c>
      <c r="B183" t="inlineStr">
        <is>
          <t>artisanale BIO</t>
        </is>
      </c>
      <c r="C183" t="inlineStr">
        <is>
          <t>Tisane d'hiver artisanale</t>
        </is>
      </c>
      <c r="D183" t="inlineStr">
        <is>
          <t>Local</t>
        </is>
      </c>
      <c r="E183" t="inlineStr">
        <is>
          <t>50g</t>
        </is>
      </c>
      <c r="F183" t="n">
        <v>7</v>
      </c>
      <c r="G183" t="n">
        <v>140</v>
      </c>
    </row>
    <row r="184">
      <c r="A184" t="inlineStr">
        <is>
          <t>Tisane digestive</t>
        </is>
      </c>
      <c r="B184" t="inlineStr">
        <is>
          <t>magasin BIO</t>
        </is>
      </c>
      <c r="C184" t="inlineStr">
        <is>
          <t>Infusion menthe fenouil bio</t>
        </is>
      </c>
      <c r="D184" t="inlineStr">
        <is>
          <t>Les Jardins de Gaïa</t>
        </is>
      </c>
      <c r="E184" t="inlineStr">
        <is>
          <t>50g</t>
        </is>
      </c>
      <c r="F184" t="n">
        <v>5.5</v>
      </c>
      <c r="G184" t="n">
        <v>110</v>
      </c>
    </row>
    <row r="185">
      <c r="A185" t="inlineStr">
        <is>
          <t>Tisane digestive</t>
        </is>
      </c>
      <c r="B185" t="inlineStr">
        <is>
          <t>magasin NON BIO</t>
        </is>
      </c>
      <c r="C185" t="inlineStr">
        <is>
          <t>Tisane digestion</t>
        </is>
      </c>
      <c r="D185" t="inlineStr">
        <is>
          <t>Elephant</t>
        </is>
      </c>
      <c r="E185" t="inlineStr">
        <is>
          <t>30g</t>
        </is>
      </c>
      <c r="F185" t="n">
        <v>2.8</v>
      </c>
      <c r="G185" t="n">
        <v>93.33</v>
      </c>
    </row>
    <row r="186">
      <c r="A186" t="inlineStr">
        <is>
          <t>Tisane digestive</t>
        </is>
      </c>
      <c r="B186" t="inlineStr">
        <is>
          <t>artisanale BIO</t>
        </is>
      </c>
      <c r="C186" t="inlineStr">
        <is>
          <t>Infusion menthe-fenouil</t>
        </is>
      </c>
      <c r="D186" t="inlineStr">
        <is>
          <t>Local</t>
        </is>
      </c>
      <c r="E186" t="inlineStr">
        <is>
          <t>50g</t>
        </is>
      </c>
      <c r="F186" t="n">
        <v>7</v>
      </c>
      <c r="G186" t="n">
        <v>140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codeName="Feuil8">
    <outlinePr summaryBelow="1" summaryRight="1"/>
    <pageSetUpPr/>
  </sheetPr>
  <dimension ref="A1:P39"/>
  <sheetViews>
    <sheetView workbookViewId="0">
      <selection activeCell="I47" sqref="I47"/>
    </sheetView>
  </sheetViews>
  <sheetFormatPr baseColWidth="10" defaultColWidth="11" defaultRowHeight="16"/>
  <cols>
    <col width="25.1640625" customWidth="1" min="1" max="1"/>
    <col width="8.1640625" customWidth="1" min="2" max="7"/>
    <col width="12.1640625" customWidth="1" min="8" max="8"/>
    <col width="16.1640625" customWidth="1" min="9" max="9"/>
    <col width="12.6640625" customWidth="1" min="10" max="10"/>
    <col width="15" customWidth="1" min="11" max="11"/>
    <col width="17.5" customWidth="1" min="12" max="12"/>
    <col width="11.33203125" customWidth="1" min="13" max="14"/>
  </cols>
  <sheetData>
    <row r="1" ht="74" customHeight="1">
      <c r="A1" s="24" t="inlineStr">
        <is>
          <t>Recette</t>
        </is>
      </c>
      <c r="B1" s="24" t="inlineStr">
        <is>
          <t>Objectif en unite</t>
        </is>
      </c>
      <c r="C1" s="24" t="inlineStr">
        <is>
          <t>poids/unite (g)</t>
        </is>
      </c>
      <c r="D1" s="24" t="inlineStr">
        <is>
          <t>Total (kg)</t>
        </is>
      </c>
      <c r="E1" s="24" t="inlineStr">
        <is>
          <t>Prix de vente/U</t>
        </is>
      </c>
      <c r="F1" s="25" t="inlineStr">
        <is>
          <t>Prix de vente/kg</t>
        </is>
      </c>
      <c r="G1" s="24" t="inlineStr">
        <is>
          <t>Revenue brut</t>
        </is>
      </c>
      <c r="H1" s="24" t="inlineStr">
        <is>
          <t>Packaging</t>
        </is>
      </c>
      <c r="I1" s="24" t="inlineStr">
        <is>
          <t>Packaging/Unit</t>
        </is>
      </c>
      <c r="J1" s="24" t="inlineStr">
        <is>
          <t>PV/kg frais</t>
        </is>
      </c>
      <c r="K1" s="24" t="inlineStr">
        <is>
          <t>Prix/kg (cook)</t>
        </is>
      </c>
      <c r="L1" s="24" t="inlineStr">
        <is>
          <t>Prix/kg (artisant)</t>
        </is>
      </c>
      <c r="M1" s="24" t="inlineStr">
        <is>
          <t>Colonne2</t>
        </is>
      </c>
      <c r="N1" s="24" t="inlineStr">
        <is>
          <t>Colonne3</t>
        </is>
      </c>
      <c r="O1" s="24" t="inlineStr">
        <is>
          <t>Colonne4</t>
        </is>
      </c>
      <c r="P1" t="inlineStr">
        <is>
          <t>DEPRECATED — ne plus utiliser (poids migrés vers Produit)</t>
        </is>
      </c>
    </row>
    <row r="2">
      <c r="A2" s="19" t="inlineStr">
        <is>
          <t>Ail semoule</t>
        </is>
      </c>
      <c r="B2" s="20" t="n">
        <v>25</v>
      </c>
      <c r="C2" s="20" t="n">
        <v>45</v>
      </c>
      <c r="D2" s="20" t="n">
        <v>1.125</v>
      </c>
      <c r="E2" s="20" t="n">
        <v>4.5</v>
      </c>
      <c r="F2" s="21" t="n">
        <v>100</v>
      </c>
      <c r="G2" s="20" t="n">
        <v>96.5</v>
      </c>
      <c r="H2" s="20" t="inlineStr">
        <is>
          <t>Epice 100ml</t>
        </is>
      </c>
      <c r="I2" s="20" t="n">
        <v>0.64</v>
      </c>
      <c r="J2" s="20" t="e">
        <v>#N/A</v>
      </c>
      <c r="K2" s="20" t="n">
        <v>65.33</v>
      </c>
      <c r="L2" s="20" t="n"/>
      <c r="M2" s="20" t="n"/>
      <c r="N2" s="22" t="n"/>
    </row>
    <row r="3">
      <c r="A3" s="19" t="inlineStr">
        <is>
          <t>Baharat arabe</t>
        </is>
      </c>
      <c r="B3" s="20" t="n">
        <v>25</v>
      </c>
      <c r="C3" s="20" t="n">
        <v>45</v>
      </c>
      <c r="D3" s="20" t="n">
        <v>1.125</v>
      </c>
      <c r="E3" s="20" t="n">
        <v>7.3125</v>
      </c>
      <c r="F3" s="21" t="n">
        <v>162.5</v>
      </c>
      <c r="G3" s="20" t="n">
        <v>166.8125</v>
      </c>
      <c r="H3" s="20" t="inlineStr">
        <is>
          <t>Epice 100ml</t>
        </is>
      </c>
      <c r="I3" s="20" t="n">
        <v>0.64</v>
      </c>
      <c r="J3" s="20" t="e">
        <v>#N/A</v>
      </c>
      <c r="K3" s="20" t="n"/>
      <c r="L3" s="20" t="n">
        <v>162.5</v>
      </c>
      <c r="M3" s="20" t="n"/>
      <c r="N3" s="22" t="n"/>
      <c r="P3" s="303">
        <f t="array" ref="P3:BF58">TableauProduit[Total (kg) N1]:TableauProduit[Total (kg) N2]:TableauProduit[Total (kg) N3]:TableauProduit[Total (kg) N4]:TableauProduit[Total (kg) N5]:TableauProduit[Total (kg) N6]:TableauProduit[Total (kg) N7]:TableauProduit[Total (kg) N8]</f>
        <v/>
      </c>
    </row>
    <row r="4">
      <c r="A4" s="19" t="inlineStr">
        <is>
          <t>Baharat turc</t>
        </is>
      </c>
      <c r="B4" s="20" t="n">
        <v>25</v>
      </c>
      <c r="C4" s="20" t="n">
        <v>65</v>
      </c>
      <c r="D4" s="20" t="n">
        <v>1.625</v>
      </c>
      <c r="E4" s="20" t="n">
        <v>7.800000000000001</v>
      </c>
      <c r="F4" s="21" t="n">
        <v>120</v>
      </c>
      <c r="G4" s="20" t="n">
        <v>179</v>
      </c>
      <c r="H4" s="20" t="inlineStr">
        <is>
          <t>Epice 100ml</t>
        </is>
      </c>
      <c r="I4" s="20" t="n">
        <v>0.64</v>
      </c>
      <c r="J4" s="20" t="e">
        <v>#N/A</v>
      </c>
      <c r="K4" s="20" t="n"/>
      <c r="L4" s="20" t="n">
        <v>96</v>
      </c>
      <c r="M4" s="20" t="n"/>
      <c r="N4" s="22" t="n"/>
    </row>
    <row r="5">
      <c r="A5" s="19" t="inlineStr">
        <is>
          <t>Carvi graine</t>
        </is>
      </c>
      <c r="B5" s="20" t="n">
        <v>25</v>
      </c>
      <c r="C5" s="20" t="n">
        <v>45</v>
      </c>
      <c r="D5" s="20" t="n">
        <v>1.125</v>
      </c>
      <c r="E5" s="20" t="n">
        <v>2.7</v>
      </c>
      <c r="F5" s="21" t="n">
        <v>60</v>
      </c>
      <c r="G5" s="20" t="n">
        <v>51.49999999999999</v>
      </c>
      <c r="H5" s="20" t="inlineStr">
        <is>
          <t>Epice 100ml</t>
        </is>
      </c>
      <c r="I5" s="20" t="n">
        <v>0.64</v>
      </c>
      <c r="J5" s="20" t="e">
        <v>#N/A</v>
      </c>
      <c r="K5" s="20" t="n">
        <v>51.33</v>
      </c>
      <c r="L5" s="20" t="n"/>
      <c r="M5" s="20" t="n"/>
      <c r="N5" s="22" t="n"/>
    </row>
    <row r="6">
      <c r="A6" s="19" t="inlineStr">
        <is>
          <t>Carvi moulu</t>
        </is>
      </c>
      <c r="B6" s="20" t="n">
        <v>25</v>
      </c>
      <c r="C6" s="20" t="n">
        <v>65</v>
      </c>
      <c r="D6" s="20" t="n">
        <v>1.625</v>
      </c>
      <c r="E6" s="20" t="n">
        <v>4.225000000000001</v>
      </c>
      <c r="F6" s="21" t="n">
        <v>65</v>
      </c>
      <c r="G6" s="20" t="n">
        <v>89.62500000000001</v>
      </c>
      <c r="H6" s="20" t="inlineStr">
        <is>
          <t>Epice 100ml</t>
        </is>
      </c>
      <c r="I6" s="20" t="n">
        <v>0.64</v>
      </c>
      <c r="J6" s="20" t="e">
        <v>#N/A</v>
      </c>
      <c r="K6" s="20" t="n">
        <v>43</v>
      </c>
      <c r="L6" s="20" t="n"/>
      <c r="M6" s="20" t="n"/>
      <c r="N6" s="22" t="n"/>
    </row>
    <row r="7">
      <c r="A7" s="19" t="inlineStr">
        <is>
          <t>Cumin moulu</t>
        </is>
      </c>
      <c r="B7" s="20" t="n">
        <v>25</v>
      </c>
      <c r="C7" s="20" t="n">
        <v>65</v>
      </c>
      <c r="D7" s="20" t="n">
        <v>1.625</v>
      </c>
      <c r="E7" s="20" t="n">
        <v>4.03</v>
      </c>
      <c r="F7" s="21" t="n">
        <v>62</v>
      </c>
      <c r="G7" s="20" t="n">
        <v>84.75</v>
      </c>
      <c r="H7" s="20" t="inlineStr">
        <is>
          <t>Epice 100ml</t>
        </is>
      </c>
      <c r="I7" s="20" t="n">
        <v>0.64</v>
      </c>
      <c r="J7" s="20" t="inlineStr">
        <is>
          <t>-</t>
        </is>
      </c>
      <c r="K7" s="20" t="n">
        <v>66</v>
      </c>
      <c r="L7" s="20" t="n">
        <v>108</v>
      </c>
      <c r="M7" s="20" t="n"/>
      <c r="N7" s="22" t="n"/>
    </row>
    <row r="8">
      <c r="A8" s="19" t="inlineStr">
        <is>
          <t>Gingembre</t>
        </is>
      </c>
      <c r="B8" s="20" t="n">
        <v>25</v>
      </c>
      <c r="C8" s="20" t="n">
        <v>50</v>
      </c>
      <c r="D8" s="20" t="n">
        <v>1.25</v>
      </c>
      <c r="E8" s="20" t="n">
        <v>5</v>
      </c>
      <c r="F8" s="21" t="n">
        <v>100</v>
      </c>
      <c r="G8" s="20" t="n">
        <v>109</v>
      </c>
      <c r="H8" s="20" t="inlineStr">
        <is>
          <t>Epice 100ml</t>
        </is>
      </c>
      <c r="I8" s="20" t="n">
        <v>0.64</v>
      </c>
      <c r="J8" s="20" t="n">
        <v>100</v>
      </c>
      <c r="K8" s="20" t="n">
        <v>88.76000000000001</v>
      </c>
      <c r="L8" s="20" t="n"/>
      <c r="M8" s="20" t="n"/>
      <c r="N8" s="22" t="n"/>
    </row>
    <row r="9">
      <c r="A9" s="19" t="inlineStr">
        <is>
          <t>Ketchup</t>
        </is>
      </c>
      <c r="B9" s="20" t="n">
        <v>25</v>
      </c>
      <c r="C9" s="20" t="n">
        <v>280</v>
      </c>
      <c r="D9" s="20" t="n">
        <v>7</v>
      </c>
      <c r="E9" s="20" t="n">
        <v>8</v>
      </c>
      <c r="F9" s="21" t="n">
        <v>28.57142857142857</v>
      </c>
      <c r="G9" s="20" t="n">
        <v>170</v>
      </c>
      <c r="H9" s="20" t="inlineStr">
        <is>
          <t>Piment liquide 250ml</t>
        </is>
      </c>
      <c r="I9" s="20" t="n">
        <v>1.2</v>
      </c>
      <c r="J9" s="20" t="n"/>
      <c r="K9" s="20" t="n"/>
      <c r="L9" s="20" t="n"/>
      <c r="M9" s="20" t="n"/>
      <c r="N9" s="22" t="n">
        <v>24.28571428571428</v>
      </c>
    </row>
    <row r="10">
      <c r="A10" s="19" t="inlineStr">
        <is>
          <t>Tabasco cayenne jaune</t>
        </is>
      </c>
      <c r="B10" s="20" t="n">
        <v>25</v>
      </c>
      <c r="C10" s="20" t="n">
        <v>100</v>
      </c>
      <c r="D10" s="20" t="n">
        <v>2.5</v>
      </c>
      <c r="E10" s="20" t="n">
        <v>12.5</v>
      </c>
      <c r="F10" s="21" t="n">
        <v>125</v>
      </c>
      <c r="G10" s="20" t="n">
        <v>270.5</v>
      </c>
      <c r="H10" s="20" t="inlineStr">
        <is>
          <t>Piment liquide 250ml</t>
        </is>
      </c>
      <c r="I10" s="20" t="n">
        <v>1.68</v>
      </c>
      <c r="J10" s="20" t="n"/>
      <c r="K10" s="20" t="n"/>
      <c r="L10" s="20" t="n"/>
      <c r="M10" s="20" t="n"/>
      <c r="N10" s="22" t="n"/>
    </row>
    <row r="11">
      <c r="A11" s="19" t="inlineStr">
        <is>
          <t>Suya ghanéen</t>
        </is>
      </c>
      <c r="B11" s="20" t="n">
        <v>25</v>
      </c>
      <c r="C11" s="20" t="n">
        <v>40</v>
      </c>
      <c r="D11" s="20" t="n">
        <v>1</v>
      </c>
      <c r="E11" s="20" t="n">
        <v>4</v>
      </c>
      <c r="F11" s="21" t="n">
        <v>100</v>
      </c>
      <c r="G11" s="20" t="n">
        <v>84</v>
      </c>
      <c r="H11" s="20" t="inlineStr">
        <is>
          <t>Epice 100ml</t>
        </is>
      </c>
      <c r="I11" s="20" t="n">
        <v>0.64</v>
      </c>
      <c r="J11" s="20" t="n"/>
      <c r="K11" s="20" t="n"/>
      <c r="L11" s="20" t="n"/>
      <c r="M11" s="20" t="n"/>
      <c r="N11" s="22" t="n"/>
    </row>
    <row r="12">
      <c r="A12" s="19" t="inlineStr">
        <is>
          <t>Cornichon</t>
        </is>
      </c>
      <c r="B12" s="20" t="n">
        <v>50</v>
      </c>
      <c r="C12" s="20" t="n">
        <v>210</v>
      </c>
      <c r="D12" s="20" t="n">
        <v>10.5</v>
      </c>
      <c r="E12" s="20" t="n">
        <v>5</v>
      </c>
      <c r="F12" s="21" t="n">
        <v>23.80952380952381</v>
      </c>
      <c r="G12" s="20" t="n">
        <v>210</v>
      </c>
      <c r="H12" s="20" t="inlineStr">
        <is>
          <t>Verrine haute</t>
        </is>
      </c>
      <c r="I12" s="20" t="n">
        <v>0.8</v>
      </c>
      <c r="J12" s="20" t="n"/>
      <c r="K12" s="20" t="n"/>
      <c r="L12" s="20" t="n"/>
      <c r="M12" s="20" t="n"/>
      <c r="N12" s="22" t="n"/>
    </row>
    <row r="13">
      <c r="A13" s="19" t="inlineStr">
        <is>
          <t>Moutarde à l'ancienne</t>
        </is>
      </c>
      <c r="B13" s="20" t="n">
        <v>50</v>
      </c>
      <c r="C13" s="20" t="n">
        <v>250</v>
      </c>
      <c r="D13" s="20" t="n">
        <v>12.5</v>
      </c>
      <c r="E13" s="20" t="n">
        <v>8</v>
      </c>
      <c r="F13" s="21" t="n">
        <v>32</v>
      </c>
      <c r="G13" s="20" t="n">
        <v>300</v>
      </c>
      <c r="H13" s="20" t="inlineStr">
        <is>
          <t>Moutarde Pot en grès</t>
        </is>
      </c>
      <c r="I13" s="20" t="n">
        <v>2</v>
      </c>
      <c r="J13" s="20" t="n"/>
      <c r="K13" s="20" t="n"/>
      <c r="L13" s="20" t="n"/>
      <c r="M13" s="20" t="n"/>
      <c r="N13" s="22" t="n">
        <v>27.2</v>
      </c>
    </row>
    <row r="14">
      <c r="A14" s="19" t="inlineStr">
        <is>
          <t>Paprika</t>
        </is>
      </c>
      <c r="B14" s="20" t="n">
        <v>50</v>
      </c>
      <c r="C14" s="20" t="n">
        <v>40</v>
      </c>
      <c r="D14" s="20" t="n">
        <v>2</v>
      </c>
      <c r="E14" s="20" t="n">
        <v>5</v>
      </c>
      <c r="F14" s="21" t="n">
        <v>125</v>
      </c>
      <c r="G14" s="20" t="n">
        <v>218</v>
      </c>
      <c r="H14" s="20" t="inlineStr">
        <is>
          <t>Epice 100ml</t>
        </is>
      </c>
      <c r="I14" s="20" t="n">
        <v>0.64</v>
      </c>
      <c r="J14" s="20" t="n">
        <v>112.5</v>
      </c>
      <c r="K14" s="20" t="n">
        <v>84.25</v>
      </c>
      <c r="L14" s="20" t="n"/>
      <c r="M14" s="20" t="n"/>
      <c r="N14" s="22" t="n">
        <v>106.25</v>
      </c>
    </row>
    <row r="15">
      <c r="A15" s="19" t="inlineStr">
        <is>
          <t>Paprika fumé</t>
        </is>
      </c>
      <c r="B15" s="20" t="n">
        <v>50</v>
      </c>
      <c r="C15" s="20" t="n">
        <v>33</v>
      </c>
      <c r="D15" s="20" t="n">
        <v>1.65</v>
      </c>
      <c r="E15" s="20" t="n">
        <v>4.95</v>
      </c>
      <c r="F15" s="21" t="n">
        <v>150</v>
      </c>
      <c r="G15" s="20" t="n">
        <v>215.5</v>
      </c>
      <c r="H15" s="20" t="inlineStr">
        <is>
          <t>Epice 100ml</t>
        </is>
      </c>
      <c r="I15" s="20" t="n">
        <v>0.64</v>
      </c>
      <c r="J15" s="20" t="n">
        <v>105</v>
      </c>
      <c r="K15" s="20" t="n">
        <v>84.25</v>
      </c>
      <c r="L15" s="20" t="n"/>
      <c r="M15" s="20" t="n"/>
      <c r="N15" s="22" t="n">
        <v>127.5</v>
      </c>
    </row>
    <row r="16">
      <c r="A16" s="19" t="inlineStr">
        <is>
          <t>Sriracha</t>
        </is>
      </c>
      <c r="B16" s="20" t="n">
        <v>50</v>
      </c>
      <c r="C16" s="20" t="n">
        <v>280</v>
      </c>
      <c r="D16" s="20" t="n">
        <v>14</v>
      </c>
      <c r="E16" s="20" t="n">
        <v>8</v>
      </c>
      <c r="F16" s="21" t="n">
        <v>28.57142857142857</v>
      </c>
      <c r="G16" s="20" t="n">
        <v>340</v>
      </c>
      <c r="H16" s="20" t="inlineStr">
        <is>
          <t>Piment liquide 250ml</t>
        </is>
      </c>
      <c r="I16" s="20" t="n">
        <v>1.2</v>
      </c>
      <c r="J16" s="20" t="n"/>
      <c r="K16" s="20" t="n"/>
      <c r="L16" s="20" t="n"/>
      <c r="M16" s="20" t="n"/>
      <c r="N16" s="22" t="n"/>
    </row>
    <row r="17">
      <c r="A17" s="19" t="inlineStr">
        <is>
          <t>Tabasco cayenne jaune</t>
        </is>
      </c>
      <c r="B17" s="20" t="n">
        <v>50</v>
      </c>
      <c r="C17" s="20" t="n">
        <v>100</v>
      </c>
      <c r="D17" s="20" t="n">
        <v>5</v>
      </c>
      <c r="E17" s="20" t="n">
        <v>7</v>
      </c>
      <c r="F17" s="21" t="n">
        <v>70</v>
      </c>
      <c r="G17" s="20" t="n">
        <v>265.5</v>
      </c>
      <c r="H17" s="20" t="inlineStr">
        <is>
          <t>Piment liquide 100ml</t>
        </is>
      </c>
      <c r="I17" s="20" t="n">
        <v>1.69</v>
      </c>
      <c r="J17" s="20" t="n"/>
      <c r="K17" s="20" t="n"/>
      <c r="L17" s="20" t="n"/>
      <c r="M17" s="20" t="n"/>
      <c r="N17" s="22" t="n"/>
    </row>
    <row r="18">
      <c r="A18" s="19" t="inlineStr">
        <is>
          <t>Tabasco jalapeno</t>
        </is>
      </c>
      <c r="B18" s="20" t="n">
        <v>50</v>
      </c>
      <c r="C18" s="20" t="n">
        <v>100</v>
      </c>
      <c r="D18" s="20" t="n">
        <v>5</v>
      </c>
      <c r="E18" s="20" t="n">
        <v>12.5</v>
      </c>
      <c r="F18" s="21" t="n">
        <v>125</v>
      </c>
      <c r="G18" s="20" t="n">
        <v>541</v>
      </c>
      <c r="H18" s="20" t="inlineStr">
        <is>
          <t>Piment liquide 250ml</t>
        </is>
      </c>
      <c r="I18" s="20" t="n">
        <v>1.68</v>
      </c>
      <c r="J18" s="20" t="n"/>
      <c r="K18" s="20" t="n"/>
      <c r="L18" s="20" t="n"/>
      <c r="M18" s="20" t="n"/>
      <c r="N18" s="22" t="n"/>
    </row>
    <row r="19">
      <c r="A19" s="19" t="inlineStr">
        <is>
          <t>Timur ko chhop</t>
        </is>
      </c>
      <c r="B19" s="20" t="n">
        <v>50</v>
      </c>
      <c r="C19" s="20" t="n">
        <v>50</v>
      </c>
      <c r="D19" s="20" t="n">
        <v>2.5</v>
      </c>
      <c r="E19" s="20" t="n">
        <v>5</v>
      </c>
      <c r="F19" s="21" t="n">
        <v>100</v>
      </c>
      <c r="G19" s="20" t="n">
        <v>218</v>
      </c>
      <c r="H19" s="20" t="inlineStr">
        <is>
          <t>Epice 100ml</t>
        </is>
      </c>
      <c r="I19" s="20" t="n">
        <v>0.64</v>
      </c>
      <c r="J19" s="20" t="e">
        <v>#VALUE!</v>
      </c>
      <c r="K19" s="20" t="n"/>
      <c r="L19" s="20" t="n"/>
      <c r="M19" s="20" t="n"/>
      <c r="N19" s="22" t="n"/>
    </row>
    <row r="20">
      <c r="A20" s="19" t="inlineStr">
        <is>
          <t>Curry japonais</t>
        </is>
      </c>
      <c r="B20" s="20" t="n">
        <v>50</v>
      </c>
      <c r="C20" s="20" t="n">
        <v>40</v>
      </c>
      <c r="D20" s="20" t="n">
        <v>2</v>
      </c>
      <c r="E20" s="20" t="n">
        <v>4</v>
      </c>
      <c r="F20" s="21" t="n">
        <v>100</v>
      </c>
      <c r="G20" s="20" t="n">
        <v>168</v>
      </c>
      <c r="H20" s="20" t="inlineStr">
        <is>
          <t>Epice 100ml</t>
        </is>
      </c>
      <c r="I20" s="20" t="n">
        <v>0.64</v>
      </c>
      <c r="J20" s="20" t="n"/>
      <c r="K20" s="20" t="n"/>
      <c r="L20" s="20" t="n"/>
      <c r="M20" s="20" t="n"/>
      <c r="N20" s="22" t="n"/>
    </row>
    <row r="21">
      <c r="A21" s="23" t="inlineStr">
        <is>
          <t>Huile massage anti-arthrite</t>
        </is>
      </c>
      <c r="B21" s="20" t="n">
        <v>75</v>
      </c>
      <c r="C21" s="20" t="n">
        <v>100</v>
      </c>
      <c r="D21" s="20" t="n">
        <v>7.5</v>
      </c>
      <c r="E21" s="20" t="n">
        <v>19</v>
      </c>
      <c r="F21" s="21" t="n">
        <v>190</v>
      </c>
      <c r="G21" s="20" t="n">
        <v>1380</v>
      </c>
      <c r="H21" s="20" t="inlineStr">
        <is>
          <t>Piment liquide 100ml</t>
        </is>
      </c>
      <c r="I21" s="20" t="n">
        <v>0.6</v>
      </c>
      <c r="J21" s="20" t="n"/>
      <c r="K21" s="20" t="n"/>
      <c r="L21" s="20" t="n"/>
      <c r="M21" s="20" t="n"/>
      <c r="N21" s="22" t="n">
        <v>161.5</v>
      </c>
    </row>
    <row r="22">
      <c r="A22" s="19" t="inlineStr">
        <is>
          <t>Kimchi</t>
        </is>
      </c>
      <c r="B22" s="20" t="n">
        <v>75</v>
      </c>
      <c r="C22" s="20" t="n">
        <v>210</v>
      </c>
      <c r="D22" s="20" t="n">
        <v>15.75</v>
      </c>
      <c r="E22" s="20" t="n">
        <v>5</v>
      </c>
      <c r="F22" s="21" t="n">
        <v>23.80952380952381</v>
      </c>
      <c r="G22" s="20" t="n">
        <v>330</v>
      </c>
      <c r="H22" s="20" t="inlineStr">
        <is>
          <t>Verrine haute</t>
        </is>
      </c>
      <c r="I22" s="20" t="n">
        <v>0.6</v>
      </c>
      <c r="J22" s="20" t="n"/>
      <c r="K22" s="20" t="n"/>
      <c r="L22" s="20" t="n"/>
      <c r="M22" s="20" t="n"/>
      <c r="N22" s="22" t="n">
        <v>20.23809523809523</v>
      </c>
    </row>
    <row r="23">
      <c r="A23" s="19" t="inlineStr">
        <is>
          <t>Oigon seche</t>
        </is>
      </c>
      <c r="B23" s="20" t="n">
        <v>75</v>
      </c>
      <c r="C23" s="20" t="n">
        <v>45</v>
      </c>
      <c r="D23" s="20" t="n">
        <v>3.375</v>
      </c>
      <c r="E23" s="20" t="n">
        <v>0</v>
      </c>
      <c r="F23" s="21" t="n"/>
      <c r="G23" s="20" t="n">
        <v>-48</v>
      </c>
      <c r="H23" s="20" t="inlineStr">
        <is>
          <t>Epice 100ml</t>
        </is>
      </c>
      <c r="I23" s="20" t="n">
        <v>0.64</v>
      </c>
      <c r="J23" s="20" t="n"/>
      <c r="K23" s="20" t="n"/>
      <c r="L23" s="20" t="n"/>
      <c r="M23" s="20" t="n"/>
      <c r="N23" s="22" t="n">
        <v>0</v>
      </c>
    </row>
    <row r="24">
      <c r="A24" s="19" t="inlineStr">
        <is>
          <t>Tabasco Rouge moyen</t>
        </is>
      </c>
      <c r="B24" s="20" t="n">
        <v>75</v>
      </c>
      <c r="C24" s="20" t="n">
        <v>100</v>
      </c>
      <c r="D24" s="20" t="n">
        <v>7.5</v>
      </c>
      <c r="E24" s="20" t="n">
        <v>7</v>
      </c>
      <c r="F24" s="21" t="n">
        <v>70</v>
      </c>
      <c r="G24" s="20" t="n">
        <v>398.2500000000001</v>
      </c>
      <c r="H24" s="20" t="inlineStr">
        <is>
          <t>Piment liquide 100ml</t>
        </is>
      </c>
      <c r="I24" s="20" t="n">
        <v>1.69</v>
      </c>
      <c r="J24" s="20" t="n"/>
      <c r="K24" s="20" t="n"/>
      <c r="L24" s="20" t="n"/>
      <c r="M24" s="20" t="n"/>
      <c r="N24" s="22" t="n"/>
    </row>
    <row r="25">
      <c r="A25" s="19" t="inlineStr">
        <is>
          <t>Épices guacamole</t>
        </is>
      </c>
      <c r="B25" s="20" t="n">
        <v>75</v>
      </c>
      <c r="C25" s="20" t="n">
        <v>40</v>
      </c>
      <c r="D25" s="20" t="n">
        <v>3</v>
      </c>
      <c r="E25" s="20" t="n">
        <v>4</v>
      </c>
      <c r="F25" s="21" t="n">
        <v>100</v>
      </c>
      <c r="G25" s="20" t="n">
        <v>252</v>
      </c>
      <c r="H25" s="20" t="inlineStr">
        <is>
          <t>Epice 100ml</t>
        </is>
      </c>
      <c r="I25" s="20" t="n">
        <v>0.64</v>
      </c>
      <c r="J25" s="20" t="n"/>
      <c r="K25" s="20" t="n"/>
      <c r="L25" s="20" t="n"/>
      <c r="M25" s="20" t="n"/>
      <c r="N25" s="22" t="n"/>
    </row>
    <row r="26">
      <c r="A26" s="19" t="inlineStr">
        <is>
          <t>Curcuma</t>
        </is>
      </c>
      <c r="B26" s="20" t="n">
        <v>100</v>
      </c>
      <c r="C26" s="20" t="n">
        <v>65</v>
      </c>
      <c r="D26" s="20" t="n">
        <v>6.5</v>
      </c>
      <c r="E26" s="20" t="n">
        <v>2.925</v>
      </c>
      <c r="F26" s="21" t="n">
        <v>45</v>
      </c>
      <c r="G26" s="20" t="n">
        <v>228.5</v>
      </c>
      <c r="H26" s="20" t="inlineStr">
        <is>
          <t>Epice 100ml</t>
        </is>
      </c>
      <c r="I26" s="20" t="n">
        <v>0.64</v>
      </c>
      <c r="J26" s="20" t="n">
        <v>3.6</v>
      </c>
      <c r="K26" s="20" t="n">
        <v>43.63</v>
      </c>
      <c r="L26" s="20" t="n"/>
      <c r="M26" s="20" t="n"/>
      <c r="N26" s="22" t="n"/>
    </row>
    <row r="27">
      <c r="A27" s="19" t="inlineStr">
        <is>
          <t>Curry</t>
        </is>
      </c>
      <c r="B27" s="20" t="n">
        <v>100</v>
      </c>
      <c r="C27" s="20" t="n">
        <v>65</v>
      </c>
      <c r="D27" s="20" t="n">
        <v>6.5</v>
      </c>
      <c r="E27" s="20" t="n">
        <v>4.875</v>
      </c>
      <c r="F27" s="21" t="n">
        <v>75</v>
      </c>
      <c r="G27" s="20" t="n">
        <v>423.5000000000001</v>
      </c>
      <c r="H27" s="20" t="inlineStr">
        <is>
          <t>Epice 100ml</t>
        </is>
      </c>
      <c r="I27" s="20" t="n">
        <v>0.64</v>
      </c>
      <c r="J27" s="20" t="n">
        <v>67.5</v>
      </c>
      <c r="K27" s="20" t="n">
        <v>40</v>
      </c>
      <c r="L27" s="20" t="n"/>
      <c r="M27" s="20" t="n"/>
      <c r="N27" s="22" t="n"/>
    </row>
    <row r="28">
      <c r="A28" s="19" t="inlineStr">
        <is>
          <t>Curry Madras</t>
        </is>
      </c>
      <c r="B28" s="20" t="n">
        <v>100</v>
      </c>
      <c r="C28" s="20" t="n">
        <v>50</v>
      </c>
      <c r="D28" s="20" t="n">
        <v>5</v>
      </c>
      <c r="E28" s="20" t="n">
        <v>5</v>
      </c>
      <c r="F28" s="21" t="n">
        <v>100</v>
      </c>
      <c r="G28" s="20" t="n">
        <v>436.0000000000001</v>
      </c>
      <c r="H28" s="20" t="inlineStr">
        <is>
          <t>Epice 100ml</t>
        </is>
      </c>
      <c r="I28" s="20" t="n">
        <v>0.64</v>
      </c>
      <c r="J28" s="20" t="n">
        <v>35</v>
      </c>
      <c r="K28" s="20" t="n">
        <v>91.67</v>
      </c>
      <c r="L28" s="20" t="n"/>
      <c r="M28" s="20" t="n"/>
      <c r="N28" s="22" t="n"/>
    </row>
    <row r="29">
      <c r="A29" s="19" t="inlineStr">
        <is>
          <t>Hawaij</t>
        </is>
      </c>
      <c r="B29" s="20" t="n">
        <v>100</v>
      </c>
      <c r="C29" s="20" t="n">
        <v>50</v>
      </c>
      <c r="D29" s="20" t="n">
        <v>5</v>
      </c>
      <c r="E29" s="20" t="n">
        <v>5</v>
      </c>
      <c r="F29" s="21" t="n">
        <v>100</v>
      </c>
      <c r="G29" s="20" t="n">
        <v>436.0000000000001</v>
      </c>
      <c r="H29" s="20" t="inlineStr">
        <is>
          <t>Epice 100ml</t>
        </is>
      </c>
      <c r="I29" s="20" t="n">
        <v>0.64</v>
      </c>
      <c r="J29" s="20" t="e">
        <v>#N/A</v>
      </c>
      <c r="K29" s="20" t="n">
        <v>115</v>
      </c>
      <c r="L29" s="20" t="n"/>
      <c r="M29" s="20" t="n"/>
      <c r="N29" s="22" t="n">
        <v>85</v>
      </c>
    </row>
    <row r="30">
      <c r="A30" s="19" t="inlineStr">
        <is>
          <t>Tabasco jalapeno</t>
        </is>
      </c>
      <c r="B30" s="20" t="n">
        <v>100</v>
      </c>
      <c r="C30" s="20" t="n">
        <v>100</v>
      </c>
      <c r="D30" s="20" t="n">
        <v>10</v>
      </c>
      <c r="E30" s="20" t="n">
        <v>7</v>
      </c>
      <c r="F30" s="21" t="n">
        <v>70</v>
      </c>
      <c r="G30" s="20" t="n">
        <v>531</v>
      </c>
      <c r="H30" s="20" t="inlineStr">
        <is>
          <t>Piment liquide 100ml</t>
        </is>
      </c>
      <c r="I30" s="20" t="n">
        <v>1.69</v>
      </c>
      <c r="J30" s="20" t="n"/>
      <c r="K30" s="20" t="n"/>
      <c r="L30" s="20" t="n"/>
      <c r="M30" s="20" t="n"/>
      <c r="N30" s="22" t="n"/>
    </row>
    <row r="31">
      <c r="A31" s="19" t="inlineStr">
        <is>
          <t>Tabasco Rouge moyen</t>
        </is>
      </c>
      <c r="B31" s="20" t="n">
        <v>100</v>
      </c>
      <c r="C31" s="20" t="n">
        <v>100</v>
      </c>
      <c r="D31" s="20" t="n">
        <v>10</v>
      </c>
      <c r="E31" s="20" t="n">
        <v>12.5</v>
      </c>
      <c r="F31" s="21" t="n">
        <v>125</v>
      </c>
      <c r="G31" s="20" t="n">
        <v>1082</v>
      </c>
      <c r="H31" s="20" t="inlineStr">
        <is>
          <t>Piment liquide 250ml</t>
        </is>
      </c>
      <c r="I31" s="20" t="n">
        <v>1.68</v>
      </c>
      <c r="J31" s="20" t="n"/>
      <c r="K31" s="20" t="n"/>
      <c r="L31" s="20" t="n"/>
      <c r="M31" s="20" t="n"/>
      <c r="N31" s="22" t="n"/>
    </row>
    <row r="32">
      <c r="A32" s="19" t="inlineStr">
        <is>
          <t>Tabasco violet fort</t>
        </is>
      </c>
      <c r="B32" s="20" t="n">
        <v>100</v>
      </c>
      <c r="C32" s="20" t="n">
        <v>100</v>
      </c>
      <c r="D32" s="20" t="n">
        <v>10</v>
      </c>
      <c r="E32" s="20" t="n">
        <v>12.5</v>
      </c>
      <c r="F32" s="21" t="n">
        <v>125</v>
      </c>
      <c r="G32" s="20" t="n">
        <v>1190</v>
      </c>
      <c r="H32" s="20" t="inlineStr">
        <is>
          <t>Piment liquide 250ml</t>
        </is>
      </c>
      <c r="I32" s="20" t="n">
        <v>0.6</v>
      </c>
      <c r="J32" s="20" t="n"/>
      <c r="K32" s="20" t="n"/>
      <c r="L32" s="20" t="n"/>
      <c r="M32" s="20" t="n"/>
      <c r="N32" s="22" t="n"/>
    </row>
    <row r="33">
      <c r="A33" s="19" t="inlineStr">
        <is>
          <t>Tabasco violet fort</t>
        </is>
      </c>
      <c r="B33" s="20" t="n">
        <v>100</v>
      </c>
      <c r="C33" s="20" t="n">
        <v>100</v>
      </c>
      <c r="D33" s="20" t="n">
        <v>10</v>
      </c>
      <c r="E33" s="20" t="n">
        <v>7</v>
      </c>
      <c r="F33" s="21" t="n">
        <v>70</v>
      </c>
      <c r="G33" s="20" t="n">
        <v>640</v>
      </c>
      <c r="H33" s="20" t="inlineStr">
        <is>
          <t>Piment liquide 100ml</t>
        </is>
      </c>
      <c r="I33" s="20" t="n">
        <v>0.6</v>
      </c>
      <c r="J33" s="20" t="n"/>
      <c r="K33" s="20" t="n"/>
      <c r="L33" s="20" t="n"/>
      <c r="M33" s="20" t="n"/>
      <c r="N33" s="22" t="n"/>
    </row>
    <row r="34">
      <c r="A34" s="19" t="inlineStr">
        <is>
          <t>Zaatar</t>
        </is>
      </c>
      <c r="B34" s="20" t="n">
        <v>100</v>
      </c>
      <c r="C34" s="20" t="n">
        <v>41</v>
      </c>
      <c r="D34" s="20" t="n">
        <v>4.1</v>
      </c>
      <c r="E34" s="20" t="n">
        <v>4.92</v>
      </c>
      <c r="F34" s="21" t="n">
        <v>120</v>
      </c>
      <c r="G34" s="20" t="n">
        <v>428</v>
      </c>
      <c r="H34" s="20" t="inlineStr">
        <is>
          <t>Epice 100ml</t>
        </is>
      </c>
      <c r="I34" s="20" t="n">
        <v>0.64</v>
      </c>
      <c r="J34" s="20" t="e">
        <v>#VALUE!</v>
      </c>
      <c r="K34" s="20" t="n">
        <v>101.11</v>
      </c>
      <c r="L34" s="20" t="n"/>
      <c r="M34" s="20" t="n"/>
      <c r="N34" s="22" t="n"/>
    </row>
    <row r="35">
      <c r="A35" s="19" t="inlineStr">
        <is>
          <t>Colombo</t>
        </is>
      </c>
      <c r="B35" s="20" t="n">
        <v>100</v>
      </c>
      <c r="C35" s="20" t="n">
        <v>40</v>
      </c>
      <c r="D35" s="20" t="n">
        <v>4</v>
      </c>
      <c r="E35" s="20" t="n">
        <v>4</v>
      </c>
      <c r="F35" s="21" t="n">
        <v>100</v>
      </c>
      <c r="G35" s="20" t="n">
        <v>336</v>
      </c>
      <c r="H35" s="20" t="inlineStr">
        <is>
          <t>Epice 100ml</t>
        </is>
      </c>
      <c r="I35" s="20" t="n">
        <v>0.64</v>
      </c>
      <c r="J35" s="20" t="n"/>
      <c r="K35" s="20" t="n"/>
      <c r="L35" s="20" t="n"/>
      <c r="M35" s="20" t="n"/>
      <c r="N35" s="22" t="n"/>
    </row>
    <row r="36">
      <c r="A36" s="19" t="inlineStr">
        <is>
          <t>Panch phoron</t>
        </is>
      </c>
      <c r="B36" s="20" t="n">
        <v>125</v>
      </c>
      <c r="C36" s="20" t="n">
        <v>65</v>
      </c>
      <c r="D36" s="20" t="n">
        <v>8.125</v>
      </c>
      <c r="E36" s="20" t="n">
        <v>6.5</v>
      </c>
      <c r="F36" s="21" t="n">
        <v>100</v>
      </c>
      <c r="G36" s="20" t="n">
        <v>732.5</v>
      </c>
      <c r="H36" s="20" t="inlineStr">
        <is>
          <t>Epice 100ml</t>
        </is>
      </c>
      <c r="I36" s="20" t="n">
        <v>0.64</v>
      </c>
      <c r="J36" s="20" t="n">
        <v>90</v>
      </c>
      <c r="K36" s="20" t="n"/>
      <c r="L36" s="20" t="n"/>
      <c r="M36" s="20" t="n"/>
      <c r="N36" s="22" t="n">
        <v>85</v>
      </c>
    </row>
    <row r="37">
      <c r="A37" s="23" t="inlineStr">
        <is>
          <t>Cumin graine</t>
        </is>
      </c>
      <c r="B37" s="20" t="n">
        <v>150</v>
      </c>
      <c r="C37" s="20" t="n">
        <v>45</v>
      </c>
      <c r="D37" s="20" t="n">
        <v>6.75</v>
      </c>
      <c r="E37" s="20" t="n">
        <v>4.455</v>
      </c>
      <c r="F37" s="21" t="n">
        <v>99</v>
      </c>
      <c r="G37" s="20" t="n">
        <v>572.25</v>
      </c>
      <c r="H37" s="20" t="inlineStr">
        <is>
          <t>Epice 100ml</t>
        </is>
      </c>
      <c r="I37" s="20" t="n">
        <v>0.64</v>
      </c>
      <c r="J37" s="20" t="n">
        <v>20</v>
      </c>
      <c r="K37" s="20" t="n">
        <v>99.75</v>
      </c>
      <c r="L37" s="20" t="n"/>
      <c r="M37" s="20" t="n"/>
      <c r="N37" s="22" t="n"/>
    </row>
    <row r="38">
      <c r="A38" s="19" t="inlineStr">
        <is>
          <t>Harissa</t>
        </is>
      </c>
      <c r="B38" s="20" t="n">
        <v>400</v>
      </c>
      <c r="C38" s="20" t="n">
        <v>65</v>
      </c>
      <c r="D38" s="20" t="n">
        <v>26</v>
      </c>
      <c r="E38" s="20" t="n">
        <v>3.575</v>
      </c>
      <c r="F38" s="21" t="n">
        <v>55</v>
      </c>
      <c r="G38" s="20" t="n">
        <v>1174</v>
      </c>
      <c r="H38" s="20" t="inlineStr">
        <is>
          <t>Epice 100ml</t>
        </is>
      </c>
      <c r="I38" s="20" t="n">
        <v>0.64</v>
      </c>
      <c r="J38" s="20" t="n">
        <v>55</v>
      </c>
      <c r="K38" s="20" t="n">
        <v>40</v>
      </c>
      <c r="L38" s="20" t="n"/>
      <c r="M38" s="20" t="n"/>
      <c r="N38" s="22" t="n"/>
    </row>
    <row r="39">
      <c r="A39" s="19" t="inlineStr">
        <is>
          <t>Herbes de Provence</t>
        </is>
      </c>
      <c r="B39" s="20" t="n">
        <v>500</v>
      </c>
      <c r="C39" s="20" t="n">
        <v>20</v>
      </c>
      <c r="D39" s="20" t="n">
        <v>10</v>
      </c>
      <c r="E39" s="20" t="n">
        <v>2.9</v>
      </c>
      <c r="F39" s="21" t="n">
        <v>145</v>
      </c>
      <c r="G39" s="20" t="n">
        <v>1130</v>
      </c>
      <c r="H39" s="20" t="inlineStr">
        <is>
          <t>Epice 100ml</t>
        </is>
      </c>
      <c r="I39" s="20" t="n">
        <v>0.64</v>
      </c>
      <c r="J39" s="20" t="n">
        <v>11.6</v>
      </c>
      <c r="K39" s="20" t="n">
        <v>80</v>
      </c>
      <c r="L39" s="20" t="n"/>
      <c r="M39" s="20" t="n"/>
      <c r="N39" s="22" t="n">
        <v>123.25</v>
      </c>
      <c r="O39">
        <f>Produit!N2:N71,Produit!U1:U71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codeName="Feuil11">
    <outlinePr summaryBelow="1" summaryRight="1"/>
    <pageSetUpPr/>
  </sheetPr>
  <dimension ref="A1:A1"/>
  <sheetViews>
    <sheetView workbookViewId="0">
      <selection activeCell="B9" sqref="B9"/>
    </sheetView>
  </sheetViews>
  <sheetFormatPr baseColWidth="10" defaultColWidth="11" defaultRowHeight="16"/>
  <cols>
    <col width="4.33203125" customWidth="1" min="1" max="1"/>
    <col width="22.83203125" customWidth="1" min="2" max="2"/>
    <col width="26" customWidth="1" min="3" max="3"/>
    <col width="20.6640625" customWidth="1" min="4" max="4"/>
    <col width="18.83203125" customWidth="1" min="5" max="5"/>
    <col width="25.5" customWidth="1" min="6" max="6"/>
    <col width="23.5" customWidth="1" min="7" max="7"/>
    <col width="16" customWidth="1" min="8" max="8"/>
    <col width="14.1640625" customWidth="1" min="9" max="9"/>
    <col width="25.5" customWidth="1" min="10" max="10"/>
  </cols>
  <sheetData>
    <row r="1">
      <c r="A1" t="inlineStr">
        <is>
          <t>Logs (vidé — debug script)</t>
        </is>
      </c>
    </row>
  </sheetData>
  <autoFilter ref="A1:I121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Merlin PERROT</dc:creator>
  <dcterms:created xmlns:dcterms="http://purl.org/dc/terms/" xmlns:xsi="http://www.w3.org/2001/XMLSchema-instance" xsi:type="dcterms:W3CDTF">2024-02-18T18:19:11Z</dcterms:created>
  <dcterms:modified xmlns:dcterms="http://purl.org/dc/terms/" xmlns:xsi="http://www.w3.org/2001/XMLSchema-instance" xsi:type="dcterms:W3CDTF">2026-07-22T07:30:45Z</dcterms:modified>
  <cp:lastModifiedBy>Merlin Perrot-Legler</cp:lastModifiedBy>
</cp:coreProperties>
</file>